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ACCOUNT PERFORMANCE" sheetId="2" r:id="rId6"/>
    <sheet state="visible" name="ONLINE SUMMARY" sheetId="3" r:id="rId7"/>
    <sheet state="visible" name="LAZADA" sheetId="4" r:id="rId8"/>
    <sheet state="visible" name="SHOPEE" sheetId="5" r:id="rId9"/>
    <sheet state="visible" name="SHOPIFY" sheetId="6" r:id="rId10"/>
    <sheet state="visible" name="TIKTOK" sheetId="7" r:id="rId11"/>
    <sheet state="visible" name="PICKAROO" sheetId="8" r:id="rId12"/>
    <sheet state="visible" name="COMMONROOM  SUMMARY" sheetId="9" r:id="rId13"/>
    <sheet state="visible" name="COMMON ROOM" sheetId="10" r:id="rId14"/>
    <sheet state="visible" name="FRANKIE  SUMMARY" sheetId="11" r:id="rId15"/>
    <sheet state="visible" name="FRANKIE" sheetId="12" r:id="rId16"/>
    <sheet state="visible" name="SIMULAPH SUMMARY" sheetId="13" r:id="rId17"/>
    <sheet state="visible" name="SIMULAPH" sheetId="14" r:id="rId18"/>
    <sheet state="visible" name="9MATTERS SUMMARY" sheetId="15" r:id="rId19"/>
    <sheet state="visible" name="9 Matters" sheetId="16" r:id="rId20"/>
    <sheet state="visible" name="TCC SUMMARY" sheetId="17" r:id="rId21"/>
    <sheet state="visible" name="TCC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1">
      <text>
        <t xml:space="preserve">Lavender Fragrance Oil 1L</t>
      </text>
    </comment>
    <comment authorId="0" ref="F101">
      <text>
        <t xml:space="preserve">Green Tea RLS gallon</t>
      </text>
    </comment>
    <comment authorId="0" ref="G101">
      <text>
        <t xml:space="preserve">Green Tea RLS gallon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1">
      <text>
        <t xml:space="preserve">Lavender Fragrance Oil 1L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tc={8afac60b-9064-4f22-bd7f-91ec63eba02f}</author>
  </authors>
  <commentList>
    <comment authorId="0" ref="C101">
      <text>
        <t xml:space="preserve">Lavender Fragrance Oil 1L</t>
      </text>
    </comment>
    <comment authorId="0" ref="AC101">
      <text>
        <t xml:space="preserve">1 gallon Fresh Bamboo RLS</t>
      </text>
    </comment>
    <comment authorId="0" ref="AH101">
      <text>
        <t xml:space="preserve">White Tea FO Liter</t>
      </text>
    </comment>
    <comment authorId="0" ref="AK101">
      <text>
        <t xml:space="preserve">RS Machine Large White
13800
White Tea Fragrance Oil 500ml
2000
</t>
      </text>
    </comment>
    <comment authorId="1" xr:uid="{8afac60b-9064-4f22-bd7f-91ec63eba02f}" ref="Y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gallons Green tea Roomspray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98">
      <text>
        <t xml:space="preserve">Lavender Fragrance Oil 1L</t>
      </text>
    </comment>
    <comment authorId="0" ref="AO98">
      <text>
        <t xml:space="preserve">Lavender Fragrance Oil 1L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8">
      <text>
        <t xml:space="preserve">Lavender Fragrance Oil 1L</t>
      </text>
    </comment>
    <comment authorId="0" ref="J98">
      <text>
        <t xml:space="preserve">Lavender Fragrance Oil 1L</t>
      </text>
    </comment>
    <comment authorId="0" ref="Q98">
      <text>
        <t xml:space="preserve">Lavender Fragrance Oil 1L</t>
      </text>
    </comment>
    <comment authorId="0" ref="X98">
      <text>
        <t xml:space="preserve">Lavender Fragrance Oil 1L</t>
      </text>
    </comment>
    <comment authorId="0" ref="AE98">
      <text>
        <t xml:space="preserve">Lavender Fragrance Oil 1L</t>
      </text>
    </comment>
    <comment authorId="0" ref="AL98">
      <text>
        <t xml:space="preserve">Lavender Fragrance Oil 1L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8">
      <text>
        <t xml:space="preserve">Lavender Fragrance Oil 1L</t>
      </text>
    </comment>
  </commentList>
</comments>
</file>

<file path=xl/sharedStrings.xml><?xml version="1.0" encoding="utf-8"?>
<sst xmlns="http://schemas.openxmlformats.org/spreadsheetml/2006/main" count="2503" uniqueCount="632">
  <si>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</si>
  <si>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</si>
  <si>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</si>
  <si>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</si>
  <si>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</si>
  <si>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</si>
  <si>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</si>
  <si>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</si>
  <si>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</si>
  <si>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</si>
  <si>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</si>
  <si>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</si>
  <si>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Common Room</t>
  </si>
  <si>
    <t>Frankie and Friends</t>
  </si>
  <si>
    <t>Craft Central</t>
  </si>
  <si>
    <t>Simula PH</t>
  </si>
  <si>
    <t>9 Matters</t>
  </si>
  <si>
    <t>Lazada</t>
  </si>
  <si>
    <t>Shopee</t>
  </si>
  <si>
    <t>Shopify</t>
  </si>
  <si>
    <t>Pick-a-roo</t>
  </si>
  <si>
    <t>Tiktok</t>
  </si>
  <si>
    <t>World Plaza</t>
  </si>
  <si>
    <t>The Finance</t>
  </si>
  <si>
    <t>Seibu</t>
  </si>
  <si>
    <t>Grasshopper Concept</t>
  </si>
  <si>
    <t>Haleon</t>
  </si>
  <si>
    <t>Bazaar</t>
  </si>
  <si>
    <t>TOTAL</t>
  </si>
  <si>
    <t xml:space="preserve"> </t>
  </si>
  <si>
    <t>% cont</t>
  </si>
  <si>
    <t>Target</t>
  </si>
  <si>
    <t>vs PY</t>
  </si>
  <si>
    <t>JAN  YTD</t>
  </si>
  <si>
    <t xml:space="preserve">PY </t>
  </si>
  <si>
    <t>FEB  YTD</t>
  </si>
  <si>
    <t>MAR YTD</t>
  </si>
  <si>
    <t>APR YTD</t>
  </si>
  <si>
    <t>MAY  YTD</t>
  </si>
  <si>
    <t>AyalaLand - One Ayala</t>
  </si>
  <si>
    <t>AyalaLand - Greenbelt</t>
  </si>
  <si>
    <t>TOTAL WITH INDUSTRIAL</t>
  </si>
  <si>
    <t>INDUSTRIAL</t>
  </si>
  <si>
    <t>RETAIL</t>
  </si>
  <si>
    <t>ECOMMERCE</t>
  </si>
  <si>
    <t xml:space="preserve">TOTAL SOLD OF STOCKS FOR LAZADA, SHOPEE , SHOPIFY, TIKTOK AND PICKAROO                                                                              </t>
  </si>
  <si>
    <t xml:space="preserve">TOTAL IN VOLUME												</t>
  </si>
  <si>
    <t>VARIANT</t>
  </si>
  <si>
    <t>PRICE</t>
  </si>
  <si>
    <t>Quiet Elegance</t>
  </si>
  <si>
    <t>Charming Home</t>
  </si>
  <si>
    <t>Bright Mornings</t>
  </si>
  <si>
    <t>Relaxing Naturals</t>
  </si>
  <si>
    <t>Mountain Breeze</t>
  </si>
  <si>
    <t>Fresh Bamboo</t>
  </si>
  <si>
    <t>Beach Escape</t>
  </si>
  <si>
    <t>White Tea</t>
  </si>
  <si>
    <t>Candy Cane</t>
  </si>
  <si>
    <t>Apple Cinnamon</t>
  </si>
  <si>
    <t>Easy Drive</t>
  </si>
  <si>
    <t>InLove</t>
  </si>
  <si>
    <t>Bright Mornings HW</t>
  </si>
  <si>
    <t>Lavender</t>
  </si>
  <si>
    <t>Eucalyptus</t>
  </si>
  <si>
    <t>Peppermint</t>
  </si>
  <si>
    <t>Fresh Bamboo FO</t>
  </si>
  <si>
    <t>Beach Escape FO</t>
  </si>
  <si>
    <t>White Tea FO</t>
  </si>
  <si>
    <t>Bright Mornings FO</t>
  </si>
  <si>
    <t>Quiet Elegance FO</t>
  </si>
  <si>
    <t xml:space="preserve">Fresh Bamboo Diffuser </t>
  </si>
  <si>
    <t>Clean Air</t>
  </si>
  <si>
    <t>Cotton Clean</t>
  </si>
  <si>
    <t>Brighter Days</t>
  </si>
  <si>
    <t>Cotton Clean FO</t>
  </si>
  <si>
    <t>Brighter Days EO</t>
  </si>
  <si>
    <t>Fresh Bamboo Refill</t>
  </si>
  <si>
    <t>Clean Air Refill 1000ml</t>
  </si>
  <si>
    <t>Waterbased: Fresh Bamboo</t>
  </si>
  <si>
    <t>Waterbased: Cotton Clean</t>
  </si>
  <si>
    <t>Waterbased: White Tea</t>
  </si>
  <si>
    <t>White Tea Diffuser</t>
  </si>
  <si>
    <t>Cotton Clean Diffuser</t>
  </si>
  <si>
    <t>White Tea Diffuser Refill</t>
  </si>
  <si>
    <t>Cotton Clean Diffuser Refill</t>
  </si>
  <si>
    <t>Reed Sticks</t>
  </si>
  <si>
    <t>Relaxing Naturals 500ml</t>
  </si>
  <si>
    <t>Hand Wash Relaxing Naturals 500ml</t>
  </si>
  <si>
    <t>Hand Wash Clean &amp; Bright 500ml</t>
  </si>
  <si>
    <t>Keep it Clean Gift Set</t>
  </si>
  <si>
    <t>Relax With Me</t>
  </si>
  <si>
    <t>Simoy ng Pahiyas</t>
  </si>
  <si>
    <t>Fresh Bamboo 500ml</t>
  </si>
  <si>
    <t>White Tea 500ml</t>
  </si>
  <si>
    <t>Tropical Paradise 200ml</t>
  </si>
  <si>
    <t>RN Wash 100ml</t>
  </si>
  <si>
    <t xml:space="preserve"> CB Wash 100ml</t>
  </si>
  <si>
    <t>Travel With Me</t>
  </si>
  <si>
    <t>Handwash: Relaxing Naturals Gallon</t>
  </si>
  <si>
    <t>Creamy Matcha</t>
  </si>
  <si>
    <t>White Lavender</t>
  </si>
  <si>
    <t>Green Tea</t>
  </si>
  <si>
    <t>Clean Air 100ml</t>
  </si>
  <si>
    <t xml:space="preserve"> Creamy Matcha Diffuser Refill</t>
  </si>
  <si>
    <t>White Lavender Diffuser Refill</t>
  </si>
  <si>
    <t>Green Tea Diffuser Refill</t>
  </si>
  <si>
    <t xml:space="preserve">Creamy Matcha Diffuser </t>
  </si>
  <si>
    <t xml:space="preserve">White Lavender Diffuser </t>
  </si>
  <si>
    <t xml:space="preserve">Green Tea Diffuser </t>
  </si>
  <si>
    <t xml:space="preserve"> Creamy Matcha + Roomspray</t>
  </si>
  <si>
    <t>White Lavender + Roomspray</t>
  </si>
  <si>
    <t>Green Tea + Roomspray</t>
  </si>
  <si>
    <t>Cotton Clean 500ml</t>
  </si>
  <si>
    <t>Modern Luxe Reed Diffuser</t>
  </si>
  <si>
    <t>Serene Sanctuary Reed Diffuser</t>
  </si>
  <si>
    <t>Urban Oasis Reed Diffuser</t>
  </si>
  <si>
    <t>Clean Air Gallon</t>
  </si>
  <si>
    <t>Holiday Hugs 200ml</t>
  </si>
  <si>
    <t>Holiday Hugs Diffuser Set</t>
  </si>
  <si>
    <t>Holiday Hugs Refill</t>
  </si>
  <si>
    <t>Bathroom Kit</t>
  </si>
  <si>
    <t>Flushie 50ml</t>
  </si>
  <si>
    <t>Easy Drive Grapefuit</t>
  </si>
  <si>
    <t>Fresh Bamboo Diffuser + Roomspray</t>
  </si>
  <si>
    <t>White Tea Diffuser  + Roomspray</t>
  </si>
  <si>
    <t>Cotton Clean Diffuser  + Roomspray</t>
  </si>
  <si>
    <t>Holiday Hugs Diffuser  + Roomspray</t>
  </si>
  <si>
    <t>Sleep All Day</t>
  </si>
  <si>
    <t>One Way Ticket</t>
  </si>
  <si>
    <t>Holiday Cheer</t>
  </si>
  <si>
    <t>High Enery Gift Set (Essential Oils)</t>
  </si>
  <si>
    <t>Romantic Date Gift Set (Essential Oils)</t>
  </si>
  <si>
    <t>One Way Ticket Gift Set (Fragrance Oils)</t>
  </si>
  <si>
    <t>Family Reunion Gift Set (Fragrance Oils)</t>
  </si>
  <si>
    <t xml:space="preserve">Fresh Start Kit </t>
  </si>
  <si>
    <t>Custom Order</t>
  </si>
  <si>
    <t>JANUARY</t>
  </si>
  <si>
    <t>Emily Pugat</t>
  </si>
  <si>
    <t>Christopher Mark .</t>
  </si>
  <si>
    <t>Claude Ponce</t>
  </si>
  <si>
    <t>Nelson Alfonso</t>
  </si>
  <si>
    <t>Barry Sia Lao Uy</t>
  </si>
  <si>
    <t>Sittie Aliyyah</t>
  </si>
  <si>
    <t>Patricia Jo Agarri</t>
  </si>
  <si>
    <t>Sadiri Eric Sanda.</t>
  </si>
  <si>
    <t>kenneth.grateco</t>
  </si>
  <si>
    <t>Jasmine C. villareal</t>
  </si>
  <si>
    <t>Valerie Ann Arana..</t>
  </si>
  <si>
    <t>Myrcel Servano</t>
  </si>
  <si>
    <t>Christine B Ojeda</t>
  </si>
  <si>
    <t>Rei</t>
  </si>
  <si>
    <t xml:space="preserve">Gary Galino </t>
  </si>
  <si>
    <t>Ashley Macabalo</t>
  </si>
  <si>
    <t>Alma</t>
  </si>
  <si>
    <t>Rodney Leo Santos</t>
  </si>
  <si>
    <t>Anna Margarita S</t>
  </si>
  <si>
    <t>Hazel delos santos</t>
  </si>
  <si>
    <t xml:space="preserve">Benjie Belotindos
</t>
  </si>
  <si>
    <t xml:space="preserve">Freeze Y
</t>
  </si>
  <si>
    <t xml:space="preserve">Sofia Galang
</t>
  </si>
  <si>
    <t>Jenny Lyn Castro</t>
  </si>
  <si>
    <t xml:space="preserve">Julie Anne Garcia
</t>
  </si>
  <si>
    <t>Paula Madla Tuazon</t>
  </si>
  <si>
    <t>Jessa Tabat Aranas</t>
  </si>
  <si>
    <t>Grace Pascua</t>
  </si>
  <si>
    <t xml:space="preserve">Marissa San Pedro
</t>
  </si>
  <si>
    <t>Jacqueline Batala.</t>
  </si>
  <si>
    <t>Melanie Montemayo.</t>
  </si>
  <si>
    <t>Christopher Mark</t>
  </si>
  <si>
    <t>Roj Tirona</t>
  </si>
  <si>
    <t xml:space="preserve">Efren Cruz De Castro
</t>
  </si>
  <si>
    <t>Hermalyne Mediano</t>
  </si>
  <si>
    <t xml:space="preserve">Third-Party-User
</t>
  </si>
  <si>
    <t>Noel Joson</t>
  </si>
  <si>
    <t>Sharon Garcia Cortez</t>
  </si>
  <si>
    <t xml:space="preserve">China Golez
</t>
  </si>
  <si>
    <t xml:space="preserve">Aj Bobiles Naling
</t>
  </si>
  <si>
    <t>Shirley Petrasant..</t>
  </si>
  <si>
    <t>Rowena Alabado</t>
  </si>
  <si>
    <t xml:space="preserve">Farzad Bahadoran </t>
  </si>
  <si>
    <t>Trisha Yu</t>
  </si>
  <si>
    <t>Josefino Mapor Co</t>
  </si>
  <si>
    <t xml:space="preserve">Sara Jane Paderes
</t>
  </si>
  <si>
    <t xml:space="preserve">Ela Banaag
</t>
  </si>
  <si>
    <t>Rowleene</t>
  </si>
  <si>
    <t>Rowena A.</t>
  </si>
  <si>
    <t>Lei M.</t>
  </si>
  <si>
    <t xml:space="preserve">Joji
</t>
  </si>
  <si>
    <t>TwoHun</t>
  </si>
  <si>
    <t>Sadiri Eric Sanda</t>
  </si>
  <si>
    <t>Cynthia Ducalang BD</t>
  </si>
  <si>
    <t xml:space="preserve">Tristram David </t>
  </si>
  <si>
    <t>Mary Grace R.</t>
  </si>
  <si>
    <t>Jen</t>
  </si>
  <si>
    <t>Karen Faye Bathan</t>
  </si>
  <si>
    <t>Christopher</t>
  </si>
  <si>
    <t xml:space="preserve">JessaA </t>
  </si>
  <si>
    <t>Rainer</t>
  </si>
  <si>
    <t>Rowlene</t>
  </si>
  <si>
    <t xml:space="preserve">James Holand </t>
  </si>
  <si>
    <t>Marlyn</t>
  </si>
  <si>
    <t>Mary Grace</t>
  </si>
  <si>
    <t>Sheen Patrick S</t>
  </si>
  <si>
    <t>Jelen Perlas P</t>
  </si>
  <si>
    <t>Marlyn Lao</t>
  </si>
  <si>
    <t>Ronald Nepomuceno.</t>
  </si>
  <si>
    <t xml:space="preserve">Mariel Zamora
</t>
  </si>
  <si>
    <t>Sidney Alan Tagle</t>
  </si>
  <si>
    <t>Derick John Mestio</t>
  </si>
  <si>
    <t>Orlando III Cabud</t>
  </si>
  <si>
    <t xml:space="preserve">Dhivya R
</t>
  </si>
  <si>
    <t>Napoleon banzuela</t>
  </si>
  <si>
    <t>Ninty four</t>
  </si>
  <si>
    <t>Danny Santillan</t>
  </si>
  <si>
    <t>Rizalyn Rodriguez</t>
  </si>
  <si>
    <t>MF Jawid</t>
  </si>
  <si>
    <t>MERLA LAINE FLORE</t>
  </si>
  <si>
    <t>Emily Mediodia P</t>
  </si>
  <si>
    <t>One Two</t>
  </si>
  <si>
    <t>Honelet Cumabig</t>
  </si>
  <si>
    <t>Anabel Manuel</t>
  </si>
  <si>
    <t>carolyn calanoy</t>
  </si>
  <si>
    <t>Nine</t>
  </si>
  <si>
    <t>Maria Crizelda C</t>
  </si>
  <si>
    <t>Sheila Constantin.</t>
  </si>
  <si>
    <t>Lean Ramirez Angel</t>
  </si>
  <si>
    <t xml:space="preserve">Luisa Rivero
</t>
  </si>
  <si>
    <t xml:space="preserve">Prosperity
</t>
  </si>
  <si>
    <t>Marissa San Pedro</t>
  </si>
  <si>
    <t>Ethelene Gamboa</t>
  </si>
  <si>
    <t xml:space="preserve">melody clark
</t>
  </si>
  <si>
    <t xml:space="preserve">Leonard Sy Gaw
</t>
  </si>
  <si>
    <t xml:space="preserve">Jeanefer RUIZ </t>
  </si>
  <si>
    <t>Maria Joy Camacho</t>
  </si>
  <si>
    <t xml:space="preserve">Ruel Linas Dael
</t>
  </si>
  <si>
    <t>Jaime Olbes</t>
  </si>
  <si>
    <t>Nelson Baloloy Og</t>
  </si>
  <si>
    <t>jim contes</t>
  </si>
  <si>
    <t>Noel reginald Tam</t>
  </si>
  <si>
    <t xml:space="preserve">Marie Belen Erfe </t>
  </si>
  <si>
    <t>Ma Christina Jaci.</t>
  </si>
  <si>
    <t>Sixseven</t>
  </si>
  <si>
    <t>Stephen Liam Ybud.</t>
  </si>
  <si>
    <t>Ma Luisa</t>
  </si>
  <si>
    <t>Monchito</t>
  </si>
  <si>
    <t>Ronel Erpe Eva</t>
  </si>
  <si>
    <t>Nory</t>
  </si>
  <si>
    <t xml:space="preserve">Paula Eunice </t>
  </si>
  <si>
    <t>Noel reginald T</t>
  </si>
  <si>
    <t>Lyn Yumang</t>
  </si>
  <si>
    <t>Jonas Polines</t>
  </si>
  <si>
    <t>Carmela A.</t>
  </si>
  <si>
    <t>Elaine Torrejo</t>
  </si>
  <si>
    <t>Sixty</t>
  </si>
  <si>
    <t>Tristan Jerome Pa..</t>
  </si>
  <si>
    <t>Hamid</t>
  </si>
  <si>
    <t>Maria Camille Amba</t>
  </si>
  <si>
    <t>Love</t>
  </si>
  <si>
    <t>Seven8</t>
  </si>
  <si>
    <t>Ken My</t>
  </si>
  <si>
    <t>Christine Buenvia</t>
  </si>
  <si>
    <t>Sheen Patrick Sor</t>
  </si>
  <si>
    <t>Twohun</t>
  </si>
  <si>
    <t>RN Wash 50ml</t>
  </si>
  <si>
    <t xml:space="preserve"> CB Wash 50ml</t>
  </si>
  <si>
    <t>Quality Time  Gift Set (Fragrance Oils)</t>
  </si>
  <si>
    <t>Quite Olive RLS</t>
  </si>
  <si>
    <t>Quite Olive Refill</t>
  </si>
  <si>
    <t>Quite Olive Reed Set</t>
  </si>
  <si>
    <t>x</t>
  </si>
  <si>
    <t>(+) shipping fee :</t>
  </si>
  <si>
    <t>(+) customize fee:</t>
  </si>
  <si>
    <t>(-) discount:</t>
  </si>
  <si>
    <t>(-) paymongo fee:</t>
  </si>
  <si>
    <t>(-) payment fee:</t>
  </si>
  <si>
    <t xml:space="preserve">To be remitted: 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</si>
  <si>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</si>
  <si>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</si>
  <si>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</si>
  <si>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</si>
  <si>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</si>
  <si>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</si>
  <si>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</si>
  <si>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</si>
  <si>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</si>
  <si>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</si>
  <si>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Veron Migo-Engle</t>
  </si>
  <si>
    <t>Cristine</t>
  </si>
  <si>
    <t>Jdavecve</t>
  </si>
  <si>
    <t>Maureen</t>
  </si>
  <si>
    <t>Cat Tan</t>
  </si>
  <si>
    <t>Marie Rose</t>
  </si>
  <si>
    <t>necitascruz</t>
  </si>
  <si>
    <t>Romeo</t>
  </si>
  <si>
    <t xml:space="preserve"> Dawn Silva</t>
  </si>
  <si>
    <t>Haydee Chan</t>
  </si>
  <si>
    <t>Erica M.</t>
  </si>
  <si>
    <t>Joanna</t>
  </si>
  <si>
    <t>Ella</t>
  </si>
  <si>
    <t>Gerliz</t>
  </si>
  <si>
    <t>Berlyn</t>
  </si>
  <si>
    <t>Java M.</t>
  </si>
  <si>
    <t>Diosa D.</t>
  </si>
  <si>
    <t>Black S.</t>
  </si>
  <si>
    <t>Ruth M.</t>
  </si>
  <si>
    <t>Jarssry</t>
  </si>
  <si>
    <t>Total</t>
  </si>
  <si>
    <t>Ires</t>
  </si>
  <si>
    <t>Rein Magno</t>
  </si>
  <si>
    <t>Alex</t>
  </si>
  <si>
    <t>Marie J.</t>
  </si>
  <si>
    <t>Dyu An</t>
  </si>
  <si>
    <t>Jhanel</t>
  </si>
  <si>
    <t>Eugene E. Guibao</t>
  </si>
  <si>
    <t>Peng p.</t>
  </si>
  <si>
    <t>Myra Brockmann</t>
  </si>
  <si>
    <t>Pobadora</t>
  </si>
  <si>
    <t>Hiro</t>
  </si>
  <si>
    <t>Judy</t>
  </si>
  <si>
    <t>Borex</t>
  </si>
  <si>
    <t>Cever</t>
  </si>
  <si>
    <t>Ferdinand</t>
  </si>
  <si>
    <t>Matthew</t>
  </si>
  <si>
    <t>Carol</t>
  </si>
  <si>
    <t>Green Apple</t>
  </si>
  <si>
    <t>Henry Villadares</t>
  </si>
  <si>
    <t>Via bells</t>
  </si>
  <si>
    <t>Carol V.</t>
  </si>
  <si>
    <t>Che galang</t>
  </si>
  <si>
    <t>Dr. Tine</t>
  </si>
  <si>
    <t>Page 26</t>
  </si>
  <si>
    <t>Dhan</t>
  </si>
  <si>
    <t>Edlyn Mancera</t>
  </si>
  <si>
    <t>Sofia</t>
  </si>
  <si>
    <t>Veron</t>
  </si>
  <si>
    <t>Rhea V.</t>
  </si>
  <si>
    <t>Claudine Manuel</t>
  </si>
  <si>
    <t>Ivygail Javier</t>
  </si>
  <si>
    <t>Bubbles F.</t>
  </si>
  <si>
    <t>Kasumi Inoue</t>
  </si>
  <si>
    <t>Jessa Lique</t>
  </si>
  <si>
    <t>Karen S.</t>
  </si>
  <si>
    <t xml:space="preserve"> Summer Ebo</t>
  </si>
  <si>
    <t>Pauline Ann Pablo</t>
  </si>
  <si>
    <t>Keyt Q.</t>
  </si>
  <si>
    <t>Jenny D.</t>
  </si>
  <si>
    <t>Ron Galde</t>
  </si>
  <si>
    <t>Cedric C.</t>
  </si>
  <si>
    <t>Junjun L.</t>
  </si>
  <si>
    <t xml:space="preserve"> Joseph Mamac</t>
  </si>
  <si>
    <t>Sammon</t>
  </si>
  <si>
    <t>Threex</t>
  </si>
  <si>
    <t>Paul Dequina</t>
  </si>
  <si>
    <t xml:space="preserve">Maia </t>
  </si>
  <si>
    <t>Kingraw</t>
  </si>
  <si>
    <t xml:space="preserve"> La Taperia Martinez</t>
  </si>
  <si>
    <t>Dani Feliza Caparas</t>
  </si>
  <si>
    <t>Celin Gay Balgos</t>
  </si>
  <si>
    <t>Ani Freak</t>
  </si>
  <si>
    <t>Carrys</t>
  </si>
  <si>
    <t>Elle J.</t>
  </si>
  <si>
    <t>Thresex</t>
  </si>
  <si>
    <t>Lea Nicole Bagayas</t>
  </si>
  <si>
    <t>Gigi</t>
  </si>
  <si>
    <t>Faith</t>
  </si>
  <si>
    <t>Solution Trading</t>
  </si>
  <si>
    <t>Jestoni L.</t>
  </si>
  <si>
    <t>Dencice J.</t>
  </si>
  <si>
    <t>Hana</t>
  </si>
  <si>
    <t>Jen Irin</t>
  </si>
  <si>
    <t>Leo Rosario</t>
  </si>
  <si>
    <t>Belle Santos</t>
  </si>
  <si>
    <t>Jestoni Losabia</t>
  </si>
  <si>
    <t>Shenna</t>
  </si>
  <si>
    <t>Claire D.</t>
  </si>
  <si>
    <t>Pretty D.</t>
  </si>
  <si>
    <t>Maksi mutin</t>
  </si>
  <si>
    <t>Hilda Rivadelo</t>
  </si>
  <si>
    <t>Katlyn</t>
  </si>
  <si>
    <t>Jenny Dayon</t>
  </si>
  <si>
    <t>Gaby Pama</t>
  </si>
  <si>
    <t>Roxanne Dalistan</t>
  </si>
  <si>
    <t xml:space="preserve">Edmaria </t>
  </si>
  <si>
    <t>Ellaine Lois Megia</t>
  </si>
  <si>
    <t>Eleonor</t>
  </si>
  <si>
    <t>Miles C.</t>
  </si>
  <si>
    <t xml:space="preserve">Aurdey </t>
  </si>
  <si>
    <t>Josephine Candaroma</t>
  </si>
  <si>
    <t>Edlyn M.</t>
  </si>
  <si>
    <t>Hazel C.</t>
  </si>
  <si>
    <t>Dani F.</t>
  </si>
  <si>
    <t>Flade J.</t>
  </si>
  <si>
    <t>Wear H.</t>
  </si>
  <si>
    <t>Gabrielle</t>
  </si>
  <si>
    <t>Nikki J.</t>
  </si>
  <si>
    <t>VHB Paseo Skin Care Center Inc</t>
  </si>
  <si>
    <t>Jef Tumampos</t>
  </si>
  <si>
    <t>Cruzer</t>
  </si>
  <si>
    <t>Michelle Tan</t>
  </si>
  <si>
    <t>Krl franco</t>
  </si>
  <si>
    <t xml:space="preserve">Jeanne Pauline M Baligod
</t>
  </si>
  <si>
    <t>Dianna</t>
  </si>
  <si>
    <t>Salem</t>
  </si>
  <si>
    <t xml:space="preserve">Barbie Castaneda
</t>
  </si>
  <si>
    <t xml:space="preserve">Jenny Dayon
</t>
  </si>
  <si>
    <t>Leo M.</t>
  </si>
  <si>
    <t xml:space="preserve">Michelle Tan
</t>
  </si>
  <si>
    <t xml:space="preserve">Angela Mae Gilboy
</t>
  </si>
  <si>
    <t>Janika Laxamana</t>
  </si>
  <si>
    <t xml:space="preserve">Pauline Ann Pablo
</t>
  </si>
  <si>
    <t xml:space="preserve">Maria Teresa A. Pacil
</t>
  </si>
  <si>
    <t xml:space="preserve">Vanessa Chanyungco
</t>
  </si>
  <si>
    <t>Carol Villena</t>
  </si>
  <si>
    <t>Sandra</t>
  </si>
  <si>
    <t>Maek M.</t>
  </si>
  <si>
    <t>Anna F.</t>
  </si>
  <si>
    <t>Bhie M.</t>
  </si>
  <si>
    <t>Lisha</t>
  </si>
  <si>
    <t>Jack</t>
  </si>
  <si>
    <t>Nessa</t>
  </si>
  <si>
    <t>Thirsty</t>
  </si>
  <si>
    <t>Carlie</t>
  </si>
  <si>
    <t>MelBad</t>
  </si>
  <si>
    <t xml:space="preserve">Cervin Benjamin Sarte
</t>
  </si>
  <si>
    <t>Lee Santos</t>
  </si>
  <si>
    <t>Hernan</t>
  </si>
  <si>
    <t>Danifel</t>
  </si>
  <si>
    <t xml:space="preserve">Esbaro </t>
  </si>
  <si>
    <t>Theen</t>
  </si>
  <si>
    <t>Mylds Corner</t>
  </si>
  <si>
    <t>Zarren Lee</t>
  </si>
  <si>
    <t>Niki Mindj</t>
  </si>
  <si>
    <t>Mae Joson</t>
  </si>
  <si>
    <t>Giigii</t>
  </si>
  <si>
    <t>Mary Antoinette Maneja</t>
  </si>
  <si>
    <t>Tricia</t>
  </si>
  <si>
    <t>Lorie</t>
  </si>
  <si>
    <t xml:space="preserve">Cindy </t>
  </si>
  <si>
    <t xml:space="preserve">Bonifcio </t>
  </si>
  <si>
    <t>Melanie Pilapil</t>
  </si>
  <si>
    <t>Raenna</t>
  </si>
  <si>
    <t xml:space="preserve">Leo Rosario
</t>
  </si>
  <si>
    <t>Pegy</t>
  </si>
  <si>
    <t>Rowena</t>
  </si>
  <si>
    <t>Mribeth</t>
  </si>
  <si>
    <t>Ness</t>
  </si>
  <si>
    <t>Pink</t>
  </si>
  <si>
    <t>small</t>
  </si>
  <si>
    <t>next level</t>
  </si>
  <si>
    <t xml:space="preserve">Black </t>
  </si>
  <si>
    <t>Anne B.</t>
  </si>
  <si>
    <t>SD T.</t>
  </si>
  <si>
    <t>Vayie</t>
  </si>
  <si>
    <t>Irres</t>
  </si>
  <si>
    <t>Gmm</t>
  </si>
  <si>
    <t>Mae Nova</t>
  </si>
  <si>
    <t>JF24</t>
  </si>
  <si>
    <t>Marian Marites</t>
  </si>
  <si>
    <t>Antonette Amancio</t>
  </si>
  <si>
    <t>Althea Napod</t>
  </si>
  <si>
    <t>Rhea M.</t>
  </si>
  <si>
    <t>Cpb</t>
  </si>
  <si>
    <t>Juliene</t>
  </si>
  <si>
    <t>Sleep Les</t>
  </si>
  <si>
    <t>Jennifer</t>
  </si>
  <si>
    <t>Lea L.</t>
  </si>
  <si>
    <t>Genelyn</t>
  </si>
  <si>
    <t>Sugar Plum</t>
  </si>
  <si>
    <t>Judith Nicolas</t>
  </si>
  <si>
    <t>Julia K.</t>
  </si>
  <si>
    <t>Paulo King</t>
  </si>
  <si>
    <t>Jess Theway</t>
  </si>
  <si>
    <t>Alexa</t>
  </si>
  <si>
    <t>Eowyn</t>
  </si>
  <si>
    <t xml:space="preserve">Robert Cruz
</t>
  </si>
  <si>
    <t xml:space="preserve">Ma. Majella Fides Conti
</t>
  </si>
  <si>
    <t>Q3pvytn</t>
  </si>
  <si>
    <t>Camille</t>
  </si>
  <si>
    <t>Amanda F.</t>
  </si>
  <si>
    <t xml:space="preserve">Sophia </t>
  </si>
  <si>
    <t>Fe de Guzman</t>
  </si>
  <si>
    <t xml:space="preserve">Eunice </t>
  </si>
  <si>
    <t xml:space="preserve">Blesilda Dy
</t>
  </si>
  <si>
    <t>Mickayoo</t>
  </si>
  <si>
    <t>Jessica Tan</t>
  </si>
  <si>
    <t>Peace</t>
  </si>
  <si>
    <t>One belle</t>
  </si>
  <si>
    <t>Yvonne Casabuena</t>
  </si>
  <si>
    <t>Takahiro</t>
  </si>
  <si>
    <t>Prime</t>
  </si>
  <si>
    <t>Armie</t>
  </si>
  <si>
    <t>Xyza Ledesma</t>
  </si>
  <si>
    <t>Ann Melody Yao</t>
  </si>
  <si>
    <t>Maja</t>
  </si>
  <si>
    <t>Battos</t>
  </si>
  <si>
    <t>Rhea M</t>
  </si>
  <si>
    <t>Budweizen</t>
  </si>
  <si>
    <t xml:space="preserve">Samun </t>
  </si>
  <si>
    <t>Mirman</t>
  </si>
  <si>
    <t>Michael</t>
  </si>
  <si>
    <t>Catetan</t>
  </si>
  <si>
    <t xml:space="preserve">Kathlyn chaves
</t>
  </si>
  <si>
    <t xml:space="preserve">Shane Bacoy
</t>
  </si>
  <si>
    <t>Ma. Lucilyn Fajanilan</t>
  </si>
  <si>
    <t>Merlin</t>
  </si>
  <si>
    <t>Anjeline</t>
  </si>
  <si>
    <t>Sherlan</t>
  </si>
  <si>
    <t>Martin</t>
  </si>
  <si>
    <t>Jinse</t>
  </si>
  <si>
    <t>Pablo</t>
  </si>
  <si>
    <t>Thebab</t>
  </si>
  <si>
    <t xml:space="preserve">Denice </t>
  </si>
  <si>
    <t>Triss</t>
  </si>
  <si>
    <t>Sighter</t>
  </si>
  <si>
    <t>Siyvie</t>
  </si>
  <si>
    <t>King</t>
  </si>
  <si>
    <t>Brie</t>
  </si>
  <si>
    <t>Mg Narcisso</t>
  </si>
  <si>
    <t>Jenefer ancheta</t>
  </si>
  <si>
    <t>Wilma</t>
  </si>
  <si>
    <t>Chris Ramos</t>
  </si>
  <si>
    <t>Demensyon</t>
  </si>
  <si>
    <t>Qep</t>
  </si>
  <si>
    <t>Teejay</t>
  </si>
  <si>
    <t>Julie</t>
  </si>
  <si>
    <t>Bernadette Cadaing</t>
  </si>
  <si>
    <t>Sanmi</t>
  </si>
  <si>
    <t>Edmarie</t>
  </si>
  <si>
    <t>Beautie</t>
  </si>
  <si>
    <t>Patisha</t>
  </si>
  <si>
    <t>Euna</t>
  </si>
  <si>
    <t>Hazel</t>
  </si>
  <si>
    <t xml:space="preserve">Jona Francisco
</t>
  </si>
  <si>
    <t>Pau ramos</t>
  </si>
  <si>
    <t>Lisette</t>
  </si>
  <si>
    <t>Jacky Guillen</t>
  </si>
  <si>
    <t>Mike</t>
  </si>
  <si>
    <t>Eloise</t>
  </si>
  <si>
    <t>JTakahiro</t>
  </si>
  <si>
    <t>Feliz</t>
  </si>
  <si>
    <t xml:space="preserve">Denice Javier
</t>
  </si>
  <si>
    <t xml:space="preserve">Jeremie Tumulak
</t>
  </si>
  <si>
    <t>Bena Malabanan</t>
  </si>
  <si>
    <t>p</t>
  </si>
  <si>
    <t>april</t>
  </si>
  <si>
    <t>Anna Marie Sy</t>
  </si>
  <si>
    <t>Papoose Olizon</t>
  </si>
  <si>
    <t xml:space="preserve">Sarah Gonzalez-Garcia
</t>
  </si>
  <si>
    <t>Bev Joson</t>
  </si>
  <si>
    <t xml:space="preserve">Arlette Aguirre-Reyes
</t>
  </si>
  <si>
    <t xml:space="preserve">Black Tie Events
</t>
  </si>
  <si>
    <t xml:space="preserve">Travellers International Hotel Group Inc. Hotel Okura
</t>
  </si>
  <si>
    <t>Papoose</t>
  </si>
  <si>
    <t xml:space="preserve">Westlake Medical Center
</t>
  </si>
  <si>
    <t xml:space="preserve">aggie calubaquib
</t>
  </si>
  <si>
    <t xml:space="preserve">Claire Clementir- Ariete
</t>
  </si>
  <si>
    <t xml:space="preserve">Kitchen Pro Concepts and Management Inc
</t>
  </si>
  <si>
    <t xml:space="preserve">Aisha Rhea Catolico
</t>
  </si>
  <si>
    <t xml:space="preserve">Ria Olizon
</t>
  </si>
  <si>
    <t xml:space="preserve">ADRIAN OLIZON
</t>
  </si>
  <si>
    <t xml:space="preserve">Pareb Munreb
</t>
  </si>
  <si>
    <t xml:space="preserve">Olison Corporation
</t>
  </si>
  <si>
    <t xml:space="preserve">Black Tie Events
</t>
  </si>
  <si>
    <t xml:space="preserve">Ria Olizon
</t>
  </si>
  <si>
    <t xml:space="preserve">Dianne Khu
</t>
  </si>
  <si>
    <t xml:space="preserve">Glenda Balatbat
</t>
  </si>
  <si>
    <t>Jessa</t>
  </si>
  <si>
    <t>YanaO.</t>
  </si>
  <si>
    <t>Bethty</t>
  </si>
  <si>
    <t>Maurine</t>
  </si>
  <si>
    <t>Catherine</t>
  </si>
  <si>
    <t>Ellane</t>
  </si>
  <si>
    <t>Sandee</t>
  </si>
  <si>
    <t>James</t>
  </si>
  <si>
    <t>Zandro</t>
  </si>
  <si>
    <t>Elma</t>
  </si>
  <si>
    <t>Major_bank</t>
  </si>
  <si>
    <t>Scarlett</t>
  </si>
  <si>
    <t xml:space="preserve">Patrice </t>
  </si>
  <si>
    <t xml:space="preserve">Luannepenano
</t>
  </si>
  <si>
    <t xml:space="preserve">Janet </t>
  </si>
  <si>
    <t>PATIENT FIRST MEDICAL CLINIC AND DIAGNOSTICS CENTER.</t>
  </si>
  <si>
    <t>Ana H.</t>
  </si>
  <si>
    <t>Gina Vina</t>
  </si>
  <si>
    <t>Erlie Ocampo</t>
  </si>
  <si>
    <t xml:space="preserve">Connie </t>
  </si>
  <si>
    <t>Urica</t>
  </si>
  <si>
    <t>Mirriam</t>
  </si>
  <si>
    <t>Analyn</t>
  </si>
  <si>
    <t>Inu</t>
  </si>
  <si>
    <t>Damian</t>
  </si>
  <si>
    <t xml:space="preserve">carolnicolevillen
</t>
  </si>
  <si>
    <t>COMMON ROOM</t>
  </si>
  <si>
    <t xml:space="preserve">TOTAL SOLD OF STOCKS FOR COMMON ROOMS                                                                                        </t>
  </si>
  <si>
    <t xml:space="preserve">TOTAL IN VALUE                                                                                              </t>
  </si>
  <si>
    <t>ATC</t>
  </si>
  <si>
    <t>ROCKWELL</t>
  </si>
  <si>
    <t xml:space="preserve">AYALA BAY                                                                                                                                                                             </t>
  </si>
  <si>
    <t>UPTC</t>
  </si>
  <si>
    <t>ATRIUM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</si>
  <si>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</si>
  <si>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</si>
  <si>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</si>
  <si>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</si>
  <si>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</si>
  <si>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</si>
  <si>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</si>
  <si>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</si>
  <si>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</si>
  <si>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</si>
  <si>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</si>
  <si>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</si>
  <si>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PopjunkLove Enterprises - Ayala Bay</t>
  </si>
  <si>
    <t>PopjunkLove Enterprises - Rockwell</t>
  </si>
  <si>
    <t>PopjunkLove Enterprises - U.P Town Center</t>
  </si>
  <si>
    <t>PopjunkLove Enterprises - Atc</t>
  </si>
  <si>
    <t>PopjunkLove Enterprises - Atrium</t>
  </si>
  <si>
    <t>FRANKIE &amp; FRIENDS</t>
  </si>
  <si>
    <t>SM AURA</t>
  </si>
  <si>
    <t>SIMULA PH</t>
  </si>
  <si>
    <t>Clean Air Disinfecting Room Spray - 500ml Spray</t>
  </si>
  <si>
    <t>Cotton Clean Reed Diffuser Refill</t>
  </si>
  <si>
    <t>Cotton Clean Room &amp; Linen Spray</t>
  </si>
  <si>
    <t>Eucalyptus Essential Oil</t>
  </si>
  <si>
    <t>Fresh Bamboo Room &amp; Linen Spray</t>
  </si>
  <si>
    <t>Green Tea Room &amp; Linen Spray</t>
  </si>
  <si>
    <t>Quiet Olive Room &amp; Linen Spray</t>
  </si>
  <si>
    <t>Relaxing Naturals Room &amp; Linen Spray</t>
  </si>
  <si>
    <t>9 MATTERS</t>
  </si>
  <si>
    <t>PER SALES SUMMARY</t>
  </si>
  <si>
    <t>TCC</t>
  </si>
  <si>
    <t>THE CRAFT CENTRAL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</si>
</sst>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-mmm"/>
    <numFmt numFmtId="166" formatCode="d&quot;-&quot;mmm"/>
    <numFmt numFmtId="167" formatCode="dmmm"/>
    <numFmt numFmtId="168" formatCode="[$₱]#,##0.0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1.0"/>
      <color theme="1"/>
      <name val="Twentieth Century"/>
    </font>
    <font>
      <sz val="11.0"/>
      <color theme="1"/>
      <name val="Twentieth Century"/>
    </font>
    <font>
      <i/>
      <sz val="11.0"/>
      <color theme="1"/>
      <name val="Twentieth Century"/>
    </font>
    <font>
      <color theme="1"/>
      <name val="Twentieth Century"/>
    </font>
    <font>
      <color theme="1"/>
      <name val="Arial"/>
    </font>
    <font/>
    <font>
      <i/>
      <color theme="1"/>
      <name val="Twentieth Century"/>
    </font>
    <font>
      <i/>
      <sz val="8.0"/>
      <color theme="1"/>
      <name val="Twentieth Century"/>
    </font>
    <font>
      <sz val="8.0"/>
      <color theme="1"/>
      <name val="Arial"/>
      <scheme val="minor"/>
    </font>
    <font>
      <i/>
      <sz val="9.0"/>
      <color theme="1"/>
      <name val="Twentieth Century"/>
    </font>
    <font>
      <i/>
      <color theme="1"/>
      <name val="Arial"/>
    </font>
    <font>
      <sz val="9.0"/>
      <color theme="1"/>
      <name val="Twentieth Century"/>
    </font>
    <font>
      <i/>
      <sz val="10.0"/>
      <color theme="1"/>
      <name val="Twentieth Century"/>
    </font>
    <font>
      <i/>
      <color rgb="FFFF0000"/>
      <name val="Twentieth Century"/>
    </font>
    <font>
      <sz val="7.0"/>
      <color theme="1"/>
      <name val="Trebuchet MS"/>
    </font>
    <font>
      <i/>
      <sz val="7.0"/>
      <color theme="1"/>
      <name val="Trebuchet MS"/>
    </font>
    <font>
      <i/>
      <color theme="1"/>
      <name val="Arial"/>
      <scheme val="minor"/>
    </font>
    <font>
      <i/>
      <sz val="10.0"/>
      <color theme="1"/>
      <name val="Trebuchet MS"/>
    </font>
    <font>
      <b/>
      <i/>
      <color theme="1"/>
      <name val="Twentieth Century"/>
    </font>
    <font>
      <b/>
      <i/>
      <sz val="9.0"/>
      <color rgb="FFFF0000"/>
      <name val="Twentieth Century"/>
    </font>
    <font>
      <sz val="9.0"/>
      <color theme="1"/>
      <name val="Arial"/>
    </font>
    <font>
      <sz val="11.0"/>
      <color theme="1"/>
      <name val="Roboto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6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5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1" fillId="0" fontId="2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right"/>
    </xf>
    <xf borderId="2" fillId="2" fontId="2" numFmtId="164" xfId="0" applyAlignment="1" applyBorder="1" applyFont="1" applyNumberFormat="1">
      <alignment horizontal="right" shrinkToFit="0" wrapText="1"/>
    </xf>
    <xf borderId="2" fillId="2" fontId="3" numFmtId="0" xfId="0" applyAlignment="1" applyBorder="1" applyFont="1">
      <alignment horizontal="right"/>
    </xf>
    <xf borderId="3" fillId="2" fontId="2" numFmtId="0" xfId="0" applyAlignment="1" applyBorder="1" applyFont="1">
      <alignment horizontal="right"/>
    </xf>
    <xf borderId="2" fillId="2" fontId="2" numFmtId="164" xfId="0" applyAlignment="1" applyBorder="1" applyFont="1" applyNumberFormat="1">
      <alignment horizontal="right" readingOrder="0" shrinkToFit="0" wrapText="1"/>
    </xf>
    <xf borderId="2" fillId="2" fontId="2" numFmtId="0" xfId="0" applyAlignment="1" applyBorder="1" applyFont="1">
      <alignment horizontal="right" readingOrder="0"/>
    </xf>
    <xf borderId="2" fillId="2" fontId="2" numFmtId="0" xfId="0" applyAlignment="1" applyBorder="1" applyFont="1">
      <alignment horizontal="right" vertical="bottom"/>
    </xf>
    <xf borderId="2" fillId="2" fontId="2" numFmtId="164" xfId="0" applyAlignment="1" applyBorder="1" applyFont="1" applyNumberFormat="1">
      <alignment horizontal="right" readingOrder="0" shrinkToFit="0" vertical="bottom" wrapText="1"/>
    </xf>
    <xf borderId="2" fillId="2" fontId="3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right" readingOrder="0" vertical="bottom"/>
    </xf>
    <xf borderId="3" fillId="2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/>
    </xf>
    <xf borderId="4" fillId="0" fontId="4" numFmtId="4" xfId="0" applyAlignment="1" applyBorder="1" applyFont="1" applyNumberFormat="1">
      <alignment horizontal="center" vertical="bottom"/>
    </xf>
    <xf borderId="5" fillId="3" fontId="3" numFmtId="9" xfId="0" applyAlignment="1" applyBorder="1" applyFill="1" applyFont="1" applyNumberFormat="1">
      <alignment horizontal="right" vertical="bottom"/>
    </xf>
    <xf borderId="5" fillId="0" fontId="4" numFmtId="4" xfId="0" applyAlignment="1" applyBorder="1" applyFont="1" applyNumberFormat="1">
      <alignment horizontal="right" vertical="bottom"/>
    </xf>
    <xf borderId="5" fillId="3" fontId="4" numFmtId="9" xfId="0" applyAlignment="1" applyBorder="1" applyFont="1" applyNumberFormat="1">
      <alignment horizontal="right" vertical="bottom"/>
    </xf>
    <xf borderId="5" fillId="0" fontId="3" numFmtId="9" xfId="0" applyAlignment="1" applyBorder="1" applyFont="1" applyNumberFormat="1">
      <alignment horizontal="right" vertical="bottom"/>
    </xf>
    <xf borderId="5" fillId="0" fontId="4" numFmtId="4" xfId="0" applyAlignment="1" applyBorder="1" applyFont="1" applyNumberFormat="1">
      <alignment horizontal="right" readingOrder="0" vertical="bottom"/>
    </xf>
    <xf borderId="5" fillId="0" fontId="3" numFmtId="4" xfId="0" applyAlignment="1" applyBorder="1" applyFont="1" applyNumberFormat="1">
      <alignment horizontal="right" vertical="bottom"/>
    </xf>
    <xf borderId="0" fillId="3" fontId="4" numFmtId="9" xfId="0" applyAlignment="1" applyFont="1" applyNumberFormat="1">
      <alignment horizontal="right" vertical="bottom"/>
    </xf>
    <xf borderId="4" fillId="3" fontId="4" numFmtId="4" xfId="0" applyAlignment="1" applyBorder="1" applyFont="1" applyNumberFormat="1">
      <alignment horizontal="center" vertical="bottom"/>
    </xf>
    <xf borderId="4" fillId="4" fontId="4" numFmtId="4" xfId="0" applyAlignment="1" applyBorder="1" applyFill="1" applyFont="1" applyNumberFormat="1">
      <alignment horizontal="center" vertical="bottom"/>
    </xf>
    <xf borderId="5" fillId="4" fontId="3" numFmtId="9" xfId="0" applyAlignment="1" applyBorder="1" applyFont="1" applyNumberFormat="1">
      <alignment horizontal="right" vertical="bottom"/>
    </xf>
    <xf borderId="5" fillId="4" fontId="4" numFmtId="4" xfId="0" applyAlignment="1" applyBorder="1" applyFont="1" applyNumberFormat="1">
      <alignment horizontal="right" vertical="bottom"/>
    </xf>
    <xf borderId="5" fillId="4" fontId="4" numFmtId="9" xfId="0" applyAlignment="1" applyBorder="1" applyFont="1" applyNumberFormat="1">
      <alignment horizontal="right" vertical="bottom"/>
    </xf>
    <xf borderId="5" fillId="4" fontId="4" numFmtId="4" xfId="0" applyAlignment="1" applyBorder="1" applyFont="1" applyNumberFormat="1">
      <alignment horizontal="right" readingOrder="0" vertical="bottom"/>
    </xf>
    <xf borderId="5" fillId="4" fontId="3" numFmtId="4" xfId="0" applyAlignment="1" applyBorder="1" applyFont="1" applyNumberFormat="1">
      <alignment horizontal="right" vertical="bottom"/>
    </xf>
    <xf borderId="0" fillId="4" fontId="4" numFmtId="9" xfId="0" applyAlignment="1" applyFont="1" applyNumberFormat="1">
      <alignment horizontal="right" vertical="bottom"/>
    </xf>
    <xf borderId="6" fillId="4" fontId="4" numFmtId="4" xfId="0" applyAlignment="1" applyBorder="1" applyFont="1" applyNumberFormat="1">
      <alignment horizontal="center" vertical="bottom"/>
    </xf>
    <xf borderId="5" fillId="3" fontId="4" numFmtId="4" xfId="0" applyAlignment="1" applyBorder="1" applyFont="1" applyNumberFormat="1">
      <alignment horizontal="right" readingOrder="0" vertical="bottom"/>
    </xf>
    <xf borderId="5" fillId="3" fontId="4" numFmtId="4" xfId="0" applyAlignment="1" applyBorder="1" applyFont="1" applyNumberFormat="1">
      <alignment horizontal="right" vertical="bottom"/>
    </xf>
    <xf borderId="5" fillId="3" fontId="3" numFmtId="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horizontal="right" vertical="bottom"/>
    </xf>
    <xf borderId="7" fillId="0" fontId="3" numFmtId="4" xfId="0" applyAlignment="1" applyBorder="1" applyFont="1" applyNumberFormat="1">
      <alignment horizontal="right" readingOrder="0" vertical="bottom"/>
    </xf>
    <xf borderId="7" fillId="0" fontId="3" numFmtId="4" xfId="0" applyAlignment="1" applyBorder="1" applyFont="1" applyNumberFormat="1">
      <alignment horizontal="right" vertical="bottom"/>
    </xf>
    <xf borderId="7" fillId="0" fontId="3" numFmtId="9" xfId="0" applyAlignment="1" applyBorder="1" applyFont="1" applyNumberFormat="1">
      <alignment horizontal="right" vertical="bottom"/>
    </xf>
    <xf borderId="4" fillId="3" fontId="4" numFmtId="4" xfId="0" applyAlignment="1" applyBorder="1" applyFont="1" applyNumberFormat="1">
      <alignment horizontal="center" readingOrder="0" vertical="bottom"/>
    </xf>
    <xf borderId="7" fillId="3" fontId="4" numFmtId="9" xfId="0" applyAlignment="1" applyBorder="1" applyFont="1" applyNumberFormat="1">
      <alignment horizontal="right" vertical="bottom"/>
    </xf>
    <xf borderId="7" fillId="3" fontId="3" numFmtId="9" xfId="0" applyAlignment="1" applyBorder="1" applyFont="1" applyNumberFormat="1">
      <alignment horizontal="right" vertical="bottom"/>
    </xf>
    <xf borderId="8" fillId="3" fontId="4" numFmtId="4" xfId="0" applyAlignment="1" applyBorder="1" applyFont="1" applyNumberFormat="1">
      <alignment horizontal="center" vertical="bottom"/>
    </xf>
    <xf borderId="9" fillId="3" fontId="3" numFmtId="9" xfId="0" applyAlignment="1" applyBorder="1" applyFont="1" applyNumberFormat="1">
      <alignment horizontal="right" vertical="bottom"/>
    </xf>
    <xf borderId="9" fillId="0" fontId="3" numFmtId="9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horizontal="right" vertical="bottom"/>
    </xf>
    <xf borderId="9" fillId="0" fontId="3" numFmtId="4" xfId="0" applyAlignment="1" applyBorder="1" applyFont="1" applyNumberFormat="1">
      <alignment horizontal="right" vertical="bottom"/>
    </xf>
    <xf borderId="9" fillId="3" fontId="4" numFmtId="9" xfId="0" applyAlignment="1" applyBorder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9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10" fillId="3" fontId="4" numFmtId="9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4" numFmtId="10" xfId="0" applyAlignment="1" applyBorder="1" applyFont="1" applyNumberFormat="1">
      <alignment horizontal="right" vertical="bottom"/>
    </xf>
    <xf borderId="5" fillId="0" fontId="3" numFmtId="10" xfId="0" applyAlignment="1" applyBorder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5" fillId="0" fontId="2" numFmtId="0" xfId="0" applyAlignment="1" applyBorder="1" applyFont="1">
      <alignment horizontal="center" vertical="bottom"/>
    </xf>
    <xf borderId="5" fillId="0" fontId="2" numFmtId="4" xfId="0" applyAlignment="1" applyBorder="1" applyFont="1" applyNumberFormat="1">
      <alignment horizontal="right" vertical="bottom"/>
    </xf>
    <xf borderId="5" fillId="0" fontId="2" numFmtId="9" xfId="0" applyAlignment="1" applyBorder="1" applyFont="1" applyNumberFormat="1">
      <alignment horizontal="right" vertical="bottom"/>
    </xf>
    <xf borderId="5" fillId="0" fontId="2" numFmtId="10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1" fillId="0" fontId="4" numFmtId="0" xfId="0" applyAlignment="1" applyBorder="1" applyFont="1">
      <alignment horizontal="center" vertical="bottom"/>
    </xf>
    <xf borderId="12" fillId="0" fontId="7" numFmtId="0" xfId="0" applyBorder="1" applyFont="1"/>
    <xf borderId="13" fillId="0" fontId="7" numFmtId="0" xfId="0" applyBorder="1" applyFont="1"/>
    <xf borderId="14" fillId="0" fontId="4" numFmtId="0" xfId="0" applyAlignment="1" applyBorder="1" applyFont="1">
      <alignment horizontal="center" vertical="bottom"/>
    </xf>
    <xf borderId="15" fillId="0" fontId="7" numFmtId="0" xfId="0" applyBorder="1" applyFont="1"/>
    <xf borderId="16" fillId="0" fontId="7" numFmtId="0" xfId="0" applyBorder="1" applyFont="1"/>
    <xf borderId="1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18" fillId="0" fontId="6" numFmtId="0" xfId="0" applyAlignment="1" applyBorder="1" applyFont="1">
      <alignment vertical="bottom"/>
    </xf>
    <xf borderId="19" fillId="0" fontId="7" numFmtId="0" xfId="0" applyBorder="1" applyFont="1"/>
    <xf borderId="10" fillId="0" fontId="7" numFmtId="0" xfId="0" applyBorder="1" applyFont="1"/>
    <xf borderId="20" fillId="0" fontId="7" numFmtId="0" xfId="0" applyBorder="1" applyFont="1"/>
    <xf borderId="21" fillId="0" fontId="4" numFmtId="0" xfId="0" applyAlignment="1" applyBorder="1" applyFont="1">
      <alignment horizontal="center" vertical="bottom"/>
    </xf>
    <xf borderId="15" fillId="0" fontId="4" numFmtId="0" xfId="0" applyAlignment="1" applyBorder="1" applyFont="1">
      <alignment horizontal="center" vertical="bottom"/>
    </xf>
    <xf borderId="22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23" fillId="0" fontId="6" numFmtId="0" xfId="0" applyAlignment="1" applyBorder="1" applyFont="1">
      <alignment vertical="bottom"/>
    </xf>
    <xf borderId="5" fillId="3" fontId="4" numFmtId="0" xfId="0" applyAlignment="1" applyBorder="1" applyFont="1">
      <alignment horizontal="center" vertical="bottom"/>
    </xf>
    <xf borderId="15" fillId="3" fontId="8" numFmtId="1" xfId="0" applyAlignment="1" applyBorder="1" applyFont="1" applyNumberFormat="1">
      <alignment horizontal="center" vertical="bottom"/>
    </xf>
    <xf borderId="22" fillId="0" fontId="8" numFmtId="1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1" xfId="0" applyAlignment="1" applyBorder="1" applyFont="1" applyNumberFormat="1">
      <alignment horizontal="center" vertical="bottom"/>
    </xf>
    <xf borderId="5" fillId="0" fontId="4" numFmtId="1" xfId="0" applyAlignment="1" applyBorder="1" applyFont="1" applyNumberFormat="1">
      <alignment horizontal="center" vertical="bottom"/>
    </xf>
    <xf borderId="10" fillId="3" fontId="4" numFmtId="0" xfId="0" applyAlignment="1" applyBorder="1" applyFont="1">
      <alignment horizontal="center" vertical="bottom"/>
    </xf>
    <xf borderId="15" fillId="3" fontId="6" numFmtId="1" xfId="0" applyAlignment="1" applyBorder="1" applyFont="1" applyNumberFormat="1">
      <alignment vertical="bottom"/>
    </xf>
    <xf borderId="10" fillId="3" fontId="6" numFmtId="0" xfId="0" applyAlignment="1" applyBorder="1" applyFont="1">
      <alignment vertical="bottom"/>
    </xf>
    <xf borderId="22" fillId="3" fontId="8" numFmtId="0" xfId="0" applyAlignment="1" applyBorder="1" applyFont="1">
      <alignment horizontal="center" vertical="bottom"/>
    </xf>
    <xf borderId="22" fillId="3" fontId="8" numFmtId="1" xfId="0" applyAlignment="1" applyBorder="1" applyFont="1" applyNumberFormat="1">
      <alignment horizontal="center" vertical="bottom"/>
    </xf>
    <xf borderId="24" fillId="3" fontId="8" numFmtId="1" xfId="0" applyAlignment="1" applyBorder="1" applyFont="1" applyNumberFormat="1">
      <alignment horizontal="center" vertical="bottom"/>
    </xf>
    <xf borderId="22" fillId="3" fontId="6" numFmtId="1" xfId="0" applyAlignment="1" applyBorder="1" applyFont="1" applyNumberFormat="1">
      <alignment vertical="bottom"/>
    </xf>
    <xf borderId="25" fillId="3" fontId="6" numFmtId="1" xfId="0" applyAlignment="1" applyBorder="1" applyFont="1" applyNumberFormat="1">
      <alignment vertical="bottom"/>
    </xf>
    <xf borderId="25" fillId="3" fontId="8" numFmtId="1" xfId="0" applyAlignment="1" applyBorder="1" applyFont="1" applyNumberFormat="1">
      <alignment horizontal="center" vertical="bottom"/>
    </xf>
    <xf borderId="21" fillId="3" fontId="8" numFmtId="1" xfId="0" applyAlignment="1" applyBorder="1" applyFont="1" applyNumberFormat="1">
      <alignment horizontal="center" readingOrder="0" vertical="bottom"/>
    </xf>
    <xf borderId="5" fillId="3" fontId="6" numFmtId="1" xfId="0" applyAlignment="1" applyBorder="1" applyFont="1" applyNumberFormat="1">
      <alignment vertical="bottom"/>
    </xf>
    <xf borderId="22" fillId="3" fontId="6" numFmtId="0" xfId="0" applyAlignment="1" applyBorder="1" applyFont="1">
      <alignment vertical="bottom"/>
    </xf>
    <xf borderId="22" fillId="3" fontId="8" numFmtId="4" xfId="0" applyAlignment="1" applyBorder="1" applyFont="1" applyNumberFormat="1">
      <alignment horizontal="center" vertical="bottom"/>
    </xf>
    <xf borderId="17" fillId="3" fontId="8" numFmtId="1" xfId="0" applyAlignment="1" applyBorder="1" applyFont="1" applyNumberFormat="1">
      <alignment horizontal="center" vertical="bottom"/>
    </xf>
    <xf borderId="5" fillId="3" fontId="8" numFmtId="4" xfId="0" applyAlignment="1" applyBorder="1" applyFont="1" applyNumberFormat="1">
      <alignment horizontal="center" vertical="bottom"/>
    </xf>
    <xf borderId="7" fillId="3" fontId="6" numFmtId="4" xfId="0" applyAlignment="1" applyBorder="1" applyFont="1" applyNumberFormat="1">
      <alignment vertical="bottom"/>
    </xf>
    <xf borderId="7" fillId="3" fontId="6" numFmtId="1" xfId="0" applyAlignment="1" applyBorder="1" applyFont="1" applyNumberFormat="1">
      <alignment vertical="bottom"/>
    </xf>
    <xf borderId="22" fillId="0" fontId="6" numFmtId="1" xfId="0" applyAlignment="1" applyBorder="1" applyFont="1" applyNumberFormat="1">
      <alignment vertical="bottom"/>
    </xf>
    <xf borderId="5" fillId="0" fontId="6" numFmtId="1" xfId="0" applyAlignment="1" applyBorder="1" applyFont="1" applyNumberFormat="1">
      <alignment vertical="bottom"/>
    </xf>
    <xf borderId="17" fillId="0" fontId="8" numFmtId="4" xfId="0" applyAlignment="1" applyBorder="1" applyFont="1" applyNumberFormat="1">
      <alignment horizontal="center" vertical="bottom"/>
    </xf>
    <xf borderId="7" fillId="0" fontId="8" numFmtId="1" xfId="0" applyAlignment="1" applyBorder="1" applyFont="1" applyNumberFormat="1">
      <alignment horizontal="center" vertical="bottom"/>
    </xf>
    <xf borderId="7" fillId="0" fontId="6" numFmtId="4" xfId="0" applyAlignment="1" applyBorder="1" applyFont="1" applyNumberFormat="1">
      <alignment vertical="bottom"/>
    </xf>
    <xf borderId="7" fillId="0" fontId="6" numFmtId="1" xfId="0" applyAlignment="1" applyBorder="1" applyFont="1" applyNumberFormat="1">
      <alignment vertical="bottom"/>
    </xf>
    <xf borderId="22" fillId="0" fontId="8" numFmtId="4" xfId="0" applyAlignment="1" applyBorder="1" applyFont="1" applyNumberFormat="1">
      <alignment horizontal="center" vertical="bottom"/>
    </xf>
    <xf borderId="5" fillId="0" fontId="4" numFmtId="3" xfId="0" applyAlignment="1" applyBorder="1" applyFont="1" applyNumberFormat="1">
      <alignment horizontal="center" vertical="bottom"/>
    </xf>
    <xf borderId="26" fillId="0" fontId="8" numFmtId="4" xfId="0" applyAlignment="1" applyBorder="1" applyFont="1" applyNumberFormat="1">
      <alignment horizontal="center" vertical="bottom"/>
    </xf>
    <xf borderId="9" fillId="0" fontId="6" numFmtId="1" xfId="0" applyAlignment="1" applyBorder="1" applyFont="1" applyNumberFormat="1">
      <alignment vertical="bottom"/>
    </xf>
    <xf borderId="9" fillId="0" fontId="6" numFmtId="0" xfId="0" applyAlignment="1" applyBorder="1" applyFont="1">
      <alignment vertical="bottom"/>
    </xf>
    <xf borderId="9" fillId="0" fontId="8" numFmtId="3" xfId="0" applyAlignment="1" applyBorder="1" applyFont="1" applyNumberFormat="1">
      <alignment horizontal="center" vertical="bottom"/>
    </xf>
    <xf borderId="9" fillId="0" fontId="4" numFmtId="1" xfId="0" applyAlignment="1" applyBorder="1" applyFont="1" applyNumberFormat="1">
      <alignment horizontal="center" vertical="bottom"/>
    </xf>
    <xf borderId="27" fillId="0" fontId="6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28" fillId="0" fontId="6" numFmtId="0" xfId="0" applyAlignment="1" applyBorder="1" applyFont="1">
      <alignment vertical="bottom"/>
    </xf>
    <xf borderId="28" fillId="0" fontId="6" numFmtId="1" xfId="0" applyAlignment="1" applyBorder="1" applyFont="1" applyNumberFormat="1">
      <alignment vertical="bottom"/>
    </xf>
    <xf borderId="29" fillId="0" fontId="8" numFmtId="0" xfId="0" applyAlignment="1" applyBorder="1" applyFont="1">
      <alignment horizontal="center" readingOrder="0" vertical="bottom"/>
    </xf>
    <xf borderId="30" fillId="0" fontId="7" numFmtId="0" xfId="0" applyBorder="1" applyFont="1"/>
    <xf borderId="31" fillId="0" fontId="7" numFmtId="0" xfId="0" applyBorder="1" applyFont="1"/>
    <xf borderId="32" fillId="0" fontId="8" numFmtId="0" xfId="0" applyAlignment="1" applyBorder="1" applyFont="1">
      <alignment horizontal="center" shrinkToFit="0" vertical="bottom" wrapText="1"/>
    </xf>
    <xf borderId="33" fillId="0" fontId="8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  <xf borderId="29" fillId="0" fontId="8" numFmtId="164" xfId="0" applyAlignment="1" applyBorder="1" applyFont="1" applyNumberFormat="1">
      <alignment horizontal="center" vertical="bottom"/>
    </xf>
    <xf borderId="29" fillId="0" fontId="6" numFmtId="164" xfId="0" applyAlignment="1" applyBorder="1" applyFont="1" applyNumberFormat="1">
      <alignment vertical="bottom"/>
    </xf>
    <xf borderId="32" fillId="0" fontId="6" numFmtId="0" xfId="0" applyAlignment="1" applyBorder="1" applyFont="1">
      <alignment vertical="bottom"/>
    </xf>
    <xf borderId="33" fillId="0" fontId="6" numFmtId="0" xfId="0" applyAlignment="1" applyBorder="1" applyFont="1">
      <alignment vertical="bottom"/>
    </xf>
    <xf borderId="29" fillId="0" fontId="8" numFmtId="164" xfId="0" applyAlignment="1" applyBorder="1" applyFont="1" applyNumberFormat="1">
      <alignment horizontal="center" readingOrder="0" vertical="bottom"/>
    </xf>
    <xf borderId="34" fillId="0" fontId="9" numFmtId="0" xfId="0" applyAlignment="1" applyBorder="1" applyFont="1">
      <alignment horizontal="center"/>
    </xf>
    <xf borderId="34" fillId="0" fontId="9" numFmtId="1" xfId="0" applyAlignment="1" applyBorder="1" applyFont="1" applyNumberFormat="1">
      <alignment horizontal="center"/>
    </xf>
    <xf borderId="28" fillId="0" fontId="9" numFmtId="0" xfId="0" applyAlignment="1" applyBorder="1" applyFont="1">
      <alignment horizontal="center" shrinkToFit="0" wrapText="1"/>
    </xf>
    <xf borderId="29" fillId="0" fontId="9" numFmtId="0" xfId="0" applyAlignment="1" applyBorder="1" applyFont="1">
      <alignment horizontal="center" shrinkToFit="0" wrapText="1"/>
    </xf>
    <xf borderId="35" fillId="0" fontId="7" numFmtId="0" xfId="0" applyBorder="1" applyFont="1"/>
    <xf borderId="36" fillId="0" fontId="7" numFmtId="0" xfId="0" applyBorder="1" applyFont="1"/>
    <xf borderId="0" fillId="0" fontId="10" numFmtId="0" xfId="0" applyAlignment="1" applyFont="1">
      <alignment horizontal="center"/>
    </xf>
    <xf borderId="22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28" fillId="0" fontId="9" numFmtId="4" xfId="0" applyAlignment="1" applyBorder="1" applyFont="1" applyNumberFormat="1">
      <alignment horizontal="center" shrinkToFit="0" vertical="bottom" wrapText="1"/>
    </xf>
    <xf borderId="28" fillId="0" fontId="9" numFmtId="0" xfId="0" applyAlignment="1" applyBorder="1" applyFont="1">
      <alignment horizontal="center" shrinkToFit="0" vertical="bottom" wrapText="1"/>
    </xf>
    <xf borderId="28" fillId="0" fontId="8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 vertical="bottom"/>
    </xf>
    <xf borderId="28" fillId="0" fontId="8" numFmtId="4" xfId="0" applyAlignment="1" applyBorder="1" applyFont="1" applyNumberFormat="1">
      <alignment horizontal="center" shrinkToFit="0" wrapText="1"/>
    </xf>
    <xf borderId="28" fillId="0" fontId="8" numFmtId="0" xfId="0" applyAlignment="1" applyBorder="1" applyFont="1">
      <alignment horizontal="center" shrinkToFit="0" wrapText="1"/>
    </xf>
    <xf borderId="37" fillId="0" fontId="7" numFmtId="0" xfId="0" applyBorder="1" applyFont="1"/>
    <xf borderId="34" fillId="0" fontId="8" numFmtId="165" xfId="0" applyAlignment="1" applyBorder="1" applyFont="1" applyNumberFormat="1">
      <alignment horizontal="center" shrinkToFit="0" vertical="bottom" wrapText="1"/>
    </xf>
    <xf borderId="1" fillId="0" fontId="8" numFmtId="165" xfId="0" applyAlignment="1" applyBorder="1" applyFont="1" applyNumberFormat="1">
      <alignment horizontal="center" shrinkToFit="0" vertical="bottom" wrapText="1"/>
    </xf>
    <xf borderId="26" fillId="0" fontId="9" numFmtId="166" xfId="0" applyAlignment="1" applyBorder="1" applyFont="1" applyNumberFormat="1">
      <alignment horizontal="center"/>
    </xf>
    <xf borderId="9" fillId="0" fontId="9" numFmtId="166" xfId="0" applyAlignment="1" applyBorder="1" applyFont="1" applyNumberFormat="1">
      <alignment horizontal="center"/>
    </xf>
    <xf borderId="34" fillId="0" fontId="8" numFmtId="167" xfId="0" applyAlignment="1" applyBorder="1" applyFont="1" applyNumberFormat="1">
      <alignment horizontal="center" shrinkToFit="0" vertical="bottom" wrapText="1"/>
    </xf>
    <xf borderId="34" fillId="0" fontId="8" numFmtId="167" xfId="0" applyAlignment="1" applyBorder="1" applyFont="1" applyNumberFormat="1">
      <alignment horizontal="center" readingOrder="0" shrinkToFit="0" vertical="bottom" wrapText="1"/>
    </xf>
    <xf borderId="38" fillId="3" fontId="8" numFmtId="0" xfId="0" applyAlignment="1" applyBorder="1" applyFont="1">
      <alignment horizontal="center" vertical="bottom"/>
    </xf>
    <xf borderId="39" fillId="3" fontId="8" numFmtId="1" xfId="0" applyAlignment="1" applyBorder="1" applyFont="1" applyNumberFormat="1">
      <alignment horizontal="center" vertical="bottom"/>
    </xf>
    <xf borderId="38" fillId="0" fontId="6" numFmtId="0" xfId="0" applyAlignment="1" applyBorder="1" applyFont="1">
      <alignment vertical="bottom"/>
    </xf>
    <xf borderId="40" fillId="0" fontId="6" numFmtId="0" xfId="0" applyAlignment="1" applyBorder="1" applyFont="1">
      <alignment vertical="bottom"/>
    </xf>
    <xf borderId="21" fillId="0" fontId="6" numFmtId="1" xfId="0" applyAlignment="1" applyBorder="1" applyFont="1" applyNumberFormat="1">
      <alignment vertical="bottom"/>
    </xf>
    <xf borderId="22" fillId="0" fontId="8" numFmtId="0" xfId="0" applyAlignment="1" applyBorder="1" applyFont="1">
      <alignment horizontal="center" vertical="bottom"/>
    </xf>
    <xf borderId="23" fillId="0" fontId="8" numFmtId="2" xfId="0" applyAlignment="1" applyBorder="1" applyFont="1" applyNumberForma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19" fillId="3" fontId="6" numFmtId="0" xfId="0" applyAlignment="1" applyBorder="1" applyFont="1">
      <alignment vertical="bottom"/>
    </xf>
    <xf borderId="41" fillId="3" fontId="6" numFmtId="0" xfId="0" applyAlignment="1" applyBorder="1" applyFont="1">
      <alignment vertical="bottom"/>
    </xf>
    <xf borderId="41" fillId="0" fontId="6" numFmtId="0" xfId="0" applyAlignment="1" applyBorder="1" applyFont="1">
      <alignment vertical="bottom"/>
    </xf>
    <xf borderId="42" fillId="0" fontId="8" numFmtId="0" xfId="0" applyAlignment="1" applyBorder="1" applyFont="1">
      <alignment horizontal="center" vertical="bottom"/>
    </xf>
    <xf borderId="38" fillId="0" fontId="6" numFmtId="2" xfId="0" applyAlignment="1" applyBorder="1" applyFont="1" applyNumberFormat="1">
      <alignment vertical="bottom"/>
    </xf>
    <xf borderId="40" fillId="0" fontId="6" numFmtId="2" xfId="0" applyAlignment="1" applyBorder="1" applyFont="1" applyNumberFormat="1">
      <alignment vertical="bottom"/>
    </xf>
    <xf borderId="42" fillId="0" fontId="6" numFmtId="2" xfId="0" applyAlignment="1" applyBorder="1" applyFont="1" applyNumberFormat="1">
      <alignment vertical="bottom"/>
    </xf>
    <xf borderId="23" fillId="0" fontId="6" numFmtId="2" xfId="0" applyAlignment="1" applyBorder="1" applyFont="1" applyNumberFormat="1">
      <alignment vertical="bottom"/>
    </xf>
    <xf borderId="0" fillId="0" fontId="6" numFmtId="2" xfId="0" applyAlignment="1" applyFont="1" applyNumberFormat="1">
      <alignment vertical="bottom"/>
    </xf>
    <xf borderId="25" fillId="0" fontId="6" numFmtId="0" xfId="0" applyAlignment="1" applyBorder="1" applyFont="1">
      <alignment vertical="bottom"/>
    </xf>
    <xf borderId="25" fillId="0" fontId="6" numFmtId="0" xfId="0" applyAlignment="1" applyBorder="1" applyFont="1">
      <alignment horizontal="center" vertical="bottom"/>
    </xf>
    <xf borderId="23" fillId="0" fontId="6" numFmtId="1" xfId="0" applyAlignment="1" applyBorder="1" applyFont="1" applyNumberFormat="1">
      <alignment vertical="bottom"/>
    </xf>
    <xf borderId="21" fillId="3" fontId="8" numFmtId="1" xfId="0" applyAlignment="1" applyBorder="1" applyFont="1" applyNumberFormat="1">
      <alignment horizontal="center" vertical="bottom"/>
    </xf>
    <xf borderId="42" fillId="0" fontId="6" numFmtId="0" xfId="0" applyAlignment="1" applyBorder="1" applyFont="1">
      <alignment vertical="bottom"/>
    </xf>
    <xf borderId="5" fillId="3" fontId="6" numFmtId="0" xfId="0" applyAlignment="1" applyBorder="1" applyFont="1">
      <alignment vertical="bottom"/>
    </xf>
    <xf borderId="42" fillId="3" fontId="6" numFmtId="0" xfId="0" applyAlignment="1" applyBorder="1" applyFont="1">
      <alignment vertical="bottom"/>
    </xf>
    <xf borderId="22" fillId="0" fontId="6" numFmtId="2" xfId="0" applyAlignment="1" applyBorder="1" applyFont="1" applyNumberFormat="1">
      <alignment vertical="bottom"/>
    </xf>
    <xf borderId="15" fillId="0" fontId="6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bottom"/>
    </xf>
    <xf borderId="42" fillId="0" fontId="6" numFmtId="0" xfId="0" applyAlignment="1" applyBorder="1" applyFont="1">
      <alignment readingOrder="0" vertical="bottom"/>
    </xf>
    <xf borderId="21" fillId="0" fontId="8" numFmtId="1" xfId="0" applyAlignment="1" applyBorder="1" applyFont="1" applyNumberFormat="1">
      <alignment horizontal="center" vertical="bottom"/>
    </xf>
    <xf borderId="21" fillId="0" fontId="6" numFmtId="1" xfId="0" applyAlignment="1" applyBorder="1" applyFont="1" applyNumberFormat="1">
      <alignment readingOrder="0" vertical="bottom"/>
    </xf>
    <xf borderId="5" fillId="3" fontId="11" numFmtId="1" xfId="0" applyAlignment="1" applyBorder="1" applyFont="1" applyNumberFormat="1">
      <alignment horizontal="center" shrinkToFit="0" vertical="bottom" wrapText="1"/>
    </xf>
    <xf borderId="42" fillId="3" fontId="6" numFmtId="1" xfId="0" applyAlignment="1" applyBorder="1" applyFont="1" applyNumberFormat="1">
      <alignment vertical="bottom"/>
    </xf>
    <xf borderId="42" fillId="3" fontId="6" numFmtId="1" xfId="0" applyAlignment="1" applyBorder="1" applyFont="1" applyNumberFormat="1">
      <alignment readingOrder="0" vertical="bottom"/>
    </xf>
    <xf borderId="42" fillId="0" fontId="8" numFmtId="1" xfId="0" applyAlignment="1" applyBorder="1" applyFont="1" applyNumberFormat="1">
      <alignment horizontal="center" vertical="bottom"/>
    </xf>
    <xf borderId="42" fillId="0" fontId="8" numFmtId="2" xfId="0" applyAlignment="1" applyBorder="1" applyFont="1" applyNumberFormat="1">
      <alignment horizontal="center" vertical="bottom"/>
    </xf>
    <xf borderId="5" fillId="3" fontId="5" numFmtId="1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21" fillId="0" fontId="8" numFmtId="1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42" fillId="0" fontId="6" numFmtId="2" xfId="0" applyAlignment="1" applyBorder="1" applyFont="1" applyNumberFormat="1">
      <alignment horizontal="right" vertical="bottom"/>
    </xf>
    <xf borderId="5" fillId="3" fontId="12" numFmtId="3" xfId="0" applyAlignment="1" applyBorder="1" applyFont="1" applyNumberFormat="1">
      <alignment horizontal="center" readingOrder="0" vertical="bottom"/>
    </xf>
    <xf borderId="22" fillId="3" fontId="6" numFmtId="1" xfId="0" applyAlignment="1" applyBorder="1" applyFont="1" applyNumberFormat="1">
      <alignment horizontal="center" vertical="bottom"/>
    </xf>
    <xf borderId="42" fillId="3" fontId="11" numFmtId="1" xfId="0" applyAlignment="1" applyBorder="1" applyFont="1" applyNumberFormat="1">
      <alignment horizontal="center" shrinkToFit="0" vertical="bottom" wrapText="1"/>
    </xf>
    <xf borderId="22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22" fillId="0" fontId="6" numFmtId="1" xfId="0" applyAlignment="1" applyBorder="1" applyFont="1" applyNumberFormat="1">
      <alignment horizontal="center" readingOrder="0" vertical="bottom"/>
    </xf>
    <xf borderId="23" fillId="0" fontId="8" numFmtId="1" xfId="0" applyAlignment="1" applyBorder="1" applyFont="1" applyNumberFormat="1">
      <alignment horizontal="center" vertical="bottom"/>
    </xf>
    <xf borderId="23" fillId="0" fontId="6" numFmtId="1" xfId="0" applyAlignment="1" applyBorder="1" applyFont="1" applyNumberFormat="1">
      <alignment readingOrder="0" vertical="bottom"/>
    </xf>
    <xf borderId="42" fillId="0" fontId="6" numFmtId="1" xfId="0" applyAlignment="1" applyBorder="1" applyFont="1" applyNumberFormat="1">
      <alignment vertical="bottom"/>
    </xf>
    <xf borderId="22" fillId="0" fontId="6" numFmtId="1" xfId="0" applyAlignment="1" applyBorder="1" applyFont="1" applyNumberFormat="1">
      <alignment readingOrder="0" vertical="bottom"/>
    </xf>
    <xf borderId="42" fillId="0" fontId="6" numFmtId="1" xfId="0" applyAlignment="1" applyBorder="1" applyFont="1" applyNumberFormat="1">
      <alignment readingOrder="0" vertical="bottom"/>
    </xf>
    <xf borderId="5" fillId="0" fontId="6" numFmtId="1" xfId="0" applyAlignment="1" applyBorder="1" applyFont="1" applyNumberFormat="1">
      <alignment horizontal="center" vertical="bottom"/>
    </xf>
    <xf borderId="5" fillId="3" fontId="6" numFmtId="1" xfId="0" applyAlignment="1" applyBorder="1" applyFont="1" applyNumberFormat="1">
      <alignment horizontal="right" vertical="bottom"/>
    </xf>
    <xf borderId="5" fillId="0" fontId="6" numFmtId="1" xfId="0" applyAlignment="1" applyBorder="1" applyFont="1" applyNumberFormat="1">
      <alignment readingOrder="0" vertical="bottom"/>
    </xf>
    <xf borderId="42" fillId="0" fontId="6" numFmtId="1" xfId="0" applyAlignment="1" applyBorder="1" applyFont="1" applyNumberFormat="1">
      <alignment horizontal="right" vertical="bottom"/>
    </xf>
    <xf borderId="22" fillId="0" fontId="6" numFmtId="1" xfId="0" applyAlignment="1" applyBorder="1" applyFont="1" applyNumberFormat="1">
      <alignment horizontal="right" vertical="bottom"/>
    </xf>
    <xf borderId="5" fillId="3" fontId="6" numFmtId="1" xfId="0" applyAlignment="1" applyBorder="1" applyFont="1" applyNumberFormat="1">
      <alignment horizontal="center" vertical="bottom"/>
    </xf>
    <xf borderId="43" fillId="3" fontId="8" numFmtId="1" xfId="0" applyAlignment="1" applyBorder="1" applyFont="1" applyNumberFormat="1">
      <alignment horizontal="center" vertical="bottom"/>
    </xf>
    <xf borderId="5" fillId="3" fontId="8" numFmtId="1" xfId="0" applyAlignment="1" applyBorder="1" applyFont="1" applyNumberFormat="1">
      <alignment horizontal="center" vertical="bottom"/>
    </xf>
    <xf borderId="17" fillId="0" fontId="6" numFmtId="1" xfId="0" applyAlignment="1" applyBorder="1" applyFont="1" applyNumberFormat="1">
      <alignment vertical="bottom"/>
    </xf>
    <xf borderId="44" fillId="0" fontId="6" numFmtId="1" xfId="0" applyAlignment="1" applyBorder="1" applyFont="1" applyNumberFormat="1">
      <alignment vertical="bottom"/>
    </xf>
    <xf borderId="43" fillId="0" fontId="6" numFmtId="1" xfId="0" applyAlignment="1" applyBorder="1" applyFont="1" applyNumberFormat="1">
      <alignment vertical="bottom"/>
    </xf>
    <xf borderId="44" fillId="3" fontId="6" numFmtId="1" xfId="0" applyAlignment="1" applyBorder="1" applyFont="1" applyNumberFormat="1">
      <alignment vertical="bottom"/>
    </xf>
    <xf borderId="42" fillId="3" fontId="6" numFmtId="4" xfId="0" applyAlignment="1" applyBorder="1" applyFont="1" applyNumberFormat="1">
      <alignment vertical="bottom"/>
    </xf>
    <xf borderId="5" fillId="3" fontId="6" numFmtId="4" xfId="0" applyAlignment="1" applyBorder="1" applyFont="1" applyNumberFormat="1">
      <alignment vertical="bottom"/>
    </xf>
    <xf borderId="21" fillId="3" fontId="6" numFmtId="4" xfId="0" applyAlignment="1" applyBorder="1" applyFont="1" applyNumberFormat="1">
      <alignment vertical="bottom"/>
    </xf>
    <xf borderId="5" fillId="3" fontId="6" numFmtId="4" xfId="0" applyAlignment="1" applyBorder="1" applyFont="1" applyNumberFormat="1">
      <alignment horizontal="center" vertical="bottom"/>
    </xf>
    <xf borderId="44" fillId="0" fontId="6" numFmtId="4" xfId="0" applyAlignment="1" applyBorder="1" applyFont="1" applyNumberFormat="1">
      <alignment vertical="bottom"/>
    </xf>
    <xf borderId="44" fillId="3" fontId="6" numFmtId="3" xfId="0" applyAlignment="1" applyBorder="1" applyFont="1" applyNumberFormat="1">
      <alignment vertical="bottom"/>
    </xf>
    <xf borderId="7" fillId="3" fontId="6" numFmtId="3" xfId="0" applyAlignment="1" applyBorder="1" applyFont="1" applyNumberFormat="1">
      <alignment vertical="bottom"/>
    </xf>
    <xf borderId="43" fillId="3" fontId="6" numFmtId="3" xfId="0" applyAlignment="1" applyBorder="1" applyFont="1" applyNumberFormat="1">
      <alignment vertical="bottom"/>
    </xf>
    <xf borderId="44" fillId="0" fontId="8" numFmtId="1" xfId="0" applyAlignment="1" applyBorder="1" applyFont="1" applyNumberFormat="1">
      <alignment horizontal="center" vertical="bottom"/>
    </xf>
    <xf borderId="17" fillId="3" fontId="5" numFmtId="1" xfId="0" applyAlignment="1" applyBorder="1" applyFont="1" applyNumberFormat="1">
      <alignment horizontal="center" vertical="bottom"/>
    </xf>
    <xf borderId="7" fillId="3" fontId="5" numFmtId="1" xfId="0" applyAlignment="1" applyBorder="1" applyFont="1" applyNumberFormat="1">
      <alignment horizontal="center" vertical="bottom"/>
    </xf>
    <xf borderId="43" fillId="3" fontId="5" numFmtId="1" xfId="0" applyAlignment="1" applyBorder="1" applyFont="1" applyNumberFormat="1">
      <alignment horizontal="center" vertical="bottom"/>
    </xf>
    <xf borderId="0" fillId="0" fontId="5" numFmtId="1" xfId="0" applyAlignment="1" applyFont="1" applyNumberFormat="1">
      <alignment horizontal="center"/>
    </xf>
    <xf borderId="0" fillId="0" fontId="8" numFmtId="1" xfId="0" applyAlignment="1" applyFont="1" applyNumberFormat="1">
      <alignment horizontal="center" vertical="bottom"/>
    </xf>
    <xf borderId="24" fillId="3" fontId="5" numFmtId="1" xfId="0" applyAlignment="1" applyBorder="1" applyFont="1" applyNumberFormat="1">
      <alignment horizontal="center" vertical="bottom"/>
    </xf>
    <xf borderId="22" fillId="3" fontId="5" numFmtId="1" xfId="0" applyAlignment="1" applyBorder="1" applyFont="1" applyNumberFormat="1">
      <alignment horizontal="center" vertical="bottom"/>
    </xf>
    <xf borderId="44" fillId="3" fontId="5" numFmtId="1" xfId="0" applyAlignment="1" applyBorder="1" applyFont="1" applyNumberFormat="1">
      <alignment horizontal="center" vertical="bottom"/>
    </xf>
    <xf borderId="5" fillId="3" fontId="5" numFmtId="1" xfId="0" applyAlignment="1" applyBorder="1" applyFont="1" applyNumberFormat="1">
      <alignment horizontal="center" vertical="bottom"/>
    </xf>
    <xf borderId="18" fillId="0" fontId="5" numFmtId="1" xfId="0" applyAlignment="1" applyBorder="1" applyFont="1" applyNumberFormat="1">
      <alignment horizontal="center" vertical="bottom"/>
    </xf>
    <xf borderId="44" fillId="0" fontId="8" numFmtId="1" xfId="0" applyAlignment="1" applyBorder="1" applyFont="1" applyNumberFormat="1">
      <alignment horizontal="center" readingOrder="0" vertical="bottom"/>
    </xf>
    <xf borderId="7" fillId="0" fontId="8" numFmtId="1" xfId="0" applyAlignment="1" applyBorder="1" applyFont="1" applyNumberFormat="1">
      <alignment horizontal="center" readingOrder="0" vertical="bottom"/>
    </xf>
    <xf borderId="7" fillId="3" fontId="8" numFmtId="1" xfId="0" applyAlignment="1" applyBorder="1" applyFont="1" applyNumberFormat="1">
      <alignment horizontal="center" vertical="bottom"/>
    </xf>
    <xf borderId="18" fillId="0" fontId="8" numFmtId="1" xfId="0" applyAlignment="1" applyBorder="1" applyFont="1" applyNumberFormat="1">
      <alignment horizontal="center" vertical="bottom"/>
    </xf>
    <xf borderId="0" fillId="0" fontId="8" numFmtId="1" xfId="0" applyAlignment="1" applyFont="1" applyNumberFormat="1">
      <alignment horizontal="center"/>
    </xf>
    <xf borderId="44" fillId="3" fontId="8" numFmtId="1" xfId="0" applyAlignment="1" applyBorder="1" applyFont="1" applyNumberFormat="1">
      <alignment horizontal="center" vertical="bottom"/>
    </xf>
    <xf borderId="43" fillId="3" fontId="8" numFmtId="1" xfId="0" applyAlignment="1" applyBorder="1" applyFont="1" applyNumberFormat="1">
      <alignment horizontal="center" readingOrder="0" vertical="bottom"/>
    </xf>
    <xf borderId="42" fillId="3" fontId="5" numFmtId="1" xfId="0" applyAlignment="1" applyBorder="1" applyFont="1" applyNumberFormat="1">
      <alignment horizontal="center" vertical="bottom"/>
    </xf>
    <xf borderId="23" fillId="0" fontId="5" numFmtId="1" xfId="0" applyAlignment="1" applyBorder="1" applyFont="1" applyNumberFormat="1">
      <alignment horizontal="center" vertical="bottom"/>
    </xf>
    <xf borderId="22" fillId="0" fontId="5" numFmtId="1" xfId="0" applyAlignment="1" applyBorder="1" applyFont="1" applyNumberFormat="1">
      <alignment horizontal="center" vertical="bottom"/>
    </xf>
    <xf borderId="24" fillId="3" fontId="8" numFmtId="1" xfId="0" applyAlignment="1" applyBorder="1" applyFont="1" applyNumberFormat="1">
      <alignment horizontal="center" readingOrder="0" vertical="bottom"/>
    </xf>
    <xf borderId="9" fillId="0" fontId="8" numFmtId="1" xfId="0" applyAlignment="1" applyBorder="1" applyFont="1" applyNumberFormat="1">
      <alignment horizontal="center" vertical="bottom"/>
    </xf>
    <xf borderId="9" fillId="0" fontId="5" numFmtId="1" xfId="0" applyAlignment="1" applyBorder="1" applyFont="1" applyNumberFormat="1">
      <alignment horizontal="center" vertical="bottom"/>
    </xf>
    <xf borderId="26" fillId="3" fontId="5" numFmtId="1" xfId="0" applyAlignment="1" applyBorder="1" applyFont="1" applyNumberFormat="1">
      <alignment horizontal="center" vertical="bottom"/>
    </xf>
    <xf borderId="9" fillId="3" fontId="5" numFmtId="1" xfId="0" applyAlignment="1" applyBorder="1" applyFont="1" applyNumberFormat="1">
      <alignment horizontal="center" vertical="bottom"/>
    </xf>
    <xf borderId="45" fillId="3" fontId="5" numFmtId="1" xfId="0" applyAlignment="1" applyBorder="1" applyFont="1" applyNumberFormat="1">
      <alignment horizontal="center" vertical="bottom"/>
    </xf>
    <xf borderId="27" fillId="0" fontId="8" numFmtId="1" xfId="0" applyAlignment="1" applyBorder="1" applyFont="1" applyNumberFormat="1">
      <alignment horizontal="center" vertical="bottom"/>
    </xf>
    <xf borderId="46" fillId="3" fontId="5" numFmtId="1" xfId="0" applyAlignment="1" applyBorder="1" applyFont="1" applyNumberFormat="1">
      <alignment horizontal="center" vertical="bottom"/>
    </xf>
    <xf borderId="46" fillId="0" fontId="8" numFmtId="1" xfId="0" applyAlignment="1" applyBorder="1" applyFont="1" applyNumberFormat="1">
      <alignment horizontal="center" vertical="bottom"/>
    </xf>
    <xf borderId="27" fillId="0" fontId="5" numFmtId="1" xfId="0" applyAlignment="1" applyBorder="1" applyFont="1" applyNumberFormat="1">
      <alignment horizontal="center" vertical="bottom"/>
    </xf>
    <xf borderId="0" fillId="0" fontId="13" numFmtId="4" xfId="0" applyAlignment="1" applyFont="1" applyNumberFormat="1">
      <alignment vertical="bottom"/>
    </xf>
    <xf borderId="0" fillId="0" fontId="13" numFmtId="1" xfId="0" applyAlignment="1" applyFont="1" applyNumberFormat="1">
      <alignment vertical="bottom"/>
    </xf>
    <xf borderId="0" fillId="3" fontId="11" numFmtId="4" xfId="0" applyAlignment="1" applyFont="1" applyNumberFormat="1">
      <alignment horizontal="center" shrinkToFit="0" vertical="bottom" wrapText="1"/>
    </xf>
    <xf borderId="0" fillId="3" fontId="11" numFmtId="4" xfId="0" applyAlignment="1" applyFont="1" applyNumberFormat="1">
      <alignment horizontal="center" vertical="bottom"/>
    </xf>
    <xf borderId="0" fillId="3" fontId="13" numFmtId="4" xfId="0" applyAlignment="1" applyFont="1" applyNumberFormat="1">
      <alignment vertical="bottom"/>
    </xf>
    <xf borderId="0" fillId="0" fontId="13" numFmtId="0" xfId="0" applyFont="1"/>
    <xf borderId="0" fillId="3" fontId="14" numFmtId="4" xfId="0" applyAlignment="1" applyFont="1" applyNumberFormat="1">
      <alignment horizontal="center" shrinkToFit="0" vertical="bottom" wrapText="1"/>
    </xf>
    <xf borderId="0" fillId="3" fontId="5" numFmtId="4" xfId="0" applyAlignment="1" applyFont="1" applyNumberFormat="1">
      <alignment horizontal="center" vertical="bottom"/>
    </xf>
    <xf borderId="0" fillId="3" fontId="8" numFmtId="4" xfId="0" applyAlignment="1" applyFont="1" applyNumberFormat="1">
      <alignment horizontal="center" vertical="bottom"/>
    </xf>
    <xf borderId="0" fillId="3" fontId="8" numFmtId="4" xfId="0" applyAlignment="1" applyFont="1" applyNumberFormat="1">
      <alignment horizontal="center" shrinkToFit="0" vertical="bottom" wrapText="1"/>
    </xf>
    <xf borderId="0" fillId="3" fontId="6" numFmtId="4" xfId="0" applyAlignment="1" applyFont="1" applyNumberFormat="1">
      <alignment vertical="bottom"/>
    </xf>
    <xf borderId="0" fillId="0" fontId="6" numFmtId="1" xfId="0" applyAlignment="1" applyFont="1" applyNumberFormat="1">
      <alignment vertical="bottom"/>
    </xf>
    <xf borderId="0" fillId="0" fontId="5" numFmtId="4" xfId="0" applyAlignment="1" applyFont="1" applyNumberFormat="1">
      <alignment horizontal="center"/>
    </xf>
    <xf borderId="0" fillId="3" fontId="14" numFmtId="4" xfId="0" applyAlignment="1" applyFont="1" applyNumberFormat="1">
      <alignment horizontal="center" readingOrder="0" shrinkToFit="0" vertical="bottom" wrapText="1"/>
    </xf>
    <xf borderId="0" fillId="0" fontId="6" numFmtId="4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6" numFmtId="4" xfId="0" applyAlignment="1" applyFont="1" applyNumberForma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47" fillId="0" fontId="15" numFmtId="2" xfId="0" applyAlignment="1" applyBorder="1" applyFont="1" applyNumberFormat="1">
      <alignment horizontal="right" vertical="bottom"/>
    </xf>
    <xf borderId="47" fillId="0" fontId="7" numFmtId="0" xfId="0" applyBorder="1" applyFont="1"/>
    <xf borderId="47" fillId="0" fontId="5" numFmtId="4" xfId="0" applyAlignment="1" applyBorder="1" applyFont="1" applyNumberFormat="1">
      <alignment horizontal="center"/>
    </xf>
    <xf borderId="47" fillId="0" fontId="6" numFmtId="4" xfId="0" applyAlignment="1" applyBorder="1" applyFont="1" applyNumberFormat="1">
      <alignment vertical="bottom"/>
    </xf>
    <xf borderId="0" fillId="0" fontId="8" numFmtId="4" xfId="0" applyAlignment="1" applyFont="1" applyNumberFormat="1">
      <alignment horizontal="center" vertical="bottom"/>
    </xf>
    <xf borderId="47" fillId="0" fontId="8" numFmtId="1" xfId="0" applyAlignment="1" applyBorder="1" applyFont="1" applyNumberFormat="1">
      <alignment horizontal="center" vertical="bottom"/>
    </xf>
    <xf borderId="1" fillId="0" fontId="8" numFmtId="164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8" numFmtId="164" xfId="0" applyAlignment="1" applyBorder="1" applyFont="1" applyNumberFormat="1">
      <alignment horizontal="center" readingOrder="0" vertical="bottom"/>
    </xf>
    <xf borderId="34" fillId="0" fontId="8" numFmtId="0" xfId="0" applyAlignment="1" applyBorder="1" applyFont="1">
      <alignment horizontal="center"/>
    </xf>
    <xf borderId="34" fillId="0" fontId="8" numFmtId="1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vertical="bottom" wrapText="1"/>
    </xf>
    <xf borderId="22" fillId="0" fontId="16" numFmtId="0" xfId="0" applyAlignment="1" applyBorder="1" applyFont="1">
      <alignment horizontal="center" shrinkToFit="0" wrapText="1"/>
    </xf>
    <xf borderId="5" fillId="0" fontId="17" numFmtId="0" xfId="0" applyAlignment="1" applyBorder="1" applyFont="1">
      <alignment horizontal="center" shrinkToFit="0" wrapText="1"/>
    </xf>
    <xf borderId="21" fillId="0" fontId="17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 shrinkToFit="0" vertical="bottom" wrapText="1"/>
    </xf>
    <xf borderId="34" fillId="0" fontId="8" numFmtId="165" xfId="0" applyAlignment="1" applyBorder="1" applyFont="1" applyNumberFormat="1">
      <alignment horizontal="center" readingOrder="0" shrinkToFit="0" vertical="bottom" wrapText="1"/>
    </xf>
    <xf borderId="26" fillId="0" fontId="16" numFmtId="166" xfId="0" applyAlignment="1" applyBorder="1" applyFont="1" applyNumberFormat="1">
      <alignment horizontal="center" shrinkToFit="0" wrapText="1"/>
    </xf>
    <xf borderId="9" fillId="0" fontId="17" numFmtId="166" xfId="0" applyAlignment="1" applyBorder="1" applyFont="1" applyNumberFormat="1">
      <alignment horizontal="center" shrinkToFit="0" wrapText="1"/>
    </xf>
    <xf borderId="9" fillId="0" fontId="16" numFmtId="166" xfId="0" applyAlignment="1" applyBorder="1" applyFont="1" applyNumberFormat="1">
      <alignment horizontal="center" shrinkToFit="0" wrapText="1"/>
    </xf>
    <xf borderId="45" fillId="0" fontId="17" numFmtId="166" xfId="0" applyAlignment="1" applyBorder="1" applyFont="1" applyNumberFormat="1">
      <alignment horizontal="center" shrinkToFit="0" wrapText="1"/>
    </xf>
    <xf borderId="15" fillId="0" fontId="6" numFmtId="1" xfId="0" applyAlignment="1" applyBorder="1" applyFont="1" applyNumberFormat="1">
      <alignment vertical="bottom"/>
    </xf>
    <xf borderId="15" fillId="0" fontId="8" numFmtId="0" xfId="0" applyAlignment="1" applyBorder="1" applyFont="1">
      <alignment horizontal="center" vertical="bottom"/>
    </xf>
    <xf borderId="48" fillId="3" fontId="6" numFmtId="0" xfId="0" applyAlignment="1" applyBorder="1" applyFont="1">
      <alignment vertical="bottom"/>
    </xf>
    <xf borderId="40" fillId="0" fontId="6" numFmtId="2" xfId="0" applyAlignment="1" applyBorder="1" applyFont="1" applyNumberFormat="1">
      <alignment horizontal="center" vertical="bottom"/>
    </xf>
    <xf borderId="38" fillId="0" fontId="6" numFmtId="0" xfId="0" applyAlignment="1" applyBorder="1" applyFont="1">
      <alignment horizontal="center" vertical="bottom"/>
    </xf>
    <xf borderId="21" fillId="3" fontId="6" numFmtId="0" xfId="0" applyAlignment="1" applyBorder="1" applyFont="1">
      <alignment vertical="bottom"/>
    </xf>
    <xf borderId="42" fillId="0" fontId="6" numFmtId="2" xfId="0" applyAlignment="1" applyBorder="1" applyFont="1" applyNumberFormat="1">
      <alignment horizontal="center" vertical="bottom"/>
    </xf>
    <xf borderId="22" fillId="0" fontId="6" numFmtId="0" xfId="0" applyAlignment="1" applyBorder="1" applyFont="1">
      <alignment horizontal="center" vertical="bottom"/>
    </xf>
    <xf borderId="5" fillId="3" fontId="6" numFmtId="1" xfId="0" applyAlignment="1" applyBorder="1" applyFont="1" applyNumberFormat="1">
      <alignment readingOrder="0" vertical="bottom"/>
    </xf>
    <xf borderId="21" fillId="3" fontId="6" numFmtId="1" xfId="0" applyAlignment="1" applyBorder="1" applyFont="1" applyNumberFormat="1">
      <alignment vertical="bottom"/>
    </xf>
    <xf borderId="5" fillId="3" fontId="12" numFmtId="1" xfId="0" applyAlignment="1" applyBorder="1" applyFont="1" applyNumberFormat="1">
      <alignment horizontal="center" readingOrder="0" vertical="bottom"/>
    </xf>
    <xf borderId="42" fillId="0" fontId="6" numFmtId="1" xfId="0" applyAlignment="1" applyBorder="1" applyFont="1" applyNumberFormat="1">
      <alignment horizontal="center" readingOrder="0" vertical="bottom"/>
    </xf>
    <xf borderId="21" fillId="3" fontId="6" numFmtId="1" xfId="0" applyAlignment="1" applyBorder="1" applyFont="1" applyNumberFormat="1">
      <alignment readingOrder="0" vertical="bottom"/>
    </xf>
    <xf borderId="22" fillId="0" fontId="6" numFmtId="0" xfId="0" applyAlignment="1" applyBorder="1" applyFont="1">
      <alignment horizontal="center" readingOrder="0" vertical="bottom"/>
    </xf>
    <xf borderId="15" fillId="0" fontId="8" numFmtId="1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2" fillId="0" fontId="6" numFmtId="2" xfId="0" applyAlignment="1" applyBorder="1" applyFont="1" applyNumberFormat="1">
      <alignment readingOrder="0" vertical="bottom"/>
    </xf>
    <xf borderId="42" fillId="0" fontId="6" numFmtId="1" xfId="0" applyAlignment="1" applyBorder="1" applyFont="1" applyNumberFormat="1">
      <alignment horizontal="center" vertical="bottom"/>
    </xf>
    <xf borderId="42" fillId="3" fontId="12" numFmtId="1" xfId="0" applyAlignment="1" applyBorder="1" applyFont="1" applyNumberFormat="1">
      <alignment horizontal="center" readingOrder="0" vertical="bottom"/>
    </xf>
    <xf borderId="22" fillId="0" fontId="6" numFmtId="1" xfId="0" applyAlignment="1" applyBorder="1" applyFont="1" applyNumberFormat="1">
      <alignment horizontal="center" vertical="bottom"/>
    </xf>
    <xf borderId="15" fillId="0" fontId="6" numFmtId="1" xfId="0" applyAlignment="1" applyBorder="1" applyFont="1" applyNumberFormat="1">
      <alignment readingOrder="0" vertical="bottom"/>
    </xf>
    <xf borderId="22" fillId="3" fontId="6" numFmtId="1" xfId="0" applyAlignment="1" applyBorder="1" applyFont="1" applyNumberFormat="1">
      <alignment readingOrder="0" vertical="bottom"/>
    </xf>
    <xf borderId="43" fillId="3" fontId="12" numFmtId="1" xfId="0" applyAlignment="1" applyBorder="1" applyFont="1" applyNumberFormat="1">
      <alignment horizontal="center" readingOrder="0" vertical="bottom"/>
    </xf>
    <xf borderId="44" fillId="0" fontId="6" numFmtId="1" xfId="0" applyAlignment="1" applyBorder="1" applyFont="1" applyNumberFormat="1">
      <alignment horizontal="center" vertical="bottom"/>
    </xf>
    <xf borderId="17" fillId="0" fontId="6" numFmtId="1" xfId="0" applyAlignment="1" applyBorder="1" applyFont="1" applyNumberFormat="1">
      <alignment horizontal="center" vertical="bottom"/>
    </xf>
    <xf borderId="42" fillId="3" fontId="6" numFmtId="4" xfId="0" applyAlignment="1" applyBorder="1" applyFont="1" applyNumberFormat="1">
      <alignment horizontal="center" vertical="bottom"/>
    </xf>
    <xf borderId="24" fillId="0" fontId="6" numFmtId="1" xfId="0" applyAlignment="1" applyBorder="1" applyFont="1" applyNumberFormat="1">
      <alignment vertical="bottom"/>
    </xf>
    <xf borderId="44" fillId="3" fontId="6" numFmtId="3" xfId="0" applyAlignment="1" applyBorder="1" applyFont="1" applyNumberFormat="1">
      <alignment horizontal="center" vertical="bottom"/>
    </xf>
    <xf borderId="17" fillId="3" fontId="12" numFmtId="1" xfId="0" applyAlignment="1" applyBorder="1" applyFont="1" applyNumberFormat="1">
      <alignment horizontal="center" vertical="bottom"/>
    </xf>
    <xf borderId="7" fillId="3" fontId="12" numFmtId="1" xfId="0" applyAlignment="1" applyBorder="1" applyFont="1" applyNumberFormat="1">
      <alignment horizontal="center" vertical="bottom"/>
    </xf>
    <xf borderId="43" fillId="3" fontId="12" numFmtId="1" xfId="0" applyAlignment="1" applyBorder="1" applyFont="1" applyNumberFormat="1">
      <alignment horizontal="center" vertical="bottom"/>
    </xf>
    <xf borderId="0" fillId="0" fontId="18" numFmtId="1" xfId="0" applyAlignment="1" applyFont="1" applyNumberFormat="1">
      <alignment horizontal="center"/>
    </xf>
    <xf borderId="22" fillId="3" fontId="12" numFmtId="1" xfId="0" applyAlignment="1" applyBorder="1" applyFont="1" applyNumberFormat="1">
      <alignment horizontal="center" vertical="bottom"/>
    </xf>
    <xf borderId="43" fillId="0" fontId="12" numFmtId="1" xfId="0" applyAlignment="1" applyBorder="1" applyFont="1" applyNumberFormat="1">
      <alignment horizontal="center" vertical="bottom"/>
    </xf>
    <xf borderId="7" fillId="0" fontId="12" numFmtId="1" xfId="0" applyAlignment="1" applyBorder="1" applyFont="1" applyNumberFormat="1">
      <alignment horizontal="center" readingOrder="0" vertical="bottom"/>
    </xf>
    <xf borderId="17" fillId="0" fontId="12" numFmtId="1" xfId="0" applyAlignment="1" applyBorder="1" applyFont="1" applyNumberFormat="1">
      <alignment horizontal="center" vertical="bottom"/>
    </xf>
    <xf borderId="5" fillId="3" fontId="12" numFmtId="1" xfId="0" applyAlignment="1" applyBorder="1" applyFont="1" applyNumberFormat="1">
      <alignment horizontal="center" vertical="bottom"/>
    </xf>
    <xf borderId="44" fillId="3" fontId="12" numFmtId="1" xfId="0" applyAlignment="1" applyBorder="1" applyFont="1" applyNumberFormat="1">
      <alignment horizontal="center" vertical="bottom"/>
    </xf>
    <xf borderId="22" fillId="0" fontId="6" numFmtId="4" xfId="0" applyAlignment="1" applyBorder="1" applyFont="1" applyNumberFormat="1">
      <alignment vertical="bottom"/>
    </xf>
    <xf borderId="17" fillId="3" fontId="6" numFmtId="2" xfId="0" applyAlignment="1" applyBorder="1" applyFont="1" applyNumberFormat="1">
      <alignment horizontal="center" vertical="bottom"/>
    </xf>
    <xf borderId="7" fillId="3" fontId="6" numFmtId="2" xfId="0" applyAlignment="1" applyBorder="1" applyFont="1" applyNumberFormat="1">
      <alignment vertical="bottom"/>
    </xf>
    <xf borderId="9" fillId="0" fontId="8" numFmtId="4" xfId="0" applyAlignment="1" applyBorder="1" applyFont="1" applyNumberFormat="1">
      <alignment horizontal="center" vertical="bottom"/>
    </xf>
    <xf borderId="26" fillId="3" fontId="6" numFmtId="3" xfId="0" applyAlignment="1" applyBorder="1" applyFont="1" applyNumberFormat="1">
      <alignment horizontal="center" vertical="bottom"/>
    </xf>
    <xf borderId="9" fillId="3" fontId="6" numFmtId="4" xfId="0" applyAlignment="1" applyBorder="1" applyFont="1" applyNumberFormat="1">
      <alignment vertical="bottom"/>
    </xf>
    <xf borderId="26" fillId="0" fontId="6" numFmtId="0" xfId="0" applyAlignment="1" applyBorder="1" applyFont="1">
      <alignment vertical="bottom"/>
    </xf>
    <xf borderId="27" fillId="0" fontId="8" numFmtId="2" xfId="0" applyAlignment="1" applyBorder="1" applyFont="1" applyNumberFormat="1">
      <alignment horizontal="center" vertical="bottom"/>
    </xf>
    <xf borderId="46" fillId="0" fontId="8" numFmtId="4" xfId="0" applyAlignment="1" applyBorder="1" applyFont="1" applyNumberFormat="1">
      <alignment horizontal="center" vertical="bottom"/>
    </xf>
    <xf borderId="9" fillId="3" fontId="6" numFmtId="4" xfId="0" applyAlignment="1" applyBorder="1" applyFont="1" applyNumberFormat="1">
      <alignment horizontal="right" vertical="bottom"/>
    </xf>
    <xf borderId="9" fillId="3" fontId="6" numFmtId="4" xfId="0" applyAlignment="1" applyBorder="1" applyFont="1" applyNumberFormat="1">
      <alignment horizontal="center" vertical="bottom"/>
    </xf>
    <xf borderId="26" fillId="3" fontId="6" numFmtId="4" xfId="0" applyAlignment="1" applyBorder="1" applyFont="1" applyNumberFormat="1">
      <alignment vertical="bottom"/>
    </xf>
    <xf borderId="27" fillId="0" fontId="6" numFmtId="2" xfId="0" applyAlignment="1" applyBorder="1" applyFont="1" applyNumberFormat="1">
      <alignment vertical="bottom"/>
    </xf>
    <xf borderId="0" fillId="3" fontId="6" numFmtId="3" xfId="0" applyAlignment="1" applyFont="1" applyNumberFormat="1">
      <alignment horizontal="center" vertical="bottom"/>
    </xf>
    <xf borderId="0" fillId="3" fontId="6" numFmtId="1" xfId="0" applyAlignment="1" applyFont="1" applyNumberFormat="1">
      <alignment vertical="bottom"/>
    </xf>
    <xf borderId="0" fillId="0" fontId="8" numFmtId="0" xfId="0" applyAlignment="1" applyFont="1">
      <alignment horizontal="center" vertical="bottom"/>
    </xf>
    <xf borderId="0" fillId="0" fontId="5" numFmtId="4" xfId="0" applyAlignment="1" applyFont="1" applyNumberFormat="1">
      <alignment vertical="bottom"/>
    </xf>
    <xf borderId="0" fillId="0" fontId="5" numFmtId="1" xfId="0" applyAlignment="1" applyFont="1" applyNumberFormat="1">
      <alignment vertical="bottom"/>
    </xf>
    <xf borderId="0" fillId="3" fontId="5" numFmtId="4" xfId="0" applyAlignment="1" applyFont="1" applyNumberFormat="1">
      <alignment vertical="bottom"/>
    </xf>
    <xf borderId="0" fillId="0" fontId="5" numFmtId="0" xfId="0" applyFont="1"/>
    <xf borderId="0" fillId="0" fontId="5" numFmtId="4" xfId="0" applyAlignment="1" applyFont="1" applyNumberFormat="1">
      <alignment horizontal="center" readingOrder="0"/>
    </xf>
    <xf borderId="29" fillId="0" fontId="6" numFmtId="0" xfId="0" applyAlignment="1" applyBorder="1" applyFont="1">
      <alignment horizontal="center" readingOrder="0" vertical="bottom"/>
    </xf>
    <xf borderId="38" fillId="0" fontId="6" numFmtId="2" xfId="0" applyAlignment="1" applyBorder="1" applyFont="1" applyNumberFormat="1">
      <alignment horizontal="center" vertical="bottom"/>
    </xf>
    <xf borderId="22" fillId="0" fontId="6" numFmtId="2" xfId="0" applyAlignment="1" applyBorder="1" applyFont="1" applyNumberFormat="1">
      <alignment horizontal="center" vertical="bottom"/>
    </xf>
    <xf borderId="44" fillId="0" fontId="8" numFmtId="4" xfId="0" applyAlignment="1" applyBorder="1" applyFont="1" applyNumberFormat="1">
      <alignment horizontal="center" vertical="bottom"/>
    </xf>
    <xf borderId="17" fillId="3" fontId="6" numFmtId="4" xfId="0" applyAlignment="1" applyBorder="1" applyFont="1" applyNumberFormat="1">
      <alignment horizontal="center" vertical="bottom"/>
    </xf>
    <xf borderId="7" fillId="3" fontId="6" numFmtId="4" xfId="0" applyAlignment="1" applyBorder="1" applyFont="1" applyNumberFormat="1">
      <alignment horizontal="center" vertical="bottom"/>
    </xf>
    <xf borderId="42" fillId="0" fontId="8" numFmtId="4" xfId="0" applyAlignment="1" applyBorder="1" applyFont="1" applyNumberFormat="1">
      <alignment horizontal="center" vertical="bottom"/>
    </xf>
    <xf borderId="43" fillId="3" fontId="6" numFmtId="4" xfId="0" applyAlignment="1" applyBorder="1" applyFont="1" applyNumberFormat="1">
      <alignment horizontal="center" vertical="bottom"/>
    </xf>
    <xf borderId="7" fillId="0" fontId="6" numFmtId="1" xfId="0" applyAlignment="1" applyBorder="1" applyFont="1" applyNumberFormat="1">
      <alignment horizontal="center" readingOrder="0" vertical="bottom"/>
    </xf>
    <xf borderId="17" fillId="3" fontId="6" numFmtId="1" xfId="0" applyAlignment="1" applyBorder="1" applyFont="1" applyNumberFormat="1">
      <alignment horizontal="center" vertical="bottom"/>
    </xf>
    <xf borderId="7" fillId="3" fontId="6" numFmtId="1" xfId="0" applyAlignment="1" applyBorder="1" applyFont="1" applyNumberFormat="1">
      <alignment horizontal="center" vertical="bottom"/>
    </xf>
    <xf borderId="44" fillId="3" fontId="6" numFmtId="1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/>
    </xf>
    <xf borderId="43" fillId="3" fontId="6" numFmtId="1" xfId="0" applyAlignment="1" applyBorder="1" applyFont="1" applyNumberFormat="1">
      <alignment horizontal="center" vertical="bottom"/>
    </xf>
    <xf borderId="43" fillId="3" fontId="6" numFmtId="1" xfId="0" applyAlignment="1" applyBorder="1" applyFont="1" applyNumberFormat="1">
      <alignment horizontal="center" readingOrder="0" vertical="bottom"/>
    </xf>
    <xf borderId="22" fillId="3" fontId="6" numFmtId="1" xfId="0" applyAlignment="1" applyBorder="1" applyFont="1" applyNumberFormat="1">
      <alignment horizontal="center" readingOrder="0" vertical="bottom"/>
    </xf>
    <xf borderId="18" fillId="0" fontId="6" numFmtId="1" xfId="0" applyAlignment="1" applyBorder="1" applyFont="1" applyNumberFormat="1">
      <alignment horizontal="center" vertical="bottom"/>
    </xf>
    <xf borderId="9" fillId="0" fontId="6" numFmtId="1" xfId="0" applyAlignment="1" applyBorder="1" applyFont="1" applyNumberFormat="1">
      <alignment horizontal="center" vertical="bottom"/>
    </xf>
    <xf borderId="26" fillId="3" fontId="6" numFmtId="1" xfId="0" applyAlignment="1" applyBorder="1" applyFont="1" applyNumberFormat="1">
      <alignment horizontal="center" vertical="bottom"/>
    </xf>
    <xf borderId="9" fillId="3" fontId="6" numFmtId="1" xfId="0" applyAlignment="1" applyBorder="1" applyFont="1" applyNumberFormat="1">
      <alignment horizontal="center" vertical="bottom"/>
    </xf>
    <xf borderId="9" fillId="3" fontId="6" numFmtId="1" xfId="0" applyAlignment="1" applyBorder="1" applyFont="1" applyNumberFormat="1">
      <alignment horizontal="center" readingOrder="0" vertical="bottom"/>
    </xf>
    <xf borderId="0" fillId="0" fontId="5" numFmtId="4" xfId="0" applyAlignment="1" applyFont="1" applyNumberFormat="1">
      <alignment horizontal="center" vertical="bottom"/>
    </xf>
    <xf borderId="0" fillId="3" fontId="8" numFmtId="4" xfId="0" applyAlignment="1" applyFont="1" applyNumberFormat="1">
      <alignment horizontal="center" readingOrder="0" vertical="bottom"/>
    </xf>
    <xf borderId="0" fillId="3" fontId="8" numFmtId="4" xfId="0" applyAlignment="1" applyFont="1" applyNumberFormat="1">
      <alignment horizontal="center" readingOrder="0" shrinkToFit="0" vertical="bottom" wrapText="1"/>
    </xf>
    <xf borderId="0" fillId="0" fontId="5" numFmtId="4" xfId="0" applyAlignment="1" applyFont="1" applyNumberFormat="1">
      <alignment horizontal="right" vertical="bottom"/>
    </xf>
    <xf borderId="47" fillId="0" fontId="15" numFmtId="4" xfId="0" applyAlignment="1" applyBorder="1" applyFont="1" applyNumberFormat="1">
      <alignment horizontal="right" vertical="bottom"/>
    </xf>
    <xf borderId="47" fillId="0" fontId="6" numFmtId="4" xfId="0" applyAlignment="1" applyBorder="1" applyFont="1" applyNumberFormat="1">
      <alignment horizontal="center" vertical="bottom"/>
    </xf>
    <xf borderId="28" fillId="0" fontId="8" numFmtId="0" xfId="0" applyAlignment="1" applyBorder="1" applyFont="1">
      <alignment horizontal="center" readingOrder="0" shrinkToFit="0" vertical="center" wrapText="1"/>
    </xf>
    <xf borderId="38" fillId="0" fontId="5" numFmtId="0" xfId="0" applyAlignment="1" applyBorder="1" applyFont="1">
      <alignment horizontal="center" vertical="bottom"/>
    </xf>
    <xf borderId="40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42" fillId="0" fontId="5" numFmtId="0" xfId="0" applyAlignment="1" applyBorder="1" applyFont="1">
      <alignment horizontal="center" vertical="bottom"/>
    </xf>
    <xf borderId="42" fillId="0" fontId="5" numFmtId="1" xfId="0" applyAlignment="1" applyBorder="1" applyFont="1" applyNumberFormat="1">
      <alignment horizontal="center" readingOrder="0" vertical="bottom"/>
    </xf>
    <xf borderId="42" fillId="0" fontId="12" numFmtId="0" xfId="0" applyAlignment="1" applyBorder="1" applyFont="1">
      <alignment horizontal="center" readingOrder="0" vertical="bottom"/>
    </xf>
    <xf borderId="42" fillId="0" fontId="5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readingOrder="0" vertical="bottom"/>
    </xf>
    <xf borderId="23" fillId="0" fontId="5" numFmtId="1" xfId="0" applyAlignment="1" applyBorder="1" applyFont="1" applyNumberFormat="1">
      <alignment horizontal="center" readingOrder="0" vertical="bottom"/>
    </xf>
    <xf borderId="22" fillId="0" fontId="5" numFmtId="0" xfId="0" applyAlignment="1" applyBorder="1" applyFont="1">
      <alignment horizontal="center" readingOrder="0" vertical="bottom"/>
    </xf>
    <xf borderId="15" fillId="0" fontId="5" numFmtId="1" xfId="0" applyAlignment="1" applyBorder="1" applyFont="1" applyNumberFormat="1">
      <alignment horizontal="center" readingOrder="0" vertical="bottom"/>
    </xf>
    <xf borderId="22" fillId="0" fontId="12" numFmtId="0" xfId="0" applyAlignment="1" applyBorder="1" applyFont="1">
      <alignment horizontal="center" readingOrder="0" vertical="bottom"/>
    </xf>
    <xf borderId="42" fillId="0" fontId="5" numFmtId="1" xfId="0" applyAlignment="1" applyBorder="1" applyFont="1" applyNumberFormat="1">
      <alignment horizontal="center" vertical="bottom"/>
    </xf>
    <xf borderId="17" fillId="0" fontId="5" numFmtId="1" xfId="0" applyAlignment="1" applyBorder="1" applyFont="1" applyNumberFormat="1">
      <alignment horizontal="center" vertical="bottom"/>
    </xf>
    <xf borderId="44" fillId="0" fontId="5" numFmtId="1" xfId="0" applyAlignment="1" applyBorder="1" applyFont="1" applyNumberFormat="1">
      <alignment horizontal="center" vertical="bottom"/>
    </xf>
    <xf borderId="43" fillId="3" fontId="6" numFmtId="1" xfId="0" applyAlignment="1" applyBorder="1" applyFont="1" applyNumberFormat="1">
      <alignment vertical="bottom"/>
    </xf>
    <xf borderId="42" fillId="3" fontId="5" numFmtId="4" xfId="0" applyAlignment="1" applyBorder="1" applyFont="1" applyNumberFormat="1">
      <alignment horizontal="center" vertical="bottom"/>
    </xf>
    <xf borderId="15" fillId="3" fontId="6" numFmtId="4" xfId="0" applyAlignment="1" applyBorder="1" applyFont="1" applyNumberFormat="1">
      <alignment vertical="bottom"/>
    </xf>
    <xf borderId="43" fillId="0" fontId="8" numFmtId="1" xfId="0" applyAlignment="1" applyBorder="1" applyFont="1" applyNumberFormat="1">
      <alignment horizontal="center" vertical="bottom"/>
    </xf>
    <xf borderId="44" fillId="3" fontId="5" numFmtId="3" xfId="0" applyAlignment="1" applyBorder="1" applyFont="1" applyNumberFormat="1">
      <alignment horizontal="center" vertical="bottom"/>
    </xf>
    <xf borderId="24" fillId="3" fontId="6" numFmtId="3" xfId="0" applyAlignment="1" applyBorder="1" applyFont="1" applyNumberFormat="1">
      <alignment vertical="bottom"/>
    </xf>
    <xf borderId="18" fillId="0" fontId="6" numFmtId="1" xfId="0" applyAlignment="1" applyBorder="1" applyFont="1" applyNumberFormat="1">
      <alignment vertical="bottom"/>
    </xf>
    <xf borderId="22" fillId="0" fontId="8" numFmtId="3" xfId="0" applyAlignment="1" applyBorder="1" applyFont="1" applyNumberFormat="1">
      <alignment horizontal="center" vertical="bottom"/>
    </xf>
    <xf borderId="44" fillId="0" fontId="8" numFmtId="2" xfId="0" applyAlignment="1" applyBorder="1" applyFont="1" applyNumberFormat="1">
      <alignment horizontal="center" vertical="bottom"/>
    </xf>
    <xf borderId="43" fillId="0" fontId="8" numFmtId="2" xfId="0" applyAlignment="1" applyBorder="1" applyFont="1" applyNumberFormat="1">
      <alignment horizontal="center" vertical="bottom"/>
    </xf>
    <xf borderId="17" fillId="3" fontId="5" numFmtId="2" xfId="0" applyAlignment="1" applyBorder="1" applyFont="1" applyNumberFormat="1">
      <alignment horizontal="center" vertical="bottom"/>
    </xf>
    <xf borderId="7" fillId="3" fontId="5" numFmtId="2" xfId="0" applyAlignment="1" applyBorder="1" applyFont="1" applyNumberFormat="1">
      <alignment horizontal="center" vertical="bottom"/>
    </xf>
    <xf borderId="43" fillId="3" fontId="5" numFmtId="2" xfId="0" applyAlignment="1" applyBorder="1" applyFont="1" applyNumberFormat="1">
      <alignment horizontal="center" vertical="bottom"/>
    </xf>
    <xf borderId="0" fillId="0" fontId="1" numFmtId="2" xfId="0" applyFont="1" applyNumberFormat="1"/>
    <xf borderId="43" fillId="3" fontId="6" numFmtId="2" xfId="0" applyAlignment="1" applyBorder="1" applyFont="1" applyNumberFormat="1">
      <alignment vertical="bottom"/>
    </xf>
    <xf borderId="22" fillId="0" fontId="8" numFmtId="2" xfId="0" applyAlignment="1" applyBorder="1" applyFont="1" applyNumberFormat="1">
      <alignment horizontal="center" vertical="bottom"/>
    </xf>
    <xf borderId="17" fillId="3" fontId="6" numFmtId="2" xfId="0" applyAlignment="1" applyBorder="1" applyFont="1" applyNumberFormat="1">
      <alignment vertical="bottom"/>
    </xf>
    <xf borderId="45" fillId="0" fontId="6" numFmtId="1" xfId="0" applyAlignment="1" applyBorder="1" applyFont="1" applyNumberFormat="1">
      <alignment vertical="bottom"/>
    </xf>
    <xf borderId="26" fillId="3" fontId="5" numFmtId="3" xfId="0" applyAlignment="1" applyBorder="1" applyFont="1" applyNumberFormat="1">
      <alignment horizontal="center" vertical="bottom"/>
    </xf>
    <xf borderId="9" fillId="3" fontId="5" numFmtId="4" xfId="0" applyAlignment="1" applyBorder="1" applyFont="1" applyNumberFormat="1">
      <alignment horizontal="center" vertical="bottom"/>
    </xf>
    <xf borderId="45" fillId="3" fontId="5" numFmtId="4" xfId="0" applyAlignment="1" applyBorder="1" applyFont="1" applyNumberFormat="1">
      <alignment horizontal="center" vertical="bottom"/>
    </xf>
    <xf borderId="0" fillId="3" fontId="19" numFmtId="4" xfId="0" applyAlignment="1" applyFont="1" applyNumberFormat="1">
      <alignment horizontal="center" shrinkToFit="0" vertical="bottom" wrapText="1"/>
    </xf>
    <xf borderId="0" fillId="0" fontId="1" numFmtId="0" xfId="0" applyFont="1"/>
    <xf borderId="29" fillId="0" fontId="6" numFmtId="1" xfId="0" applyAlignment="1" applyBorder="1" applyFont="1" applyNumberFormat="1">
      <alignment vertical="bottom"/>
    </xf>
    <xf borderId="1" fillId="0" fontId="8" numFmtId="1" xfId="0" applyAlignment="1" applyBorder="1" applyFont="1" applyNumberFormat="1">
      <alignment horizontal="center"/>
    </xf>
    <xf borderId="8" fillId="0" fontId="7" numFmtId="0" xfId="0" applyBorder="1" applyFont="1"/>
    <xf borderId="44" fillId="0" fontId="6" numFmtId="0" xfId="0" applyAlignment="1" applyBorder="1" applyFont="1">
      <alignment vertical="bottom"/>
    </xf>
    <xf borderId="17" fillId="3" fontId="6" numFmtId="4" xfId="0" applyAlignment="1" applyBorder="1" applyFont="1" applyNumberFormat="1">
      <alignment vertical="bottom"/>
    </xf>
    <xf borderId="43" fillId="3" fontId="6" numFmtId="4" xfId="0" applyAlignment="1" applyBorder="1" applyFont="1" applyNumberFormat="1">
      <alignment vertical="bottom"/>
    </xf>
    <xf borderId="11" fillId="0" fontId="4" numFmtId="0" xfId="0" applyAlignment="1" applyBorder="1" applyFont="1">
      <alignment horizontal="center" readingOrder="0" vertical="bottom"/>
    </xf>
    <xf borderId="15" fillId="3" fontId="8" numFmtId="1" xfId="0" applyAlignment="1" applyBorder="1" applyFont="1" applyNumberFormat="1">
      <alignment horizontal="center" readingOrder="0" vertical="bottom"/>
    </xf>
    <xf borderId="5" fillId="0" fontId="8" numFmtId="4" xfId="0" applyAlignment="1" applyBorder="1" applyFont="1" applyNumberFormat="1">
      <alignment horizontal="center" vertical="bottom"/>
    </xf>
    <xf borderId="5" fillId="0" fontId="8" numFmtId="4" xfId="0" applyAlignment="1" applyBorder="1" applyFont="1" applyNumberFormat="1">
      <alignment horizontal="right" vertical="bottom"/>
    </xf>
    <xf borderId="5" fillId="0" fontId="4" numFmtId="4" xfId="0" applyAlignment="1" applyBorder="1" applyFont="1" applyNumberFormat="1">
      <alignment horizontal="center" vertical="bottom"/>
    </xf>
    <xf borderId="5" fillId="0" fontId="5" numFmtId="4" xfId="0" applyAlignment="1" applyBorder="1" applyFont="1" applyNumberFormat="1">
      <alignment horizontal="right" vertical="bottom"/>
    </xf>
    <xf borderId="25" fillId="3" fontId="8" numFmtId="1" xfId="0" applyAlignment="1" applyBorder="1" applyFont="1" applyNumberFormat="1">
      <alignment horizontal="center" readingOrder="0" vertical="bottom"/>
    </xf>
    <xf borderId="5" fillId="0" fontId="8" numFmtId="1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vertical="bottom"/>
    </xf>
    <xf borderId="7" fillId="0" fontId="4" numFmtId="1" xfId="0" applyAlignment="1" applyBorder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ont="1">
      <alignment horizontal="right" vertical="bottom"/>
    </xf>
    <xf borderId="0" fillId="5" fontId="1" numFmtId="4" xfId="0" applyFill="1" applyFont="1" applyNumberFormat="1"/>
    <xf borderId="0" fillId="5" fontId="1" numFmtId="0" xfId="0" applyFont="1"/>
    <xf borderId="0" fillId="3" fontId="1" numFmtId="0" xfId="0" applyFont="1"/>
    <xf borderId="0" fillId="0" fontId="6" numFmtId="0" xfId="0" applyAlignment="1" applyFont="1">
      <alignment horizontal="center" readingOrder="0" vertical="bottom"/>
    </xf>
    <xf borderId="1" fillId="0" fontId="6" numFmtId="0" xfId="0" applyAlignment="1" applyBorder="1" applyFont="1">
      <alignment vertical="bottom"/>
    </xf>
    <xf borderId="49" fillId="0" fontId="6" numFmtId="0" xfId="0" applyAlignment="1" applyBorder="1" applyFont="1">
      <alignment vertical="bottom"/>
    </xf>
    <xf borderId="29" fillId="0" fontId="20" numFmtId="0" xfId="0" applyAlignment="1" applyBorder="1" applyFont="1">
      <alignment horizontal="center" vertical="bottom"/>
    </xf>
    <xf borderId="29" fillId="0" fontId="20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35" fillId="0" fontId="4" numFmtId="0" xfId="0" applyAlignment="1" applyBorder="1" applyFont="1">
      <alignment horizontal="center" vertical="bottom"/>
    </xf>
    <xf borderId="50" fillId="0" fontId="4" numFmtId="0" xfId="0" applyAlignment="1" applyBorder="1" applyFont="1">
      <alignment horizontal="center" vertical="bottom"/>
    </xf>
    <xf borderId="51" fillId="0" fontId="4" numFmtId="0" xfId="0" applyAlignment="1" applyBorder="1" applyFont="1">
      <alignment horizontal="center" vertical="bottom"/>
    </xf>
    <xf borderId="50" fillId="0" fontId="4" numFmtId="1" xfId="0" applyAlignment="1" applyBorder="1" applyFont="1" applyNumberFormat="1">
      <alignment horizontal="center" vertical="bottom"/>
    </xf>
    <xf borderId="8" fillId="0" fontId="6" numFmtId="0" xfId="0" applyAlignment="1" applyBorder="1" applyFont="1">
      <alignment vertical="bottom"/>
    </xf>
    <xf borderId="47" fillId="0" fontId="6" numFmtId="0" xfId="0" applyAlignment="1" applyBorder="1" applyFont="1">
      <alignment vertical="bottom"/>
    </xf>
    <xf borderId="52" fillId="0" fontId="7" numFmtId="0" xfId="0" applyBorder="1" applyFont="1"/>
    <xf borderId="53" fillId="0" fontId="7" numFmtId="0" xfId="0" applyBorder="1" applyFont="1"/>
    <xf borderId="54" fillId="0" fontId="7" numFmtId="0" xfId="0" applyBorder="1" applyFont="1"/>
    <xf borderId="19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vertical="bottom"/>
    </xf>
    <xf borderId="10" fillId="0" fontId="6" numFmtId="0" xfId="0" applyAlignment="1" applyBorder="1" applyFont="1">
      <alignment horizontal="center" vertical="bottom"/>
    </xf>
    <xf borderId="20" fillId="0" fontId="6" numFmtId="1" xfId="0" applyAlignment="1" applyBorder="1" applyFont="1" applyNumberFormat="1">
      <alignment vertical="bottom"/>
    </xf>
    <xf borderId="10" fillId="0" fontId="6" numFmtId="1" xfId="0" applyAlignment="1" applyBorder="1" applyFont="1" applyNumberFormat="1">
      <alignment horizontal="center" vertical="bottom"/>
    </xf>
    <xf borderId="19" fillId="0" fontId="6" numFmtId="1" xfId="0" applyAlignment="1" applyBorder="1" applyFont="1" applyNumberFormat="1">
      <alignment horizontal="center" vertical="bottom"/>
    </xf>
    <xf borderId="10" fillId="0" fontId="6" numFmtId="1" xfId="0" applyAlignment="1" applyBorder="1" applyFont="1" applyNumberFormat="1">
      <alignment vertical="bottom"/>
    </xf>
    <xf borderId="22" fillId="0" fontId="4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4" numFmtId="1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5" fillId="0" fontId="5" numFmtId="3" xfId="0" applyAlignment="1" applyBorder="1" applyFont="1" applyNumberFormat="1">
      <alignment horizontal="center" readingOrder="0" vertical="bottom"/>
    </xf>
    <xf borderId="22" fillId="0" fontId="4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5" fillId="0" fontId="6" numFmtId="1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5" fillId="0" fontId="6" numFmtId="4" xfId="0" applyAlignment="1" applyBorder="1" applyFont="1" applyNumberFormat="1">
      <alignment horizontal="center" vertical="bottom"/>
    </xf>
    <xf borderId="5" fillId="0" fontId="6" numFmtId="4" xfId="0" applyAlignment="1" applyBorder="1" applyFont="1" applyNumberFormat="1">
      <alignment vertical="bottom"/>
    </xf>
    <xf borderId="10" fillId="0" fontId="6" numFmtId="4" xfId="0" applyAlignment="1" applyBorder="1" applyFont="1" applyNumberFormat="1">
      <alignment vertical="bottom"/>
    </xf>
    <xf borderId="5" fillId="0" fontId="6" numFmtId="3" xfId="0" applyAlignment="1" applyBorder="1" applyFont="1" applyNumberFormat="1">
      <alignment horizontal="center" readingOrder="0" vertical="bottom"/>
    </xf>
    <xf borderId="5" fillId="0" fontId="5" numFmtId="3" xfId="0" applyAlignment="1" applyBorder="1" applyFont="1" applyNumberFormat="1">
      <alignment horizontal="center" vertical="bottom"/>
    </xf>
    <xf borderId="5" fillId="0" fontId="6" numFmtId="3" xfId="0" applyAlignment="1" applyBorder="1" applyFont="1" applyNumberFormat="1">
      <alignment horizontal="center" vertical="bottom"/>
    </xf>
    <xf borderId="5" fillId="0" fontId="6" numFmtId="4" xfId="0" applyAlignment="1" applyBorder="1" applyFont="1" applyNumberFormat="1">
      <alignment horizontal="center" readingOrder="0" vertical="bottom"/>
    </xf>
    <xf borderId="5" fillId="0" fontId="6" numFmtId="3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horizontal="center" vertical="bottom"/>
    </xf>
    <xf borderId="5" fillId="0" fontId="6" numFmtId="4" xfId="0" applyAlignment="1" applyBorder="1" applyFont="1" applyNumberFormat="1">
      <alignment readingOrder="0" vertical="bottom"/>
    </xf>
    <xf borderId="5" fillId="0" fontId="8" numFmtId="3" xfId="0" applyAlignment="1" applyBorder="1" applyFont="1" applyNumberFormat="1">
      <alignment horizontal="center" vertical="bottom"/>
    </xf>
    <xf borderId="7" fillId="0" fontId="6" numFmtId="3" xfId="0" applyAlignment="1" applyBorder="1" applyFont="1" applyNumberFormat="1">
      <alignment vertical="bottom"/>
    </xf>
    <xf borderId="7" fillId="0" fontId="6" numFmtId="4" xfId="0" applyAlignment="1" applyBorder="1" applyFont="1" applyNumberFormat="1">
      <alignment horizontal="center" vertical="bottom"/>
    </xf>
    <xf borderId="7" fillId="0" fontId="6" numFmtId="1" xfId="0" applyAlignment="1" applyBorder="1" applyFont="1" applyNumberFormat="1">
      <alignment horizontal="center" vertical="bottom"/>
    </xf>
    <xf borderId="21" fillId="0" fontId="6" numFmtId="4" xfId="0" applyAlignment="1" applyBorder="1" applyFont="1" applyNumberFormat="1">
      <alignment horizontal="center" vertical="bottom"/>
    </xf>
    <xf borderId="21" fillId="0" fontId="6" numFmtId="4" xfId="0" applyAlignment="1" applyBorder="1" applyFont="1" applyNumberFormat="1">
      <alignment vertical="bottom"/>
    </xf>
    <xf borderId="43" fillId="0" fontId="6" numFmtId="4" xfId="0" applyAlignment="1" applyBorder="1" applyFont="1" applyNumberFormat="1">
      <alignment horizontal="center" vertical="bottom"/>
    </xf>
    <xf borderId="43" fillId="0" fontId="6" numFmtId="4" xfId="0" applyAlignment="1" applyBorder="1" applyFont="1" applyNumberFormat="1">
      <alignment vertical="bottom"/>
    </xf>
    <xf borderId="43" fillId="0" fontId="6" numFmtId="3" xfId="0" applyAlignment="1" applyBorder="1" applyFont="1" applyNumberFormat="1">
      <alignment horizontal="center" readingOrder="0" vertical="bottom"/>
    </xf>
    <xf borderId="7" fillId="0" fontId="6" numFmtId="4" xfId="0" applyAlignment="1" applyBorder="1" applyFont="1" applyNumberFormat="1">
      <alignment readingOrder="0" vertical="bottom"/>
    </xf>
    <xf borderId="43" fillId="0" fontId="6" numFmtId="4" xfId="0" applyAlignment="1" applyBorder="1" applyFont="1" applyNumberFormat="1">
      <alignment horizontal="center" readingOrder="0" vertical="bottom"/>
    </xf>
    <xf borderId="43" fillId="0" fontId="6" numFmtId="3" xfId="0" applyAlignment="1" applyBorder="1" applyFont="1" applyNumberFormat="1">
      <alignment readingOrder="0" vertical="bottom"/>
    </xf>
    <xf borderId="7" fillId="0" fontId="6" numFmtId="3" xfId="0" applyAlignment="1" applyBorder="1" applyFont="1" applyNumberFormat="1">
      <alignment horizontal="right" vertical="bottom"/>
    </xf>
    <xf borderId="9" fillId="0" fontId="6" numFmtId="4" xfId="0" applyAlignment="1" applyBorder="1" applyFont="1" applyNumberFormat="1">
      <alignment horizontal="center" vertical="bottom"/>
    </xf>
    <xf borderId="9" fillId="0" fontId="6" numFmtId="4" xfId="0" applyAlignment="1" applyBorder="1" applyFont="1" applyNumberFormat="1">
      <alignment vertical="bottom"/>
    </xf>
    <xf borderId="47" fillId="0" fontId="21" numFmtId="4" xfId="0" applyAlignment="1" applyBorder="1" applyFont="1" applyNumberFormat="1">
      <alignment horizontal="center" vertical="bottom"/>
    </xf>
    <xf borderId="47" fillId="0" fontId="21" numFmtId="1" xfId="0" applyAlignment="1" applyBorder="1" applyFont="1" applyNumberFormat="1">
      <alignment horizontal="center" vertical="bottom"/>
    </xf>
    <xf borderId="0" fillId="0" fontId="22" numFmtId="4" xfId="0" applyAlignment="1" applyFont="1" applyNumberFormat="1">
      <alignment vertical="bottom"/>
    </xf>
    <xf borderId="0" fillId="0" fontId="11" numFmtId="4" xfId="0" applyAlignment="1" applyFont="1" applyNumberFormat="1">
      <alignment horizontal="center" vertical="bottom"/>
    </xf>
    <xf borderId="0" fillId="0" fontId="11" numFmtId="1" xfId="0" applyAlignment="1" applyFont="1" applyNumberForma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5" numFmtId="1" xfId="0" applyAlignment="1" applyFont="1" applyNumberFormat="1">
      <alignment horizontal="center" vertical="bottom"/>
    </xf>
    <xf borderId="47" fillId="0" fontId="5" numFmtId="4" xfId="0" applyAlignment="1" applyBorder="1" applyFont="1" applyNumberFormat="1">
      <alignment horizontal="center" vertical="bottom"/>
    </xf>
    <xf borderId="47" fillId="0" fontId="4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3" fontId="8" numFmtId="166" xfId="0" applyAlignment="1" applyFont="1" applyNumberFormat="1">
      <alignment vertical="bottom"/>
    </xf>
    <xf borderId="0" fillId="0" fontId="1" numFmtId="4" xfId="0" applyAlignment="1" applyFont="1" applyNumberFormat="1">
      <alignment horizontal="center" readingOrder="0"/>
    </xf>
    <xf borderId="0" fillId="3" fontId="8" numFmtId="4" xfId="0" applyAlignment="1" applyFont="1" applyNumberFormat="1">
      <alignment vertical="bottom"/>
    </xf>
    <xf borderId="0" fillId="0" fontId="8" numFmtId="4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 readingOrder="0"/>
    </xf>
    <xf borderId="55" fillId="0" fontId="8" numFmtId="4" xfId="0" applyAlignment="1" applyBorder="1" applyFont="1" applyNumberFormat="1">
      <alignment horizontal="center" readingOrder="0" vertical="bottom"/>
    </xf>
    <xf borderId="28" fillId="0" fontId="6" numFmtId="0" xfId="0" applyAlignment="1" applyBorder="1" applyFont="1">
      <alignment horizontal="center" vertical="bottom"/>
    </xf>
    <xf borderId="28" fillId="0" fontId="6" numFmtId="1" xfId="0" applyAlignment="1" applyBorder="1" applyFont="1" applyNumberFormat="1">
      <alignment horizontal="center" vertical="bottom"/>
    </xf>
    <xf borderId="28" fillId="0" fontId="8" numFmtId="0" xfId="0" applyAlignment="1" applyBorder="1" applyFont="1">
      <alignment horizontal="center" shrinkToFit="0" vertical="bottom" wrapText="1"/>
    </xf>
    <xf borderId="34" fillId="0" fontId="6" numFmtId="165" xfId="0" applyAlignment="1" applyBorder="1" applyFont="1" applyNumberFormat="1">
      <alignment horizontal="center" vertical="bottom"/>
    </xf>
    <xf borderId="34" fillId="0" fontId="6" numFmtId="165" xfId="0" applyAlignment="1" applyBorder="1" applyFont="1" applyNumberFormat="1">
      <alignment vertical="bottom"/>
    </xf>
    <xf borderId="40" fillId="0" fontId="6" numFmtId="0" xfId="0" applyAlignment="1" applyBorder="1" applyFont="1">
      <alignment horizontal="center" vertical="bottom"/>
    </xf>
    <xf borderId="42" fillId="0" fontId="6" numFmtId="0" xfId="0" applyAlignment="1" applyBorder="1" applyFont="1">
      <alignment horizontal="center" vertical="bottom"/>
    </xf>
    <xf borderId="42" fillId="0" fontId="6" numFmtId="0" xfId="0" applyAlignment="1" applyBorder="1" applyFont="1">
      <alignment horizontal="center" readingOrder="0" vertical="bottom"/>
    </xf>
    <xf borderId="22" fillId="0" fontId="6" numFmtId="0" xfId="0" applyAlignment="1" applyBorder="1" applyFont="1">
      <alignment horizontal="center" vertical="bottom"/>
    </xf>
    <xf borderId="42" fillId="0" fontId="6" numFmtId="0" xfId="0" applyAlignment="1" applyBorder="1" applyFont="1">
      <alignment vertical="bottom"/>
    </xf>
    <xf borderId="7" fillId="3" fontId="6" numFmtId="1" xfId="0" applyAlignment="1" applyBorder="1" applyFont="1" applyNumberFormat="1">
      <alignment horizontal="center" readingOrder="0" vertical="bottom"/>
    </xf>
    <xf borderId="22" fillId="0" fontId="8" numFmtId="1" xfId="0" applyAlignment="1" applyBorder="1" applyFont="1" applyNumberFormat="1">
      <alignment horizontal="center" readingOrder="0" vertical="bottom"/>
    </xf>
    <xf borderId="22" fillId="0" fontId="8" numFmtId="4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readingOrder="0" vertical="bottom"/>
    </xf>
    <xf borderId="7" fillId="0" fontId="8" numFmtId="3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0" fontId="23" numFmtId="0" xfId="0" applyAlignment="1" applyFont="1">
      <alignment horizontal="center" vertical="bottom"/>
    </xf>
    <xf borderId="0" fillId="0" fontId="24" numFmtId="168" xfId="0" applyAlignment="1" applyFont="1" applyNumberFormat="1">
      <alignment horizontal="left" vertical="bottom"/>
    </xf>
    <xf borderId="47" fillId="0" fontId="6" numFmtId="168" xfId="0" applyAlignment="1" applyBorder="1" applyFont="1" applyNumberFormat="1">
      <alignment horizontal="left" vertical="bottom"/>
    </xf>
    <xf borderId="44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8" numFmtId="3" xfId="0" applyAlignment="1" applyBorder="1" applyFont="1" applyNumberFormat="1">
      <alignment horizontal="center" readingOrder="0" vertical="bottom"/>
    </xf>
    <xf borderId="9" fillId="0" fontId="6" numFmtId="0" xfId="0" applyAlignment="1" applyBorder="1" applyFont="1">
      <alignment horizontal="center" vertical="bottom"/>
    </xf>
    <xf borderId="0" fillId="0" fontId="1" numFmtId="4" xfId="0" applyAlignment="1" applyFont="1" applyNumberFormat="1">
      <alignment horizontal="left"/>
    </xf>
    <xf borderId="0" fillId="6" fontId="8" numFmtId="4" xfId="0" applyAlignment="1" applyFill="1" applyFont="1" applyNumberFormat="1">
      <alignment horizontal="right" readingOrder="0" vertical="bottom"/>
    </xf>
    <xf borderId="0" fillId="6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al Scents PH Admin" id="{705b8694-464d-4b99-b47a-a53bb1941c6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101" dT="2026-05-15T10:28:46.00" personId="{705b8694-464d-4b99-b47a-a53bb1941c6d}" id="{8afac60b-9064-4f22-bd7f-91ec63eba02f}" done="0">
    <x18tc:text xml:space="preserve">12 gallons Green tea Roomspray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 t="s">
        <v>12</v>
      </c>
      <c r="B2" s="2">
        <v>149718.0</v>
      </c>
      <c r="C2" s="2">
        <v>100378.0</v>
      </c>
      <c r="D2" s="2">
        <v>110821.0</v>
      </c>
      <c r="E2" s="2">
        <v>96858.0</v>
      </c>
      <c r="F2" s="2">
        <v>120151.0</v>
      </c>
      <c r="G2" s="2">
        <v>132070.0</v>
      </c>
      <c r="H2" s="2">
        <v>124470.0</v>
      </c>
      <c r="I2" s="2">
        <v>117003.0</v>
      </c>
      <c r="J2" s="2">
        <v>112778.0</v>
      </c>
      <c r="K2" s="2">
        <v>102137.0</v>
      </c>
      <c r="L2" s="2">
        <v>136158.0</v>
      </c>
      <c r="M2" s="2">
        <v>391157.0</v>
      </c>
      <c r="O2" s="3">
        <f t="shared" ref="O2:O10" si="1">SUM(B2:F2)</f>
        <v>577926</v>
      </c>
    </row>
    <row r="3">
      <c r="A3" s="1" t="s">
        <v>13</v>
      </c>
      <c r="B3" s="2">
        <v>107838.0</v>
      </c>
      <c r="C3" s="2">
        <v>35082.0</v>
      </c>
      <c r="D3" s="2">
        <v>53097.0</v>
      </c>
      <c r="E3" s="2">
        <v>31058.0</v>
      </c>
      <c r="F3" s="2">
        <v>52598.0</v>
      </c>
      <c r="G3" s="2">
        <v>44813.0</v>
      </c>
      <c r="H3" s="2">
        <v>31878.0</v>
      </c>
      <c r="I3" s="2">
        <v>38896.0</v>
      </c>
      <c r="J3" s="2">
        <v>51940.0</v>
      </c>
      <c r="K3" s="2">
        <v>27723.0</v>
      </c>
      <c r="L3" s="2">
        <v>68281.0</v>
      </c>
      <c r="M3" s="2">
        <v>206238.0</v>
      </c>
      <c r="O3" s="3">
        <f t="shared" si="1"/>
        <v>279673</v>
      </c>
    </row>
    <row r="4">
      <c r="A4" s="1" t="s">
        <v>14</v>
      </c>
      <c r="B4" s="2">
        <v>8415.0</v>
      </c>
      <c r="C4" s="2">
        <v>7547.0</v>
      </c>
      <c r="D4" s="2">
        <v>5301.0</v>
      </c>
      <c r="E4" s="2">
        <v>5623.0</v>
      </c>
      <c r="F4" s="2">
        <v>5343.0</v>
      </c>
      <c r="G4" s="2">
        <v>7937.0</v>
      </c>
      <c r="H4" s="2">
        <v>4706.0</v>
      </c>
      <c r="I4" s="2">
        <v>7705.0</v>
      </c>
      <c r="J4" s="2">
        <v>5653.0</v>
      </c>
      <c r="K4" s="2">
        <v>5653.0</v>
      </c>
      <c r="L4" s="2">
        <v>14587.0</v>
      </c>
      <c r="M4" s="2">
        <v>14305.0</v>
      </c>
      <c r="O4" s="3">
        <f t="shared" si="1"/>
        <v>32229</v>
      </c>
    </row>
    <row r="5">
      <c r="A5" s="1" t="s">
        <v>15</v>
      </c>
      <c r="B5" s="2">
        <v>8467.0</v>
      </c>
      <c r="C5" s="2">
        <v>6562.0</v>
      </c>
      <c r="D5" s="2">
        <v>6031.0</v>
      </c>
      <c r="E5" s="2">
        <v>7311.0</v>
      </c>
      <c r="F5" s="2">
        <v>9553.0</v>
      </c>
      <c r="G5" s="2">
        <v>4666.0</v>
      </c>
      <c r="H5" s="2">
        <v>6122.0</v>
      </c>
      <c r="I5" s="2">
        <v>11018.0</v>
      </c>
      <c r="J5" s="2">
        <v>7879.0</v>
      </c>
      <c r="K5" s="2">
        <v>8069.0</v>
      </c>
      <c r="L5" s="2">
        <v>17564.0</v>
      </c>
      <c r="M5" s="2">
        <v>18081.0</v>
      </c>
      <c r="O5" s="3">
        <f t="shared" si="1"/>
        <v>37924</v>
      </c>
    </row>
    <row r="6">
      <c r="A6" s="1" t="s">
        <v>16</v>
      </c>
      <c r="B6" s="2">
        <v>4117.0</v>
      </c>
      <c r="C6" s="2">
        <v>5120.0</v>
      </c>
      <c r="D6" s="2">
        <v>2503.0</v>
      </c>
      <c r="E6" s="2">
        <v>1817.0</v>
      </c>
      <c r="F6" s="2">
        <v>4742.0</v>
      </c>
      <c r="G6" s="2">
        <v>5576.0</v>
      </c>
      <c r="H6" s="2">
        <v>2115.0</v>
      </c>
      <c r="I6" s="2">
        <v>1786.0</v>
      </c>
      <c r="J6" s="2">
        <v>4457.0</v>
      </c>
      <c r="K6" s="2">
        <v>5587.0</v>
      </c>
      <c r="L6" s="2">
        <v>6025.0</v>
      </c>
      <c r="M6" s="2">
        <v>7940.0</v>
      </c>
      <c r="O6" s="3">
        <f t="shared" si="1"/>
        <v>18299</v>
      </c>
    </row>
    <row r="7">
      <c r="A7" s="1" t="s">
        <v>17</v>
      </c>
      <c r="B7" s="2">
        <v>37084.0</v>
      </c>
      <c r="C7" s="2">
        <v>10641.0</v>
      </c>
      <c r="D7" s="2">
        <v>25587.0</v>
      </c>
      <c r="E7" s="2">
        <v>25036.0</v>
      </c>
      <c r="F7" s="2">
        <v>33962.0</v>
      </c>
      <c r="G7" s="2">
        <v>19743.0</v>
      </c>
      <c r="H7" s="2">
        <v>26690.0</v>
      </c>
      <c r="I7" s="2">
        <v>33401.0</v>
      </c>
      <c r="J7" s="2">
        <v>36353.0</v>
      </c>
      <c r="K7" s="2">
        <v>16025.0</v>
      </c>
      <c r="L7" s="2">
        <v>48918.0</v>
      </c>
      <c r="M7" s="2">
        <v>27482.0</v>
      </c>
      <c r="O7" s="3">
        <f t="shared" si="1"/>
        <v>132310</v>
      </c>
    </row>
    <row r="8">
      <c r="A8" s="1" t="s">
        <v>18</v>
      </c>
      <c r="B8" s="2">
        <v>42302.0</v>
      </c>
      <c r="C8" s="2">
        <v>35262.0</v>
      </c>
      <c r="D8" s="2">
        <v>36184.0</v>
      </c>
      <c r="E8" s="2">
        <v>35911.0</v>
      </c>
      <c r="F8" s="2">
        <v>37121.0</v>
      </c>
      <c r="G8" s="2">
        <v>45294.0</v>
      </c>
      <c r="H8" s="2">
        <v>44055.0</v>
      </c>
      <c r="I8" s="2">
        <v>77103.0</v>
      </c>
      <c r="J8" s="2">
        <v>82374.0</v>
      </c>
      <c r="K8" s="2">
        <v>63142.0</v>
      </c>
      <c r="L8" s="2">
        <v>104195.0</v>
      </c>
      <c r="M8" s="2">
        <v>179518.0</v>
      </c>
      <c r="O8" s="3">
        <f t="shared" si="1"/>
        <v>186780</v>
      </c>
    </row>
    <row r="9">
      <c r="A9" s="1" t="s">
        <v>19</v>
      </c>
      <c r="B9" s="2">
        <v>38603.0</v>
      </c>
      <c r="C9" s="2">
        <v>73396.0</v>
      </c>
      <c r="D9" s="2">
        <v>29005.0</v>
      </c>
      <c r="E9" s="2">
        <v>57156.0</v>
      </c>
      <c r="F9" s="2">
        <v>31154.0</v>
      </c>
      <c r="G9" s="2">
        <v>45210.0</v>
      </c>
      <c r="H9" s="2">
        <v>16551.0</v>
      </c>
      <c r="I9" s="2">
        <v>75906.0</v>
      </c>
      <c r="J9" s="2">
        <v>11261.0</v>
      </c>
      <c r="K9" s="2">
        <v>47911.0</v>
      </c>
      <c r="L9" s="2">
        <v>68469.0</v>
      </c>
      <c r="M9" s="2">
        <v>267089.0</v>
      </c>
      <c r="O9" s="3">
        <f t="shared" si="1"/>
        <v>229314</v>
      </c>
    </row>
    <row r="10">
      <c r="A10" s="1" t="s">
        <v>20</v>
      </c>
      <c r="B10" s="2">
        <v>1128.0</v>
      </c>
      <c r="C10" s="1">
        <v>0.0</v>
      </c>
      <c r="E10" s="1">
        <v>0.0</v>
      </c>
      <c r="F10" s="1">
        <v>0.0</v>
      </c>
      <c r="G10" s="1">
        <v>878.0</v>
      </c>
      <c r="O10" s="3">
        <f t="shared" si="1"/>
        <v>1128</v>
      </c>
    </row>
    <row r="11">
      <c r="A11" s="1" t="s">
        <v>21</v>
      </c>
      <c r="B11" s="2">
        <v>2035.0</v>
      </c>
      <c r="C11" s="2">
        <v>1547.0</v>
      </c>
      <c r="D11" s="2">
        <v>2523.0</v>
      </c>
      <c r="E11" s="1">
        <v>609.0</v>
      </c>
      <c r="F11" s="1">
        <v>329.0</v>
      </c>
      <c r="G11" s="1">
        <v>0.0</v>
      </c>
      <c r="H11" s="1">
        <v>329.0</v>
      </c>
      <c r="I11" s="2">
        <v>3889.0</v>
      </c>
      <c r="J11" s="2">
        <v>5646.0</v>
      </c>
      <c r="K11" s="2">
        <v>1576.0</v>
      </c>
      <c r="L11" s="2">
        <v>5546.0</v>
      </c>
      <c r="M11" s="2">
        <v>1128.0</v>
      </c>
    </row>
    <row r="12">
      <c r="A12" s="1" t="s">
        <v>22</v>
      </c>
      <c r="B12" s="2">
        <v>11524.8</v>
      </c>
      <c r="C12" s="2">
        <v>11524.8</v>
      </c>
      <c r="D12" s="2">
        <v>11524.8</v>
      </c>
      <c r="E12" s="2">
        <v>11524.8</v>
      </c>
      <c r="F12" s="2">
        <v>11524.8</v>
      </c>
      <c r="G12" s="2">
        <v>11524.8</v>
      </c>
      <c r="H12" s="2">
        <v>11524.8</v>
      </c>
      <c r="I12" s="2">
        <v>11524.8</v>
      </c>
      <c r="J12" s="2">
        <v>11524.8</v>
      </c>
      <c r="K12" s="2">
        <v>11524.8</v>
      </c>
      <c r="L12" s="2">
        <v>11524.8</v>
      </c>
      <c r="M12" s="2">
        <v>11524.8</v>
      </c>
    </row>
    <row r="13">
      <c r="A13" s="1" t="s">
        <v>23</v>
      </c>
      <c r="B13" s="2">
        <v>25000.0</v>
      </c>
      <c r="C13" s="2">
        <v>27500.0</v>
      </c>
      <c r="D13" s="2">
        <v>27500.0</v>
      </c>
      <c r="E13" s="2">
        <v>27500.0</v>
      </c>
      <c r="G13" s="2">
        <v>27500.0</v>
      </c>
      <c r="H13" s="2">
        <v>27500.0</v>
      </c>
      <c r="I13" s="2">
        <v>35000.0</v>
      </c>
      <c r="J13" s="2">
        <v>35000.0</v>
      </c>
      <c r="K13" s="2">
        <v>35000.0</v>
      </c>
      <c r="L13" s="2">
        <v>35000.0</v>
      </c>
      <c r="M13" s="2">
        <v>35000.0</v>
      </c>
    </row>
    <row r="14">
      <c r="A14" s="1" t="s">
        <v>24</v>
      </c>
      <c r="B14" s="2">
        <v>12000.0</v>
      </c>
      <c r="C14" s="2">
        <v>12000.0</v>
      </c>
      <c r="D14" s="2">
        <v>12000.0</v>
      </c>
      <c r="E14" s="2">
        <v>12000.0</v>
      </c>
      <c r="F14" s="2">
        <v>12000.0</v>
      </c>
      <c r="G14" s="2">
        <v>12000.0</v>
      </c>
      <c r="H14" s="2">
        <v>12000.0</v>
      </c>
      <c r="I14" s="2">
        <v>12000.0</v>
      </c>
      <c r="J14" s="2">
        <v>12000.0</v>
      </c>
      <c r="K14" s="2">
        <v>12000.0</v>
      </c>
      <c r="L14" s="2">
        <v>12000.0</v>
      </c>
      <c r="M14" s="2">
        <v>12000.0</v>
      </c>
    </row>
    <row r="15">
      <c r="A15" s="1" t="s">
        <v>25</v>
      </c>
      <c r="B15" s="2">
        <v>6000.0</v>
      </c>
    </row>
    <row r="16">
      <c r="A16" s="1" t="s">
        <v>26</v>
      </c>
      <c r="H16" s="2">
        <v>11000.0</v>
      </c>
      <c r="I16" s="2">
        <v>11000.0</v>
      </c>
      <c r="J16" s="2">
        <v>11000.0</v>
      </c>
      <c r="K16" s="2">
        <v>11000.0</v>
      </c>
      <c r="L16" s="2">
        <v>11000.0</v>
      </c>
      <c r="M16" s="2">
        <v>11000.0</v>
      </c>
    </row>
    <row r="17">
      <c r="A17" s="1" t="s">
        <v>27</v>
      </c>
      <c r="M17" s="2">
        <v>310150.0</v>
      </c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1" t="s">
        <v>28</v>
      </c>
      <c r="B20" s="2">
        <v>454231.8</v>
      </c>
      <c r="C20" s="2">
        <v>326559.8</v>
      </c>
      <c r="D20" s="2">
        <v>322076.8</v>
      </c>
      <c r="E20" s="2">
        <v>312403.8</v>
      </c>
      <c r="F20" s="2">
        <v>318477.8</v>
      </c>
      <c r="G20" s="2">
        <v>357211.8</v>
      </c>
      <c r="H20" s="2">
        <v>307940.8</v>
      </c>
      <c r="I20" s="2">
        <v>436231.8</v>
      </c>
      <c r="J20" s="2">
        <v>387865.8</v>
      </c>
      <c r="K20" s="2">
        <v>347347.8</v>
      </c>
      <c r="L20" s="2">
        <v>539267.8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88"/>
    <col customWidth="1" min="2" max="4" width="11.5"/>
    <col customWidth="1" min="5" max="5" width="5.38"/>
    <col customWidth="1" min="6" max="6" width="11.5"/>
    <col customWidth="1" min="7" max="7" width="5.75"/>
    <col customWidth="1" min="8" max="8" width="11.5"/>
    <col customWidth="1" min="9" max="9" width="13.63"/>
    <col customWidth="1" min="10" max="14" width="11.5"/>
    <col customWidth="1" min="15" max="15" width="5.5"/>
    <col customWidth="1" min="16" max="16" width="11.5"/>
    <col customWidth="1" min="17" max="17" width="5.75"/>
    <col customWidth="1" min="18" max="18" width="11.5"/>
    <col customWidth="1" min="19" max="19" width="13.63"/>
    <col customWidth="1" min="20" max="20" width="14.0"/>
    <col customWidth="1" min="21" max="22" width="11.5"/>
    <col customWidth="1" min="23" max="23" width="14.75"/>
    <col customWidth="1" min="24" max="24" width="11.5"/>
    <col customWidth="1" min="25" max="25" width="7.63"/>
    <col customWidth="1" min="26" max="26" width="11.5"/>
    <col customWidth="1" min="27" max="27" width="5.75"/>
    <col customWidth="1" min="28" max="28" width="11.5"/>
    <col customWidth="1" min="29" max="29" width="13.63"/>
    <col customWidth="1" min="30" max="32" width="11.5"/>
    <col customWidth="1" min="33" max="33" width="15.38"/>
    <col customWidth="1" min="34" max="36" width="11.5"/>
    <col customWidth="1" min="37" max="37" width="6.63"/>
    <col customWidth="1" min="38" max="42" width="11.5"/>
    <col customWidth="1" min="43" max="43" width="14.25"/>
    <col customWidth="1" min="44" max="44" width="11.5"/>
    <col customWidth="1" min="45" max="45" width="8.63"/>
    <col customWidth="1" min="46" max="46" width="11.5"/>
    <col customWidth="1" min="47" max="47" width="9.38"/>
    <col customWidth="1" min="48" max="59" width="11.5"/>
  </cols>
  <sheetData>
    <row r="1">
      <c r="A1" s="4" t="s">
        <v>29</v>
      </c>
      <c r="B1" s="5" t="s">
        <v>30</v>
      </c>
      <c r="C1" s="6">
        <v>45659.0</v>
      </c>
      <c r="D1" s="5" t="s">
        <v>31</v>
      </c>
      <c r="E1" s="5"/>
      <c r="F1" s="5" t="s">
        <v>32</v>
      </c>
      <c r="G1" s="7"/>
      <c r="H1" s="5" t="s">
        <v>30</v>
      </c>
      <c r="I1" s="5" t="s">
        <v>33</v>
      </c>
      <c r="J1" s="5" t="s">
        <v>34</v>
      </c>
      <c r="K1" s="8" t="s">
        <v>32</v>
      </c>
      <c r="L1" s="5" t="s">
        <v>30</v>
      </c>
      <c r="M1" s="9">
        <v>46060.0</v>
      </c>
      <c r="N1" s="5" t="s">
        <v>31</v>
      </c>
      <c r="O1" s="5"/>
      <c r="P1" s="5" t="s">
        <v>32</v>
      </c>
      <c r="Q1" s="7"/>
      <c r="R1" s="5" t="s">
        <v>30</v>
      </c>
      <c r="S1" s="10" t="s">
        <v>35</v>
      </c>
      <c r="T1" s="5" t="s">
        <v>34</v>
      </c>
      <c r="U1" s="8" t="s">
        <v>32</v>
      </c>
      <c r="V1" s="5" t="s">
        <v>30</v>
      </c>
      <c r="W1" s="9">
        <v>46093.0</v>
      </c>
      <c r="X1" s="5" t="s">
        <v>31</v>
      </c>
      <c r="Y1" s="5"/>
      <c r="Z1" s="5" t="s">
        <v>32</v>
      </c>
      <c r="AA1" s="7"/>
      <c r="AB1" s="5" t="s">
        <v>30</v>
      </c>
      <c r="AC1" s="10" t="s">
        <v>36</v>
      </c>
      <c r="AD1" s="5" t="s">
        <v>34</v>
      </c>
      <c r="AE1" s="8" t="s">
        <v>32</v>
      </c>
      <c r="AF1" s="11" t="s">
        <v>30</v>
      </c>
      <c r="AG1" s="12">
        <v>46115.0</v>
      </c>
      <c r="AH1" s="11" t="s">
        <v>31</v>
      </c>
      <c r="AI1" s="13"/>
      <c r="AJ1" s="11" t="s">
        <v>32</v>
      </c>
      <c r="AK1" s="13"/>
      <c r="AL1" s="11" t="s">
        <v>30</v>
      </c>
      <c r="AM1" s="14" t="s">
        <v>37</v>
      </c>
      <c r="AN1" s="11" t="s">
        <v>34</v>
      </c>
      <c r="AO1" s="15" t="s">
        <v>32</v>
      </c>
      <c r="AP1" s="11" t="s">
        <v>30</v>
      </c>
      <c r="AQ1" s="12">
        <v>46161.0</v>
      </c>
      <c r="AR1" s="11" t="s">
        <v>31</v>
      </c>
      <c r="AS1" s="13"/>
      <c r="AT1" s="11" t="s">
        <v>32</v>
      </c>
      <c r="AU1" s="13"/>
      <c r="AV1" s="11" t="s">
        <v>30</v>
      </c>
      <c r="AW1" s="14" t="s">
        <v>38</v>
      </c>
      <c r="AX1" s="11" t="s">
        <v>34</v>
      </c>
      <c r="AY1" s="15" t="s">
        <v>32</v>
      </c>
      <c r="AZ1" s="16"/>
      <c r="BA1" s="16"/>
      <c r="BB1" s="16"/>
      <c r="BC1" s="16"/>
      <c r="BD1" s="16"/>
      <c r="BE1" s="16"/>
      <c r="BF1" s="16"/>
      <c r="BG1" s="16"/>
    </row>
    <row r="2">
      <c r="A2" s="17" t="s">
        <v>12</v>
      </c>
      <c r="B2" s="18">
        <f t="shared" ref="B2:B19" si="1">C2/$C$20</f>
        <v>0.3094455372</v>
      </c>
      <c r="C2" s="19">
        <f>'COMMONROOM  SUMMARY'!Q102</f>
        <v>146221</v>
      </c>
      <c r="D2" s="19">
        <v>146832.0</v>
      </c>
      <c r="E2" s="19"/>
      <c r="F2" s="20" t="str">
        <f t="shared" ref="F2:F20" si="2">sum(C2-E2)/E2</f>
        <v>#DIV/0!</v>
      </c>
      <c r="G2" s="21"/>
      <c r="H2" s="20">
        <f t="shared" ref="H2:H19" si="3">I2/$I$20</f>
        <v>0.3539381951</v>
      </c>
      <c r="I2" s="19">
        <f t="shared" ref="I2:I17" si="4">C2</f>
        <v>146221</v>
      </c>
      <c r="J2" s="22">
        <v>149718.0</v>
      </c>
      <c r="K2" s="20">
        <f t="shared" ref="K2:K16" si="5">sum(I2-J2)/J2</f>
        <v>-0.02335724495</v>
      </c>
      <c r="L2" s="18">
        <f t="shared" ref="L2:L19" si="6">M2/$C$20</f>
        <v>0.2024101118</v>
      </c>
      <c r="M2" s="19">
        <f>'COMMONROOM  SUMMARY'!R102</f>
        <v>95644</v>
      </c>
      <c r="N2" s="19">
        <v>146832.0</v>
      </c>
      <c r="O2" s="19"/>
      <c r="P2" s="20" t="str">
        <f t="shared" ref="P2:P20" si="7">sum(M2-O2)/O2</f>
        <v>#DIV/0!</v>
      </c>
      <c r="Q2" s="21"/>
      <c r="R2" s="20">
        <f t="shared" ref="R2:R19" si="8">S2/$I$20</f>
        <v>0.5854512112</v>
      </c>
      <c r="S2" s="19">
        <f t="shared" ref="S2:S19" si="9">I2+M2</f>
        <v>241865</v>
      </c>
      <c r="T2" s="19">
        <f>'2025'!B2+'2025'!C2</f>
        <v>250096</v>
      </c>
      <c r="U2" s="20">
        <f t="shared" ref="U2:U16" si="10">sum(S2-T2)/T2</f>
        <v>-0.03291136204</v>
      </c>
      <c r="V2" s="18">
        <f t="shared" ref="V2:V19" si="11">W2/$C$20</f>
        <v>0.1727524719</v>
      </c>
      <c r="W2" s="19">
        <f>'COMMONROOM  SUMMARY'!S102</f>
        <v>81630</v>
      </c>
      <c r="X2" s="19">
        <v>146832.0</v>
      </c>
      <c r="Y2" s="19"/>
      <c r="Z2" s="20" t="str">
        <f t="shared" ref="Z2:Z20" si="12">sum(W2-Y2)/Y2</f>
        <v>#DIV/0!</v>
      </c>
      <c r="AA2" s="21"/>
      <c r="AB2" s="20">
        <f t="shared" ref="AB2:AB19" si="13">AC2/$I$20</f>
        <v>0.7830423566</v>
      </c>
      <c r="AC2" s="19">
        <f t="shared" ref="AC2:AC19" si="14">S2+W2</f>
        <v>323495</v>
      </c>
      <c r="AD2" s="19">
        <f>SUM('2025'!B2:D2)</f>
        <v>360917</v>
      </c>
      <c r="AE2" s="20">
        <f t="shared" ref="AE2:AE16" si="15">sum(AC2-AD2)/AD2</f>
        <v>-0.103685889</v>
      </c>
      <c r="AF2" s="18">
        <f t="shared" ref="AF2:AF19" si="16">AG2/$C$20</f>
        <v>0.2039634661</v>
      </c>
      <c r="AG2" s="19">
        <f>'COMMONROOM  SUMMARY'!T102</f>
        <v>96378</v>
      </c>
      <c r="AH2" s="19">
        <v>146832.0</v>
      </c>
      <c r="AI2" s="23"/>
      <c r="AJ2" s="20" t="str">
        <f t="shared" ref="AJ2:AJ20" si="17">sum(AG2-AI2)/AI2</f>
        <v>#DIV/0!</v>
      </c>
      <c r="AK2" s="21"/>
      <c r="AL2" s="20">
        <f t="shared" ref="AL2:AL19" si="18">AM2/$I$20</f>
        <v>1.016332071</v>
      </c>
      <c r="AM2" s="19">
        <f t="shared" ref="AM2:AM19" si="19">AC2+AG2</f>
        <v>419873</v>
      </c>
      <c r="AN2" s="23">
        <f>SUM('2025'!B2:E2)</f>
        <v>457775</v>
      </c>
      <c r="AO2" s="20">
        <f t="shared" ref="AO2:AO16" si="20">sum(AM2-AN2)/AN2</f>
        <v>-0.08279613347</v>
      </c>
      <c r="AP2" s="18">
        <f t="shared" ref="AP2:AP19" si="21">AQ2/$C$20</f>
        <v>0</v>
      </c>
      <c r="AQ2" s="19"/>
      <c r="AR2" s="19">
        <v>146832.0</v>
      </c>
      <c r="AS2" s="23"/>
      <c r="AT2" s="20" t="str">
        <f t="shared" ref="AT2:AT20" si="22">sum(AQ2-AS2)/AS2</f>
        <v>#DIV/0!</v>
      </c>
      <c r="AU2" s="21"/>
      <c r="AV2" s="20">
        <f t="shared" ref="AV2:AV19" si="23">AW2/$I$20</f>
        <v>1.016332071</v>
      </c>
      <c r="AW2" s="19">
        <f t="shared" ref="AW2:AW19" si="24">AM2+AQ2</f>
        <v>419873</v>
      </c>
      <c r="AX2" s="23">
        <f>SUM('2025'!B2:F2)</f>
        <v>577926</v>
      </c>
      <c r="AY2" s="20">
        <f t="shared" ref="AY2:AY16" si="25">sum(AW2-AX2)/AX2</f>
        <v>-0.2734831103</v>
      </c>
      <c r="AZ2" s="24"/>
      <c r="BA2" s="24"/>
      <c r="BB2" s="24"/>
      <c r="BC2" s="24"/>
      <c r="BD2" s="24"/>
      <c r="BE2" s="24"/>
      <c r="BF2" s="24"/>
      <c r="BG2" s="24"/>
    </row>
    <row r="3">
      <c r="A3" s="17" t="s">
        <v>13</v>
      </c>
      <c r="B3" s="18">
        <f t="shared" si="1"/>
        <v>0.09263409532</v>
      </c>
      <c r="C3" s="19">
        <f>FRANKIE!A111</f>
        <v>43772</v>
      </c>
      <c r="D3" s="19">
        <v>64977.0</v>
      </c>
      <c r="E3" s="19"/>
      <c r="F3" s="20" t="str">
        <f t="shared" si="2"/>
        <v>#DIV/0!</v>
      </c>
      <c r="G3" s="21"/>
      <c r="H3" s="20">
        <f t="shared" si="3"/>
        <v>0.1059531988</v>
      </c>
      <c r="I3" s="19">
        <f t="shared" si="4"/>
        <v>43772</v>
      </c>
      <c r="J3" s="22">
        <v>107838.0</v>
      </c>
      <c r="K3" s="20">
        <f t="shared" si="5"/>
        <v>-0.594094846</v>
      </c>
      <c r="L3" s="18">
        <f t="shared" si="6"/>
        <v>0.09263409532</v>
      </c>
      <c r="M3" s="19">
        <f>'FRANKIE  SUMMARY'!Q102</f>
        <v>43772</v>
      </c>
      <c r="N3" s="19">
        <v>64977.0</v>
      </c>
      <c r="O3" s="19"/>
      <c r="P3" s="20" t="str">
        <f t="shared" si="7"/>
        <v>#DIV/0!</v>
      </c>
      <c r="Q3" s="21"/>
      <c r="R3" s="20">
        <f t="shared" si="8"/>
        <v>0.2119063975</v>
      </c>
      <c r="S3" s="19">
        <f t="shared" si="9"/>
        <v>87544</v>
      </c>
      <c r="T3" s="19">
        <f>'2025'!B3+'2025'!C3</f>
        <v>142920</v>
      </c>
      <c r="U3" s="20">
        <f t="shared" si="10"/>
        <v>-0.3874615169</v>
      </c>
      <c r="V3" s="18">
        <f t="shared" si="11"/>
        <v>0.05685827102</v>
      </c>
      <c r="W3" s="19">
        <f>'FRANKIE  SUMMARY'!R102</f>
        <v>26867</v>
      </c>
      <c r="X3" s="19">
        <v>64977.0</v>
      </c>
      <c r="Y3" s="19"/>
      <c r="Z3" s="20" t="str">
        <f t="shared" si="12"/>
        <v>#DIV/0!</v>
      </c>
      <c r="AA3" s="21"/>
      <c r="AB3" s="20">
        <f t="shared" si="13"/>
        <v>0.2769398571</v>
      </c>
      <c r="AC3" s="19">
        <f t="shared" si="14"/>
        <v>114411</v>
      </c>
      <c r="AD3" s="19">
        <f>SUM('2025'!B3:D3)</f>
        <v>196017</v>
      </c>
      <c r="AE3" s="20">
        <f t="shared" si="15"/>
        <v>-0.4163210334</v>
      </c>
      <c r="AF3" s="18">
        <f t="shared" si="16"/>
        <v>0.05571547628</v>
      </c>
      <c r="AG3" s="23">
        <f>'FRANKIE  SUMMARY'!T102</f>
        <v>26327</v>
      </c>
      <c r="AH3" s="19">
        <v>64977.0</v>
      </c>
      <c r="AI3" s="23"/>
      <c r="AJ3" s="20" t="str">
        <f t="shared" si="17"/>
        <v>#DIV/0!</v>
      </c>
      <c r="AK3" s="21"/>
      <c r="AL3" s="20">
        <f t="shared" si="18"/>
        <v>0.3406662087</v>
      </c>
      <c r="AM3" s="19">
        <f t="shared" si="19"/>
        <v>140738</v>
      </c>
      <c r="AN3" s="23">
        <f>SUM('2025'!B3:E3)</f>
        <v>227075</v>
      </c>
      <c r="AO3" s="20">
        <f t="shared" si="20"/>
        <v>-0.3802135858</v>
      </c>
      <c r="AP3" s="18">
        <f t="shared" si="21"/>
        <v>0</v>
      </c>
      <c r="AQ3" s="23" t="str">
        <f>FRANKIE!AE112</f>
        <v/>
      </c>
      <c r="AR3" s="19">
        <v>64977.0</v>
      </c>
      <c r="AS3" s="23"/>
      <c r="AT3" s="20" t="str">
        <f t="shared" si="22"/>
        <v>#DIV/0!</v>
      </c>
      <c r="AU3" s="21"/>
      <c r="AV3" s="20">
        <f t="shared" si="23"/>
        <v>0.3406662087</v>
      </c>
      <c r="AW3" s="19">
        <f t="shared" si="24"/>
        <v>140738</v>
      </c>
      <c r="AX3" s="23">
        <f>SUM('2025'!B3:F3)</f>
        <v>279673</v>
      </c>
      <c r="AY3" s="20">
        <f t="shared" si="25"/>
        <v>-0.4967765927</v>
      </c>
      <c r="AZ3" s="24"/>
      <c r="BA3" s="24"/>
      <c r="BB3" s="24"/>
      <c r="BC3" s="24"/>
      <c r="BD3" s="24"/>
      <c r="BE3" s="24"/>
      <c r="BF3" s="24"/>
      <c r="BG3" s="24"/>
    </row>
    <row r="4">
      <c r="A4" s="17" t="s">
        <v>14</v>
      </c>
      <c r="B4" s="18">
        <f t="shared" si="1"/>
        <v>0.01134964482</v>
      </c>
      <c r="C4" s="19">
        <f>TCC!C99</f>
        <v>5363</v>
      </c>
      <c r="D4" s="19">
        <v>7975.0</v>
      </c>
      <c r="E4" s="19"/>
      <c r="F4" s="20" t="str">
        <f t="shared" si="2"/>
        <v>#DIV/0!</v>
      </c>
      <c r="G4" s="21"/>
      <c r="H4" s="20">
        <f t="shared" si="3"/>
        <v>0.01298151798</v>
      </c>
      <c r="I4" s="19">
        <f t="shared" si="4"/>
        <v>5363</v>
      </c>
      <c r="J4" s="22">
        <v>8415.0</v>
      </c>
      <c r="K4" s="20">
        <f t="shared" si="5"/>
        <v>-0.3626856803</v>
      </c>
      <c r="L4" s="18">
        <f t="shared" si="6"/>
        <v>0.00617109161</v>
      </c>
      <c r="M4" s="19">
        <f>TCC!A109</f>
        <v>2916</v>
      </c>
      <c r="N4" s="19">
        <v>7975.0</v>
      </c>
      <c r="O4" s="19"/>
      <c r="P4" s="20" t="str">
        <f t="shared" si="7"/>
        <v>#DIV/0!</v>
      </c>
      <c r="Q4" s="21"/>
      <c r="R4" s="20">
        <f t="shared" si="8"/>
        <v>0.02003990068</v>
      </c>
      <c r="S4" s="19">
        <f t="shared" si="9"/>
        <v>8279</v>
      </c>
      <c r="T4" s="19">
        <f>'2025'!B4+'2025'!C4</f>
        <v>15962</v>
      </c>
      <c r="U4" s="20">
        <f t="shared" si="10"/>
        <v>-0.4813306603</v>
      </c>
      <c r="V4" s="18">
        <f t="shared" si="11"/>
        <v>0.00617109161</v>
      </c>
      <c r="W4" s="19">
        <f>'TCC SUMMARY'!R102</f>
        <v>2916</v>
      </c>
      <c r="X4" s="19">
        <v>7975.0</v>
      </c>
      <c r="Y4" s="19"/>
      <c r="Z4" s="20" t="str">
        <f t="shared" si="12"/>
        <v>#DIV/0!</v>
      </c>
      <c r="AA4" s="21"/>
      <c r="AB4" s="20">
        <f t="shared" si="13"/>
        <v>0.02709828338</v>
      </c>
      <c r="AC4" s="19">
        <f t="shared" si="14"/>
        <v>11195</v>
      </c>
      <c r="AD4" s="19">
        <f>SUM('2025'!B4:D4)</f>
        <v>21263</v>
      </c>
      <c r="AE4" s="20">
        <f t="shared" si="15"/>
        <v>-0.4734985656</v>
      </c>
      <c r="AF4" s="18">
        <f t="shared" si="16"/>
        <v>0</v>
      </c>
      <c r="AG4" s="23" t="str">
        <f>'TCC SUMMARY'!T102</f>
        <v/>
      </c>
      <c r="AH4" s="19">
        <v>7975.0</v>
      </c>
      <c r="AI4" s="23"/>
      <c r="AJ4" s="20" t="str">
        <f t="shared" si="17"/>
        <v>#DIV/0!</v>
      </c>
      <c r="AK4" s="21"/>
      <c r="AL4" s="20">
        <f t="shared" si="18"/>
        <v>0.02709828338</v>
      </c>
      <c r="AM4" s="19">
        <f t="shared" si="19"/>
        <v>11195</v>
      </c>
      <c r="AN4" s="23">
        <f>SUM('2025'!B4:E4)</f>
        <v>26886</v>
      </c>
      <c r="AO4" s="20">
        <f t="shared" si="20"/>
        <v>-0.5836122889</v>
      </c>
      <c r="AP4" s="18">
        <f t="shared" si="21"/>
        <v>0</v>
      </c>
      <c r="AQ4" s="23" t="str">
        <f>TCC!AE109</f>
        <v/>
      </c>
      <c r="AR4" s="19">
        <v>7975.0</v>
      </c>
      <c r="AS4" s="23"/>
      <c r="AT4" s="20" t="str">
        <f t="shared" si="22"/>
        <v>#DIV/0!</v>
      </c>
      <c r="AU4" s="21"/>
      <c r="AV4" s="20">
        <f t="shared" si="23"/>
        <v>0.02709828338</v>
      </c>
      <c r="AW4" s="19">
        <f t="shared" si="24"/>
        <v>11195</v>
      </c>
      <c r="AX4" s="23">
        <f>SUM('2025'!B4:F4)</f>
        <v>32229</v>
      </c>
      <c r="AY4" s="20">
        <f t="shared" si="25"/>
        <v>-0.6526420305</v>
      </c>
      <c r="AZ4" s="24"/>
      <c r="BA4" s="24"/>
      <c r="BB4" s="24"/>
      <c r="BC4" s="24"/>
      <c r="BD4" s="24"/>
      <c r="BE4" s="24"/>
      <c r="BF4" s="24"/>
      <c r="BG4" s="24"/>
    </row>
    <row r="5">
      <c r="A5" s="17" t="s">
        <v>15</v>
      </c>
      <c r="B5" s="18">
        <f t="shared" si="1"/>
        <v>0.02106340014</v>
      </c>
      <c r="C5" s="19">
        <f>SIMULAPH!C102</f>
        <v>9953</v>
      </c>
      <c r="D5" s="19">
        <v>7563.0</v>
      </c>
      <c r="E5" s="19"/>
      <c r="F5" s="20" t="str">
        <f t="shared" si="2"/>
        <v>#DIV/0!</v>
      </c>
      <c r="G5" s="21"/>
      <c r="H5" s="20">
        <f t="shared" si="3"/>
        <v>0.02409193519</v>
      </c>
      <c r="I5" s="19">
        <f t="shared" si="4"/>
        <v>9953</v>
      </c>
      <c r="J5" s="22">
        <v>8467.0</v>
      </c>
      <c r="K5" s="20">
        <f t="shared" si="5"/>
        <v>0.1755049014</v>
      </c>
      <c r="L5" s="18">
        <f t="shared" si="6"/>
        <v>0.01008833803</v>
      </c>
      <c r="M5" s="19">
        <f>'SIMULAPH SUMMARY'!R102</f>
        <v>4767</v>
      </c>
      <c r="N5" s="19">
        <v>7563.0</v>
      </c>
      <c r="O5" s="19"/>
      <c r="P5" s="20" t="str">
        <f t="shared" si="7"/>
        <v>#DIV/0!</v>
      </c>
      <c r="Q5" s="21"/>
      <c r="R5" s="20">
        <f t="shared" si="8"/>
        <v>0.03563079333</v>
      </c>
      <c r="S5" s="19">
        <f t="shared" si="9"/>
        <v>14720</v>
      </c>
      <c r="T5" s="19">
        <f>'2025'!B5+'2025'!C5</f>
        <v>15029</v>
      </c>
      <c r="U5" s="20">
        <f t="shared" si="10"/>
        <v>-0.02056025018</v>
      </c>
      <c r="V5" s="18">
        <f t="shared" si="11"/>
        <v>0.01008833803</v>
      </c>
      <c r="W5" s="19">
        <f>'SIMULAPH SUMMARY'!R102</f>
        <v>4767</v>
      </c>
      <c r="X5" s="19">
        <v>7563.0</v>
      </c>
      <c r="Y5" s="19"/>
      <c r="Z5" s="20" t="str">
        <f t="shared" si="12"/>
        <v>#DIV/0!</v>
      </c>
      <c r="AA5" s="21"/>
      <c r="AB5" s="20">
        <f t="shared" si="13"/>
        <v>0.04716965147</v>
      </c>
      <c r="AC5" s="19">
        <f t="shared" si="14"/>
        <v>19487</v>
      </c>
      <c r="AD5" s="19">
        <f>SUM('2025'!B5:D5)</f>
        <v>21060</v>
      </c>
      <c r="AE5" s="20">
        <f t="shared" si="15"/>
        <v>-0.07469135802</v>
      </c>
      <c r="AF5" s="18">
        <f t="shared" si="16"/>
        <v>0.0109750621</v>
      </c>
      <c r="AG5" s="23">
        <f>'SIMULAPH SUMMARY'!T102</f>
        <v>5186</v>
      </c>
      <c r="AH5" s="19">
        <v>7563.0</v>
      </c>
      <c r="AI5" s="23"/>
      <c r="AJ5" s="20" t="str">
        <f t="shared" si="17"/>
        <v>#DIV/0!</v>
      </c>
      <c r="AK5" s="21"/>
      <c r="AL5" s="20">
        <f t="shared" si="18"/>
        <v>0.05972272852</v>
      </c>
      <c r="AM5" s="19">
        <f t="shared" si="19"/>
        <v>24673</v>
      </c>
      <c r="AN5" s="23">
        <f>SUM('2025'!B5:E5)</f>
        <v>28371</v>
      </c>
      <c r="AO5" s="20">
        <f t="shared" si="20"/>
        <v>-0.1303443657</v>
      </c>
      <c r="AP5" s="18">
        <f t="shared" si="21"/>
        <v>0</v>
      </c>
      <c r="AQ5" s="23"/>
      <c r="AR5" s="19">
        <v>7563.0</v>
      </c>
      <c r="AS5" s="23"/>
      <c r="AT5" s="20" t="str">
        <f t="shared" si="22"/>
        <v>#DIV/0!</v>
      </c>
      <c r="AU5" s="21"/>
      <c r="AV5" s="20">
        <f t="shared" si="23"/>
        <v>0.05972272852</v>
      </c>
      <c r="AW5" s="19">
        <f t="shared" si="24"/>
        <v>24673</v>
      </c>
      <c r="AX5" s="23">
        <f>SUM('2025'!B5:F5)</f>
        <v>37924</v>
      </c>
      <c r="AY5" s="20">
        <f t="shared" si="25"/>
        <v>-0.349409345</v>
      </c>
      <c r="AZ5" s="24"/>
      <c r="BA5" s="24"/>
      <c r="BB5" s="24"/>
      <c r="BC5" s="24"/>
      <c r="BD5" s="24"/>
      <c r="BE5" s="24"/>
      <c r="BF5" s="24"/>
      <c r="BG5" s="24"/>
    </row>
    <row r="6">
      <c r="A6" s="25" t="s">
        <v>16</v>
      </c>
      <c r="B6" s="18">
        <f t="shared" si="1"/>
        <v>0.009853430225</v>
      </c>
      <c r="C6" s="19">
        <f>'9 Matters'!C99</f>
        <v>4656</v>
      </c>
      <c r="D6" s="19">
        <v>9864.0</v>
      </c>
      <c r="E6" s="19"/>
      <c r="F6" s="20" t="str">
        <f t="shared" si="2"/>
        <v>#DIV/0!</v>
      </c>
      <c r="G6" s="21"/>
      <c r="H6" s="20">
        <f t="shared" si="3"/>
        <v>0.01127017485</v>
      </c>
      <c r="I6" s="19">
        <f t="shared" si="4"/>
        <v>4656</v>
      </c>
      <c r="J6" s="22">
        <v>4117.0</v>
      </c>
      <c r="K6" s="20">
        <f t="shared" si="5"/>
        <v>0.1309205732</v>
      </c>
      <c r="L6" s="18">
        <f t="shared" si="6"/>
        <v>0.03180567072</v>
      </c>
      <c r="M6" s="19">
        <f>'9MATTERS SUMMARY'!R102</f>
        <v>15029</v>
      </c>
      <c r="N6" s="19">
        <v>9864.0</v>
      </c>
      <c r="O6" s="19"/>
      <c r="P6" s="20" t="str">
        <f t="shared" si="7"/>
        <v>#DIV/0!</v>
      </c>
      <c r="Q6" s="21"/>
      <c r="R6" s="20">
        <f t="shared" si="8"/>
        <v>0.04764892437</v>
      </c>
      <c r="S6" s="19">
        <f t="shared" si="9"/>
        <v>19685</v>
      </c>
      <c r="T6" s="19">
        <f>'2025'!B6+'2025'!C6</f>
        <v>9237</v>
      </c>
      <c r="U6" s="20">
        <f t="shared" si="10"/>
        <v>1.131103172</v>
      </c>
      <c r="V6" s="18">
        <f t="shared" si="11"/>
        <v>0.04625990792</v>
      </c>
      <c r="W6" s="19">
        <f>'9MATTERS SUMMARY'!S102</f>
        <v>21859</v>
      </c>
      <c r="X6" s="19">
        <v>9864.0</v>
      </c>
      <c r="Y6" s="19"/>
      <c r="Z6" s="20" t="str">
        <f t="shared" si="12"/>
        <v>#DIV/0!</v>
      </c>
      <c r="AA6" s="21"/>
      <c r="AB6" s="20">
        <f t="shared" si="13"/>
        <v>0.1005601684</v>
      </c>
      <c r="AC6" s="19">
        <f t="shared" si="14"/>
        <v>41544</v>
      </c>
      <c r="AD6" s="19">
        <f>SUM('2025'!B6:D6)</f>
        <v>11740</v>
      </c>
      <c r="AE6" s="20">
        <f t="shared" si="15"/>
        <v>2.53867121</v>
      </c>
      <c r="AF6" s="18">
        <f t="shared" si="16"/>
        <v>0.01108722529</v>
      </c>
      <c r="AG6" s="23">
        <f>'9MATTERS SUMMARY'!T102</f>
        <v>5239</v>
      </c>
      <c r="AH6" s="19">
        <v>9864.0</v>
      </c>
      <c r="AI6" s="23"/>
      <c r="AJ6" s="20" t="str">
        <f t="shared" si="17"/>
        <v>#DIV/0!</v>
      </c>
      <c r="AK6" s="21"/>
      <c r="AL6" s="20">
        <f t="shared" si="18"/>
        <v>0.1132415356</v>
      </c>
      <c r="AM6" s="19">
        <f t="shared" si="19"/>
        <v>46783</v>
      </c>
      <c r="AN6" s="23">
        <f>SUM('2025'!B6:E6)</f>
        <v>13557</v>
      </c>
      <c r="AO6" s="20">
        <f t="shared" si="20"/>
        <v>2.450837206</v>
      </c>
      <c r="AP6" s="18">
        <f t="shared" si="21"/>
        <v>0</v>
      </c>
      <c r="AQ6" s="23"/>
      <c r="AR6" s="19">
        <v>9864.0</v>
      </c>
      <c r="AS6" s="23"/>
      <c r="AT6" s="20" t="str">
        <f t="shared" si="22"/>
        <v>#DIV/0!</v>
      </c>
      <c r="AU6" s="21"/>
      <c r="AV6" s="20">
        <f t="shared" si="23"/>
        <v>0.1132415356</v>
      </c>
      <c r="AW6" s="19">
        <f t="shared" si="24"/>
        <v>46783</v>
      </c>
      <c r="AX6" s="23">
        <f>SUM('2025'!B6:F6)</f>
        <v>18299</v>
      </c>
      <c r="AY6" s="20">
        <f t="shared" si="25"/>
        <v>1.556587792</v>
      </c>
      <c r="AZ6" s="24"/>
      <c r="BA6" s="24"/>
      <c r="BB6" s="24"/>
      <c r="BC6" s="24"/>
      <c r="BD6" s="24"/>
      <c r="BE6" s="24"/>
      <c r="BF6" s="24"/>
      <c r="BG6" s="24"/>
    </row>
    <row r="7">
      <c r="A7" s="26" t="s">
        <v>17</v>
      </c>
      <c r="B7" s="27">
        <f t="shared" si="1"/>
        <v>0.03653980375</v>
      </c>
      <c r="C7" s="28">
        <f>LAZADA!A111</f>
        <v>17266</v>
      </c>
      <c r="D7" s="28">
        <v>47694.0</v>
      </c>
      <c r="E7" s="28"/>
      <c r="F7" s="29" t="str">
        <f t="shared" si="2"/>
        <v>#DIV/0!</v>
      </c>
      <c r="G7" s="27"/>
      <c r="H7" s="29">
        <f t="shared" si="3"/>
        <v>0.04179356506</v>
      </c>
      <c r="I7" s="28">
        <f t="shared" si="4"/>
        <v>17266</v>
      </c>
      <c r="J7" s="30">
        <v>37084.0</v>
      </c>
      <c r="K7" s="29">
        <f t="shared" si="5"/>
        <v>-0.5344083702</v>
      </c>
      <c r="L7" s="27">
        <f t="shared" si="6"/>
        <v>0.05252411614</v>
      </c>
      <c r="M7" s="28">
        <f>LAZADA!A112</f>
        <v>24819</v>
      </c>
      <c r="N7" s="28">
        <v>47694.0</v>
      </c>
      <c r="O7" s="28"/>
      <c r="P7" s="29" t="str">
        <f t="shared" si="7"/>
        <v>#DIV/0!</v>
      </c>
      <c r="Q7" s="27"/>
      <c r="R7" s="29">
        <f t="shared" si="8"/>
        <v>0.1018696968</v>
      </c>
      <c r="S7" s="19">
        <f t="shared" si="9"/>
        <v>42085</v>
      </c>
      <c r="T7" s="19">
        <f>'2025'!B7+'2025'!C7</f>
        <v>47725</v>
      </c>
      <c r="U7" s="29">
        <f t="shared" si="10"/>
        <v>-0.1181770561</v>
      </c>
      <c r="V7" s="27">
        <f t="shared" si="11"/>
        <v>0.03646361744</v>
      </c>
      <c r="W7" s="28">
        <f>LAZADA!A113</f>
        <v>17230</v>
      </c>
      <c r="X7" s="28">
        <v>47694.0</v>
      </c>
      <c r="Y7" s="28"/>
      <c r="Z7" s="29" t="str">
        <f t="shared" si="12"/>
        <v>#DIV/0!</v>
      </c>
      <c r="AA7" s="27"/>
      <c r="AB7" s="29">
        <f t="shared" si="13"/>
        <v>0.1435761214</v>
      </c>
      <c r="AC7" s="19">
        <f t="shared" si="14"/>
        <v>59315</v>
      </c>
      <c r="AD7" s="19">
        <f>SUM('2025'!B7:D7)</f>
        <v>73312</v>
      </c>
      <c r="AE7" s="29">
        <f t="shared" si="15"/>
        <v>-0.1909237233</v>
      </c>
      <c r="AF7" s="27">
        <f t="shared" si="16"/>
        <v>0.06287487371</v>
      </c>
      <c r="AG7" s="31">
        <f>LAZADA!A114</f>
        <v>29710</v>
      </c>
      <c r="AH7" s="28">
        <v>47694.0</v>
      </c>
      <c r="AI7" s="31"/>
      <c r="AJ7" s="29" t="str">
        <f t="shared" si="17"/>
        <v>#DIV/0!</v>
      </c>
      <c r="AK7" s="27"/>
      <c r="AL7" s="29">
        <f t="shared" si="18"/>
        <v>0.215491262</v>
      </c>
      <c r="AM7" s="19">
        <f t="shared" si="19"/>
        <v>89025</v>
      </c>
      <c r="AN7" s="23">
        <f>SUM('2025'!B7:E7)</f>
        <v>98348</v>
      </c>
      <c r="AO7" s="29">
        <f t="shared" si="20"/>
        <v>-0.09479603042</v>
      </c>
      <c r="AP7" s="27">
        <f t="shared" si="21"/>
        <v>0.04288231457</v>
      </c>
      <c r="AQ7" s="31">
        <f>LAZADA!A115</f>
        <v>20263</v>
      </c>
      <c r="AR7" s="28">
        <v>47694.0</v>
      </c>
      <c r="AS7" s="31"/>
      <c r="AT7" s="29" t="str">
        <f t="shared" si="22"/>
        <v>#DIV/0!</v>
      </c>
      <c r="AU7" s="27"/>
      <c r="AV7" s="29">
        <f t="shared" si="23"/>
        <v>0.2645392759</v>
      </c>
      <c r="AW7" s="19">
        <f t="shared" si="24"/>
        <v>109288</v>
      </c>
      <c r="AX7" s="23">
        <f>SUM('2025'!B7:F7)</f>
        <v>132310</v>
      </c>
      <c r="AY7" s="29">
        <f t="shared" si="25"/>
        <v>-0.1740004535</v>
      </c>
      <c r="AZ7" s="32"/>
      <c r="BA7" s="32"/>
      <c r="BB7" s="32"/>
      <c r="BC7" s="32"/>
      <c r="BD7" s="32"/>
      <c r="BE7" s="32"/>
      <c r="BF7" s="32"/>
      <c r="BG7" s="32"/>
    </row>
    <row r="8">
      <c r="A8" s="26" t="s">
        <v>18</v>
      </c>
      <c r="B8" s="27">
        <f t="shared" si="1"/>
        <v>0.1177946262</v>
      </c>
      <c r="C8" s="28">
        <f>SHOPEE!A112</f>
        <v>55661</v>
      </c>
      <c r="D8" s="28">
        <v>66493.0</v>
      </c>
      <c r="E8" s="28"/>
      <c r="F8" s="29" t="str">
        <f t="shared" si="2"/>
        <v>#DIV/0!</v>
      </c>
      <c r="G8" s="27"/>
      <c r="H8" s="29">
        <f t="shared" si="3"/>
        <v>0.1347313579</v>
      </c>
      <c r="I8" s="28">
        <f t="shared" si="4"/>
        <v>55661</v>
      </c>
      <c r="J8" s="30">
        <v>42302.0</v>
      </c>
      <c r="K8" s="29">
        <f t="shared" si="5"/>
        <v>0.3158006714</v>
      </c>
      <c r="L8" s="27">
        <f t="shared" si="6"/>
        <v>0.07204685966</v>
      </c>
      <c r="M8" s="28">
        <f>SHOPEE!A113</f>
        <v>34044</v>
      </c>
      <c r="N8" s="28">
        <v>66493.0</v>
      </c>
      <c r="O8" s="28"/>
      <c r="P8" s="29" t="str">
        <f t="shared" si="7"/>
        <v>#DIV/0!</v>
      </c>
      <c r="Q8" s="27"/>
      <c r="R8" s="29">
        <f t="shared" si="8"/>
        <v>0.2171372497</v>
      </c>
      <c r="S8" s="19">
        <f t="shared" si="9"/>
        <v>89705</v>
      </c>
      <c r="T8" s="19">
        <f>'2025'!B8+'2025'!C8</f>
        <v>77564</v>
      </c>
      <c r="U8" s="29">
        <f t="shared" si="10"/>
        <v>0.156528802</v>
      </c>
      <c r="V8" s="27">
        <f t="shared" si="11"/>
        <v>0.06969989787</v>
      </c>
      <c r="W8" s="28">
        <f>SHOPEE!A114</f>
        <v>32935</v>
      </c>
      <c r="X8" s="28">
        <v>66493.0</v>
      </c>
      <c r="Y8" s="28"/>
      <c r="Z8" s="29" t="str">
        <f t="shared" si="12"/>
        <v>#DIV/0!</v>
      </c>
      <c r="AA8" s="27"/>
      <c r="AB8" s="29">
        <f t="shared" si="13"/>
        <v>0.2968587292</v>
      </c>
      <c r="AC8" s="19">
        <f t="shared" si="14"/>
        <v>122640</v>
      </c>
      <c r="AD8" s="19">
        <f>SUM('2025'!B8:D8)</f>
        <v>113748</v>
      </c>
      <c r="AE8" s="29">
        <f t="shared" si="15"/>
        <v>0.07817280304</v>
      </c>
      <c r="AF8" s="27">
        <f t="shared" si="16"/>
        <v>0.07311770066</v>
      </c>
      <c r="AG8" s="31">
        <f>SHOPEE!A115</f>
        <v>34550</v>
      </c>
      <c r="AH8" s="28">
        <v>66493.0</v>
      </c>
      <c r="AI8" s="31"/>
      <c r="AJ8" s="29" t="str">
        <f t="shared" si="17"/>
        <v>#DIV/0!</v>
      </c>
      <c r="AK8" s="27"/>
      <c r="AL8" s="29">
        <f t="shared" si="18"/>
        <v>0.3804894296</v>
      </c>
      <c r="AM8" s="19">
        <f t="shared" si="19"/>
        <v>157190</v>
      </c>
      <c r="AN8" s="23">
        <f>SUM('2025'!B8:E8)</f>
        <v>149659</v>
      </c>
      <c r="AO8" s="29">
        <f t="shared" si="20"/>
        <v>0.05032106322</v>
      </c>
      <c r="AP8" s="27">
        <f t="shared" si="21"/>
        <v>0.06477953161</v>
      </c>
      <c r="AQ8" s="31">
        <f>SHOPEE!A116</f>
        <v>30610</v>
      </c>
      <c r="AR8" s="28">
        <v>66493.0</v>
      </c>
      <c r="AS8" s="31"/>
      <c r="AT8" s="29" t="str">
        <f t="shared" si="22"/>
        <v>#DIV/0!</v>
      </c>
      <c r="AU8" s="27"/>
      <c r="AV8" s="29">
        <f t="shared" si="23"/>
        <v>0.4545830834</v>
      </c>
      <c r="AW8" s="19">
        <f t="shared" si="24"/>
        <v>187800</v>
      </c>
      <c r="AX8" s="23">
        <f>SUM('2025'!B8:F8)</f>
        <v>186780</v>
      </c>
      <c r="AY8" s="29">
        <f t="shared" si="25"/>
        <v>0.005460970125</v>
      </c>
      <c r="AZ8" s="32"/>
      <c r="BA8" s="32"/>
      <c r="BB8" s="32"/>
      <c r="BC8" s="32"/>
      <c r="BD8" s="32"/>
      <c r="BE8" s="32"/>
      <c r="BF8" s="32"/>
      <c r="BG8" s="32"/>
    </row>
    <row r="9">
      <c r="A9" s="26" t="s">
        <v>19</v>
      </c>
      <c r="B9" s="27">
        <f t="shared" si="1"/>
        <v>0.01772813252</v>
      </c>
      <c r="C9" s="28">
        <f>SHOPIFY!A111</f>
        <v>8377</v>
      </c>
      <c r="D9" s="28">
        <v>92744.0</v>
      </c>
      <c r="E9" s="28"/>
      <c r="F9" s="29" t="str">
        <f t="shared" si="2"/>
        <v>#DIV/0!</v>
      </c>
      <c r="G9" s="27"/>
      <c r="H9" s="29">
        <f t="shared" si="3"/>
        <v>0.02027711656</v>
      </c>
      <c r="I9" s="28">
        <f t="shared" si="4"/>
        <v>8377</v>
      </c>
      <c r="J9" s="30">
        <v>38603.0</v>
      </c>
      <c r="K9" s="29">
        <f t="shared" si="5"/>
        <v>-0.7829961402</v>
      </c>
      <c r="L9" s="27">
        <f t="shared" si="6"/>
        <v>0.0494449192</v>
      </c>
      <c r="M9" s="28">
        <f>SHOPIFY!A112</f>
        <v>23364</v>
      </c>
      <c r="N9" s="28">
        <v>92744.0</v>
      </c>
      <c r="O9" s="28"/>
      <c r="P9" s="29" t="str">
        <f t="shared" si="7"/>
        <v>#DIV/0!</v>
      </c>
      <c r="Q9" s="27"/>
      <c r="R9" s="29">
        <f t="shared" si="8"/>
        <v>0.07683131869</v>
      </c>
      <c r="S9" s="19">
        <f t="shared" si="9"/>
        <v>31741</v>
      </c>
      <c r="T9" s="19">
        <f>'2025'!B9+'2025'!C9</f>
        <v>111999</v>
      </c>
      <c r="U9" s="29">
        <f t="shared" si="10"/>
        <v>-0.7165956839</v>
      </c>
      <c r="V9" s="27">
        <f t="shared" si="11"/>
        <v>0.06924489626</v>
      </c>
      <c r="W9" s="28">
        <f>SHOPIFY!A113</f>
        <v>32720</v>
      </c>
      <c r="X9" s="28">
        <v>92744.0</v>
      </c>
      <c r="Y9" s="28"/>
      <c r="Z9" s="29" t="str">
        <f t="shared" si="12"/>
        <v>#DIV/0!</v>
      </c>
      <c r="AA9" s="27"/>
      <c r="AB9" s="29">
        <f t="shared" si="13"/>
        <v>0.1560323756</v>
      </c>
      <c r="AC9" s="19">
        <f t="shared" si="14"/>
        <v>64461</v>
      </c>
      <c r="AD9" s="19">
        <f>SUM('2025'!B9:D9)</f>
        <v>141004</v>
      </c>
      <c r="AE9" s="29">
        <f t="shared" si="15"/>
        <v>-0.5428427562</v>
      </c>
      <c r="AF9" s="27">
        <f t="shared" si="16"/>
        <v>0.07391977327</v>
      </c>
      <c r="AG9" s="31">
        <f>SHOPIFY!A114</f>
        <v>34929</v>
      </c>
      <c r="AH9" s="28">
        <v>92744.0</v>
      </c>
      <c r="AI9" s="31"/>
      <c r="AJ9" s="29" t="str">
        <f t="shared" si="17"/>
        <v>#DIV/0!</v>
      </c>
      <c r="AK9" s="27"/>
      <c r="AL9" s="29">
        <f t="shared" si="18"/>
        <v>0.2405804721</v>
      </c>
      <c r="AM9" s="19">
        <f t="shared" si="19"/>
        <v>99390</v>
      </c>
      <c r="AN9" s="23">
        <f>SUM('2025'!B9:E9)</f>
        <v>198160</v>
      </c>
      <c r="AO9" s="29">
        <f t="shared" si="20"/>
        <v>-0.4984356076</v>
      </c>
      <c r="AP9" s="27">
        <f t="shared" si="21"/>
        <v>0.0598380025</v>
      </c>
      <c r="AQ9" s="31">
        <f>SHOPIFY!A115</f>
        <v>28275</v>
      </c>
      <c r="AR9" s="28">
        <v>92744.0</v>
      </c>
      <c r="AS9" s="31"/>
      <c r="AT9" s="29" t="str">
        <f t="shared" si="22"/>
        <v>#DIV/0!</v>
      </c>
      <c r="AU9" s="27"/>
      <c r="AV9" s="29">
        <f t="shared" si="23"/>
        <v>0.3090220945</v>
      </c>
      <c r="AW9" s="19">
        <f t="shared" si="24"/>
        <v>127665</v>
      </c>
      <c r="AX9" s="23">
        <f>SUM('2025'!B9:F9)</f>
        <v>229314</v>
      </c>
      <c r="AY9" s="29">
        <f t="shared" si="25"/>
        <v>-0.4432742877</v>
      </c>
      <c r="AZ9" s="32"/>
      <c r="BA9" s="32"/>
      <c r="BB9" s="32"/>
      <c r="BC9" s="32"/>
      <c r="BD9" s="32"/>
      <c r="BE9" s="32"/>
      <c r="BF9" s="32"/>
      <c r="BG9" s="32"/>
    </row>
    <row r="10">
      <c r="A10" s="26" t="s">
        <v>20</v>
      </c>
      <c r="B10" s="27">
        <f t="shared" si="1"/>
        <v>0</v>
      </c>
      <c r="C10" s="28"/>
      <c r="D10" s="28">
        <v>689.0</v>
      </c>
      <c r="E10" s="28"/>
      <c r="F10" s="29" t="str">
        <f t="shared" si="2"/>
        <v>#DIV/0!</v>
      </c>
      <c r="G10" s="27"/>
      <c r="H10" s="29">
        <f t="shared" si="3"/>
        <v>0</v>
      </c>
      <c r="I10" s="28" t="str">
        <f t="shared" si="4"/>
        <v/>
      </c>
      <c r="J10" s="30">
        <v>1128.0</v>
      </c>
      <c r="K10" s="29">
        <f t="shared" si="5"/>
        <v>-1</v>
      </c>
      <c r="L10" s="27">
        <f t="shared" si="6"/>
        <v>0</v>
      </c>
      <c r="M10" s="28" t="str">
        <f>PICKAROO!A109</f>
        <v/>
      </c>
      <c r="N10" s="28">
        <v>689.0</v>
      </c>
      <c r="O10" s="28"/>
      <c r="P10" s="29" t="str">
        <f t="shared" si="7"/>
        <v>#DIV/0!</v>
      </c>
      <c r="Q10" s="27"/>
      <c r="R10" s="29">
        <f t="shared" si="8"/>
        <v>0</v>
      </c>
      <c r="S10" s="19">
        <f t="shared" si="9"/>
        <v>0</v>
      </c>
      <c r="T10" s="19">
        <f>'2025'!B10+'2025'!C10</f>
        <v>1128</v>
      </c>
      <c r="U10" s="29">
        <f t="shared" si="10"/>
        <v>-1</v>
      </c>
      <c r="V10" s="27">
        <f t="shared" si="11"/>
        <v>0</v>
      </c>
      <c r="W10" s="28"/>
      <c r="X10" s="28">
        <v>689.0</v>
      </c>
      <c r="Y10" s="28"/>
      <c r="Z10" s="29" t="str">
        <f t="shared" si="12"/>
        <v>#DIV/0!</v>
      </c>
      <c r="AA10" s="27"/>
      <c r="AB10" s="29">
        <f t="shared" si="13"/>
        <v>0</v>
      </c>
      <c r="AC10" s="19">
        <f t="shared" si="14"/>
        <v>0</v>
      </c>
      <c r="AD10" s="19">
        <f>SUM('2025'!B10:D10)</f>
        <v>1128</v>
      </c>
      <c r="AE10" s="29">
        <f t="shared" si="15"/>
        <v>-1</v>
      </c>
      <c r="AF10" s="27">
        <f t="shared" si="16"/>
        <v>0</v>
      </c>
      <c r="AG10" s="31"/>
      <c r="AH10" s="28">
        <v>689.0</v>
      </c>
      <c r="AI10" s="31"/>
      <c r="AJ10" s="29" t="str">
        <f t="shared" si="17"/>
        <v>#DIV/0!</v>
      </c>
      <c r="AK10" s="27"/>
      <c r="AL10" s="29">
        <f t="shared" si="18"/>
        <v>0</v>
      </c>
      <c r="AM10" s="19">
        <f t="shared" si="19"/>
        <v>0</v>
      </c>
      <c r="AN10" s="23">
        <f>SUM('2025'!B10:E10)</f>
        <v>1128</v>
      </c>
      <c r="AO10" s="29">
        <f t="shared" si="20"/>
        <v>-1</v>
      </c>
      <c r="AP10" s="27">
        <f t="shared" si="21"/>
        <v>0</v>
      </c>
      <c r="AQ10" s="31"/>
      <c r="AR10" s="28">
        <v>689.0</v>
      </c>
      <c r="AS10" s="31"/>
      <c r="AT10" s="29" t="str">
        <f t="shared" si="22"/>
        <v>#DIV/0!</v>
      </c>
      <c r="AU10" s="27"/>
      <c r="AV10" s="29">
        <f t="shared" si="23"/>
        <v>0</v>
      </c>
      <c r="AW10" s="19">
        <f t="shared" si="24"/>
        <v>0</v>
      </c>
      <c r="AX10" s="23">
        <f>SUM('2025'!B10:F10)</f>
        <v>1128</v>
      </c>
      <c r="AY10" s="29">
        <f t="shared" si="25"/>
        <v>-1</v>
      </c>
      <c r="AZ10" s="32"/>
      <c r="BA10" s="32"/>
      <c r="BB10" s="32"/>
      <c r="BC10" s="32"/>
      <c r="BD10" s="32"/>
      <c r="BE10" s="32"/>
      <c r="BF10" s="32"/>
      <c r="BG10" s="32"/>
    </row>
    <row r="11">
      <c r="A11" s="33" t="s">
        <v>21</v>
      </c>
      <c r="B11" s="27">
        <f t="shared" si="1"/>
        <v>0.005108715757</v>
      </c>
      <c r="C11" s="28">
        <f>TIKTOK!A108</f>
        <v>2414</v>
      </c>
      <c r="D11" s="28">
        <v>689.0</v>
      </c>
      <c r="E11" s="28"/>
      <c r="F11" s="29" t="str">
        <f t="shared" si="2"/>
        <v>#DIV/0!</v>
      </c>
      <c r="G11" s="27"/>
      <c r="H11" s="29">
        <f t="shared" si="3"/>
        <v>0.005843256461</v>
      </c>
      <c r="I11" s="28">
        <f t="shared" si="4"/>
        <v>2414</v>
      </c>
      <c r="J11" s="30">
        <v>2035.0</v>
      </c>
      <c r="K11" s="29">
        <f t="shared" si="5"/>
        <v>0.1862407862</v>
      </c>
      <c r="L11" s="27">
        <f t="shared" si="6"/>
        <v>0.008820682384</v>
      </c>
      <c r="M11" s="28">
        <f>TIKTOK!A109</f>
        <v>4168</v>
      </c>
      <c r="N11" s="28">
        <v>689.0</v>
      </c>
      <c r="O11" s="28"/>
      <c r="P11" s="29" t="str">
        <f t="shared" si="7"/>
        <v>#DIV/0!</v>
      </c>
      <c r="Q11" s="27"/>
      <c r="R11" s="29">
        <f t="shared" si="8"/>
        <v>0.01593219305</v>
      </c>
      <c r="S11" s="19">
        <f t="shared" si="9"/>
        <v>6582</v>
      </c>
      <c r="T11" s="19">
        <f>'2025'!B11+'2025'!C11</f>
        <v>3582</v>
      </c>
      <c r="U11" s="29">
        <f t="shared" si="10"/>
        <v>0.837520938</v>
      </c>
      <c r="V11" s="27">
        <f t="shared" si="11"/>
        <v>0.01797997062</v>
      </c>
      <c r="W11" s="28">
        <f>TIKTOK!A110</f>
        <v>8496</v>
      </c>
      <c r="X11" s="28">
        <v>689.0</v>
      </c>
      <c r="Y11" s="28"/>
      <c r="Z11" s="29" t="str">
        <f t="shared" si="12"/>
        <v>#DIV/0!</v>
      </c>
      <c r="AA11" s="27"/>
      <c r="AB11" s="29">
        <f t="shared" si="13"/>
        <v>0.03649735746</v>
      </c>
      <c r="AC11" s="19">
        <f t="shared" si="14"/>
        <v>15078</v>
      </c>
      <c r="AD11" s="19">
        <f>SUM('2025'!B11:D11)</f>
        <v>6105</v>
      </c>
      <c r="AE11" s="29">
        <f t="shared" si="15"/>
        <v>1.46977887</v>
      </c>
      <c r="AF11" s="27">
        <f t="shared" si="16"/>
        <v>0.02749902757</v>
      </c>
      <c r="AG11" s="31">
        <f>TIKTOK!A111</f>
        <v>12994</v>
      </c>
      <c r="AH11" s="28">
        <v>689.0</v>
      </c>
      <c r="AI11" s="31"/>
      <c r="AJ11" s="29" t="str">
        <f t="shared" si="17"/>
        <v>#DIV/0!</v>
      </c>
      <c r="AK11" s="27"/>
      <c r="AL11" s="29">
        <f t="shared" si="18"/>
        <v>0.06795024663</v>
      </c>
      <c r="AM11" s="19">
        <f t="shared" si="19"/>
        <v>28072</v>
      </c>
      <c r="AN11" s="23">
        <f>SUM('2025'!B11:E11)</f>
        <v>6714</v>
      </c>
      <c r="AO11" s="29">
        <f t="shared" si="20"/>
        <v>3.18111409</v>
      </c>
      <c r="AP11" s="27">
        <f t="shared" si="21"/>
        <v>0.001985076794</v>
      </c>
      <c r="AQ11" s="31">
        <f>TIKTOK!A112</f>
        <v>938</v>
      </c>
      <c r="AR11" s="28">
        <v>689.0</v>
      </c>
      <c r="AS11" s="31"/>
      <c r="AT11" s="29" t="str">
        <f t="shared" si="22"/>
        <v>#DIV/0!</v>
      </c>
      <c r="AU11" s="27"/>
      <c r="AV11" s="29">
        <f t="shared" si="23"/>
        <v>0.07022074148</v>
      </c>
      <c r="AW11" s="19">
        <f t="shared" si="24"/>
        <v>29010</v>
      </c>
      <c r="AX11" s="23">
        <f>SUM('2025'!B11:F11)</f>
        <v>7043</v>
      </c>
      <c r="AY11" s="29">
        <f t="shared" si="25"/>
        <v>3.118983388</v>
      </c>
      <c r="AZ11" s="32"/>
      <c r="BA11" s="32"/>
      <c r="BB11" s="32"/>
      <c r="BC11" s="32"/>
      <c r="BD11" s="32"/>
      <c r="BE11" s="32"/>
      <c r="BF11" s="32"/>
      <c r="BG11" s="32"/>
    </row>
    <row r="12">
      <c r="A12" s="25" t="s">
        <v>22</v>
      </c>
      <c r="B12" s="18">
        <f t="shared" si="1"/>
        <v>0.02438977935</v>
      </c>
      <c r="C12" s="22">
        <v>11524.8</v>
      </c>
      <c r="D12" s="19">
        <v>11524.8</v>
      </c>
      <c r="E12" s="19"/>
      <c r="F12" s="20" t="str">
        <f t="shared" si="2"/>
        <v>#DIV/0!</v>
      </c>
      <c r="G12" s="21"/>
      <c r="H12" s="20">
        <f t="shared" si="3"/>
        <v>0.02789658743</v>
      </c>
      <c r="I12" s="19">
        <f t="shared" si="4"/>
        <v>11524.8</v>
      </c>
      <c r="J12" s="22">
        <v>11524.8</v>
      </c>
      <c r="K12" s="20">
        <f t="shared" si="5"/>
        <v>0</v>
      </c>
      <c r="L12" s="18">
        <f t="shared" si="6"/>
        <v>0.02438977935</v>
      </c>
      <c r="M12" s="22">
        <v>11524.8</v>
      </c>
      <c r="N12" s="19">
        <v>11524.8</v>
      </c>
      <c r="O12" s="19"/>
      <c r="P12" s="20" t="str">
        <f t="shared" si="7"/>
        <v>#DIV/0!</v>
      </c>
      <c r="Q12" s="21"/>
      <c r="R12" s="20">
        <f t="shared" si="8"/>
        <v>0.05579317486</v>
      </c>
      <c r="S12" s="19">
        <f t="shared" si="9"/>
        <v>23049.6</v>
      </c>
      <c r="T12" s="19">
        <f>'2025'!B12+'2025'!C12</f>
        <v>23049.6</v>
      </c>
      <c r="U12" s="20">
        <f t="shared" si="10"/>
        <v>0</v>
      </c>
      <c r="V12" s="18">
        <f t="shared" si="11"/>
        <v>0.02438977935</v>
      </c>
      <c r="W12" s="22">
        <v>11524.8</v>
      </c>
      <c r="X12" s="19">
        <v>11524.8</v>
      </c>
      <c r="Y12" s="19"/>
      <c r="Z12" s="20" t="str">
        <f t="shared" si="12"/>
        <v>#DIV/0!</v>
      </c>
      <c r="AA12" s="21"/>
      <c r="AB12" s="20">
        <f t="shared" si="13"/>
        <v>0.0836897623</v>
      </c>
      <c r="AC12" s="19">
        <f t="shared" si="14"/>
        <v>34574.4</v>
      </c>
      <c r="AD12" s="19">
        <f>SUM('2025'!B12:D12)</f>
        <v>34574.4</v>
      </c>
      <c r="AE12" s="20">
        <f t="shared" si="15"/>
        <v>0</v>
      </c>
      <c r="AF12" s="18">
        <f t="shared" si="16"/>
        <v>0.02438977935</v>
      </c>
      <c r="AG12" s="22">
        <v>11524.8</v>
      </c>
      <c r="AH12" s="19">
        <v>11524.8</v>
      </c>
      <c r="AI12" s="23"/>
      <c r="AJ12" s="20" t="str">
        <f t="shared" si="17"/>
        <v>#DIV/0!</v>
      </c>
      <c r="AK12" s="21"/>
      <c r="AL12" s="20">
        <f t="shared" si="18"/>
        <v>0.1115863497</v>
      </c>
      <c r="AM12" s="19">
        <f t="shared" si="19"/>
        <v>46099.2</v>
      </c>
      <c r="AN12" s="23">
        <f>SUM('2025'!B12:E12)</f>
        <v>46099.2</v>
      </c>
      <c r="AO12" s="20">
        <f t="shared" si="20"/>
        <v>0</v>
      </c>
      <c r="AP12" s="18">
        <f t="shared" si="21"/>
        <v>0.02438977935</v>
      </c>
      <c r="AQ12" s="22">
        <v>11524.8</v>
      </c>
      <c r="AR12" s="19">
        <v>11524.8</v>
      </c>
      <c r="AS12" s="23"/>
      <c r="AT12" s="20" t="str">
        <f t="shared" si="22"/>
        <v>#DIV/0!</v>
      </c>
      <c r="AU12" s="21"/>
      <c r="AV12" s="20">
        <f t="shared" si="23"/>
        <v>0.1394829372</v>
      </c>
      <c r="AW12" s="19">
        <f t="shared" si="24"/>
        <v>57624</v>
      </c>
      <c r="AX12" s="23">
        <f>SUM('2025'!B12:F12)</f>
        <v>57624</v>
      </c>
      <c r="AY12" s="20">
        <f t="shared" si="25"/>
        <v>0</v>
      </c>
      <c r="AZ12" s="24"/>
      <c r="BA12" s="24"/>
      <c r="BB12" s="24"/>
      <c r="BC12" s="24"/>
      <c r="BD12" s="24"/>
      <c r="BE12" s="24"/>
      <c r="BF12" s="24"/>
      <c r="BG12" s="24"/>
    </row>
    <row r="13">
      <c r="A13" s="25" t="s">
        <v>23</v>
      </c>
      <c r="B13" s="18">
        <f t="shared" si="1"/>
        <v>0.07407002962</v>
      </c>
      <c r="C13" s="34">
        <v>35000.0</v>
      </c>
      <c r="D13" s="35">
        <v>25000.0</v>
      </c>
      <c r="E13" s="35"/>
      <c r="F13" s="20" t="str">
        <f t="shared" si="2"/>
        <v>#DIV/0!</v>
      </c>
      <c r="G13" s="18"/>
      <c r="H13" s="20">
        <f t="shared" si="3"/>
        <v>0.08471995697</v>
      </c>
      <c r="I13" s="19">
        <f t="shared" si="4"/>
        <v>35000</v>
      </c>
      <c r="J13" s="34">
        <v>25000.0</v>
      </c>
      <c r="K13" s="20">
        <f t="shared" si="5"/>
        <v>0.4</v>
      </c>
      <c r="L13" s="18">
        <f t="shared" si="6"/>
        <v>0.07407002962</v>
      </c>
      <c r="M13" s="34">
        <v>35000.0</v>
      </c>
      <c r="N13" s="35">
        <v>25000.0</v>
      </c>
      <c r="O13" s="35"/>
      <c r="P13" s="20" t="str">
        <f t="shared" si="7"/>
        <v>#DIV/0!</v>
      </c>
      <c r="Q13" s="18"/>
      <c r="R13" s="20">
        <f t="shared" si="8"/>
        <v>0.1694399139</v>
      </c>
      <c r="S13" s="19">
        <f t="shared" si="9"/>
        <v>70000</v>
      </c>
      <c r="T13" s="19">
        <f>'2025'!B13+'2025'!C13</f>
        <v>52500</v>
      </c>
      <c r="U13" s="20">
        <f t="shared" si="10"/>
        <v>0.3333333333</v>
      </c>
      <c r="V13" s="18">
        <f t="shared" si="11"/>
        <v>0.07407002962</v>
      </c>
      <c r="W13" s="34">
        <v>35000.0</v>
      </c>
      <c r="X13" s="35">
        <v>25000.0</v>
      </c>
      <c r="Y13" s="35"/>
      <c r="Z13" s="20" t="str">
        <f t="shared" si="12"/>
        <v>#DIV/0!</v>
      </c>
      <c r="AA13" s="18"/>
      <c r="AB13" s="20">
        <f t="shared" si="13"/>
        <v>0.2541598709</v>
      </c>
      <c r="AC13" s="19">
        <f t="shared" si="14"/>
        <v>105000</v>
      </c>
      <c r="AD13" s="19">
        <f>SUM('2025'!B13:D13)</f>
        <v>80000</v>
      </c>
      <c r="AE13" s="20">
        <f t="shared" si="15"/>
        <v>0.3125</v>
      </c>
      <c r="AF13" s="18">
        <f t="shared" si="16"/>
        <v>0.07407002962</v>
      </c>
      <c r="AG13" s="34">
        <v>35000.0</v>
      </c>
      <c r="AH13" s="35">
        <v>25000.0</v>
      </c>
      <c r="AI13" s="36"/>
      <c r="AJ13" s="20" t="str">
        <f t="shared" si="17"/>
        <v>#DIV/0!</v>
      </c>
      <c r="AK13" s="18"/>
      <c r="AL13" s="20">
        <f t="shared" si="18"/>
        <v>0.3388798279</v>
      </c>
      <c r="AM13" s="19">
        <f t="shared" si="19"/>
        <v>140000</v>
      </c>
      <c r="AN13" s="23">
        <f>SUM('2025'!B13:E13)</f>
        <v>107500</v>
      </c>
      <c r="AO13" s="20">
        <f t="shared" si="20"/>
        <v>0.3023255814</v>
      </c>
      <c r="AP13" s="18">
        <f t="shared" si="21"/>
        <v>0.07407002962</v>
      </c>
      <c r="AQ13" s="34">
        <v>35000.0</v>
      </c>
      <c r="AR13" s="35">
        <v>25000.0</v>
      </c>
      <c r="AS13" s="36"/>
      <c r="AT13" s="20" t="str">
        <f t="shared" si="22"/>
        <v>#DIV/0!</v>
      </c>
      <c r="AU13" s="18"/>
      <c r="AV13" s="20">
        <f t="shared" si="23"/>
        <v>0.4235997849</v>
      </c>
      <c r="AW13" s="19">
        <f t="shared" si="24"/>
        <v>175000</v>
      </c>
      <c r="AX13" s="23">
        <f>SUM('2025'!B13:F13)</f>
        <v>107500</v>
      </c>
      <c r="AY13" s="20">
        <f t="shared" si="25"/>
        <v>0.6279069767</v>
      </c>
      <c r="AZ13" s="24"/>
      <c r="BA13" s="24"/>
      <c r="BB13" s="24"/>
      <c r="BC13" s="24"/>
      <c r="BD13" s="24"/>
      <c r="BE13" s="24"/>
      <c r="BF13" s="24"/>
      <c r="BG13" s="24"/>
    </row>
    <row r="14">
      <c r="A14" s="25" t="s">
        <v>24</v>
      </c>
      <c r="B14" s="18">
        <f t="shared" si="1"/>
        <v>0.02539543873</v>
      </c>
      <c r="C14" s="22">
        <v>12000.0</v>
      </c>
      <c r="D14" s="19">
        <v>12000.0</v>
      </c>
      <c r="E14" s="19"/>
      <c r="F14" s="20" t="str">
        <f t="shared" si="2"/>
        <v>#DIV/0!</v>
      </c>
      <c r="G14" s="21"/>
      <c r="H14" s="20">
        <f t="shared" si="3"/>
        <v>0.02904684239</v>
      </c>
      <c r="I14" s="19">
        <f t="shared" si="4"/>
        <v>12000</v>
      </c>
      <c r="J14" s="22">
        <v>12000.0</v>
      </c>
      <c r="K14" s="20">
        <f t="shared" si="5"/>
        <v>0</v>
      </c>
      <c r="L14" s="18">
        <f t="shared" si="6"/>
        <v>0.02539543873</v>
      </c>
      <c r="M14" s="22">
        <v>12000.0</v>
      </c>
      <c r="N14" s="19">
        <v>12000.0</v>
      </c>
      <c r="O14" s="19"/>
      <c r="P14" s="20" t="str">
        <f t="shared" si="7"/>
        <v>#DIV/0!</v>
      </c>
      <c r="Q14" s="21"/>
      <c r="R14" s="20">
        <f t="shared" si="8"/>
        <v>0.05809368478</v>
      </c>
      <c r="S14" s="19">
        <f t="shared" si="9"/>
        <v>24000</v>
      </c>
      <c r="T14" s="19">
        <f>'2025'!B14+'2025'!C14</f>
        <v>24000</v>
      </c>
      <c r="U14" s="20">
        <f t="shared" si="10"/>
        <v>0</v>
      </c>
      <c r="V14" s="18">
        <f t="shared" si="11"/>
        <v>0.02539543873</v>
      </c>
      <c r="W14" s="22">
        <v>12000.0</v>
      </c>
      <c r="X14" s="19">
        <v>12000.0</v>
      </c>
      <c r="Y14" s="19"/>
      <c r="Z14" s="20" t="str">
        <f t="shared" si="12"/>
        <v>#DIV/0!</v>
      </c>
      <c r="AA14" s="21"/>
      <c r="AB14" s="20">
        <f t="shared" si="13"/>
        <v>0.08714052717</v>
      </c>
      <c r="AC14" s="19">
        <f t="shared" si="14"/>
        <v>36000</v>
      </c>
      <c r="AD14" s="19">
        <f>SUM('2025'!B14:D14)</f>
        <v>36000</v>
      </c>
      <c r="AE14" s="20">
        <f t="shared" si="15"/>
        <v>0</v>
      </c>
      <c r="AF14" s="18">
        <f t="shared" si="16"/>
        <v>0.02539543873</v>
      </c>
      <c r="AG14" s="22">
        <v>12000.0</v>
      </c>
      <c r="AH14" s="19">
        <v>12000.0</v>
      </c>
      <c r="AI14" s="23"/>
      <c r="AJ14" s="20" t="str">
        <f t="shared" si="17"/>
        <v>#DIV/0!</v>
      </c>
      <c r="AK14" s="21"/>
      <c r="AL14" s="20">
        <f t="shared" si="18"/>
        <v>0.1161873696</v>
      </c>
      <c r="AM14" s="19">
        <f t="shared" si="19"/>
        <v>48000</v>
      </c>
      <c r="AN14" s="23">
        <f>SUM('2025'!B14:E14)</f>
        <v>48000</v>
      </c>
      <c r="AO14" s="20">
        <f t="shared" si="20"/>
        <v>0</v>
      </c>
      <c r="AP14" s="18">
        <f t="shared" si="21"/>
        <v>0.02539543873</v>
      </c>
      <c r="AQ14" s="22">
        <v>12000.0</v>
      </c>
      <c r="AR14" s="19">
        <v>12000.0</v>
      </c>
      <c r="AS14" s="23"/>
      <c r="AT14" s="20" t="str">
        <f t="shared" si="22"/>
        <v>#DIV/0!</v>
      </c>
      <c r="AU14" s="21"/>
      <c r="AV14" s="20">
        <f t="shared" si="23"/>
        <v>0.145234212</v>
      </c>
      <c r="AW14" s="19">
        <f t="shared" si="24"/>
        <v>60000</v>
      </c>
      <c r="AX14" s="23">
        <f>SUM('2025'!B14:F14)</f>
        <v>60000</v>
      </c>
      <c r="AY14" s="20">
        <f t="shared" si="25"/>
        <v>0</v>
      </c>
      <c r="AZ14" s="24"/>
      <c r="BA14" s="24"/>
      <c r="BB14" s="24"/>
      <c r="BC14" s="24"/>
      <c r="BD14" s="24"/>
      <c r="BE14" s="24"/>
      <c r="BF14" s="24"/>
      <c r="BG14" s="24"/>
    </row>
    <row r="15">
      <c r="A15" s="25" t="s">
        <v>25</v>
      </c>
      <c r="B15" s="18">
        <f t="shared" si="1"/>
        <v>0</v>
      </c>
      <c r="C15" s="37"/>
      <c r="D15" s="19">
        <v>6000.0</v>
      </c>
      <c r="E15" s="19"/>
      <c r="F15" s="20" t="str">
        <f t="shared" si="2"/>
        <v>#DIV/0!</v>
      </c>
      <c r="G15" s="21"/>
      <c r="H15" s="20">
        <f t="shared" si="3"/>
        <v>0</v>
      </c>
      <c r="I15" s="19" t="str">
        <f t="shared" si="4"/>
        <v/>
      </c>
      <c r="J15" s="22">
        <v>6000.0</v>
      </c>
      <c r="K15" s="20">
        <f t="shared" si="5"/>
        <v>-1</v>
      </c>
      <c r="L15" s="18">
        <f t="shared" si="6"/>
        <v>0</v>
      </c>
      <c r="M15" s="37"/>
      <c r="N15" s="19">
        <v>6000.0</v>
      </c>
      <c r="O15" s="19"/>
      <c r="P15" s="20" t="str">
        <f t="shared" si="7"/>
        <v>#DIV/0!</v>
      </c>
      <c r="Q15" s="21"/>
      <c r="R15" s="20">
        <f t="shared" si="8"/>
        <v>0</v>
      </c>
      <c r="S15" s="19">
        <f t="shared" si="9"/>
        <v>0</v>
      </c>
      <c r="T15" s="19">
        <f>'2025'!B15+'2025'!C15</f>
        <v>6000</v>
      </c>
      <c r="U15" s="20">
        <f t="shared" si="10"/>
        <v>-1</v>
      </c>
      <c r="V15" s="18">
        <f t="shared" si="11"/>
        <v>0</v>
      </c>
      <c r="W15" s="37"/>
      <c r="X15" s="19">
        <v>6000.0</v>
      </c>
      <c r="Y15" s="19"/>
      <c r="Z15" s="20" t="str">
        <f t="shared" si="12"/>
        <v>#DIV/0!</v>
      </c>
      <c r="AA15" s="21"/>
      <c r="AB15" s="20">
        <f t="shared" si="13"/>
        <v>0</v>
      </c>
      <c r="AC15" s="19">
        <f t="shared" si="14"/>
        <v>0</v>
      </c>
      <c r="AD15" s="19">
        <f>SUM('2025'!B15:D15)</f>
        <v>6000</v>
      </c>
      <c r="AE15" s="20">
        <f t="shared" si="15"/>
        <v>-1</v>
      </c>
      <c r="AF15" s="18">
        <f t="shared" si="16"/>
        <v>0</v>
      </c>
      <c r="AG15" s="37"/>
      <c r="AH15" s="19">
        <v>6000.0</v>
      </c>
      <c r="AI15" s="23"/>
      <c r="AJ15" s="20" t="str">
        <f t="shared" si="17"/>
        <v>#DIV/0!</v>
      </c>
      <c r="AK15" s="21"/>
      <c r="AL15" s="20">
        <f t="shared" si="18"/>
        <v>0</v>
      </c>
      <c r="AM15" s="19">
        <f t="shared" si="19"/>
        <v>0</v>
      </c>
      <c r="AN15" s="23">
        <f>SUM('2025'!B15:E15)</f>
        <v>6000</v>
      </c>
      <c r="AO15" s="20">
        <f t="shared" si="20"/>
        <v>-1</v>
      </c>
      <c r="AP15" s="18">
        <f t="shared" si="21"/>
        <v>0</v>
      </c>
      <c r="AQ15" s="37"/>
      <c r="AR15" s="19">
        <v>6000.0</v>
      </c>
      <c r="AS15" s="23"/>
      <c r="AT15" s="20" t="str">
        <f t="shared" si="22"/>
        <v>#DIV/0!</v>
      </c>
      <c r="AU15" s="21"/>
      <c r="AV15" s="20">
        <f t="shared" si="23"/>
        <v>0</v>
      </c>
      <c r="AW15" s="19">
        <f t="shared" si="24"/>
        <v>0</v>
      </c>
      <c r="AX15" s="23">
        <f>SUM('2025'!B15:F15)</f>
        <v>6000</v>
      </c>
      <c r="AY15" s="20">
        <f t="shared" si="25"/>
        <v>-1</v>
      </c>
      <c r="AZ15" s="24"/>
      <c r="BA15" s="24"/>
      <c r="BB15" s="24"/>
      <c r="BC15" s="24"/>
      <c r="BD15" s="24"/>
      <c r="BE15" s="24"/>
      <c r="BF15" s="24"/>
      <c r="BG15" s="24"/>
    </row>
    <row r="16">
      <c r="A16" s="25" t="s">
        <v>26</v>
      </c>
      <c r="B16" s="18">
        <f t="shared" si="1"/>
        <v>0.02327915216</v>
      </c>
      <c r="C16" s="38">
        <v>11000.0</v>
      </c>
      <c r="D16" s="22">
        <v>11000.0</v>
      </c>
      <c r="E16" s="39"/>
      <c r="F16" s="20" t="str">
        <f t="shared" si="2"/>
        <v>#DIV/0!</v>
      </c>
      <c r="G16" s="40"/>
      <c r="H16" s="20">
        <f t="shared" si="3"/>
        <v>0.02662627219</v>
      </c>
      <c r="I16" s="19">
        <f t="shared" si="4"/>
        <v>11000</v>
      </c>
      <c r="J16" s="39"/>
      <c r="K16" s="20" t="str">
        <f t="shared" si="5"/>
        <v>#DIV/0!</v>
      </c>
      <c r="L16" s="18">
        <f t="shared" si="6"/>
        <v>0.02327915216</v>
      </c>
      <c r="M16" s="38">
        <v>11000.0</v>
      </c>
      <c r="N16" s="22">
        <v>11000.0</v>
      </c>
      <c r="O16" s="39"/>
      <c r="P16" s="20" t="str">
        <f t="shared" si="7"/>
        <v>#DIV/0!</v>
      </c>
      <c r="Q16" s="40"/>
      <c r="R16" s="20">
        <f t="shared" si="8"/>
        <v>0.05325254438</v>
      </c>
      <c r="S16" s="19">
        <f t="shared" si="9"/>
        <v>22000</v>
      </c>
      <c r="T16" s="19">
        <f>'2025'!B16+'2025'!C16</f>
        <v>0</v>
      </c>
      <c r="U16" s="20" t="str">
        <f t="shared" si="10"/>
        <v>#DIV/0!</v>
      </c>
      <c r="V16" s="18">
        <f t="shared" si="11"/>
        <v>0.02327915216</v>
      </c>
      <c r="W16" s="38">
        <v>11000.0</v>
      </c>
      <c r="X16" s="22">
        <v>11000.0</v>
      </c>
      <c r="Y16" s="39"/>
      <c r="Z16" s="20" t="str">
        <f t="shared" si="12"/>
        <v>#DIV/0!</v>
      </c>
      <c r="AA16" s="40"/>
      <c r="AB16" s="20">
        <f t="shared" si="13"/>
        <v>0.07987881657</v>
      </c>
      <c r="AC16" s="19">
        <f t="shared" si="14"/>
        <v>33000</v>
      </c>
      <c r="AD16" s="19">
        <f>SUM('2025'!B16:D16)</f>
        <v>0</v>
      </c>
      <c r="AE16" s="20" t="str">
        <f t="shared" si="15"/>
        <v>#DIV/0!</v>
      </c>
      <c r="AF16" s="18">
        <f t="shared" si="16"/>
        <v>0.02327915216</v>
      </c>
      <c r="AG16" s="38">
        <v>11000.0</v>
      </c>
      <c r="AH16" s="19">
        <v>11000.0</v>
      </c>
      <c r="AI16" s="39"/>
      <c r="AJ16" s="20" t="str">
        <f t="shared" si="17"/>
        <v>#DIV/0!</v>
      </c>
      <c r="AK16" s="40"/>
      <c r="AL16" s="20">
        <f t="shared" si="18"/>
        <v>0.1065050888</v>
      </c>
      <c r="AM16" s="19">
        <f t="shared" si="19"/>
        <v>44000</v>
      </c>
      <c r="AN16" s="23">
        <f>SUM('2025'!B16:E16)</f>
        <v>0</v>
      </c>
      <c r="AO16" s="20" t="str">
        <f t="shared" si="20"/>
        <v>#DIV/0!</v>
      </c>
      <c r="AP16" s="18">
        <f t="shared" si="21"/>
        <v>0.02327915216</v>
      </c>
      <c r="AQ16" s="38">
        <v>11000.0</v>
      </c>
      <c r="AR16" s="19">
        <v>11000.0</v>
      </c>
      <c r="AS16" s="39"/>
      <c r="AT16" s="20" t="str">
        <f t="shared" si="22"/>
        <v>#DIV/0!</v>
      </c>
      <c r="AU16" s="40"/>
      <c r="AV16" s="20">
        <f t="shared" si="23"/>
        <v>0.133131361</v>
      </c>
      <c r="AW16" s="19">
        <f t="shared" si="24"/>
        <v>55000</v>
      </c>
      <c r="AX16" s="23">
        <f>SUM('2025'!B16:F16)</f>
        <v>0</v>
      </c>
      <c r="AY16" s="20" t="str">
        <f t="shared" si="25"/>
        <v>#DIV/0!</v>
      </c>
      <c r="AZ16" s="24"/>
      <c r="BA16" s="24"/>
      <c r="BB16" s="24"/>
      <c r="BC16" s="24"/>
      <c r="BD16" s="24"/>
      <c r="BE16" s="24"/>
      <c r="BF16" s="24"/>
      <c r="BG16" s="24"/>
    </row>
    <row r="17">
      <c r="A17" s="41" t="s">
        <v>39</v>
      </c>
      <c r="B17" s="18">
        <f t="shared" si="1"/>
        <v>0.1056407925</v>
      </c>
      <c r="C17" s="38">
        <v>49918.0</v>
      </c>
      <c r="D17" s="22"/>
      <c r="E17" s="39"/>
      <c r="F17" s="20" t="str">
        <f t="shared" si="2"/>
        <v>#DIV/0!</v>
      </c>
      <c r="G17" s="40"/>
      <c r="H17" s="20">
        <f t="shared" si="3"/>
        <v>0.1208300232</v>
      </c>
      <c r="I17" s="19">
        <f t="shared" si="4"/>
        <v>49918</v>
      </c>
      <c r="J17" s="39"/>
      <c r="K17" s="42"/>
      <c r="L17" s="18">
        <f t="shared" si="6"/>
        <v>0.1056407925</v>
      </c>
      <c r="M17" s="38">
        <v>49918.0</v>
      </c>
      <c r="N17" s="22"/>
      <c r="O17" s="39"/>
      <c r="P17" s="20" t="str">
        <f t="shared" si="7"/>
        <v>#DIV/0!</v>
      </c>
      <c r="Q17" s="40"/>
      <c r="R17" s="20">
        <f t="shared" si="8"/>
        <v>0.2416600464</v>
      </c>
      <c r="S17" s="19">
        <f t="shared" si="9"/>
        <v>99836</v>
      </c>
      <c r="T17" s="19">
        <f>'2025'!B17+'2025'!C17</f>
        <v>0</v>
      </c>
      <c r="U17" s="42"/>
      <c r="V17" s="18">
        <f t="shared" si="11"/>
        <v>0.1056407925</v>
      </c>
      <c r="W17" s="38">
        <v>49918.0</v>
      </c>
      <c r="X17" s="22"/>
      <c r="Y17" s="39"/>
      <c r="Z17" s="20" t="str">
        <f t="shared" si="12"/>
        <v>#DIV/0!</v>
      </c>
      <c r="AA17" s="40"/>
      <c r="AB17" s="20">
        <f t="shared" si="13"/>
        <v>0.3624900696</v>
      </c>
      <c r="AC17" s="19">
        <f t="shared" si="14"/>
        <v>149754</v>
      </c>
      <c r="AD17" s="19">
        <f>SUM('2025'!B17:D17)</f>
        <v>0</v>
      </c>
      <c r="AE17" s="42"/>
      <c r="AF17" s="18">
        <f t="shared" si="16"/>
        <v>0.1056407925</v>
      </c>
      <c r="AG17" s="38">
        <v>49918.0</v>
      </c>
      <c r="AH17" s="23"/>
      <c r="AI17" s="39"/>
      <c r="AJ17" s="20" t="str">
        <f t="shared" si="17"/>
        <v>#DIV/0!</v>
      </c>
      <c r="AK17" s="40"/>
      <c r="AL17" s="20">
        <f t="shared" si="18"/>
        <v>0.4833200928</v>
      </c>
      <c r="AM17" s="19">
        <f t="shared" si="19"/>
        <v>199672</v>
      </c>
      <c r="AN17" s="23">
        <f>SUM('2025'!B17:E17)</f>
        <v>0</v>
      </c>
      <c r="AO17" s="43"/>
      <c r="AP17" s="18">
        <f t="shared" si="21"/>
        <v>0.1056407925</v>
      </c>
      <c r="AQ17" s="38">
        <v>49918.0</v>
      </c>
      <c r="AR17" s="23"/>
      <c r="AS17" s="39"/>
      <c r="AT17" s="20" t="str">
        <f t="shared" si="22"/>
        <v>#DIV/0!</v>
      </c>
      <c r="AU17" s="40"/>
      <c r="AV17" s="20">
        <f t="shared" si="23"/>
        <v>0.604150116</v>
      </c>
      <c r="AW17" s="19">
        <f t="shared" si="24"/>
        <v>249590</v>
      </c>
      <c r="AX17" s="23">
        <f>SUM('2025'!B17:F17)</f>
        <v>0</v>
      </c>
      <c r="AY17" s="43"/>
      <c r="AZ17" s="24"/>
      <c r="BA17" s="24"/>
      <c r="BB17" s="24"/>
      <c r="BC17" s="24"/>
      <c r="BD17" s="24"/>
      <c r="BE17" s="24"/>
      <c r="BF17" s="24"/>
      <c r="BG17" s="24"/>
    </row>
    <row r="18">
      <c r="A18" s="41" t="s">
        <v>40</v>
      </c>
      <c r="B18" s="18">
        <f t="shared" si="1"/>
        <v>0.1257074217</v>
      </c>
      <c r="C18" s="38">
        <v>59400.0</v>
      </c>
      <c r="D18" s="22"/>
      <c r="E18" s="39"/>
      <c r="F18" s="20" t="str">
        <f t="shared" si="2"/>
        <v>#DIV/0!</v>
      </c>
      <c r="G18" s="40"/>
      <c r="H18" s="20">
        <f t="shared" si="3"/>
        <v>0</v>
      </c>
      <c r="I18" s="39"/>
      <c r="J18" s="39"/>
      <c r="K18" s="42"/>
      <c r="L18" s="18">
        <f t="shared" si="6"/>
        <v>0.1257074217</v>
      </c>
      <c r="M18" s="38">
        <v>59400.0</v>
      </c>
      <c r="N18" s="22"/>
      <c r="O18" s="39"/>
      <c r="P18" s="20" t="str">
        <f t="shared" si="7"/>
        <v>#DIV/0!</v>
      </c>
      <c r="Q18" s="40"/>
      <c r="R18" s="20">
        <f t="shared" si="8"/>
        <v>0.1437818698</v>
      </c>
      <c r="S18" s="19">
        <f t="shared" si="9"/>
        <v>59400</v>
      </c>
      <c r="T18" s="19">
        <f>'2025'!B20+'2025'!C20</f>
        <v>780791.6</v>
      </c>
      <c r="U18" s="42"/>
      <c r="V18" s="18">
        <f t="shared" si="11"/>
        <v>0.1257074217</v>
      </c>
      <c r="W18" s="38">
        <v>59400.0</v>
      </c>
      <c r="X18" s="22"/>
      <c r="Y18" s="39"/>
      <c r="Z18" s="20" t="str">
        <f t="shared" si="12"/>
        <v>#DIV/0!</v>
      </c>
      <c r="AA18" s="40"/>
      <c r="AB18" s="20">
        <f t="shared" si="13"/>
        <v>0.2875637397</v>
      </c>
      <c r="AC18" s="19">
        <f t="shared" si="14"/>
        <v>118800</v>
      </c>
      <c r="AD18" s="19">
        <f>SUM('2025'!B18:D18)</f>
        <v>0</v>
      </c>
      <c r="AE18" s="42"/>
      <c r="AF18" s="18">
        <f t="shared" si="16"/>
        <v>0.1257074217</v>
      </c>
      <c r="AG18" s="38">
        <v>59400.0</v>
      </c>
      <c r="AH18" s="23"/>
      <c r="AI18" s="39"/>
      <c r="AJ18" s="20" t="str">
        <f t="shared" si="17"/>
        <v>#DIV/0!</v>
      </c>
      <c r="AK18" s="40"/>
      <c r="AL18" s="20">
        <f t="shared" si="18"/>
        <v>0.4313456095</v>
      </c>
      <c r="AM18" s="19">
        <f t="shared" si="19"/>
        <v>178200</v>
      </c>
      <c r="AN18" s="23">
        <f>SUM('2025'!B18:E18)</f>
        <v>0</v>
      </c>
      <c r="AO18" s="43"/>
      <c r="AP18" s="18">
        <f t="shared" si="21"/>
        <v>0</v>
      </c>
      <c r="AQ18" s="40"/>
      <c r="AR18" s="23"/>
      <c r="AS18" s="39"/>
      <c r="AT18" s="20" t="str">
        <f t="shared" si="22"/>
        <v>#DIV/0!</v>
      </c>
      <c r="AU18" s="40"/>
      <c r="AV18" s="20">
        <f t="shared" si="23"/>
        <v>0.4313456095</v>
      </c>
      <c r="AW18" s="19">
        <f t="shared" si="24"/>
        <v>178200</v>
      </c>
      <c r="AX18" s="23">
        <f>SUM('2025'!B18:F18)</f>
        <v>0</v>
      </c>
      <c r="AY18" s="43"/>
      <c r="AZ18" s="24"/>
      <c r="BA18" s="24"/>
      <c r="BB18" s="24"/>
      <c r="BC18" s="24"/>
      <c r="BD18" s="24"/>
      <c r="BE18" s="24"/>
      <c r="BF18" s="24"/>
      <c r="BG18" s="24"/>
    </row>
    <row r="19">
      <c r="A19" s="44" t="s">
        <v>27</v>
      </c>
      <c r="B19" s="45">
        <f t="shared" si="1"/>
        <v>0</v>
      </c>
      <c r="C19" s="46"/>
      <c r="D19" s="47"/>
      <c r="E19" s="48"/>
      <c r="F19" s="49" t="str">
        <f t="shared" si="2"/>
        <v>#DIV/0!</v>
      </c>
      <c r="G19" s="46"/>
      <c r="H19" s="49">
        <f t="shared" si="3"/>
        <v>0</v>
      </c>
      <c r="I19" s="48" t="str">
        <f>C19</f>
        <v/>
      </c>
      <c r="J19" s="48"/>
      <c r="K19" s="49" t="str">
        <f t="shared" ref="K19:K20" si="28">sum(I19-J19)/J19</f>
        <v>#DIV/0!</v>
      </c>
      <c r="L19" s="45">
        <f t="shared" si="6"/>
        <v>0</v>
      </c>
      <c r="M19" s="46"/>
      <c r="N19" s="47"/>
      <c r="O19" s="48"/>
      <c r="P19" s="49" t="str">
        <f t="shared" si="7"/>
        <v>#DIV/0!</v>
      </c>
      <c r="Q19" s="46"/>
      <c r="R19" s="49">
        <f t="shared" si="8"/>
        <v>0</v>
      </c>
      <c r="S19" s="19">
        <f t="shared" si="9"/>
        <v>0</v>
      </c>
      <c r="T19" s="48"/>
      <c r="U19" s="49" t="str">
        <f t="shared" ref="U19:U20" si="31">sum(S19-T19)/T19</f>
        <v>#DIV/0!</v>
      </c>
      <c r="V19" s="45">
        <f t="shared" si="11"/>
        <v>0</v>
      </c>
      <c r="W19" s="46"/>
      <c r="X19" s="47"/>
      <c r="Y19" s="48"/>
      <c r="Z19" s="49" t="str">
        <f t="shared" si="12"/>
        <v>#DIV/0!</v>
      </c>
      <c r="AA19" s="46"/>
      <c r="AB19" s="49">
        <f t="shared" si="13"/>
        <v>0</v>
      </c>
      <c r="AC19" s="19">
        <f t="shared" si="14"/>
        <v>0</v>
      </c>
      <c r="AD19" s="48"/>
      <c r="AE19" s="49" t="str">
        <f t="shared" ref="AE19:AE20" si="34">sum(AC19-AD19)/AD19</f>
        <v>#DIV/0!</v>
      </c>
      <c r="AF19" s="45">
        <f t="shared" si="16"/>
        <v>0</v>
      </c>
      <c r="AG19" s="46"/>
      <c r="AH19" s="46"/>
      <c r="AI19" s="48"/>
      <c r="AJ19" s="49" t="str">
        <f t="shared" si="17"/>
        <v>#DIV/0!</v>
      </c>
      <c r="AK19" s="46"/>
      <c r="AL19" s="49">
        <f t="shared" si="18"/>
        <v>0</v>
      </c>
      <c r="AM19" s="19">
        <f t="shared" si="19"/>
        <v>0</v>
      </c>
      <c r="AN19" s="23">
        <f>SUM('2025'!B19:E19)</f>
        <v>0</v>
      </c>
      <c r="AO19" s="49" t="str">
        <f t="shared" ref="AO19:AO20" si="37">sum(AM19-AN19)/AN19</f>
        <v>#DIV/0!</v>
      </c>
      <c r="AP19" s="45">
        <f t="shared" si="21"/>
        <v>0</v>
      </c>
      <c r="AQ19" s="46"/>
      <c r="AR19" s="46"/>
      <c r="AS19" s="48"/>
      <c r="AT19" s="49" t="str">
        <f t="shared" si="22"/>
        <v>#DIV/0!</v>
      </c>
      <c r="AU19" s="46"/>
      <c r="AV19" s="49">
        <f t="shared" si="23"/>
        <v>0</v>
      </c>
      <c r="AW19" s="19">
        <f t="shared" si="24"/>
        <v>0</v>
      </c>
      <c r="AX19" s="23">
        <f>SUM('2025'!B19:F19)</f>
        <v>0</v>
      </c>
      <c r="AY19" s="49" t="str">
        <f t="shared" ref="AY19:AY20" si="40">sum(AW19-AX19)/AX19</f>
        <v>#DIV/0!</v>
      </c>
      <c r="AZ19" s="24"/>
      <c r="BA19" s="24"/>
      <c r="BB19" s="24"/>
      <c r="BC19" s="24"/>
      <c r="BD19" s="24"/>
      <c r="BE19" s="24"/>
      <c r="BF19" s="24"/>
      <c r="BG19" s="24"/>
    </row>
    <row r="20">
      <c r="A20" s="50" t="s">
        <v>41</v>
      </c>
      <c r="B20" s="51">
        <f t="shared" ref="B20:D20" si="26">SUM(B2:B19)</f>
        <v>1</v>
      </c>
      <c r="C20" s="52">
        <f t="shared" si="26"/>
        <v>472525.8</v>
      </c>
      <c r="D20" s="52">
        <f t="shared" si="26"/>
        <v>511044.8</v>
      </c>
      <c r="E20" s="52"/>
      <c r="F20" s="53" t="str">
        <f t="shared" si="2"/>
        <v>#DIV/0!</v>
      </c>
      <c r="G20" s="51">
        <f t="shared" ref="G20:J20" si="27">SUM(G2:G19)</f>
        <v>0</v>
      </c>
      <c r="H20" s="51">
        <f t="shared" si="27"/>
        <v>1</v>
      </c>
      <c r="I20" s="52">
        <f t="shared" si="27"/>
        <v>413125.8</v>
      </c>
      <c r="J20" s="52">
        <f t="shared" si="27"/>
        <v>454231.8</v>
      </c>
      <c r="K20" s="53">
        <f t="shared" si="28"/>
        <v>-0.09049564562</v>
      </c>
      <c r="L20" s="51">
        <f t="shared" ref="L20:N20" si="29">SUM(L2:L19)</f>
        <v>0.9044284989</v>
      </c>
      <c r="M20" s="52">
        <f t="shared" si="29"/>
        <v>427365.8</v>
      </c>
      <c r="N20" s="52">
        <f t="shared" si="29"/>
        <v>511044.8</v>
      </c>
      <c r="O20" s="52"/>
      <c r="P20" s="53" t="str">
        <f t="shared" si="7"/>
        <v>#DIV/0!</v>
      </c>
      <c r="Q20" s="51">
        <f t="shared" ref="Q20:T20" si="30">SUM(Q2:Q19)</f>
        <v>0</v>
      </c>
      <c r="R20" s="51">
        <f t="shared" si="30"/>
        <v>2.03446892</v>
      </c>
      <c r="S20" s="52">
        <f t="shared" si="30"/>
        <v>840491.6</v>
      </c>
      <c r="T20" s="52">
        <f t="shared" si="30"/>
        <v>1561583.2</v>
      </c>
      <c r="U20" s="53">
        <f t="shared" si="31"/>
        <v>-0.4617695682</v>
      </c>
      <c r="V20" s="51">
        <f t="shared" ref="V20:X20" si="32">SUM(V2:V19)</f>
        <v>0.8640010768</v>
      </c>
      <c r="W20" s="52">
        <f t="shared" si="32"/>
        <v>408262.8</v>
      </c>
      <c r="X20" s="52">
        <f t="shared" si="32"/>
        <v>511044.8</v>
      </c>
      <c r="Y20" s="52"/>
      <c r="Z20" s="53" t="str">
        <f t="shared" si="12"/>
        <v>#DIV/0!</v>
      </c>
      <c r="AA20" s="51">
        <f t="shared" ref="AA20:AD20" si="33">SUM(AA2:AA19)</f>
        <v>0</v>
      </c>
      <c r="AB20" s="51">
        <f t="shared" si="33"/>
        <v>3.022697687</v>
      </c>
      <c r="AC20" s="52">
        <f t="shared" si="33"/>
        <v>1248754.4</v>
      </c>
      <c r="AD20" s="52">
        <f t="shared" si="33"/>
        <v>1102868.4</v>
      </c>
      <c r="AE20" s="53">
        <f t="shared" si="34"/>
        <v>0.1322787016</v>
      </c>
      <c r="AF20" s="51">
        <f t="shared" ref="AF20:AH20" si="35">SUM(AF2:AF19)</f>
        <v>0.8976352191</v>
      </c>
      <c r="AG20" s="52">
        <f t="shared" si="35"/>
        <v>424155.8</v>
      </c>
      <c r="AH20" s="52">
        <f t="shared" si="35"/>
        <v>511044.8</v>
      </c>
      <c r="AI20" s="54"/>
      <c r="AJ20" s="53" t="str">
        <f t="shared" si="17"/>
        <v>#DIV/0!</v>
      </c>
      <c r="AK20" s="51">
        <f t="shared" ref="AK20:AN20" si="36">SUM(AK2:AK19)</f>
        <v>0</v>
      </c>
      <c r="AL20" s="51">
        <f t="shared" si="36"/>
        <v>4.049396576</v>
      </c>
      <c r="AM20" s="52">
        <f t="shared" si="36"/>
        <v>1672910.2</v>
      </c>
      <c r="AN20" s="52">
        <f t="shared" si="36"/>
        <v>1415272.2</v>
      </c>
      <c r="AO20" s="53">
        <f t="shared" si="37"/>
        <v>0.1820413063</v>
      </c>
      <c r="AP20" s="51">
        <f t="shared" ref="AP20:AR20" si="38">SUM(AP2:AP19)</f>
        <v>0.4222601179</v>
      </c>
      <c r="AQ20" s="52">
        <f t="shared" si="38"/>
        <v>199528.8</v>
      </c>
      <c r="AR20" s="52">
        <f t="shared" si="38"/>
        <v>511044.8</v>
      </c>
      <c r="AS20" s="54"/>
      <c r="AT20" s="53" t="str">
        <f t="shared" si="22"/>
        <v>#DIV/0!</v>
      </c>
      <c r="AU20" s="51">
        <f t="shared" ref="AU20:AX20" si="39">SUM(AU2:AU19)</f>
        <v>0</v>
      </c>
      <c r="AV20" s="51">
        <f t="shared" si="39"/>
        <v>4.532370043</v>
      </c>
      <c r="AW20" s="52">
        <f t="shared" si="39"/>
        <v>1872439</v>
      </c>
      <c r="AX20" s="52">
        <f t="shared" si="39"/>
        <v>1733750</v>
      </c>
      <c r="AY20" s="53">
        <f t="shared" si="40"/>
        <v>0.07999365537</v>
      </c>
      <c r="AZ20" s="24"/>
      <c r="BA20" s="24"/>
      <c r="BB20" s="24"/>
      <c r="BC20" s="24"/>
      <c r="BD20" s="24"/>
      <c r="BE20" s="24"/>
      <c r="BF20" s="24"/>
      <c r="BG20" s="24"/>
    </row>
    <row r="21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</row>
    <row r="22">
      <c r="A22" s="57" t="s">
        <v>42</v>
      </c>
      <c r="B22" s="58"/>
      <c r="C22" s="19">
        <f>sum(C12:C16)</f>
        <v>69524.8</v>
      </c>
      <c r="D22" s="58"/>
      <c r="E22" s="19"/>
      <c r="F22" s="20" t="str">
        <f>sum(C22-E22)/E22</f>
        <v>#DIV/0!</v>
      </c>
      <c r="G22" s="58"/>
      <c r="H22" s="58"/>
      <c r="I22" s="19">
        <f t="shared" ref="I22:J22" si="41">sum(I12:I16)</f>
        <v>69524.8</v>
      </c>
      <c r="J22" s="19">
        <f t="shared" si="41"/>
        <v>54524.8</v>
      </c>
      <c r="K22" s="59">
        <f>sum(I22-J22)/J22</f>
        <v>0.2751041728</v>
      </c>
      <c r="L22" s="58"/>
      <c r="M22" s="19">
        <f>sum(M12:M16)</f>
        <v>69524.8</v>
      </c>
      <c r="N22" s="58"/>
      <c r="O22" s="19"/>
      <c r="P22" s="20" t="str">
        <f>sum(M22-O22)/O22</f>
        <v>#DIV/0!</v>
      </c>
      <c r="Q22" s="58"/>
      <c r="R22" s="58"/>
      <c r="S22" s="19">
        <f t="shared" ref="S22:T22" si="42">sum(S12:S16)</f>
        <v>139049.6</v>
      </c>
      <c r="T22" s="19">
        <f t="shared" si="42"/>
        <v>105549.6</v>
      </c>
      <c r="U22" s="59">
        <f>sum(S22-T22)/T22</f>
        <v>0.3173863283</v>
      </c>
      <c r="V22" s="58"/>
      <c r="W22" s="19">
        <f>sum(W12:W16)</f>
        <v>69524.8</v>
      </c>
      <c r="X22" s="58"/>
      <c r="Y22" s="19"/>
      <c r="Z22" s="20" t="str">
        <f>sum(W22-Y22)/Y22</f>
        <v>#DIV/0!</v>
      </c>
      <c r="AA22" s="58"/>
      <c r="AB22" s="58"/>
      <c r="AC22" s="19">
        <f t="shared" ref="AC22:AD22" si="43">sum(AC12:AC16)</f>
        <v>208574.4</v>
      </c>
      <c r="AD22" s="19">
        <f t="shared" si="43"/>
        <v>156574.4</v>
      </c>
      <c r="AE22" s="59">
        <f>sum(AC22-AD22)/AD22</f>
        <v>0.3321104855</v>
      </c>
      <c r="AF22" s="60"/>
      <c r="AG22" s="19">
        <f>sum(AG12:AG16)</f>
        <v>69524.8</v>
      </c>
      <c r="AH22" s="60"/>
      <c r="AI22" s="23"/>
      <c r="AJ22" s="20" t="str">
        <f>sum(AG22-AI22)/AI22</f>
        <v>#DIV/0!</v>
      </c>
      <c r="AK22" s="60"/>
      <c r="AL22" s="60"/>
      <c r="AM22" s="19">
        <f t="shared" ref="AM22:AN22" si="44">sum(AM12:AM16)</f>
        <v>278099.2</v>
      </c>
      <c r="AN22" s="19">
        <f t="shared" si="44"/>
        <v>207599.2</v>
      </c>
      <c r="AO22" s="59">
        <f>sum(AM22-AN22)/AN22</f>
        <v>0.3395966844</v>
      </c>
      <c r="AP22" s="60"/>
      <c r="AQ22" s="19">
        <f>sum(AQ12:AQ16)</f>
        <v>69524.8</v>
      </c>
      <c r="AR22" s="60"/>
      <c r="AS22" s="23"/>
      <c r="AT22" s="20" t="str">
        <f>sum(AQ22-AS22)/AS22</f>
        <v>#DIV/0!</v>
      </c>
      <c r="AU22" s="60"/>
      <c r="AV22" s="60"/>
      <c r="AW22" s="19">
        <f t="shared" ref="AW22:AX22" si="45">sum(AW12:AW16)</f>
        <v>347624</v>
      </c>
      <c r="AX22" s="19">
        <f t="shared" si="45"/>
        <v>231124</v>
      </c>
      <c r="AY22" s="59">
        <f>sum(AW22-AX22)/AX22</f>
        <v>0.5040584275</v>
      </c>
      <c r="AZ22" s="61"/>
      <c r="BA22" s="61"/>
      <c r="BB22" s="61"/>
      <c r="BC22" s="61"/>
      <c r="BD22" s="61"/>
      <c r="BE22" s="61"/>
      <c r="BF22" s="61"/>
      <c r="BG22" s="61"/>
    </row>
    <row r="23">
      <c r="A23" s="57" t="s">
        <v>43</v>
      </c>
      <c r="B23" s="58"/>
      <c r="C23" s="19">
        <f t="shared" ref="C23:D23" si="46">sum(C2:C6)</f>
        <v>209965</v>
      </c>
      <c r="D23" s="19">
        <f t="shared" si="46"/>
        <v>237211</v>
      </c>
      <c r="E23" s="19"/>
      <c r="F23" s="58"/>
      <c r="G23" s="58"/>
      <c r="H23" s="58"/>
      <c r="I23" s="19">
        <f t="shared" ref="I23:J23" si="47">sum(I2:I6)</f>
        <v>209965</v>
      </c>
      <c r="J23" s="19">
        <f t="shared" si="47"/>
        <v>278555</v>
      </c>
      <c r="K23" s="58"/>
      <c r="L23" s="58"/>
      <c r="M23" s="19">
        <f t="shared" ref="M23:N23" si="48">sum(M2:M6)</f>
        <v>162128</v>
      </c>
      <c r="N23" s="19">
        <f t="shared" si="48"/>
        <v>237211</v>
      </c>
      <c r="O23" s="19"/>
      <c r="P23" s="58"/>
      <c r="Q23" s="58"/>
      <c r="R23" s="58"/>
      <c r="S23" s="19">
        <f t="shared" ref="S23:T23" si="49">sum(S2:S6)</f>
        <v>372093</v>
      </c>
      <c r="T23" s="19">
        <f t="shared" si="49"/>
        <v>433244</v>
      </c>
      <c r="U23" s="58"/>
      <c r="V23" s="58"/>
      <c r="W23" s="19">
        <f t="shared" ref="W23:X23" si="50">sum(W2:W6)</f>
        <v>138039</v>
      </c>
      <c r="X23" s="19">
        <f t="shared" si="50"/>
        <v>237211</v>
      </c>
      <c r="Y23" s="19"/>
      <c r="Z23" s="58"/>
      <c r="AA23" s="58"/>
      <c r="AB23" s="58"/>
      <c r="AC23" s="19">
        <f t="shared" ref="AC23:AD23" si="51">sum(AC2:AC6)</f>
        <v>510132</v>
      </c>
      <c r="AD23" s="19">
        <f t="shared" si="51"/>
        <v>610997</v>
      </c>
      <c r="AE23" s="58"/>
      <c r="AF23" s="58"/>
      <c r="AG23" s="19">
        <f t="shared" ref="AG23:AH23" si="52">sum(AG2:AG6)</f>
        <v>133130</v>
      </c>
      <c r="AH23" s="19">
        <f t="shared" si="52"/>
        <v>237211</v>
      </c>
      <c r="AI23" s="23"/>
      <c r="AJ23" s="58"/>
      <c r="AK23" s="58"/>
      <c r="AL23" s="58"/>
      <c r="AM23" s="19">
        <f t="shared" ref="AM23:AN23" si="53">sum(AM2:AM6)</f>
        <v>643262</v>
      </c>
      <c r="AN23" s="19">
        <f t="shared" si="53"/>
        <v>753664</v>
      </c>
      <c r="AO23" s="58"/>
      <c r="AP23" s="58"/>
      <c r="AQ23" s="19">
        <f t="shared" ref="AQ23:AR23" si="54">sum(AQ2:AQ6)</f>
        <v>0</v>
      </c>
      <c r="AR23" s="19">
        <f t="shared" si="54"/>
        <v>237211</v>
      </c>
      <c r="AS23" s="23"/>
      <c r="AT23" s="58"/>
      <c r="AU23" s="58"/>
      <c r="AV23" s="58"/>
      <c r="AW23" s="19">
        <f t="shared" ref="AW23:AX23" si="55">sum(AW2:AW6)</f>
        <v>643262</v>
      </c>
      <c r="AX23" s="19">
        <f t="shared" si="55"/>
        <v>946051</v>
      </c>
      <c r="AY23" s="58"/>
      <c r="AZ23" s="56"/>
      <c r="BA23" s="56"/>
      <c r="BB23" s="56"/>
      <c r="BC23" s="56"/>
      <c r="BD23" s="56"/>
      <c r="BE23" s="56"/>
      <c r="BF23" s="56"/>
      <c r="BG23" s="56"/>
    </row>
    <row r="24">
      <c r="A24" s="62" t="s">
        <v>44</v>
      </c>
      <c r="B24" s="58"/>
      <c r="C24" s="63">
        <f t="shared" ref="C24:D24" si="56">sum(C7:C11)</f>
        <v>83718</v>
      </c>
      <c r="D24" s="63">
        <f t="shared" si="56"/>
        <v>208309</v>
      </c>
      <c r="E24" s="63"/>
      <c r="F24" s="20" t="str">
        <f>sum(C24-E24)/E24</f>
        <v>#DIV/0!</v>
      </c>
      <c r="G24" s="64">
        <f t="shared" ref="G24:J24" si="57">sum(G7:G11)</f>
        <v>0</v>
      </c>
      <c r="H24" s="64">
        <f t="shared" si="57"/>
        <v>0.2026452959</v>
      </c>
      <c r="I24" s="63">
        <f t="shared" si="57"/>
        <v>83718</v>
      </c>
      <c r="J24" s="63">
        <f t="shared" si="57"/>
        <v>121152</v>
      </c>
      <c r="K24" s="65">
        <f>sum(I24-J24)/J24</f>
        <v>-0.3089837559</v>
      </c>
      <c r="L24" s="58"/>
      <c r="M24" s="63">
        <f t="shared" ref="M24:N24" si="58">sum(M7:M11)</f>
        <v>86395</v>
      </c>
      <c r="N24" s="63">
        <f t="shared" si="58"/>
        <v>208309</v>
      </c>
      <c r="O24" s="63"/>
      <c r="P24" s="20" t="str">
        <f>sum(M24-O24)/O24</f>
        <v>#DIV/0!</v>
      </c>
      <c r="Q24" s="64">
        <f t="shared" ref="Q24:T24" si="59">sum(Q7:Q11)</f>
        <v>0</v>
      </c>
      <c r="R24" s="64">
        <f t="shared" si="59"/>
        <v>0.4117704583</v>
      </c>
      <c r="S24" s="63">
        <f t="shared" si="59"/>
        <v>170113</v>
      </c>
      <c r="T24" s="63">
        <f t="shared" si="59"/>
        <v>241998</v>
      </c>
      <c r="U24" s="65">
        <f>sum(S24-T24)/T24</f>
        <v>-0.2970479095</v>
      </c>
      <c r="V24" s="58"/>
      <c r="W24" s="63">
        <f t="shared" ref="W24:X24" si="60">sum(W7:W11)</f>
        <v>91381</v>
      </c>
      <c r="X24" s="63">
        <f t="shared" si="60"/>
        <v>208309</v>
      </c>
      <c r="Y24" s="63"/>
      <c r="Z24" s="20" t="str">
        <f>sum(W24-Y24)/Y24</f>
        <v>#DIV/0!</v>
      </c>
      <c r="AA24" s="64">
        <f t="shared" ref="AA24:AD24" si="61">sum(AA7:AA11)</f>
        <v>0</v>
      </c>
      <c r="AB24" s="64">
        <f t="shared" si="61"/>
        <v>0.6329645837</v>
      </c>
      <c r="AC24" s="63">
        <f t="shared" si="61"/>
        <v>261494</v>
      </c>
      <c r="AD24" s="63">
        <f t="shared" si="61"/>
        <v>335297</v>
      </c>
      <c r="AE24" s="65">
        <f>sum(AC24-AD24)/AD24</f>
        <v>-0.2201123183</v>
      </c>
      <c r="AF24" s="60"/>
      <c r="AG24" s="63">
        <f t="shared" ref="AG24:AH24" si="62">sum(AG7:AG11)</f>
        <v>112183</v>
      </c>
      <c r="AH24" s="63">
        <f t="shared" si="62"/>
        <v>208309</v>
      </c>
      <c r="AI24" s="23"/>
      <c r="AJ24" s="20" t="str">
        <f>sum(AG24-AI24)/AI24</f>
        <v>#DIV/0!</v>
      </c>
      <c r="AK24" s="64">
        <f t="shared" ref="AK24:AN24" si="63">sum(AK7:AK11)</f>
        <v>0</v>
      </c>
      <c r="AL24" s="64">
        <f t="shared" si="63"/>
        <v>0.9045114103</v>
      </c>
      <c r="AM24" s="63">
        <f t="shared" si="63"/>
        <v>373677</v>
      </c>
      <c r="AN24" s="63">
        <f t="shared" si="63"/>
        <v>454009</v>
      </c>
      <c r="AO24" s="65">
        <f>sum(AM24-AN24)/AN24</f>
        <v>-0.1769392237</v>
      </c>
      <c r="AP24" s="60"/>
      <c r="AQ24" s="63">
        <f t="shared" ref="AQ24:AR24" si="64">sum(AQ7:AQ11)</f>
        <v>80086</v>
      </c>
      <c r="AR24" s="63">
        <f t="shared" si="64"/>
        <v>208309</v>
      </c>
      <c r="AS24" s="23"/>
      <c r="AT24" s="20" t="str">
        <f>sum(AQ24-AS24)/AS24</f>
        <v>#DIV/0!</v>
      </c>
      <c r="AU24" s="64">
        <f t="shared" ref="AU24:AX24" si="65">sum(AU7:AU11)</f>
        <v>0</v>
      </c>
      <c r="AV24" s="64">
        <f t="shared" si="65"/>
        <v>1.098365195</v>
      </c>
      <c r="AW24" s="63">
        <f t="shared" si="65"/>
        <v>453763</v>
      </c>
      <c r="AX24" s="63">
        <f t="shared" si="65"/>
        <v>556575</v>
      </c>
      <c r="AY24" s="65">
        <f>sum(AW24-AX24)/AX24</f>
        <v>-0.184722634</v>
      </c>
      <c r="AZ24" s="66"/>
      <c r="BA24" s="66"/>
      <c r="BB24" s="66"/>
      <c r="BC24" s="66"/>
      <c r="BD24" s="66"/>
      <c r="BE24" s="66"/>
      <c r="BF24" s="66"/>
      <c r="BG24" s="66"/>
    </row>
    <row r="25">
      <c r="A25" s="67" t="s">
        <v>28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</row>
    <row r="26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</row>
    <row r="27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69"/>
      <c r="BA27" s="69"/>
      <c r="BB27" s="69"/>
      <c r="BC27" s="69"/>
      <c r="BD27" s="69"/>
      <c r="BE27" s="69"/>
      <c r="BF27" s="69"/>
      <c r="BG27" s="69"/>
    </row>
    <row r="28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69"/>
      <c r="BA28" s="69"/>
      <c r="BB28" s="69"/>
      <c r="BC28" s="69"/>
      <c r="BD28" s="69"/>
      <c r="BE28" s="69"/>
      <c r="BF28" s="69"/>
      <c r="BG28" s="69"/>
    </row>
    <row r="29">
      <c r="A29" s="70"/>
      <c r="D29" s="70"/>
      <c r="N29" s="70"/>
      <c r="W29" s="71"/>
      <c r="X29" s="70"/>
      <c r="AF29" s="72"/>
      <c r="AG29" s="73"/>
      <c r="AH29" s="72"/>
      <c r="AI29" s="72"/>
      <c r="AJ29" s="72"/>
      <c r="AK29" s="72"/>
      <c r="AL29" s="72"/>
      <c r="AM29" s="73"/>
      <c r="AN29" s="74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</row>
    <row r="30">
      <c r="A30" s="70"/>
      <c r="D30" s="70"/>
      <c r="N30" s="70"/>
      <c r="W30" s="71"/>
      <c r="X30" s="70"/>
      <c r="AF30" s="72"/>
      <c r="AG30" s="73"/>
      <c r="AH30" s="72"/>
      <c r="AI30" s="72"/>
      <c r="AJ30" s="72"/>
      <c r="AK30" s="72"/>
      <c r="AL30" s="72"/>
      <c r="AM30" s="73"/>
      <c r="AN30" s="74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</row>
    <row r="31">
      <c r="A31" s="70"/>
      <c r="D31" s="70"/>
      <c r="N31" s="70"/>
      <c r="W31" s="71"/>
      <c r="X31" s="70"/>
      <c r="AF31" s="72"/>
      <c r="AG31" s="73"/>
      <c r="AH31" s="72"/>
      <c r="AI31" s="72"/>
      <c r="AJ31" s="72"/>
      <c r="AK31" s="72"/>
      <c r="AL31" s="72"/>
      <c r="AM31" s="73"/>
      <c r="AN31" s="74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</row>
    <row r="32">
      <c r="A32" s="70"/>
      <c r="D32" s="70"/>
      <c r="N32" s="70"/>
      <c r="W32" s="71"/>
      <c r="X32" s="70"/>
      <c r="AF32" s="72"/>
      <c r="AG32" s="73"/>
      <c r="AH32" s="72"/>
      <c r="AI32" s="72"/>
      <c r="AJ32" s="72"/>
      <c r="AK32" s="72"/>
      <c r="AL32" s="72"/>
      <c r="AM32" s="73"/>
      <c r="AN32" s="74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</row>
    <row r="33">
      <c r="A33" s="70"/>
      <c r="D33" s="70"/>
      <c r="N33" s="70"/>
      <c r="W33" s="71"/>
      <c r="X33" s="70"/>
      <c r="AF33" s="72"/>
      <c r="AG33" s="73"/>
      <c r="AH33" s="72"/>
      <c r="AI33" s="72"/>
      <c r="AJ33" s="72"/>
      <c r="AK33" s="72"/>
      <c r="AL33" s="72"/>
      <c r="AM33" s="73"/>
      <c r="AN33" s="74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</row>
    <row r="34">
      <c r="A34" s="70"/>
      <c r="D34" s="70"/>
      <c r="N34" s="70"/>
      <c r="W34" s="71"/>
      <c r="X34" s="70"/>
      <c r="AF34" s="72"/>
      <c r="AG34" s="73"/>
      <c r="AH34" s="72"/>
      <c r="AI34" s="72"/>
      <c r="AJ34" s="72"/>
      <c r="AK34" s="72"/>
      <c r="AL34" s="72"/>
      <c r="AM34" s="73"/>
      <c r="AN34" s="74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</row>
    <row r="35">
      <c r="A35" s="70"/>
      <c r="D35" s="70"/>
      <c r="N35" s="70"/>
      <c r="W35" s="71"/>
      <c r="X35" s="70"/>
      <c r="AF35" s="72"/>
      <c r="AG35" s="73"/>
      <c r="AH35" s="72"/>
      <c r="AI35" s="72"/>
      <c r="AJ35" s="72"/>
      <c r="AK35" s="72"/>
      <c r="AL35" s="72"/>
      <c r="AM35" s="73"/>
      <c r="AN35" s="74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</row>
    <row r="36">
      <c r="A36" s="70"/>
      <c r="D36" s="70"/>
      <c r="N36" s="70"/>
      <c r="W36" s="71"/>
      <c r="X36" s="70"/>
      <c r="AF36" s="72"/>
      <c r="AG36" s="73"/>
      <c r="AH36" s="72"/>
      <c r="AI36" s="72"/>
      <c r="AJ36" s="72"/>
      <c r="AK36" s="72"/>
      <c r="AL36" s="72"/>
      <c r="AM36" s="73"/>
      <c r="AN36" s="74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</row>
    <row r="37">
      <c r="A37" s="70"/>
      <c r="D37" s="70"/>
      <c r="N37" s="70"/>
      <c r="W37" s="71"/>
      <c r="X37" s="70"/>
      <c r="AF37" s="72"/>
      <c r="AG37" s="73"/>
      <c r="AH37" s="72"/>
      <c r="AI37" s="72"/>
      <c r="AJ37" s="72"/>
      <c r="AK37" s="72"/>
      <c r="AL37" s="72"/>
      <c r="AM37" s="73"/>
      <c r="AN37" s="74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</row>
    <row r="38">
      <c r="A38" s="70"/>
      <c r="D38" s="70"/>
      <c r="N38" s="70"/>
      <c r="W38" s="71"/>
      <c r="X38" s="70"/>
      <c r="AF38" s="72"/>
      <c r="AG38" s="73"/>
      <c r="AH38" s="72"/>
      <c r="AI38" s="72"/>
      <c r="AJ38" s="72"/>
      <c r="AK38" s="72"/>
      <c r="AL38" s="72"/>
      <c r="AM38" s="73"/>
      <c r="AN38" s="74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</row>
    <row r="39">
      <c r="A39" s="70"/>
      <c r="D39" s="70"/>
      <c r="N39" s="70"/>
      <c r="W39" s="71"/>
      <c r="X39" s="70"/>
      <c r="AF39" s="72"/>
      <c r="AG39" s="73"/>
      <c r="AH39" s="72"/>
      <c r="AI39" s="72"/>
      <c r="AJ39" s="72"/>
      <c r="AK39" s="72"/>
      <c r="AL39" s="72"/>
      <c r="AM39" s="73"/>
      <c r="AN39" s="74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</row>
    <row r="40">
      <c r="A40" s="70"/>
      <c r="D40" s="70"/>
      <c r="N40" s="70"/>
      <c r="W40" s="71"/>
      <c r="X40" s="70"/>
      <c r="AF40" s="72"/>
      <c r="AG40" s="73"/>
      <c r="AH40" s="72"/>
      <c r="AI40" s="72"/>
      <c r="AJ40" s="72"/>
      <c r="AK40" s="72"/>
      <c r="AL40" s="72"/>
      <c r="AM40" s="73"/>
      <c r="AN40" s="74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</row>
    <row r="41">
      <c r="A41" s="70"/>
      <c r="D41" s="70"/>
      <c r="N41" s="70"/>
      <c r="W41" s="71"/>
      <c r="X41" s="70"/>
      <c r="AF41" s="72"/>
      <c r="AG41" s="73"/>
      <c r="AH41" s="72"/>
      <c r="AI41" s="72"/>
      <c r="AJ41" s="72"/>
      <c r="AK41" s="72"/>
      <c r="AL41" s="72"/>
      <c r="AM41" s="73"/>
      <c r="AN41" s="74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</row>
    <row r="42">
      <c r="A42" s="70"/>
      <c r="D42" s="70"/>
      <c r="N42" s="70"/>
      <c r="W42" s="71"/>
      <c r="X42" s="70"/>
      <c r="AF42" s="72"/>
      <c r="AG42" s="73"/>
      <c r="AH42" s="72"/>
      <c r="AI42" s="72"/>
      <c r="AJ42" s="72"/>
      <c r="AK42" s="72"/>
      <c r="AL42" s="72"/>
      <c r="AM42" s="73"/>
      <c r="AN42" s="74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</row>
    <row r="43">
      <c r="A43" s="70"/>
      <c r="D43" s="70"/>
      <c r="N43" s="70"/>
      <c r="W43" s="71"/>
      <c r="X43" s="70"/>
      <c r="AF43" s="72"/>
      <c r="AG43" s="73"/>
      <c r="AH43" s="72"/>
      <c r="AI43" s="72"/>
      <c r="AJ43" s="72"/>
      <c r="AK43" s="72"/>
      <c r="AL43" s="72"/>
      <c r="AM43" s="73"/>
      <c r="AN43" s="74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</row>
    <row r="44">
      <c r="A44" s="70"/>
      <c r="D44" s="70"/>
      <c r="N44" s="70"/>
      <c r="W44" s="71"/>
      <c r="X44" s="70"/>
      <c r="AF44" s="72"/>
      <c r="AG44" s="73"/>
      <c r="AH44" s="72"/>
      <c r="AI44" s="72"/>
      <c r="AJ44" s="72"/>
      <c r="AK44" s="72"/>
      <c r="AL44" s="72"/>
      <c r="AM44" s="73"/>
      <c r="AN44" s="74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</row>
    <row r="45">
      <c r="A45" s="70"/>
      <c r="D45" s="70"/>
      <c r="N45" s="70"/>
      <c r="W45" s="71"/>
      <c r="X45" s="70"/>
      <c r="AF45" s="72"/>
      <c r="AG45" s="73"/>
      <c r="AH45" s="72"/>
      <c r="AI45" s="72"/>
      <c r="AJ45" s="72"/>
      <c r="AK45" s="72"/>
      <c r="AL45" s="72"/>
      <c r="AM45" s="73"/>
      <c r="AN45" s="74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</row>
    <row r="46">
      <c r="A46" s="70"/>
      <c r="D46" s="70"/>
      <c r="N46" s="70"/>
      <c r="W46" s="71"/>
      <c r="X46" s="70"/>
      <c r="AF46" s="72"/>
      <c r="AG46" s="73"/>
      <c r="AH46" s="72"/>
      <c r="AI46" s="72"/>
      <c r="AJ46" s="72"/>
      <c r="AK46" s="72"/>
      <c r="AL46" s="72"/>
      <c r="AM46" s="73"/>
      <c r="AN46" s="74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</row>
    <row r="47">
      <c r="A47" s="70"/>
      <c r="D47" s="70"/>
      <c r="N47" s="70"/>
      <c r="W47" s="71"/>
      <c r="X47" s="70"/>
      <c r="AF47" s="72"/>
      <c r="AG47" s="73"/>
      <c r="AH47" s="72"/>
      <c r="AI47" s="72"/>
      <c r="AJ47" s="72"/>
      <c r="AK47" s="72"/>
      <c r="AL47" s="72"/>
      <c r="AM47" s="73"/>
      <c r="AN47" s="74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</row>
    <row r="48">
      <c r="A48" s="70"/>
      <c r="D48" s="70"/>
      <c r="N48" s="70"/>
      <c r="W48" s="71"/>
      <c r="X48" s="70"/>
      <c r="AF48" s="72"/>
      <c r="AG48" s="73"/>
      <c r="AH48" s="72"/>
      <c r="AI48" s="72"/>
      <c r="AJ48" s="72"/>
      <c r="AK48" s="72"/>
      <c r="AL48" s="72"/>
      <c r="AM48" s="73"/>
      <c r="AN48" s="74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</row>
    <row r="49">
      <c r="A49" s="70"/>
      <c r="D49" s="70"/>
      <c r="N49" s="70"/>
      <c r="W49" s="71"/>
      <c r="X49" s="70"/>
      <c r="AF49" s="72"/>
      <c r="AG49" s="73"/>
      <c r="AH49" s="72"/>
      <c r="AI49" s="72"/>
      <c r="AJ49" s="72"/>
      <c r="AK49" s="72"/>
      <c r="AL49" s="72"/>
      <c r="AM49" s="73"/>
      <c r="AN49" s="74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</row>
    <row r="50">
      <c r="A50" s="70"/>
      <c r="D50" s="70"/>
      <c r="N50" s="70"/>
      <c r="W50" s="71"/>
      <c r="X50" s="70"/>
      <c r="AF50" s="72"/>
      <c r="AG50" s="73"/>
      <c r="AH50" s="72"/>
      <c r="AI50" s="72"/>
      <c r="AJ50" s="72"/>
      <c r="AK50" s="72"/>
      <c r="AL50" s="72"/>
      <c r="AM50" s="73"/>
      <c r="AN50" s="74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</row>
    <row r="51">
      <c r="A51" s="70"/>
      <c r="D51" s="70"/>
      <c r="N51" s="70"/>
      <c r="W51" s="71"/>
      <c r="X51" s="70"/>
      <c r="AF51" s="72"/>
      <c r="AG51" s="73"/>
      <c r="AH51" s="72"/>
      <c r="AI51" s="72"/>
      <c r="AJ51" s="72"/>
      <c r="AK51" s="72"/>
      <c r="AL51" s="72"/>
      <c r="AM51" s="73"/>
      <c r="AN51" s="74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</row>
    <row r="52">
      <c r="A52" s="70"/>
      <c r="D52" s="70"/>
      <c r="N52" s="70"/>
      <c r="W52" s="71"/>
      <c r="X52" s="70"/>
      <c r="AF52" s="72"/>
      <c r="AG52" s="73"/>
      <c r="AH52" s="72"/>
      <c r="AI52" s="72"/>
      <c r="AJ52" s="72"/>
      <c r="AK52" s="72"/>
      <c r="AL52" s="72"/>
      <c r="AM52" s="73"/>
      <c r="AN52" s="74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</row>
    <row r="53">
      <c r="A53" s="70"/>
      <c r="D53" s="70"/>
      <c r="N53" s="70"/>
      <c r="W53" s="71"/>
      <c r="X53" s="70"/>
      <c r="AF53" s="72"/>
      <c r="AG53" s="73"/>
      <c r="AH53" s="72"/>
      <c r="AI53" s="72"/>
      <c r="AJ53" s="72"/>
      <c r="AK53" s="72"/>
      <c r="AL53" s="72"/>
      <c r="AM53" s="73"/>
      <c r="AN53" s="74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</row>
    <row r="54">
      <c r="A54" s="70"/>
      <c r="D54" s="70"/>
      <c r="N54" s="70"/>
      <c r="W54" s="71"/>
      <c r="X54" s="70"/>
      <c r="AF54" s="72"/>
      <c r="AG54" s="73"/>
      <c r="AH54" s="72"/>
      <c r="AI54" s="72"/>
      <c r="AJ54" s="72"/>
      <c r="AK54" s="72"/>
      <c r="AL54" s="72"/>
      <c r="AM54" s="73"/>
      <c r="AN54" s="74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</row>
    <row r="55">
      <c r="A55" s="70"/>
      <c r="D55" s="70"/>
      <c r="N55" s="70"/>
      <c r="W55" s="71"/>
      <c r="X55" s="70"/>
      <c r="AF55" s="72"/>
      <c r="AG55" s="73"/>
      <c r="AH55" s="72"/>
      <c r="AI55" s="72"/>
      <c r="AJ55" s="72"/>
      <c r="AK55" s="72"/>
      <c r="AL55" s="72"/>
      <c r="AM55" s="73"/>
      <c r="AN55" s="74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</row>
    <row r="56">
      <c r="A56" s="70"/>
      <c r="D56" s="70"/>
      <c r="N56" s="70"/>
      <c r="W56" s="71"/>
      <c r="X56" s="70"/>
      <c r="AF56" s="72"/>
      <c r="AG56" s="73"/>
      <c r="AH56" s="72"/>
      <c r="AI56" s="72"/>
      <c r="AJ56" s="72"/>
      <c r="AK56" s="72"/>
      <c r="AL56" s="72"/>
      <c r="AM56" s="73"/>
      <c r="AN56" s="74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</row>
    <row r="57">
      <c r="A57" s="70"/>
      <c r="D57" s="70"/>
      <c r="N57" s="70"/>
      <c r="W57" s="71"/>
      <c r="X57" s="70"/>
      <c r="AF57" s="72"/>
      <c r="AG57" s="73"/>
      <c r="AH57" s="72"/>
      <c r="AI57" s="72"/>
      <c r="AJ57" s="72"/>
      <c r="AK57" s="72"/>
      <c r="AL57" s="72"/>
      <c r="AM57" s="73"/>
      <c r="AN57" s="74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</row>
    <row r="58">
      <c r="A58" s="70"/>
      <c r="D58" s="70"/>
      <c r="N58" s="70"/>
      <c r="W58" s="71"/>
      <c r="X58" s="70"/>
      <c r="AF58" s="72"/>
      <c r="AG58" s="73"/>
      <c r="AH58" s="72"/>
      <c r="AI58" s="72"/>
      <c r="AJ58" s="72"/>
      <c r="AK58" s="72"/>
      <c r="AL58" s="72"/>
      <c r="AM58" s="73"/>
      <c r="AN58" s="74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</row>
    <row r="59">
      <c r="A59" s="70"/>
      <c r="D59" s="70"/>
      <c r="N59" s="70"/>
      <c r="W59" s="71"/>
      <c r="X59" s="70"/>
      <c r="AF59" s="72"/>
      <c r="AG59" s="73"/>
      <c r="AH59" s="72"/>
      <c r="AI59" s="72"/>
      <c r="AJ59" s="72"/>
      <c r="AK59" s="72"/>
      <c r="AL59" s="72"/>
      <c r="AM59" s="73"/>
      <c r="AN59" s="74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</row>
    <row r="60">
      <c r="A60" s="70"/>
      <c r="D60" s="70"/>
      <c r="N60" s="70"/>
      <c r="W60" s="71"/>
      <c r="X60" s="70"/>
      <c r="AF60" s="72"/>
      <c r="AG60" s="73"/>
      <c r="AH60" s="72"/>
      <c r="AI60" s="72"/>
      <c r="AJ60" s="72"/>
      <c r="AK60" s="72"/>
      <c r="AL60" s="72"/>
      <c r="AM60" s="73"/>
      <c r="AN60" s="74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</row>
    <row r="61">
      <c r="A61" s="70"/>
      <c r="D61" s="70"/>
      <c r="N61" s="70"/>
      <c r="W61" s="71"/>
      <c r="X61" s="70"/>
      <c r="AF61" s="72"/>
      <c r="AG61" s="73"/>
      <c r="AH61" s="72"/>
      <c r="AI61" s="72"/>
      <c r="AJ61" s="72"/>
      <c r="AK61" s="72"/>
      <c r="AL61" s="72"/>
      <c r="AM61" s="73"/>
      <c r="AN61" s="74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</row>
    <row r="62">
      <c r="A62" s="70"/>
      <c r="D62" s="70"/>
      <c r="N62" s="70"/>
      <c r="W62" s="71"/>
      <c r="X62" s="70"/>
      <c r="AF62" s="72"/>
      <c r="AG62" s="73"/>
      <c r="AH62" s="72"/>
      <c r="AI62" s="72"/>
      <c r="AJ62" s="72"/>
      <c r="AK62" s="72"/>
      <c r="AL62" s="72"/>
      <c r="AM62" s="73"/>
      <c r="AN62" s="74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</row>
    <row r="63">
      <c r="A63" s="70"/>
      <c r="D63" s="70"/>
      <c r="N63" s="70"/>
      <c r="W63" s="71"/>
      <c r="X63" s="70"/>
      <c r="AF63" s="72"/>
      <c r="AG63" s="73"/>
      <c r="AH63" s="72"/>
      <c r="AI63" s="72"/>
      <c r="AJ63" s="72"/>
      <c r="AK63" s="72"/>
      <c r="AL63" s="72"/>
      <c r="AM63" s="73"/>
      <c r="AN63" s="74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</row>
    <row r="64">
      <c r="A64" s="70"/>
      <c r="D64" s="70"/>
      <c r="N64" s="70"/>
      <c r="W64" s="71"/>
      <c r="X64" s="70"/>
      <c r="AF64" s="72"/>
      <c r="AG64" s="73"/>
      <c r="AH64" s="72"/>
      <c r="AI64" s="72"/>
      <c r="AJ64" s="72"/>
      <c r="AK64" s="72"/>
      <c r="AL64" s="72"/>
      <c r="AM64" s="73"/>
      <c r="AN64" s="74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</row>
    <row r="65">
      <c r="A65" s="70"/>
      <c r="D65" s="70"/>
      <c r="N65" s="70"/>
      <c r="W65" s="71"/>
      <c r="X65" s="70"/>
      <c r="AF65" s="72"/>
      <c r="AG65" s="73"/>
      <c r="AH65" s="72"/>
      <c r="AI65" s="72"/>
      <c r="AJ65" s="72"/>
      <c r="AK65" s="72"/>
      <c r="AL65" s="72"/>
      <c r="AM65" s="73"/>
      <c r="AN65" s="74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</row>
    <row r="66">
      <c r="A66" s="70"/>
      <c r="D66" s="70"/>
      <c r="N66" s="70"/>
      <c r="W66" s="71"/>
      <c r="X66" s="70"/>
      <c r="AF66" s="72"/>
      <c r="AG66" s="73"/>
      <c r="AH66" s="72"/>
      <c r="AI66" s="72"/>
      <c r="AJ66" s="72"/>
      <c r="AK66" s="72"/>
      <c r="AL66" s="72"/>
      <c r="AM66" s="73"/>
      <c r="AN66" s="74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</row>
    <row r="67">
      <c r="A67" s="70"/>
      <c r="D67" s="70"/>
      <c r="N67" s="70"/>
      <c r="W67" s="71"/>
      <c r="X67" s="70"/>
      <c r="AF67" s="72"/>
      <c r="AG67" s="73"/>
      <c r="AH67" s="72"/>
      <c r="AI67" s="72"/>
      <c r="AJ67" s="72"/>
      <c r="AK67" s="72"/>
      <c r="AL67" s="72"/>
      <c r="AM67" s="73"/>
      <c r="AN67" s="74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</row>
    <row r="68">
      <c r="A68" s="70"/>
      <c r="D68" s="70"/>
      <c r="N68" s="70"/>
      <c r="W68" s="71"/>
      <c r="X68" s="70"/>
      <c r="AF68" s="72"/>
      <c r="AG68" s="73"/>
      <c r="AH68" s="72"/>
      <c r="AI68" s="72"/>
      <c r="AJ68" s="72"/>
      <c r="AK68" s="72"/>
      <c r="AL68" s="72"/>
      <c r="AM68" s="73"/>
      <c r="AN68" s="74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</row>
    <row r="69">
      <c r="A69" s="70"/>
      <c r="D69" s="70"/>
      <c r="N69" s="70"/>
      <c r="W69" s="71"/>
      <c r="X69" s="70"/>
      <c r="AF69" s="72"/>
      <c r="AG69" s="73"/>
      <c r="AH69" s="72"/>
      <c r="AI69" s="72"/>
      <c r="AJ69" s="72"/>
      <c r="AK69" s="72"/>
      <c r="AL69" s="72"/>
      <c r="AM69" s="73"/>
      <c r="AN69" s="74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</row>
    <row r="70">
      <c r="A70" s="70"/>
      <c r="D70" s="70"/>
      <c r="N70" s="70"/>
      <c r="W70" s="71"/>
      <c r="X70" s="70"/>
      <c r="AF70" s="72"/>
      <c r="AG70" s="73"/>
      <c r="AH70" s="72"/>
      <c r="AI70" s="72"/>
      <c r="AJ70" s="72"/>
      <c r="AK70" s="72"/>
      <c r="AL70" s="72"/>
      <c r="AM70" s="73"/>
      <c r="AN70" s="74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</row>
    <row r="71">
      <c r="A71" s="70"/>
      <c r="D71" s="70"/>
      <c r="N71" s="70"/>
      <c r="W71" s="71"/>
      <c r="X71" s="70"/>
      <c r="AF71" s="72"/>
      <c r="AG71" s="73"/>
      <c r="AH71" s="72"/>
      <c r="AI71" s="72"/>
      <c r="AJ71" s="72"/>
      <c r="AK71" s="72"/>
      <c r="AL71" s="72"/>
      <c r="AM71" s="73"/>
      <c r="AN71" s="74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</row>
    <row r="72">
      <c r="A72" s="70"/>
      <c r="D72" s="70"/>
      <c r="N72" s="70"/>
      <c r="W72" s="71"/>
      <c r="X72" s="70"/>
      <c r="AF72" s="72"/>
      <c r="AG72" s="73"/>
      <c r="AH72" s="72"/>
      <c r="AI72" s="72"/>
      <c r="AJ72" s="72"/>
      <c r="AK72" s="72"/>
      <c r="AL72" s="72"/>
      <c r="AM72" s="73"/>
      <c r="AN72" s="74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</row>
    <row r="73">
      <c r="A73" s="70"/>
      <c r="D73" s="70"/>
      <c r="N73" s="70"/>
      <c r="W73" s="71"/>
      <c r="X73" s="70"/>
      <c r="AF73" s="72"/>
      <c r="AG73" s="73"/>
      <c r="AH73" s="72"/>
      <c r="AI73" s="72"/>
      <c r="AJ73" s="72"/>
      <c r="AK73" s="72"/>
      <c r="AL73" s="72"/>
      <c r="AM73" s="73"/>
      <c r="AN73" s="74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</row>
    <row r="74">
      <c r="A74" s="70"/>
      <c r="D74" s="70"/>
      <c r="N74" s="70"/>
      <c r="W74" s="71"/>
      <c r="X74" s="70"/>
      <c r="AF74" s="72"/>
      <c r="AG74" s="73"/>
      <c r="AH74" s="72"/>
      <c r="AI74" s="72"/>
      <c r="AJ74" s="72"/>
      <c r="AK74" s="72"/>
      <c r="AL74" s="72"/>
      <c r="AM74" s="73"/>
      <c r="AN74" s="74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</row>
    <row r="75">
      <c r="A75" s="70"/>
      <c r="D75" s="70"/>
      <c r="N75" s="70"/>
      <c r="W75" s="71"/>
      <c r="X75" s="70"/>
      <c r="AF75" s="72"/>
      <c r="AG75" s="73"/>
      <c r="AH75" s="72"/>
      <c r="AI75" s="72"/>
      <c r="AJ75" s="72"/>
      <c r="AK75" s="72"/>
      <c r="AL75" s="72"/>
      <c r="AM75" s="73"/>
      <c r="AN75" s="74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</row>
    <row r="76">
      <c r="A76" s="70"/>
      <c r="D76" s="70"/>
      <c r="N76" s="70"/>
      <c r="W76" s="71"/>
      <c r="X76" s="70"/>
      <c r="AF76" s="72"/>
      <c r="AG76" s="73"/>
      <c r="AH76" s="72"/>
      <c r="AI76" s="72"/>
      <c r="AJ76" s="72"/>
      <c r="AK76" s="72"/>
      <c r="AL76" s="72"/>
      <c r="AM76" s="73"/>
      <c r="AN76" s="74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</row>
    <row r="77">
      <c r="A77" s="70"/>
      <c r="D77" s="70"/>
      <c r="N77" s="70"/>
      <c r="W77" s="71"/>
      <c r="X77" s="70"/>
      <c r="AF77" s="72"/>
      <c r="AG77" s="73"/>
      <c r="AH77" s="72"/>
      <c r="AI77" s="72"/>
      <c r="AJ77" s="72"/>
      <c r="AK77" s="72"/>
      <c r="AL77" s="72"/>
      <c r="AM77" s="73"/>
      <c r="AN77" s="74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</row>
    <row r="78">
      <c r="A78" s="70"/>
      <c r="D78" s="70"/>
      <c r="N78" s="70"/>
      <c r="W78" s="71"/>
      <c r="X78" s="70"/>
      <c r="AF78" s="72"/>
      <c r="AG78" s="73"/>
      <c r="AH78" s="72"/>
      <c r="AI78" s="72"/>
      <c r="AJ78" s="72"/>
      <c r="AK78" s="72"/>
      <c r="AL78" s="72"/>
      <c r="AM78" s="73"/>
      <c r="AN78" s="74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</row>
    <row r="79">
      <c r="A79" s="70"/>
      <c r="D79" s="70"/>
      <c r="N79" s="70"/>
      <c r="W79" s="71"/>
      <c r="X79" s="70"/>
      <c r="AF79" s="72"/>
      <c r="AG79" s="73"/>
      <c r="AH79" s="72"/>
      <c r="AI79" s="72"/>
      <c r="AJ79" s="72"/>
      <c r="AK79" s="72"/>
      <c r="AL79" s="72"/>
      <c r="AM79" s="73"/>
      <c r="AN79" s="74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</row>
    <row r="80">
      <c r="A80" s="70"/>
      <c r="D80" s="70"/>
      <c r="N80" s="70"/>
      <c r="W80" s="71"/>
      <c r="X80" s="70"/>
      <c r="AF80" s="72"/>
      <c r="AG80" s="73"/>
      <c r="AH80" s="72"/>
      <c r="AI80" s="72"/>
      <c r="AJ80" s="72"/>
      <c r="AK80" s="72"/>
      <c r="AL80" s="72"/>
      <c r="AM80" s="73"/>
      <c r="AN80" s="74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</row>
    <row r="81">
      <c r="A81" s="70"/>
      <c r="D81" s="70"/>
      <c r="N81" s="70"/>
      <c r="W81" s="71"/>
      <c r="X81" s="70"/>
      <c r="AF81" s="72"/>
      <c r="AG81" s="73"/>
      <c r="AH81" s="72"/>
      <c r="AI81" s="72"/>
      <c r="AJ81" s="72"/>
      <c r="AK81" s="72"/>
      <c r="AL81" s="72"/>
      <c r="AM81" s="73"/>
      <c r="AN81" s="74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</row>
    <row r="82">
      <c r="A82" s="70"/>
      <c r="D82" s="70"/>
      <c r="N82" s="70"/>
      <c r="W82" s="71"/>
      <c r="X82" s="70"/>
      <c r="AF82" s="72"/>
      <c r="AG82" s="73"/>
      <c r="AH82" s="72"/>
      <c r="AI82" s="72"/>
      <c r="AJ82" s="72"/>
      <c r="AK82" s="72"/>
      <c r="AL82" s="72"/>
      <c r="AM82" s="73"/>
      <c r="AN82" s="74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</row>
    <row r="83">
      <c r="A83" s="70"/>
      <c r="D83" s="70"/>
      <c r="N83" s="70"/>
      <c r="W83" s="71"/>
      <c r="X83" s="70"/>
      <c r="AF83" s="72"/>
      <c r="AG83" s="73"/>
      <c r="AH83" s="72"/>
      <c r="AI83" s="72"/>
      <c r="AJ83" s="72"/>
      <c r="AK83" s="72"/>
      <c r="AL83" s="72"/>
      <c r="AM83" s="73"/>
      <c r="AN83" s="74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</row>
    <row r="84">
      <c r="A84" s="70"/>
      <c r="D84" s="70"/>
      <c r="N84" s="70"/>
      <c r="W84" s="71"/>
      <c r="X84" s="70"/>
      <c r="AF84" s="72"/>
      <c r="AG84" s="73"/>
      <c r="AH84" s="72"/>
      <c r="AI84" s="72"/>
      <c r="AJ84" s="72"/>
      <c r="AK84" s="72"/>
      <c r="AL84" s="72"/>
      <c r="AM84" s="73"/>
      <c r="AN84" s="74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</row>
    <row r="85">
      <c r="A85" s="70"/>
      <c r="D85" s="70"/>
      <c r="N85" s="70"/>
      <c r="W85" s="71"/>
      <c r="X85" s="70"/>
      <c r="AF85" s="72"/>
      <c r="AG85" s="73"/>
      <c r="AH85" s="72"/>
      <c r="AI85" s="72"/>
      <c r="AJ85" s="72"/>
      <c r="AK85" s="72"/>
      <c r="AL85" s="72"/>
      <c r="AM85" s="73"/>
      <c r="AN85" s="74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</row>
    <row r="86">
      <c r="A86" s="70"/>
      <c r="D86" s="70"/>
      <c r="N86" s="70"/>
      <c r="W86" s="71"/>
      <c r="X86" s="70"/>
      <c r="AF86" s="72"/>
      <c r="AG86" s="73"/>
      <c r="AH86" s="72"/>
      <c r="AI86" s="72"/>
      <c r="AJ86" s="72"/>
      <c r="AK86" s="72"/>
      <c r="AL86" s="72"/>
      <c r="AM86" s="73"/>
      <c r="AN86" s="74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</row>
    <row r="87">
      <c r="A87" s="70"/>
      <c r="D87" s="70"/>
      <c r="N87" s="70"/>
      <c r="W87" s="71"/>
      <c r="X87" s="70"/>
      <c r="AF87" s="72"/>
      <c r="AG87" s="73"/>
      <c r="AH87" s="72"/>
      <c r="AI87" s="72"/>
      <c r="AJ87" s="72"/>
      <c r="AK87" s="72"/>
      <c r="AL87" s="72"/>
      <c r="AM87" s="73"/>
      <c r="AN87" s="74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</row>
    <row r="88">
      <c r="A88" s="70"/>
      <c r="D88" s="70"/>
      <c r="N88" s="70"/>
      <c r="W88" s="71"/>
      <c r="X88" s="70"/>
      <c r="AF88" s="72"/>
      <c r="AG88" s="73"/>
      <c r="AH88" s="72"/>
      <c r="AI88" s="72"/>
      <c r="AJ88" s="72"/>
      <c r="AK88" s="72"/>
      <c r="AL88" s="72"/>
      <c r="AM88" s="73"/>
      <c r="AN88" s="74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</row>
    <row r="89">
      <c r="A89" s="70"/>
      <c r="D89" s="70"/>
      <c r="N89" s="70"/>
      <c r="W89" s="71"/>
      <c r="X89" s="70"/>
      <c r="AF89" s="72"/>
      <c r="AG89" s="73"/>
      <c r="AH89" s="72"/>
      <c r="AI89" s="72"/>
      <c r="AJ89" s="72"/>
      <c r="AK89" s="72"/>
      <c r="AL89" s="72"/>
      <c r="AM89" s="73"/>
      <c r="AN89" s="74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</row>
    <row r="90">
      <c r="A90" s="70"/>
      <c r="D90" s="70"/>
      <c r="N90" s="70"/>
      <c r="W90" s="71"/>
      <c r="X90" s="70"/>
      <c r="AF90" s="72"/>
      <c r="AG90" s="73"/>
      <c r="AH90" s="72"/>
      <c r="AI90" s="72"/>
      <c r="AJ90" s="72"/>
      <c r="AK90" s="72"/>
      <c r="AL90" s="72"/>
      <c r="AM90" s="73"/>
      <c r="AN90" s="74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</row>
    <row r="91">
      <c r="A91" s="70"/>
      <c r="D91" s="70"/>
      <c r="N91" s="70"/>
      <c r="W91" s="71"/>
      <c r="X91" s="70"/>
      <c r="AF91" s="72"/>
      <c r="AG91" s="73"/>
      <c r="AH91" s="72"/>
      <c r="AI91" s="72"/>
      <c r="AJ91" s="72"/>
      <c r="AK91" s="72"/>
      <c r="AL91" s="72"/>
      <c r="AM91" s="73"/>
      <c r="AN91" s="74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</row>
    <row r="92">
      <c r="A92" s="70"/>
      <c r="D92" s="70"/>
      <c r="N92" s="70"/>
      <c r="W92" s="71"/>
      <c r="X92" s="70"/>
      <c r="AF92" s="72"/>
      <c r="AG92" s="73"/>
      <c r="AH92" s="72"/>
      <c r="AI92" s="72"/>
      <c r="AJ92" s="72"/>
      <c r="AK92" s="72"/>
      <c r="AL92" s="72"/>
      <c r="AM92" s="73"/>
      <c r="AN92" s="74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</row>
    <row r="93">
      <c r="A93" s="70"/>
      <c r="D93" s="70"/>
      <c r="N93" s="70"/>
      <c r="W93" s="71"/>
      <c r="X93" s="70"/>
      <c r="AF93" s="72"/>
      <c r="AG93" s="73"/>
      <c r="AH93" s="72"/>
      <c r="AI93" s="72"/>
      <c r="AJ93" s="72"/>
      <c r="AK93" s="72"/>
      <c r="AL93" s="72"/>
      <c r="AM93" s="73"/>
      <c r="AN93" s="74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</row>
    <row r="94">
      <c r="A94" s="70"/>
      <c r="D94" s="70"/>
      <c r="N94" s="70"/>
      <c r="W94" s="71"/>
      <c r="X94" s="70"/>
      <c r="AF94" s="72"/>
      <c r="AG94" s="73"/>
      <c r="AH94" s="72"/>
      <c r="AI94" s="72"/>
      <c r="AJ94" s="72"/>
      <c r="AK94" s="72"/>
      <c r="AL94" s="72"/>
      <c r="AM94" s="73"/>
      <c r="AN94" s="74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</row>
    <row r="95">
      <c r="A95" s="70"/>
      <c r="D95" s="70"/>
      <c r="N95" s="70"/>
      <c r="W95" s="71"/>
      <c r="X95" s="70"/>
      <c r="AF95" s="72"/>
      <c r="AG95" s="73"/>
      <c r="AH95" s="72"/>
      <c r="AI95" s="72"/>
      <c r="AJ95" s="72"/>
      <c r="AK95" s="72"/>
      <c r="AL95" s="72"/>
      <c r="AM95" s="73"/>
      <c r="AN95" s="74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</row>
    <row r="96">
      <c r="A96" s="70"/>
      <c r="D96" s="70"/>
      <c r="N96" s="70"/>
      <c r="W96" s="71"/>
      <c r="X96" s="70"/>
      <c r="AF96" s="72"/>
      <c r="AG96" s="73"/>
      <c r="AH96" s="72"/>
      <c r="AI96" s="72"/>
      <c r="AJ96" s="72"/>
      <c r="AK96" s="72"/>
      <c r="AL96" s="72"/>
      <c r="AM96" s="73"/>
      <c r="AN96" s="74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</row>
    <row r="97">
      <c r="A97" s="70"/>
      <c r="D97" s="70"/>
      <c r="N97" s="70"/>
      <c r="W97" s="71"/>
      <c r="X97" s="70"/>
      <c r="AF97" s="72"/>
      <c r="AG97" s="73"/>
      <c r="AH97" s="72"/>
      <c r="AI97" s="72"/>
      <c r="AJ97" s="72"/>
      <c r="AK97" s="72"/>
      <c r="AL97" s="72"/>
      <c r="AM97" s="73"/>
      <c r="AN97" s="74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</row>
    <row r="98">
      <c r="A98" s="70"/>
      <c r="D98" s="70"/>
      <c r="N98" s="70"/>
      <c r="W98" s="71"/>
      <c r="X98" s="70"/>
      <c r="AF98" s="72"/>
      <c r="AG98" s="73"/>
      <c r="AH98" s="72"/>
      <c r="AI98" s="72"/>
      <c r="AJ98" s="72"/>
      <c r="AK98" s="72"/>
      <c r="AL98" s="72"/>
      <c r="AM98" s="73"/>
      <c r="AN98" s="74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</row>
    <row r="99">
      <c r="A99" s="70"/>
      <c r="D99" s="70"/>
      <c r="N99" s="70"/>
      <c r="W99" s="71"/>
      <c r="X99" s="70"/>
      <c r="AF99" s="72"/>
      <c r="AG99" s="73"/>
      <c r="AH99" s="72"/>
      <c r="AI99" s="72"/>
      <c r="AJ99" s="72"/>
      <c r="AK99" s="72"/>
      <c r="AL99" s="72"/>
      <c r="AM99" s="73"/>
      <c r="AN99" s="74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</row>
    <row r="100">
      <c r="A100" s="70"/>
      <c r="D100" s="70"/>
      <c r="N100" s="70"/>
      <c r="W100" s="71"/>
      <c r="X100" s="70"/>
      <c r="AF100" s="72"/>
      <c r="AG100" s="73"/>
      <c r="AH100" s="72"/>
      <c r="AI100" s="72"/>
      <c r="AJ100" s="72"/>
      <c r="AK100" s="72"/>
      <c r="AL100" s="72"/>
      <c r="AM100" s="73"/>
      <c r="AN100" s="74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</row>
    <row r="101">
      <c r="A101" s="70"/>
      <c r="D101" s="70"/>
      <c r="N101" s="70"/>
      <c r="W101" s="71"/>
      <c r="X101" s="70"/>
      <c r="AF101" s="72"/>
      <c r="AG101" s="73"/>
      <c r="AH101" s="72"/>
      <c r="AI101" s="72"/>
      <c r="AJ101" s="72"/>
      <c r="AK101" s="72"/>
      <c r="AL101" s="72"/>
      <c r="AM101" s="73"/>
      <c r="AN101" s="74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</row>
    <row r="102">
      <c r="A102" s="70"/>
      <c r="D102" s="70"/>
      <c r="N102" s="70"/>
      <c r="W102" s="71"/>
      <c r="X102" s="70"/>
      <c r="AF102" s="72"/>
      <c r="AG102" s="73"/>
      <c r="AH102" s="72"/>
      <c r="AI102" s="72"/>
      <c r="AJ102" s="72"/>
      <c r="AK102" s="72"/>
      <c r="AL102" s="72"/>
      <c r="AM102" s="73"/>
      <c r="AN102" s="74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</row>
    <row r="103">
      <c r="A103" s="70"/>
      <c r="D103" s="70"/>
      <c r="N103" s="70"/>
      <c r="W103" s="71"/>
      <c r="X103" s="70"/>
      <c r="AF103" s="72"/>
      <c r="AG103" s="73"/>
      <c r="AH103" s="72"/>
      <c r="AI103" s="72"/>
      <c r="AJ103" s="72"/>
      <c r="AK103" s="72"/>
      <c r="AL103" s="72"/>
      <c r="AM103" s="73"/>
      <c r="AN103" s="74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</row>
    <row r="104">
      <c r="A104" s="70"/>
      <c r="D104" s="70"/>
      <c r="N104" s="70"/>
      <c r="W104" s="71"/>
      <c r="X104" s="70"/>
      <c r="AF104" s="72"/>
      <c r="AG104" s="73"/>
      <c r="AH104" s="72"/>
      <c r="AI104" s="72"/>
      <c r="AJ104" s="72"/>
      <c r="AK104" s="72"/>
      <c r="AL104" s="72"/>
      <c r="AM104" s="73"/>
      <c r="AN104" s="74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</row>
    <row r="105">
      <c r="A105" s="70"/>
      <c r="D105" s="70"/>
      <c r="N105" s="70"/>
      <c r="W105" s="71"/>
      <c r="X105" s="70"/>
      <c r="AF105" s="72"/>
      <c r="AG105" s="73"/>
      <c r="AH105" s="72"/>
      <c r="AI105" s="72"/>
      <c r="AJ105" s="72"/>
      <c r="AK105" s="72"/>
      <c r="AL105" s="72"/>
      <c r="AM105" s="73"/>
      <c r="AN105" s="74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</row>
    <row r="106">
      <c r="A106" s="70"/>
      <c r="D106" s="70"/>
      <c r="N106" s="70"/>
      <c r="W106" s="71"/>
      <c r="X106" s="70"/>
      <c r="AF106" s="72"/>
      <c r="AG106" s="73"/>
      <c r="AH106" s="72"/>
      <c r="AI106" s="72"/>
      <c r="AJ106" s="72"/>
      <c r="AK106" s="72"/>
      <c r="AL106" s="72"/>
      <c r="AM106" s="73"/>
      <c r="AN106" s="74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</row>
    <row r="107">
      <c r="A107" s="70"/>
      <c r="D107" s="70"/>
      <c r="N107" s="70"/>
      <c r="W107" s="71"/>
      <c r="X107" s="70"/>
      <c r="AF107" s="72"/>
      <c r="AG107" s="73"/>
      <c r="AH107" s="72"/>
      <c r="AI107" s="72"/>
      <c r="AJ107" s="72"/>
      <c r="AK107" s="72"/>
      <c r="AL107" s="72"/>
      <c r="AM107" s="73"/>
      <c r="AN107" s="74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</row>
    <row r="108">
      <c r="A108" s="70"/>
      <c r="D108" s="70"/>
      <c r="N108" s="70"/>
      <c r="W108" s="71"/>
      <c r="X108" s="70"/>
      <c r="AF108" s="72"/>
      <c r="AG108" s="73"/>
      <c r="AH108" s="72"/>
      <c r="AI108" s="72"/>
      <c r="AJ108" s="72"/>
      <c r="AK108" s="72"/>
      <c r="AL108" s="72"/>
      <c r="AM108" s="73"/>
      <c r="AN108" s="74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</row>
    <row r="109">
      <c r="A109" s="70"/>
      <c r="D109" s="70"/>
      <c r="N109" s="70"/>
      <c r="W109" s="71"/>
      <c r="X109" s="70"/>
      <c r="AF109" s="72"/>
      <c r="AG109" s="73"/>
      <c r="AH109" s="72"/>
      <c r="AI109" s="72"/>
      <c r="AJ109" s="72"/>
      <c r="AK109" s="72"/>
      <c r="AL109" s="72"/>
      <c r="AM109" s="73"/>
      <c r="AN109" s="74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</row>
    <row r="110">
      <c r="A110" s="70"/>
      <c r="D110" s="70"/>
      <c r="N110" s="70"/>
      <c r="W110" s="71"/>
      <c r="X110" s="70"/>
      <c r="AF110" s="72"/>
      <c r="AG110" s="73"/>
      <c r="AH110" s="72"/>
      <c r="AI110" s="72"/>
      <c r="AJ110" s="72"/>
      <c r="AK110" s="72"/>
      <c r="AL110" s="72"/>
      <c r="AM110" s="73"/>
      <c r="AN110" s="74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</row>
    <row r="111">
      <c r="A111" s="70"/>
      <c r="D111" s="70"/>
      <c r="N111" s="70"/>
      <c r="W111" s="71"/>
      <c r="X111" s="70"/>
      <c r="AF111" s="72"/>
      <c r="AG111" s="73"/>
      <c r="AH111" s="72"/>
      <c r="AI111" s="72"/>
      <c r="AJ111" s="72"/>
      <c r="AK111" s="72"/>
      <c r="AL111" s="72"/>
      <c r="AM111" s="73"/>
      <c r="AN111" s="74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</row>
    <row r="112">
      <c r="A112" s="70"/>
      <c r="D112" s="70"/>
      <c r="N112" s="70"/>
      <c r="W112" s="71"/>
      <c r="X112" s="70"/>
      <c r="AF112" s="72"/>
      <c r="AG112" s="73"/>
      <c r="AH112" s="72"/>
      <c r="AI112" s="72"/>
      <c r="AJ112" s="72"/>
      <c r="AK112" s="72"/>
      <c r="AL112" s="72"/>
      <c r="AM112" s="73"/>
      <c r="AN112" s="74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</row>
    <row r="113">
      <c r="A113" s="70"/>
      <c r="D113" s="70"/>
      <c r="N113" s="70"/>
      <c r="W113" s="71"/>
      <c r="X113" s="70"/>
      <c r="AF113" s="72"/>
      <c r="AG113" s="73"/>
      <c r="AH113" s="72"/>
      <c r="AI113" s="72"/>
      <c r="AJ113" s="72"/>
      <c r="AK113" s="72"/>
      <c r="AL113" s="72"/>
      <c r="AM113" s="73"/>
      <c r="AN113" s="74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</row>
    <row r="114">
      <c r="A114" s="70"/>
      <c r="D114" s="70"/>
      <c r="N114" s="70"/>
      <c r="W114" s="71"/>
      <c r="X114" s="70"/>
      <c r="AF114" s="72"/>
      <c r="AG114" s="73"/>
      <c r="AH114" s="72"/>
      <c r="AI114" s="72"/>
      <c r="AJ114" s="72"/>
      <c r="AK114" s="72"/>
      <c r="AL114" s="72"/>
      <c r="AM114" s="73"/>
      <c r="AN114" s="74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</row>
    <row r="115">
      <c r="A115" s="70"/>
      <c r="D115" s="70"/>
      <c r="N115" s="70"/>
      <c r="W115" s="71"/>
      <c r="X115" s="70"/>
      <c r="AF115" s="72"/>
      <c r="AG115" s="73"/>
      <c r="AH115" s="72"/>
      <c r="AI115" s="72"/>
      <c r="AJ115" s="72"/>
      <c r="AK115" s="72"/>
      <c r="AL115" s="72"/>
      <c r="AM115" s="73"/>
      <c r="AN115" s="74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</row>
    <row r="116">
      <c r="A116" s="70"/>
      <c r="D116" s="70"/>
      <c r="N116" s="70"/>
      <c r="W116" s="71"/>
      <c r="X116" s="70"/>
      <c r="AF116" s="72"/>
      <c r="AG116" s="73"/>
      <c r="AH116" s="72"/>
      <c r="AI116" s="72"/>
      <c r="AJ116" s="72"/>
      <c r="AK116" s="72"/>
      <c r="AL116" s="72"/>
      <c r="AM116" s="73"/>
      <c r="AN116" s="74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</row>
    <row r="117">
      <c r="A117" s="70"/>
      <c r="D117" s="70"/>
      <c r="N117" s="70"/>
      <c r="W117" s="71"/>
      <c r="X117" s="70"/>
      <c r="AF117" s="72"/>
      <c r="AG117" s="73"/>
      <c r="AH117" s="72"/>
      <c r="AI117" s="72"/>
      <c r="AJ117" s="72"/>
      <c r="AK117" s="72"/>
      <c r="AL117" s="72"/>
      <c r="AM117" s="73"/>
      <c r="AN117" s="74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</row>
    <row r="118">
      <c r="A118" s="70"/>
      <c r="D118" s="70"/>
      <c r="N118" s="70"/>
      <c r="W118" s="71"/>
      <c r="X118" s="70"/>
      <c r="AF118" s="72"/>
      <c r="AG118" s="73"/>
      <c r="AH118" s="72"/>
      <c r="AI118" s="72"/>
      <c r="AJ118" s="72"/>
      <c r="AK118" s="72"/>
      <c r="AL118" s="72"/>
      <c r="AM118" s="73"/>
      <c r="AN118" s="74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</row>
    <row r="119">
      <c r="A119" s="70"/>
      <c r="D119" s="70"/>
      <c r="N119" s="70"/>
      <c r="W119" s="71"/>
      <c r="X119" s="70"/>
      <c r="AF119" s="72"/>
      <c r="AG119" s="73"/>
      <c r="AH119" s="72"/>
      <c r="AI119" s="72"/>
      <c r="AJ119" s="72"/>
      <c r="AK119" s="72"/>
      <c r="AL119" s="72"/>
      <c r="AM119" s="73"/>
      <c r="AN119" s="74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</row>
    <row r="120">
      <c r="A120" s="70"/>
      <c r="D120" s="70"/>
      <c r="N120" s="70"/>
      <c r="W120" s="71"/>
      <c r="X120" s="70"/>
      <c r="AF120" s="72"/>
      <c r="AG120" s="73"/>
      <c r="AH120" s="72"/>
      <c r="AI120" s="72"/>
      <c r="AJ120" s="72"/>
      <c r="AK120" s="72"/>
      <c r="AL120" s="72"/>
      <c r="AM120" s="73"/>
      <c r="AN120" s="74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</row>
    <row r="121">
      <c r="A121" s="70"/>
      <c r="D121" s="70"/>
      <c r="N121" s="70"/>
      <c r="W121" s="71"/>
      <c r="X121" s="70"/>
      <c r="AF121" s="72"/>
      <c r="AG121" s="73"/>
      <c r="AH121" s="72"/>
      <c r="AI121" s="72"/>
      <c r="AJ121" s="72"/>
      <c r="AK121" s="72"/>
      <c r="AL121" s="72"/>
      <c r="AM121" s="73"/>
      <c r="AN121" s="74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</row>
    <row r="122">
      <c r="A122" s="70"/>
      <c r="D122" s="70"/>
      <c r="N122" s="70"/>
      <c r="W122" s="71"/>
      <c r="X122" s="70"/>
      <c r="AF122" s="72"/>
      <c r="AG122" s="73"/>
      <c r="AH122" s="72"/>
      <c r="AI122" s="72"/>
      <c r="AJ122" s="72"/>
      <c r="AK122" s="72"/>
      <c r="AL122" s="72"/>
      <c r="AM122" s="73"/>
      <c r="AN122" s="74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</row>
    <row r="123">
      <c r="A123" s="70"/>
      <c r="D123" s="70"/>
      <c r="N123" s="70"/>
      <c r="W123" s="71"/>
      <c r="X123" s="70"/>
      <c r="AF123" s="72"/>
      <c r="AG123" s="73"/>
      <c r="AH123" s="72"/>
      <c r="AI123" s="72"/>
      <c r="AJ123" s="72"/>
      <c r="AK123" s="72"/>
      <c r="AL123" s="72"/>
      <c r="AM123" s="73"/>
      <c r="AN123" s="74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</row>
    <row r="124">
      <c r="A124" s="70"/>
      <c r="D124" s="70"/>
      <c r="N124" s="70"/>
      <c r="W124" s="71"/>
      <c r="X124" s="70"/>
      <c r="AF124" s="72"/>
      <c r="AG124" s="73"/>
      <c r="AH124" s="72"/>
      <c r="AI124" s="72"/>
      <c r="AJ124" s="72"/>
      <c r="AK124" s="72"/>
      <c r="AL124" s="72"/>
      <c r="AM124" s="73"/>
      <c r="AN124" s="74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</row>
    <row r="125">
      <c r="A125" s="70"/>
      <c r="D125" s="70"/>
      <c r="N125" s="70"/>
      <c r="W125" s="71"/>
      <c r="X125" s="70"/>
      <c r="AF125" s="72"/>
      <c r="AG125" s="73"/>
      <c r="AH125" s="72"/>
      <c r="AI125" s="72"/>
      <c r="AJ125" s="72"/>
      <c r="AK125" s="72"/>
      <c r="AL125" s="72"/>
      <c r="AM125" s="73"/>
      <c r="AN125" s="74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</row>
    <row r="126">
      <c r="A126" s="70"/>
      <c r="D126" s="70"/>
      <c r="N126" s="70"/>
      <c r="W126" s="71"/>
      <c r="X126" s="70"/>
      <c r="AF126" s="72"/>
      <c r="AG126" s="73"/>
      <c r="AH126" s="72"/>
      <c r="AI126" s="72"/>
      <c r="AJ126" s="72"/>
      <c r="AK126" s="72"/>
      <c r="AL126" s="72"/>
      <c r="AM126" s="73"/>
      <c r="AN126" s="74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</row>
    <row r="127">
      <c r="A127" s="70"/>
      <c r="D127" s="70"/>
      <c r="N127" s="70"/>
      <c r="W127" s="71"/>
      <c r="X127" s="70"/>
      <c r="AF127" s="72"/>
      <c r="AG127" s="73"/>
      <c r="AH127" s="72"/>
      <c r="AI127" s="72"/>
      <c r="AJ127" s="72"/>
      <c r="AK127" s="72"/>
      <c r="AL127" s="72"/>
      <c r="AM127" s="73"/>
      <c r="AN127" s="74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</row>
    <row r="128">
      <c r="A128" s="70"/>
      <c r="D128" s="70"/>
      <c r="N128" s="70"/>
      <c r="W128" s="71"/>
      <c r="X128" s="70"/>
      <c r="AF128" s="72"/>
      <c r="AG128" s="73"/>
      <c r="AH128" s="72"/>
      <c r="AI128" s="72"/>
      <c r="AJ128" s="72"/>
      <c r="AK128" s="72"/>
      <c r="AL128" s="72"/>
      <c r="AM128" s="73"/>
      <c r="AN128" s="74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</row>
    <row r="129">
      <c r="A129" s="70"/>
      <c r="D129" s="70"/>
      <c r="N129" s="70"/>
      <c r="W129" s="71"/>
      <c r="X129" s="70"/>
      <c r="AF129" s="72"/>
      <c r="AG129" s="73"/>
      <c r="AH129" s="72"/>
      <c r="AI129" s="72"/>
      <c r="AJ129" s="72"/>
      <c r="AK129" s="72"/>
      <c r="AL129" s="72"/>
      <c r="AM129" s="73"/>
      <c r="AN129" s="74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</row>
    <row r="130">
      <c r="A130" s="70"/>
      <c r="D130" s="70"/>
      <c r="N130" s="70"/>
      <c r="W130" s="71"/>
      <c r="X130" s="70"/>
      <c r="AF130" s="72"/>
      <c r="AG130" s="73"/>
      <c r="AH130" s="72"/>
      <c r="AI130" s="72"/>
      <c r="AJ130" s="72"/>
      <c r="AK130" s="72"/>
      <c r="AL130" s="72"/>
      <c r="AM130" s="73"/>
      <c r="AN130" s="74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</row>
    <row r="131">
      <c r="A131" s="70"/>
      <c r="D131" s="70"/>
      <c r="N131" s="70"/>
      <c r="W131" s="71"/>
      <c r="X131" s="70"/>
      <c r="AF131" s="72"/>
      <c r="AG131" s="73"/>
      <c r="AH131" s="72"/>
      <c r="AI131" s="72"/>
      <c r="AJ131" s="72"/>
      <c r="AK131" s="72"/>
      <c r="AL131" s="72"/>
      <c r="AM131" s="73"/>
      <c r="AN131" s="74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</row>
    <row r="132">
      <c r="A132" s="70"/>
      <c r="D132" s="70"/>
      <c r="N132" s="70"/>
      <c r="W132" s="71"/>
      <c r="X132" s="70"/>
      <c r="AF132" s="72"/>
      <c r="AG132" s="73"/>
      <c r="AH132" s="72"/>
      <c r="AI132" s="72"/>
      <c r="AJ132" s="72"/>
      <c r="AK132" s="72"/>
      <c r="AL132" s="72"/>
      <c r="AM132" s="73"/>
      <c r="AN132" s="74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</row>
    <row r="133">
      <c r="A133" s="70"/>
      <c r="D133" s="70"/>
      <c r="N133" s="70"/>
      <c r="W133" s="71"/>
      <c r="X133" s="70"/>
      <c r="AF133" s="72"/>
      <c r="AG133" s="73"/>
      <c r="AH133" s="72"/>
      <c r="AI133" s="72"/>
      <c r="AJ133" s="72"/>
      <c r="AK133" s="72"/>
      <c r="AL133" s="72"/>
      <c r="AM133" s="73"/>
      <c r="AN133" s="74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</row>
    <row r="134">
      <c r="A134" s="70"/>
      <c r="D134" s="70"/>
      <c r="N134" s="70"/>
      <c r="W134" s="71"/>
      <c r="X134" s="70"/>
      <c r="AF134" s="72"/>
      <c r="AG134" s="73"/>
      <c r="AH134" s="72"/>
      <c r="AI134" s="72"/>
      <c r="AJ134" s="72"/>
      <c r="AK134" s="72"/>
      <c r="AL134" s="72"/>
      <c r="AM134" s="73"/>
      <c r="AN134" s="74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</row>
    <row r="135">
      <c r="A135" s="70"/>
      <c r="D135" s="70"/>
      <c r="N135" s="70"/>
      <c r="W135" s="71"/>
      <c r="X135" s="70"/>
      <c r="AF135" s="72"/>
      <c r="AG135" s="73"/>
      <c r="AH135" s="72"/>
      <c r="AI135" s="72"/>
      <c r="AJ135" s="72"/>
      <c r="AK135" s="72"/>
      <c r="AL135" s="72"/>
      <c r="AM135" s="73"/>
      <c r="AN135" s="74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</row>
    <row r="136">
      <c r="A136" s="70"/>
      <c r="D136" s="70"/>
      <c r="N136" s="70"/>
      <c r="W136" s="71"/>
      <c r="X136" s="70"/>
      <c r="AF136" s="72"/>
      <c r="AG136" s="73"/>
      <c r="AH136" s="72"/>
      <c r="AI136" s="72"/>
      <c r="AJ136" s="72"/>
      <c r="AK136" s="72"/>
      <c r="AL136" s="72"/>
      <c r="AM136" s="73"/>
      <c r="AN136" s="74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</row>
    <row r="137">
      <c r="A137" s="70"/>
      <c r="D137" s="70"/>
      <c r="N137" s="70"/>
      <c r="W137" s="71"/>
      <c r="X137" s="70"/>
      <c r="AF137" s="72"/>
      <c r="AG137" s="73"/>
      <c r="AH137" s="72"/>
      <c r="AI137" s="72"/>
      <c r="AJ137" s="72"/>
      <c r="AK137" s="72"/>
      <c r="AL137" s="72"/>
      <c r="AM137" s="73"/>
      <c r="AN137" s="74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</row>
    <row r="138">
      <c r="A138" s="70"/>
      <c r="D138" s="70"/>
      <c r="N138" s="70"/>
      <c r="W138" s="71"/>
      <c r="X138" s="70"/>
      <c r="AF138" s="72"/>
      <c r="AG138" s="73"/>
      <c r="AH138" s="72"/>
      <c r="AI138" s="72"/>
      <c r="AJ138" s="72"/>
      <c r="AK138" s="72"/>
      <c r="AL138" s="72"/>
      <c r="AM138" s="73"/>
      <c r="AN138" s="74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</row>
    <row r="139">
      <c r="A139" s="70"/>
      <c r="D139" s="70"/>
      <c r="N139" s="70"/>
      <c r="W139" s="71"/>
      <c r="X139" s="70"/>
      <c r="AF139" s="72"/>
      <c r="AG139" s="73"/>
      <c r="AH139" s="72"/>
      <c r="AI139" s="72"/>
      <c r="AJ139" s="72"/>
      <c r="AK139" s="72"/>
      <c r="AL139" s="72"/>
      <c r="AM139" s="73"/>
      <c r="AN139" s="74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</row>
    <row r="140">
      <c r="A140" s="70"/>
      <c r="D140" s="70"/>
      <c r="N140" s="70"/>
      <c r="W140" s="71"/>
      <c r="X140" s="70"/>
      <c r="AF140" s="72"/>
      <c r="AG140" s="73"/>
      <c r="AH140" s="72"/>
      <c r="AI140" s="72"/>
      <c r="AJ140" s="72"/>
      <c r="AK140" s="72"/>
      <c r="AL140" s="72"/>
      <c r="AM140" s="73"/>
      <c r="AN140" s="74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</row>
    <row r="141">
      <c r="A141" s="70"/>
      <c r="D141" s="70"/>
      <c r="N141" s="70"/>
      <c r="W141" s="71"/>
      <c r="X141" s="70"/>
      <c r="AF141" s="72"/>
      <c r="AG141" s="73"/>
      <c r="AH141" s="72"/>
      <c r="AI141" s="72"/>
      <c r="AJ141" s="72"/>
      <c r="AK141" s="72"/>
      <c r="AL141" s="72"/>
      <c r="AM141" s="73"/>
      <c r="AN141" s="74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</row>
    <row r="142">
      <c r="A142" s="70"/>
      <c r="D142" s="70"/>
      <c r="N142" s="70"/>
      <c r="W142" s="71"/>
      <c r="X142" s="70"/>
      <c r="AF142" s="72"/>
      <c r="AG142" s="73"/>
      <c r="AH142" s="72"/>
      <c r="AI142" s="72"/>
      <c r="AJ142" s="72"/>
      <c r="AK142" s="72"/>
      <c r="AL142" s="72"/>
      <c r="AM142" s="73"/>
      <c r="AN142" s="74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</row>
    <row r="143">
      <c r="A143" s="70"/>
      <c r="D143" s="70"/>
      <c r="N143" s="70"/>
      <c r="W143" s="71"/>
      <c r="X143" s="70"/>
      <c r="AF143" s="72"/>
      <c r="AG143" s="73"/>
      <c r="AH143" s="72"/>
      <c r="AI143" s="72"/>
      <c r="AJ143" s="72"/>
      <c r="AK143" s="72"/>
      <c r="AL143" s="72"/>
      <c r="AM143" s="73"/>
      <c r="AN143" s="74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</row>
    <row r="144">
      <c r="A144" s="70"/>
      <c r="D144" s="70"/>
      <c r="N144" s="70"/>
      <c r="W144" s="71"/>
      <c r="X144" s="70"/>
      <c r="AF144" s="72"/>
      <c r="AG144" s="73"/>
      <c r="AH144" s="72"/>
      <c r="AI144" s="72"/>
      <c r="AJ144" s="72"/>
      <c r="AK144" s="72"/>
      <c r="AL144" s="72"/>
      <c r="AM144" s="73"/>
      <c r="AN144" s="74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</row>
    <row r="145">
      <c r="A145" s="70"/>
      <c r="D145" s="70"/>
      <c r="N145" s="70"/>
      <c r="W145" s="71"/>
      <c r="X145" s="70"/>
      <c r="AF145" s="72"/>
      <c r="AG145" s="73"/>
      <c r="AH145" s="72"/>
      <c r="AI145" s="72"/>
      <c r="AJ145" s="72"/>
      <c r="AK145" s="72"/>
      <c r="AL145" s="72"/>
      <c r="AM145" s="73"/>
      <c r="AN145" s="74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</row>
    <row r="146">
      <c r="A146" s="70"/>
      <c r="D146" s="70"/>
      <c r="N146" s="70"/>
      <c r="W146" s="71"/>
      <c r="X146" s="70"/>
      <c r="AF146" s="72"/>
      <c r="AG146" s="73"/>
      <c r="AH146" s="72"/>
      <c r="AI146" s="72"/>
      <c r="AJ146" s="72"/>
      <c r="AK146" s="72"/>
      <c r="AL146" s="72"/>
      <c r="AM146" s="73"/>
      <c r="AN146" s="74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</row>
    <row r="147">
      <c r="A147" s="70"/>
      <c r="D147" s="70"/>
      <c r="N147" s="70"/>
      <c r="W147" s="71"/>
      <c r="X147" s="70"/>
      <c r="AF147" s="72"/>
      <c r="AG147" s="73"/>
      <c r="AH147" s="72"/>
      <c r="AI147" s="72"/>
      <c r="AJ147" s="72"/>
      <c r="AK147" s="72"/>
      <c r="AL147" s="72"/>
      <c r="AM147" s="73"/>
      <c r="AN147" s="74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</row>
    <row r="148">
      <c r="A148" s="70"/>
      <c r="D148" s="70"/>
      <c r="N148" s="70"/>
      <c r="W148" s="71"/>
      <c r="X148" s="70"/>
      <c r="AF148" s="72"/>
      <c r="AG148" s="73"/>
      <c r="AH148" s="72"/>
      <c r="AI148" s="72"/>
      <c r="AJ148" s="72"/>
      <c r="AK148" s="72"/>
      <c r="AL148" s="72"/>
      <c r="AM148" s="73"/>
      <c r="AN148" s="74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</row>
    <row r="149">
      <c r="A149" s="70"/>
      <c r="D149" s="70"/>
      <c r="N149" s="70"/>
      <c r="W149" s="71"/>
      <c r="X149" s="70"/>
      <c r="AF149" s="72"/>
      <c r="AG149" s="73"/>
      <c r="AH149" s="72"/>
      <c r="AI149" s="72"/>
      <c r="AJ149" s="72"/>
      <c r="AK149" s="72"/>
      <c r="AL149" s="72"/>
      <c r="AM149" s="73"/>
      <c r="AN149" s="74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</row>
    <row r="150">
      <c r="A150" s="70"/>
      <c r="D150" s="70"/>
      <c r="N150" s="70"/>
      <c r="W150" s="71"/>
      <c r="X150" s="70"/>
      <c r="AF150" s="72"/>
      <c r="AG150" s="73"/>
      <c r="AH150" s="72"/>
      <c r="AI150" s="72"/>
      <c r="AJ150" s="72"/>
      <c r="AK150" s="72"/>
      <c r="AL150" s="72"/>
      <c r="AM150" s="73"/>
      <c r="AN150" s="74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</row>
    <row r="151">
      <c r="A151" s="70"/>
      <c r="D151" s="70"/>
      <c r="N151" s="70"/>
      <c r="W151" s="71"/>
      <c r="X151" s="70"/>
      <c r="AF151" s="72"/>
      <c r="AG151" s="73"/>
      <c r="AH151" s="72"/>
      <c r="AI151" s="72"/>
      <c r="AJ151" s="72"/>
      <c r="AK151" s="72"/>
      <c r="AL151" s="72"/>
      <c r="AM151" s="73"/>
      <c r="AN151" s="74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</row>
    <row r="152">
      <c r="A152" s="70"/>
      <c r="D152" s="70"/>
      <c r="N152" s="70"/>
      <c r="W152" s="71"/>
      <c r="X152" s="70"/>
      <c r="AF152" s="72"/>
      <c r="AG152" s="73"/>
      <c r="AH152" s="72"/>
      <c r="AI152" s="72"/>
      <c r="AJ152" s="72"/>
      <c r="AK152" s="72"/>
      <c r="AL152" s="72"/>
      <c r="AM152" s="73"/>
      <c r="AN152" s="74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</row>
    <row r="153">
      <c r="A153" s="70"/>
      <c r="D153" s="70"/>
      <c r="N153" s="70"/>
      <c r="W153" s="71"/>
      <c r="X153" s="70"/>
      <c r="AF153" s="72"/>
      <c r="AG153" s="73"/>
      <c r="AH153" s="72"/>
      <c r="AI153" s="72"/>
      <c r="AJ153" s="72"/>
      <c r="AK153" s="72"/>
      <c r="AL153" s="72"/>
      <c r="AM153" s="73"/>
      <c r="AN153" s="74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</row>
    <row r="154">
      <c r="A154" s="70"/>
      <c r="D154" s="70"/>
      <c r="N154" s="70"/>
      <c r="W154" s="71"/>
      <c r="X154" s="70"/>
      <c r="AF154" s="72"/>
      <c r="AG154" s="73"/>
      <c r="AH154" s="72"/>
      <c r="AI154" s="72"/>
      <c r="AJ154" s="72"/>
      <c r="AK154" s="72"/>
      <c r="AL154" s="72"/>
      <c r="AM154" s="73"/>
      <c r="AN154" s="74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</row>
    <row r="155">
      <c r="A155" s="70"/>
      <c r="D155" s="70"/>
      <c r="N155" s="70"/>
      <c r="W155" s="71"/>
      <c r="X155" s="70"/>
      <c r="AF155" s="72"/>
      <c r="AG155" s="73"/>
      <c r="AH155" s="72"/>
      <c r="AI155" s="72"/>
      <c r="AJ155" s="72"/>
      <c r="AK155" s="72"/>
      <c r="AL155" s="72"/>
      <c r="AM155" s="73"/>
      <c r="AN155" s="74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</row>
    <row r="156">
      <c r="A156" s="70"/>
      <c r="D156" s="70"/>
      <c r="N156" s="70"/>
      <c r="W156" s="71"/>
      <c r="X156" s="70"/>
      <c r="AF156" s="72"/>
      <c r="AG156" s="73"/>
      <c r="AH156" s="72"/>
      <c r="AI156" s="72"/>
      <c r="AJ156" s="72"/>
      <c r="AK156" s="72"/>
      <c r="AL156" s="72"/>
      <c r="AM156" s="73"/>
      <c r="AN156" s="74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</row>
    <row r="157">
      <c r="A157" s="70"/>
      <c r="D157" s="70"/>
      <c r="N157" s="70"/>
      <c r="W157" s="71"/>
      <c r="X157" s="70"/>
      <c r="AF157" s="72"/>
      <c r="AG157" s="73"/>
      <c r="AH157" s="72"/>
      <c r="AI157" s="72"/>
      <c r="AJ157" s="72"/>
      <c r="AK157" s="72"/>
      <c r="AL157" s="72"/>
      <c r="AM157" s="73"/>
      <c r="AN157" s="74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</row>
    <row r="158">
      <c r="A158" s="70"/>
      <c r="D158" s="70"/>
      <c r="N158" s="70"/>
      <c r="W158" s="71"/>
      <c r="X158" s="70"/>
      <c r="AF158" s="72"/>
      <c r="AG158" s="73"/>
      <c r="AH158" s="72"/>
      <c r="AI158" s="72"/>
      <c r="AJ158" s="72"/>
      <c r="AK158" s="72"/>
      <c r="AL158" s="72"/>
      <c r="AM158" s="73"/>
      <c r="AN158" s="74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</row>
    <row r="159">
      <c r="A159" s="70"/>
      <c r="D159" s="70"/>
      <c r="N159" s="70"/>
      <c r="W159" s="71"/>
      <c r="X159" s="70"/>
      <c r="AF159" s="72"/>
      <c r="AG159" s="73"/>
      <c r="AH159" s="72"/>
      <c r="AI159" s="72"/>
      <c r="AJ159" s="72"/>
      <c r="AK159" s="72"/>
      <c r="AL159" s="72"/>
      <c r="AM159" s="73"/>
      <c r="AN159" s="74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</row>
    <row r="160">
      <c r="A160" s="70"/>
      <c r="D160" s="70"/>
      <c r="N160" s="70"/>
      <c r="W160" s="71"/>
      <c r="X160" s="70"/>
      <c r="AF160" s="72"/>
      <c r="AG160" s="73"/>
      <c r="AH160" s="72"/>
      <c r="AI160" s="72"/>
      <c r="AJ160" s="72"/>
      <c r="AK160" s="72"/>
      <c r="AL160" s="72"/>
      <c r="AM160" s="73"/>
      <c r="AN160" s="74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</row>
    <row r="161">
      <c r="A161" s="70"/>
      <c r="D161" s="70"/>
      <c r="N161" s="70"/>
      <c r="W161" s="71"/>
      <c r="X161" s="70"/>
      <c r="AF161" s="72"/>
      <c r="AG161" s="73"/>
      <c r="AH161" s="72"/>
      <c r="AI161" s="72"/>
      <c r="AJ161" s="72"/>
      <c r="AK161" s="72"/>
      <c r="AL161" s="72"/>
      <c r="AM161" s="73"/>
      <c r="AN161" s="74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</row>
    <row r="162">
      <c r="A162" s="70"/>
      <c r="D162" s="70"/>
      <c r="N162" s="70"/>
      <c r="W162" s="71"/>
      <c r="X162" s="70"/>
      <c r="AF162" s="72"/>
      <c r="AG162" s="73"/>
      <c r="AH162" s="72"/>
      <c r="AI162" s="72"/>
      <c r="AJ162" s="72"/>
      <c r="AK162" s="72"/>
      <c r="AL162" s="72"/>
      <c r="AM162" s="73"/>
      <c r="AN162" s="74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</row>
    <row r="163">
      <c r="A163" s="70"/>
      <c r="D163" s="70"/>
      <c r="N163" s="70"/>
      <c r="W163" s="71"/>
      <c r="X163" s="70"/>
      <c r="AF163" s="72"/>
      <c r="AG163" s="73"/>
      <c r="AH163" s="72"/>
      <c r="AI163" s="72"/>
      <c r="AJ163" s="72"/>
      <c r="AK163" s="72"/>
      <c r="AL163" s="72"/>
      <c r="AM163" s="73"/>
      <c r="AN163" s="74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</row>
    <row r="164">
      <c r="A164" s="70"/>
      <c r="D164" s="70"/>
      <c r="N164" s="70"/>
      <c r="W164" s="71"/>
      <c r="X164" s="70"/>
      <c r="AF164" s="72"/>
      <c r="AG164" s="73"/>
      <c r="AH164" s="72"/>
      <c r="AI164" s="72"/>
      <c r="AJ164" s="72"/>
      <c r="AK164" s="72"/>
      <c r="AL164" s="72"/>
      <c r="AM164" s="73"/>
      <c r="AN164" s="74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</row>
    <row r="165">
      <c r="A165" s="70"/>
      <c r="D165" s="70"/>
      <c r="N165" s="70"/>
      <c r="W165" s="71"/>
      <c r="X165" s="70"/>
      <c r="AF165" s="72"/>
      <c r="AG165" s="73"/>
      <c r="AH165" s="72"/>
      <c r="AI165" s="72"/>
      <c r="AJ165" s="72"/>
      <c r="AK165" s="72"/>
      <c r="AL165" s="72"/>
      <c r="AM165" s="73"/>
      <c r="AN165" s="74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</row>
    <row r="166">
      <c r="A166" s="70"/>
      <c r="D166" s="70"/>
      <c r="N166" s="70"/>
      <c r="W166" s="71"/>
      <c r="X166" s="70"/>
      <c r="AF166" s="72"/>
      <c r="AG166" s="73"/>
      <c r="AH166" s="72"/>
      <c r="AI166" s="72"/>
      <c r="AJ166" s="72"/>
      <c r="AK166" s="72"/>
      <c r="AL166" s="72"/>
      <c r="AM166" s="73"/>
      <c r="AN166" s="74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</row>
    <row r="167">
      <c r="A167" s="70"/>
      <c r="D167" s="70"/>
      <c r="N167" s="70"/>
      <c r="W167" s="71"/>
      <c r="X167" s="70"/>
      <c r="AF167" s="72"/>
      <c r="AG167" s="73"/>
      <c r="AH167" s="72"/>
      <c r="AI167" s="72"/>
      <c r="AJ167" s="72"/>
      <c r="AK167" s="72"/>
      <c r="AL167" s="72"/>
      <c r="AM167" s="73"/>
      <c r="AN167" s="74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</row>
    <row r="168">
      <c r="A168" s="70"/>
      <c r="D168" s="70"/>
      <c r="N168" s="70"/>
      <c r="W168" s="71"/>
      <c r="X168" s="70"/>
      <c r="AF168" s="72"/>
      <c r="AG168" s="73"/>
      <c r="AH168" s="72"/>
      <c r="AI168" s="72"/>
      <c r="AJ168" s="72"/>
      <c r="AK168" s="72"/>
      <c r="AL168" s="72"/>
      <c r="AM168" s="73"/>
      <c r="AN168" s="74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</row>
    <row r="169">
      <c r="A169" s="70"/>
      <c r="D169" s="70"/>
      <c r="N169" s="70"/>
      <c r="W169" s="71"/>
      <c r="X169" s="70"/>
      <c r="AF169" s="72"/>
      <c r="AG169" s="73"/>
      <c r="AH169" s="72"/>
      <c r="AI169" s="72"/>
      <c r="AJ169" s="72"/>
      <c r="AK169" s="72"/>
      <c r="AL169" s="72"/>
      <c r="AM169" s="73"/>
      <c r="AN169" s="74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</row>
    <row r="170">
      <c r="A170" s="70"/>
      <c r="D170" s="70"/>
      <c r="N170" s="70"/>
      <c r="W170" s="71"/>
      <c r="X170" s="70"/>
      <c r="AF170" s="72"/>
      <c r="AG170" s="73"/>
      <c r="AH170" s="72"/>
      <c r="AI170" s="72"/>
      <c r="AJ170" s="72"/>
      <c r="AK170" s="72"/>
      <c r="AL170" s="72"/>
      <c r="AM170" s="73"/>
      <c r="AN170" s="74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</row>
    <row r="171">
      <c r="A171" s="70"/>
      <c r="D171" s="70"/>
      <c r="N171" s="70"/>
      <c r="W171" s="71"/>
      <c r="X171" s="70"/>
      <c r="AF171" s="72"/>
      <c r="AG171" s="73"/>
      <c r="AH171" s="72"/>
      <c r="AI171" s="72"/>
      <c r="AJ171" s="72"/>
      <c r="AK171" s="72"/>
      <c r="AL171" s="72"/>
      <c r="AM171" s="73"/>
      <c r="AN171" s="74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</row>
    <row r="172">
      <c r="A172" s="70"/>
      <c r="D172" s="70"/>
      <c r="N172" s="70"/>
      <c r="W172" s="71"/>
      <c r="X172" s="70"/>
      <c r="AF172" s="72"/>
      <c r="AG172" s="73"/>
      <c r="AH172" s="72"/>
      <c r="AI172" s="72"/>
      <c r="AJ172" s="72"/>
      <c r="AK172" s="72"/>
      <c r="AL172" s="72"/>
      <c r="AM172" s="73"/>
      <c r="AN172" s="74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</row>
    <row r="173">
      <c r="A173" s="70"/>
      <c r="D173" s="70"/>
      <c r="N173" s="70"/>
      <c r="W173" s="71"/>
      <c r="X173" s="70"/>
      <c r="AF173" s="72"/>
      <c r="AG173" s="73"/>
      <c r="AH173" s="72"/>
      <c r="AI173" s="72"/>
      <c r="AJ173" s="72"/>
      <c r="AK173" s="72"/>
      <c r="AL173" s="72"/>
      <c r="AM173" s="73"/>
      <c r="AN173" s="74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</row>
    <row r="174">
      <c r="A174" s="70"/>
      <c r="D174" s="70"/>
      <c r="N174" s="70"/>
      <c r="W174" s="71"/>
      <c r="X174" s="70"/>
      <c r="AF174" s="72"/>
      <c r="AG174" s="73"/>
      <c r="AH174" s="72"/>
      <c r="AI174" s="72"/>
      <c r="AJ174" s="72"/>
      <c r="AK174" s="72"/>
      <c r="AL174" s="72"/>
      <c r="AM174" s="73"/>
      <c r="AN174" s="74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</row>
    <row r="175">
      <c r="A175" s="70"/>
      <c r="D175" s="70"/>
      <c r="N175" s="70"/>
      <c r="W175" s="71"/>
      <c r="X175" s="70"/>
      <c r="AF175" s="72"/>
      <c r="AG175" s="73"/>
      <c r="AH175" s="72"/>
      <c r="AI175" s="72"/>
      <c r="AJ175" s="72"/>
      <c r="AK175" s="72"/>
      <c r="AL175" s="72"/>
      <c r="AM175" s="73"/>
      <c r="AN175" s="74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</row>
    <row r="176">
      <c r="A176" s="70"/>
      <c r="D176" s="70"/>
      <c r="N176" s="70"/>
      <c r="W176" s="71"/>
      <c r="X176" s="70"/>
      <c r="AF176" s="72"/>
      <c r="AG176" s="73"/>
      <c r="AH176" s="72"/>
      <c r="AI176" s="72"/>
      <c r="AJ176" s="72"/>
      <c r="AK176" s="72"/>
      <c r="AL176" s="72"/>
      <c r="AM176" s="73"/>
      <c r="AN176" s="74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</row>
    <row r="177">
      <c r="A177" s="70"/>
      <c r="D177" s="70"/>
      <c r="N177" s="70"/>
      <c r="W177" s="71"/>
      <c r="X177" s="70"/>
      <c r="AF177" s="72"/>
      <c r="AG177" s="73"/>
      <c r="AH177" s="72"/>
      <c r="AI177" s="72"/>
      <c r="AJ177" s="72"/>
      <c r="AK177" s="72"/>
      <c r="AL177" s="72"/>
      <c r="AM177" s="73"/>
      <c r="AN177" s="74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</row>
    <row r="178">
      <c r="A178" s="70"/>
      <c r="D178" s="70"/>
      <c r="N178" s="70"/>
      <c r="W178" s="71"/>
      <c r="X178" s="70"/>
      <c r="AF178" s="72"/>
      <c r="AG178" s="73"/>
      <c r="AH178" s="72"/>
      <c r="AI178" s="72"/>
      <c r="AJ178" s="72"/>
      <c r="AK178" s="72"/>
      <c r="AL178" s="72"/>
      <c r="AM178" s="73"/>
      <c r="AN178" s="74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</row>
    <row r="179">
      <c r="A179" s="70"/>
      <c r="D179" s="70"/>
      <c r="N179" s="70"/>
      <c r="W179" s="71"/>
      <c r="X179" s="70"/>
      <c r="AF179" s="72"/>
      <c r="AG179" s="73"/>
      <c r="AH179" s="72"/>
      <c r="AI179" s="72"/>
      <c r="AJ179" s="72"/>
      <c r="AK179" s="72"/>
      <c r="AL179" s="72"/>
      <c r="AM179" s="73"/>
      <c r="AN179" s="74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</row>
    <row r="180">
      <c r="A180" s="70"/>
      <c r="D180" s="70"/>
      <c r="N180" s="70"/>
      <c r="W180" s="71"/>
      <c r="X180" s="70"/>
      <c r="AF180" s="72"/>
      <c r="AG180" s="73"/>
      <c r="AH180" s="72"/>
      <c r="AI180" s="72"/>
      <c r="AJ180" s="72"/>
      <c r="AK180" s="72"/>
      <c r="AL180" s="72"/>
      <c r="AM180" s="73"/>
      <c r="AN180" s="74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</row>
    <row r="181">
      <c r="A181" s="70"/>
      <c r="D181" s="70"/>
      <c r="N181" s="70"/>
      <c r="W181" s="71"/>
      <c r="X181" s="70"/>
      <c r="AF181" s="72"/>
      <c r="AG181" s="73"/>
      <c r="AH181" s="72"/>
      <c r="AI181" s="72"/>
      <c r="AJ181" s="72"/>
      <c r="AK181" s="72"/>
      <c r="AL181" s="72"/>
      <c r="AM181" s="73"/>
      <c r="AN181" s="74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</row>
    <row r="182">
      <c r="A182" s="70"/>
      <c r="D182" s="70"/>
      <c r="N182" s="70"/>
      <c r="W182" s="71"/>
      <c r="X182" s="70"/>
      <c r="AF182" s="72"/>
      <c r="AG182" s="73"/>
      <c r="AH182" s="72"/>
      <c r="AI182" s="72"/>
      <c r="AJ182" s="72"/>
      <c r="AK182" s="72"/>
      <c r="AL182" s="72"/>
      <c r="AM182" s="73"/>
      <c r="AN182" s="74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</row>
    <row r="183">
      <c r="A183" s="70"/>
      <c r="D183" s="70"/>
      <c r="N183" s="70"/>
      <c r="W183" s="71"/>
      <c r="X183" s="70"/>
      <c r="AF183" s="72"/>
      <c r="AG183" s="73"/>
      <c r="AH183" s="72"/>
      <c r="AI183" s="72"/>
      <c r="AJ183" s="72"/>
      <c r="AK183" s="72"/>
      <c r="AL183" s="72"/>
      <c r="AM183" s="73"/>
      <c r="AN183" s="74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</row>
    <row r="184">
      <c r="A184" s="70"/>
      <c r="D184" s="70"/>
      <c r="N184" s="70"/>
      <c r="W184" s="71"/>
      <c r="X184" s="70"/>
      <c r="AF184" s="72"/>
      <c r="AG184" s="73"/>
      <c r="AH184" s="72"/>
      <c r="AI184" s="72"/>
      <c r="AJ184" s="72"/>
      <c r="AK184" s="72"/>
      <c r="AL184" s="72"/>
      <c r="AM184" s="73"/>
      <c r="AN184" s="74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</row>
    <row r="185">
      <c r="A185" s="70"/>
      <c r="D185" s="70"/>
      <c r="N185" s="70"/>
      <c r="W185" s="71"/>
      <c r="X185" s="70"/>
      <c r="AF185" s="72"/>
      <c r="AG185" s="73"/>
      <c r="AH185" s="72"/>
      <c r="AI185" s="72"/>
      <c r="AJ185" s="72"/>
      <c r="AK185" s="72"/>
      <c r="AL185" s="72"/>
      <c r="AM185" s="73"/>
      <c r="AN185" s="74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</row>
    <row r="186">
      <c r="A186" s="70"/>
      <c r="D186" s="70"/>
      <c r="N186" s="70"/>
      <c r="W186" s="71"/>
      <c r="X186" s="70"/>
      <c r="AF186" s="72"/>
      <c r="AG186" s="73"/>
      <c r="AH186" s="72"/>
      <c r="AI186" s="72"/>
      <c r="AJ186" s="72"/>
      <c r="AK186" s="72"/>
      <c r="AL186" s="72"/>
      <c r="AM186" s="73"/>
      <c r="AN186" s="74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</row>
    <row r="187">
      <c r="A187" s="70"/>
      <c r="D187" s="70"/>
      <c r="N187" s="70"/>
      <c r="W187" s="71"/>
      <c r="X187" s="70"/>
      <c r="AF187" s="72"/>
      <c r="AG187" s="73"/>
      <c r="AH187" s="72"/>
      <c r="AI187" s="72"/>
      <c r="AJ187" s="72"/>
      <c r="AK187" s="72"/>
      <c r="AL187" s="72"/>
      <c r="AM187" s="73"/>
      <c r="AN187" s="74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</row>
    <row r="188">
      <c r="A188" s="70"/>
      <c r="D188" s="70"/>
      <c r="N188" s="70"/>
      <c r="W188" s="71"/>
      <c r="X188" s="70"/>
      <c r="AF188" s="72"/>
      <c r="AG188" s="73"/>
      <c r="AH188" s="72"/>
      <c r="AI188" s="72"/>
      <c r="AJ188" s="72"/>
      <c r="AK188" s="72"/>
      <c r="AL188" s="72"/>
      <c r="AM188" s="73"/>
      <c r="AN188" s="74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</row>
    <row r="189">
      <c r="A189" s="70"/>
      <c r="D189" s="70"/>
      <c r="N189" s="70"/>
      <c r="W189" s="71"/>
      <c r="X189" s="70"/>
      <c r="AF189" s="72"/>
      <c r="AG189" s="73"/>
      <c r="AH189" s="72"/>
      <c r="AI189" s="72"/>
      <c r="AJ189" s="72"/>
      <c r="AK189" s="72"/>
      <c r="AL189" s="72"/>
      <c r="AM189" s="73"/>
      <c r="AN189" s="74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</row>
    <row r="190">
      <c r="A190" s="70"/>
      <c r="D190" s="70"/>
      <c r="N190" s="70"/>
      <c r="W190" s="71"/>
      <c r="X190" s="70"/>
      <c r="AF190" s="72"/>
      <c r="AG190" s="73"/>
      <c r="AH190" s="72"/>
      <c r="AI190" s="72"/>
      <c r="AJ190" s="72"/>
      <c r="AK190" s="72"/>
      <c r="AL190" s="72"/>
      <c r="AM190" s="73"/>
      <c r="AN190" s="74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</row>
    <row r="191">
      <c r="A191" s="70"/>
      <c r="D191" s="70"/>
      <c r="N191" s="70"/>
      <c r="W191" s="71"/>
      <c r="X191" s="70"/>
      <c r="AF191" s="72"/>
      <c r="AG191" s="73"/>
      <c r="AH191" s="72"/>
      <c r="AI191" s="72"/>
      <c r="AJ191" s="72"/>
      <c r="AK191" s="72"/>
      <c r="AL191" s="72"/>
      <c r="AM191" s="73"/>
      <c r="AN191" s="74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</row>
    <row r="192">
      <c r="A192" s="70"/>
      <c r="D192" s="70"/>
      <c r="N192" s="70"/>
      <c r="W192" s="71"/>
      <c r="X192" s="70"/>
      <c r="AF192" s="72"/>
      <c r="AG192" s="73"/>
      <c r="AH192" s="72"/>
      <c r="AI192" s="72"/>
      <c r="AJ192" s="72"/>
      <c r="AK192" s="72"/>
      <c r="AL192" s="72"/>
      <c r="AM192" s="73"/>
      <c r="AN192" s="74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</row>
    <row r="193">
      <c r="A193" s="70"/>
      <c r="D193" s="70"/>
      <c r="N193" s="70"/>
      <c r="W193" s="71"/>
      <c r="X193" s="70"/>
      <c r="AF193" s="72"/>
      <c r="AG193" s="73"/>
      <c r="AH193" s="72"/>
      <c r="AI193" s="72"/>
      <c r="AJ193" s="72"/>
      <c r="AK193" s="72"/>
      <c r="AL193" s="72"/>
      <c r="AM193" s="73"/>
      <c r="AN193" s="74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</row>
    <row r="194">
      <c r="A194" s="70"/>
      <c r="D194" s="70"/>
      <c r="N194" s="70"/>
      <c r="W194" s="71"/>
      <c r="X194" s="70"/>
      <c r="AF194" s="72"/>
      <c r="AG194" s="73"/>
      <c r="AH194" s="72"/>
      <c r="AI194" s="72"/>
      <c r="AJ194" s="72"/>
      <c r="AK194" s="72"/>
      <c r="AL194" s="72"/>
      <c r="AM194" s="73"/>
      <c r="AN194" s="74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</row>
    <row r="195">
      <c r="A195" s="70"/>
      <c r="D195" s="70"/>
      <c r="N195" s="70"/>
      <c r="W195" s="71"/>
      <c r="X195" s="70"/>
      <c r="AF195" s="72"/>
      <c r="AG195" s="73"/>
      <c r="AH195" s="72"/>
      <c r="AI195" s="72"/>
      <c r="AJ195" s="72"/>
      <c r="AK195" s="72"/>
      <c r="AL195" s="72"/>
      <c r="AM195" s="73"/>
      <c r="AN195" s="74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</row>
    <row r="196">
      <c r="A196" s="70"/>
      <c r="D196" s="70"/>
      <c r="N196" s="70"/>
      <c r="W196" s="71"/>
      <c r="X196" s="70"/>
      <c r="AF196" s="72"/>
      <c r="AG196" s="73"/>
      <c r="AH196" s="72"/>
      <c r="AI196" s="72"/>
      <c r="AJ196" s="72"/>
      <c r="AK196" s="72"/>
      <c r="AL196" s="72"/>
      <c r="AM196" s="73"/>
      <c r="AN196" s="74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</row>
    <row r="197">
      <c r="A197" s="70"/>
      <c r="D197" s="70"/>
      <c r="N197" s="70"/>
      <c r="W197" s="71"/>
      <c r="X197" s="70"/>
      <c r="AF197" s="72"/>
      <c r="AG197" s="73"/>
      <c r="AH197" s="72"/>
      <c r="AI197" s="72"/>
      <c r="AJ197" s="72"/>
      <c r="AK197" s="72"/>
      <c r="AL197" s="72"/>
      <c r="AM197" s="73"/>
      <c r="AN197" s="74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</row>
    <row r="198">
      <c r="A198" s="70"/>
      <c r="D198" s="70"/>
      <c r="N198" s="70"/>
      <c r="W198" s="71"/>
      <c r="X198" s="70"/>
      <c r="AF198" s="72"/>
      <c r="AG198" s="73"/>
      <c r="AH198" s="72"/>
      <c r="AI198" s="72"/>
      <c r="AJ198" s="72"/>
      <c r="AK198" s="72"/>
      <c r="AL198" s="72"/>
      <c r="AM198" s="73"/>
      <c r="AN198" s="74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</row>
    <row r="199">
      <c r="A199" s="70"/>
      <c r="D199" s="70"/>
      <c r="N199" s="70"/>
      <c r="W199" s="71"/>
      <c r="X199" s="70"/>
      <c r="AF199" s="72"/>
      <c r="AG199" s="73"/>
      <c r="AH199" s="72"/>
      <c r="AI199" s="72"/>
      <c r="AJ199" s="72"/>
      <c r="AK199" s="72"/>
      <c r="AL199" s="72"/>
      <c r="AM199" s="73"/>
      <c r="AN199" s="74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</row>
    <row r="200">
      <c r="A200" s="70"/>
      <c r="D200" s="70"/>
      <c r="N200" s="70"/>
      <c r="W200" s="71"/>
      <c r="X200" s="70"/>
      <c r="AF200" s="72"/>
      <c r="AG200" s="73"/>
      <c r="AH200" s="72"/>
      <c r="AI200" s="72"/>
      <c r="AJ200" s="72"/>
      <c r="AK200" s="72"/>
      <c r="AL200" s="72"/>
      <c r="AM200" s="73"/>
      <c r="AN200" s="74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</row>
    <row r="201">
      <c r="A201" s="70"/>
      <c r="D201" s="70"/>
      <c r="N201" s="70"/>
      <c r="W201" s="71"/>
      <c r="X201" s="70"/>
      <c r="AF201" s="72"/>
      <c r="AG201" s="73"/>
      <c r="AH201" s="72"/>
      <c r="AI201" s="72"/>
      <c r="AJ201" s="72"/>
      <c r="AK201" s="72"/>
      <c r="AL201" s="72"/>
      <c r="AM201" s="73"/>
      <c r="AN201" s="74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</row>
    <row r="202">
      <c r="A202" s="70"/>
      <c r="D202" s="70"/>
      <c r="N202" s="70"/>
      <c r="W202" s="71"/>
      <c r="X202" s="70"/>
      <c r="AF202" s="72"/>
      <c r="AG202" s="73"/>
      <c r="AH202" s="72"/>
      <c r="AI202" s="72"/>
      <c r="AJ202" s="72"/>
      <c r="AK202" s="72"/>
      <c r="AL202" s="72"/>
      <c r="AM202" s="73"/>
      <c r="AN202" s="74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</row>
    <row r="203">
      <c r="A203" s="70"/>
      <c r="D203" s="70"/>
      <c r="N203" s="70"/>
      <c r="W203" s="71"/>
      <c r="X203" s="70"/>
      <c r="AF203" s="72"/>
      <c r="AG203" s="73"/>
      <c r="AH203" s="72"/>
      <c r="AI203" s="72"/>
      <c r="AJ203" s="72"/>
      <c r="AK203" s="72"/>
      <c r="AL203" s="72"/>
      <c r="AM203" s="73"/>
      <c r="AN203" s="74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</row>
    <row r="204">
      <c r="A204" s="70"/>
      <c r="D204" s="70"/>
      <c r="N204" s="70"/>
      <c r="W204" s="71"/>
      <c r="X204" s="70"/>
      <c r="AF204" s="72"/>
      <c r="AG204" s="73"/>
      <c r="AH204" s="72"/>
      <c r="AI204" s="72"/>
      <c r="AJ204" s="72"/>
      <c r="AK204" s="72"/>
      <c r="AL204" s="72"/>
      <c r="AM204" s="73"/>
      <c r="AN204" s="74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</row>
    <row r="205">
      <c r="A205" s="70"/>
      <c r="D205" s="70"/>
      <c r="N205" s="70"/>
      <c r="W205" s="71"/>
      <c r="X205" s="70"/>
      <c r="AF205" s="72"/>
      <c r="AG205" s="73"/>
      <c r="AH205" s="72"/>
      <c r="AI205" s="72"/>
      <c r="AJ205" s="72"/>
      <c r="AK205" s="72"/>
      <c r="AL205" s="72"/>
      <c r="AM205" s="73"/>
      <c r="AN205" s="74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</row>
    <row r="206">
      <c r="A206" s="70"/>
      <c r="D206" s="70"/>
      <c r="N206" s="70"/>
      <c r="W206" s="71"/>
      <c r="X206" s="70"/>
      <c r="AF206" s="72"/>
      <c r="AG206" s="73"/>
      <c r="AH206" s="72"/>
      <c r="AI206" s="72"/>
      <c r="AJ206" s="72"/>
      <c r="AK206" s="72"/>
      <c r="AL206" s="72"/>
      <c r="AM206" s="73"/>
      <c r="AN206" s="74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</row>
    <row r="207">
      <c r="A207" s="70"/>
      <c r="D207" s="70"/>
      <c r="N207" s="70"/>
      <c r="W207" s="71"/>
      <c r="X207" s="70"/>
      <c r="AF207" s="72"/>
      <c r="AG207" s="73"/>
      <c r="AH207" s="72"/>
      <c r="AI207" s="72"/>
      <c r="AJ207" s="72"/>
      <c r="AK207" s="72"/>
      <c r="AL207" s="72"/>
      <c r="AM207" s="73"/>
      <c r="AN207" s="74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</row>
    <row r="208">
      <c r="A208" s="70"/>
      <c r="D208" s="70"/>
      <c r="N208" s="70"/>
      <c r="W208" s="71"/>
      <c r="X208" s="70"/>
      <c r="AF208" s="72"/>
      <c r="AG208" s="73"/>
      <c r="AH208" s="72"/>
      <c r="AI208" s="72"/>
      <c r="AJ208" s="72"/>
      <c r="AK208" s="72"/>
      <c r="AL208" s="72"/>
      <c r="AM208" s="73"/>
      <c r="AN208" s="74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</row>
    <row r="209">
      <c r="A209" s="70"/>
      <c r="D209" s="70"/>
      <c r="N209" s="70"/>
      <c r="W209" s="71"/>
      <c r="X209" s="70"/>
      <c r="AF209" s="72"/>
      <c r="AG209" s="73"/>
      <c r="AH209" s="72"/>
      <c r="AI209" s="72"/>
      <c r="AJ209" s="72"/>
      <c r="AK209" s="72"/>
      <c r="AL209" s="72"/>
      <c r="AM209" s="73"/>
      <c r="AN209" s="74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</row>
    <row r="210">
      <c r="A210" s="70"/>
      <c r="D210" s="70"/>
      <c r="N210" s="70"/>
      <c r="W210" s="71"/>
      <c r="X210" s="70"/>
      <c r="AF210" s="72"/>
      <c r="AG210" s="73"/>
      <c r="AH210" s="72"/>
      <c r="AI210" s="72"/>
      <c r="AJ210" s="72"/>
      <c r="AK210" s="72"/>
      <c r="AL210" s="72"/>
      <c r="AM210" s="73"/>
      <c r="AN210" s="74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</row>
    <row r="211">
      <c r="A211" s="70"/>
      <c r="D211" s="70"/>
      <c r="N211" s="70"/>
      <c r="W211" s="71"/>
      <c r="X211" s="70"/>
      <c r="AF211" s="72"/>
      <c r="AG211" s="73"/>
      <c r="AH211" s="72"/>
      <c r="AI211" s="72"/>
      <c r="AJ211" s="72"/>
      <c r="AK211" s="72"/>
      <c r="AL211" s="72"/>
      <c r="AM211" s="73"/>
      <c r="AN211" s="74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</row>
    <row r="212">
      <c r="A212" s="70"/>
      <c r="D212" s="70"/>
      <c r="N212" s="70"/>
      <c r="W212" s="71"/>
      <c r="X212" s="70"/>
      <c r="AF212" s="72"/>
      <c r="AG212" s="73"/>
      <c r="AH212" s="72"/>
      <c r="AI212" s="72"/>
      <c r="AJ212" s="72"/>
      <c r="AK212" s="72"/>
      <c r="AL212" s="72"/>
      <c r="AM212" s="73"/>
      <c r="AN212" s="74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</row>
    <row r="213">
      <c r="A213" s="70"/>
      <c r="D213" s="70"/>
      <c r="N213" s="70"/>
      <c r="W213" s="71"/>
      <c r="X213" s="70"/>
      <c r="AF213" s="72"/>
      <c r="AG213" s="73"/>
      <c r="AH213" s="72"/>
      <c r="AI213" s="72"/>
      <c r="AJ213" s="72"/>
      <c r="AK213" s="72"/>
      <c r="AL213" s="72"/>
      <c r="AM213" s="73"/>
      <c r="AN213" s="74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</row>
    <row r="214">
      <c r="A214" s="70"/>
      <c r="D214" s="70"/>
      <c r="N214" s="70"/>
      <c r="W214" s="71"/>
      <c r="X214" s="70"/>
      <c r="AF214" s="72"/>
      <c r="AG214" s="73"/>
      <c r="AH214" s="72"/>
      <c r="AI214" s="72"/>
      <c r="AJ214" s="72"/>
      <c r="AK214" s="72"/>
      <c r="AL214" s="72"/>
      <c r="AM214" s="73"/>
      <c r="AN214" s="74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</row>
    <row r="215">
      <c r="A215" s="70"/>
      <c r="D215" s="70"/>
      <c r="N215" s="70"/>
      <c r="W215" s="71"/>
      <c r="X215" s="70"/>
      <c r="AF215" s="72"/>
      <c r="AG215" s="73"/>
      <c r="AH215" s="72"/>
      <c r="AI215" s="72"/>
      <c r="AJ215" s="72"/>
      <c r="AK215" s="72"/>
      <c r="AL215" s="72"/>
      <c r="AM215" s="73"/>
      <c r="AN215" s="74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</row>
    <row r="216">
      <c r="A216" s="70"/>
      <c r="D216" s="70"/>
      <c r="N216" s="70"/>
      <c r="W216" s="71"/>
      <c r="X216" s="70"/>
      <c r="AF216" s="72"/>
      <c r="AG216" s="73"/>
      <c r="AH216" s="72"/>
      <c r="AI216" s="72"/>
      <c r="AJ216" s="72"/>
      <c r="AK216" s="72"/>
      <c r="AL216" s="72"/>
      <c r="AM216" s="73"/>
      <c r="AN216" s="74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</row>
    <row r="217">
      <c r="A217" s="70"/>
      <c r="D217" s="70"/>
      <c r="N217" s="70"/>
      <c r="W217" s="71"/>
      <c r="X217" s="70"/>
      <c r="AF217" s="72"/>
      <c r="AG217" s="73"/>
      <c r="AH217" s="72"/>
      <c r="AI217" s="72"/>
      <c r="AJ217" s="72"/>
      <c r="AK217" s="72"/>
      <c r="AL217" s="72"/>
      <c r="AM217" s="73"/>
      <c r="AN217" s="74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</row>
    <row r="218">
      <c r="A218" s="70"/>
      <c r="D218" s="70"/>
      <c r="N218" s="70"/>
      <c r="W218" s="71"/>
      <c r="X218" s="70"/>
      <c r="AF218" s="72"/>
      <c r="AG218" s="73"/>
      <c r="AH218" s="72"/>
      <c r="AI218" s="72"/>
      <c r="AJ218" s="72"/>
      <c r="AK218" s="72"/>
      <c r="AL218" s="72"/>
      <c r="AM218" s="73"/>
      <c r="AN218" s="74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</row>
    <row r="219">
      <c r="A219" s="70"/>
      <c r="D219" s="70"/>
      <c r="N219" s="70"/>
      <c r="W219" s="71"/>
      <c r="X219" s="70"/>
      <c r="AF219" s="72"/>
      <c r="AG219" s="73"/>
      <c r="AH219" s="72"/>
      <c r="AI219" s="72"/>
      <c r="AJ219" s="72"/>
      <c r="AK219" s="72"/>
      <c r="AL219" s="72"/>
      <c r="AM219" s="73"/>
      <c r="AN219" s="74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</row>
    <row r="220">
      <c r="A220" s="70"/>
      <c r="D220" s="70"/>
      <c r="N220" s="70"/>
      <c r="W220" s="71"/>
      <c r="X220" s="70"/>
      <c r="AF220" s="72"/>
      <c r="AG220" s="73"/>
      <c r="AH220" s="72"/>
      <c r="AI220" s="72"/>
      <c r="AJ220" s="72"/>
      <c r="AK220" s="72"/>
      <c r="AL220" s="72"/>
      <c r="AM220" s="73"/>
      <c r="AN220" s="74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</row>
    <row r="221">
      <c r="A221" s="70"/>
      <c r="D221" s="70"/>
      <c r="N221" s="70"/>
      <c r="W221" s="71"/>
      <c r="X221" s="70"/>
      <c r="AF221" s="72"/>
      <c r="AG221" s="73"/>
      <c r="AH221" s="72"/>
      <c r="AI221" s="72"/>
      <c r="AJ221" s="72"/>
      <c r="AK221" s="72"/>
      <c r="AL221" s="72"/>
      <c r="AM221" s="73"/>
      <c r="AN221" s="74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</row>
    <row r="222">
      <c r="A222" s="70"/>
      <c r="D222" s="70"/>
      <c r="N222" s="70"/>
      <c r="W222" s="71"/>
      <c r="X222" s="70"/>
      <c r="AF222" s="72"/>
      <c r="AG222" s="73"/>
      <c r="AH222" s="72"/>
      <c r="AI222" s="72"/>
      <c r="AJ222" s="72"/>
      <c r="AK222" s="72"/>
      <c r="AL222" s="72"/>
      <c r="AM222" s="73"/>
      <c r="AN222" s="74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</row>
    <row r="223">
      <c r="A223" s="70"/>
      <c r="D223" s="70"/>
      <c r="N223" s="70"/>
      <c r="W223" s="71"/>
      <c r="X223" s="70"/>
      <c r="AF223" s="72"/>
      <c r="AG223" s="73"/>
      <c r="AH223" s="72"/>
      <c r="AI223" s="72"/>
      <c r="AJ223" s="72"/>
      <c r="AK223" s="72"/>
      <c r="AL223" s="72"/>
      <c r="AM223" s="73"/>
      <c r="AN223" s="74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</row>
    <row r="224">
      <c r="A224" s="70"/>
      <c r="D224" s="70"/>
      <c r="N224" s="70"/>
      <c r="W224" s="71"/>
      <c r="X224" s="70"/>
      <c r="AF224" s="72"/>
      <c r="AG224" s="73"/>
      <c r="AH224" s="72"/>
      <c r="AI224" s="72"/>
      <c r="AJ224" s="72"/>
      <c r="AK224" s="72"/>
      <c r="AL224" s="72"/>
      <c r="AM224" s="73"/>
      <c r="AN224" s="74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</row>
    <row r="225">
      <c r="A225" s="70"/>
      <c r="D225" s="70"/>
      <c r="N225" s="70"/>
      <c r="W225" s="71"/>
      <c r="X225" s="70"/>
      <c r="AF225" s="72"/>
      <c r="AG225" s="73"/>
      <c r="AH225" s="72"/>
      <c r="AI225" s="72"/>
      <c r="AJ225" s="72"/>
      <c r="AK225" s="72"/>
      <c r="AL225" s="72"/>
      <c r="AM225" s="73"/>
      <c r="AN225" s="74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</row>
    <row r="226">
      <c r="A226" s="70"/>
      <c r="D226" s="70"/>
      <c r="N226" s="70"/>
      <c r="W226" s="71"/>
      <c r="X226" s="70"/>
      <c r="AF226" s="72"/>
      <c r="AG226" s="73"/>
      <c r="AH226" s="72"/>
      <c r="AI226" s="72"/>
      <c r="AJ226" s="72"/>
      <c r="AK226" s="72"/>
      <c r="AL226" s="72"/>
      <c r="AM226" s="73"/>
      <c r="AN226" s="74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</row>
    <row r="227">
      <c r="A227" s="70"/>
      <c r="D227" s="70"/>
      <c r="N227" s="70"/>
      <c r="W227" s="71"/>
      <c r="X227" s="70"/>
      <c r="AF227" s="72"/>
      <c r="AG227" s="73"/>
      <c r="AH227" s="72"/>
      <c r="AI227" s="72"/>
      <c r="AJ227" s="72"/>
      <c r="AK227" s="72"/>
      <c r="AL227" s="72"/>
      <c r="AM227" s="73"/>
      <c r="AN227" s="74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</row>
    <row r="228">
      <c r="A228" s="70"/>
      <c r="D228" s="70"/>
      <c r="N228" s="70"/>
      <c r="W228" s="71"/>
      <c r="X228" s="70"/>
      <c r="AF228" s="72"/>
      <c r="AG228" s="73"/>
      <c r="AH228" s="72"/>
      <c r="AI228" s="72"/>
      <c r="AJ228" s="72"/>
      <c r="AK228" s="72"/>
      <c r="AL228" s="72"/>
      <c r="AM228" s="73"/>
      <c r="AN228" s="74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</row>
    <row r="229">
      <c r="A229" s="70"/>
      <c r="D229" s="70"/>
      <c r="N229" s="70"/>
      <c r="W229" s="71"/>
      <c r="X229" s="70"/>
      <c r="AF229" s="72"/>
      <c r="AG229" s="73"/>
      <c r="AH229" s="72"/>
      <c r="AI229" s="72"/>
      <c r="AJ229" s="72"/>
      <c r="AK229" s="72"/>
      <c r="AL229" s="72"/>
      <c r="AM229" s="73"/>
      <c r="AN229" s="74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</row>
    <row r="230">
      <c r="A230" s="70"/>
      <c r="D230" s="70"/>
      <c r="N230" s="70"/>
      <c r="W230" s="71"/>
      <c r="X230" s="70"/>
      <c r="AF230" s="72"/>
      <c r="AG230" s="73"/>
      <c r="AH230" s="72"/>
      <c r="AI230" s="72"/>
      <c r="AJ230" s="72"/>
      <c r="AK230" s="72"/>
      <c r="AL230" s="72"/>
      <c r="AM230" s="73"/>
      <c r="AN230" s="74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</row>
    <row r="231">
      <c r="A231" s="70"/>
      <c r="D231" s="70"/>
      <c r="N231" s="70"/>
      <c r="W231" s="71"/>
      <c r="X231" s="70"/>
      <c r="AF231" s="72"/>
      <c r="AG231" s="73"/>
      <c r="AH231" s="72"/>
      <c r="AI231" s="72"/>
      <c r="AJ231" s="72"/>
      <c r="AK231" s="72"/>
      <c r="AL231" s="72"/>
      <c r="AM231" s="73"/>
      <c r="AN231" s="74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</row>
    <row r="232">
      <c r="A232" s="70"/>
      <c r="D232" s="70"/>
      <c r="N232" s="70"/>
      <c r="W232" s="71"/>
      <c r="X232" s="70"/>
      <c r="AF232" s="72"/>
      <c r="AG232" s="73"/>
      <c r="AH232" s="72"/>
      <c r="AI232" s="72"/>
      <c r="AJ232" s="72"/>
      <c r="AK232" s="72"/>
      <c r="AL232" s="72"/>
      <c r="AM232" s="73"/>
      <c r="AN232" s="74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</row>
    <row r="233">
      <c r="A233" s="70"/>
      <c r="D233" s="70"/>
      <c r="N233" s="70"/>
      <c r="W233" s="71"/>
      <c r="X233" s="70"/>
      <c r="AF233" s="72"/>
      <c r="AG233" s="73"/>
      <c r="AH233" s="72"/>
      <c r="AI233" s="72"/>
      <c r="AJ233" s="72"/>
      <c r="AK233" s="72"/>
      <c r="AL233" s="72"/>
      <c r="AM233" s="73"/>
      <c r="AN233" s="74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</row>
    <row r="234">
      <c r="A234" s="70"/>
      <c r="D234" s="70"/>
      <c r="N234" s="70"/>
      <c r="W234" s="71"/>
      <c r="X234" s="70"/>
      <c r="AF234" s="72"/>
      <c r="AG234" s="73"/>
      <c r="AH234" s="72"/>
      <c r="AI234" s="72"/>
      <c r="AJ234" s="72"/>
      <c r="AK234" s="72"/>
      <c r="AL234" s="72"/>
      <c r="AM234" s="73"/>
      <c r="AN234" s="74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</row>
    <row r="235">
      <c r="A235" s="70"/>
      <c r="D235" s="70"/>
      <c r="N235" s="70"/>
      <c r="W235" s="71"/>
      <c r="X235" s="70"/>
      <c r="AF235" s="72"/>
      <c r="AG235" s="73"/>
      <c r="AH235" s="72"/>
      <c r="AI235" s="72"/>
      <c r="AJ235" s="72"/>
      <c r="AK235" s="72"/>
      <c r="AL235" s="72"/>
      <c r="AM235" s="73"/>
      <c r="AN235" s="74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</row>
    <row r="236">
      <c r="A236" s="70"/>
      <c r="D236" s="70"/>
      <c r="N236" s="70"/>
      <c r="W236" s="71"/>
      <c r="X236" s="70"/>
      <c r="AF236" s="72"/>
      <c r="AG236" s="73"/>
      <c r="AH236" s="72"/>
      <c r="AI236" s="72"/>
      <c r="AJ236" s="72"/>
      <c r="AK236" s="72"/>
      <c r="AL236" s="72"/>
      <c r="AM236" s="73"/>
      <c r="AN236" s="74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</row>
    <row r="237">
      <c r="A237" s="70"/>
      <c r="D237" s="70"/>
      <c r="N237" s="70"/>
      <c r="W237" s="71"/>
      <c r="X237" s="70"/>
      <c r="AF237" s="72"/>
      <c r="AG237" s="73"/>
      <c r="AH237" s="72"/>
      <c r="AI237" s="72"/>
      <c r="AJ237" s="72"/>
      <c r="AK237" s="72"/>
      <c r="AL237" s="72"/>
      <c r="AM237" s="73"/>
      <c r="AN237" s="74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</row>
    <row r="238">
      <c r="A238" s="70"/>
      <c r="D238" s="70"/>
      <c r="N238" s="70"/>
      <c r="W238" s="71"/>
      <c r="X238" s="70"/>
      <c r="AF238" s="72"/>
      <c r="AG238" s="73"/>
      <c r="AH238" s="72"/>
      <c r="AI238" s="72"/>
      <c r="AJ238" s="72"/>
      <c r="AK238" s="72"/>
      <c r="AL238" s="72"/>
      <c r="AM238" s="73"/>
      <c r="AN238" s="74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</row>
    <row r="239">
      <c r="A239" s="70"/>
      <c r="D239" s="70"/>
      <c r="N239" s="70"/>
      <c r="W239" s="71"/>
      <c r="X239" s="70"/>
      <c r="AF239" s="72"/>
      <c r="AG239" s="73"/>
      <c r="AH239" s="72"/>
      <c r="AI239" s="72"/>
      <c r="AJ239" s="72"/>
      <c r="AK239" s="72"/>
      <c r="AL239" s="72"/>
      <c r="AM239" s="73"/>
      <c r="AN239" s="74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</row>
    <row r="240">
      <c r="A240" s="70"/>
      <c r="D240" s="70"/>
      <c r="N240" s="70"/>
      <c r="W240" s="71"/>
      <c r="X240" s="70"/>
      <c r="AF240" s="72"/>
      <c r="AG240" s="73"/>
      <c r="AH240" s="72"/>
      <c r="AI240" s="72"/>
      <c r="AJ240" s="72"/>
      <c r="AK240" s="72"/>
      <c r="AL240" s="72"/>
      <c r="AM240" s="73"/>
      <c r="AN240" s="74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</row>
    <row r="241">
      <c r="A241" s="70"/>
      <c r="D241" s="70"/>
      <c r="N241" s="70"/>
      <c r="W241" s="71"/>
      <c r="X241" s="70"/>
      <c r="AF241" s="72"/>
      <c r="AG241" s="73"/>
      <c r="AH241" s="72"/>
      <c r="AI241" s="72"/>
      <c r="AJ241" s="72"/>
      <c r="AK241" s="72"/>
      <c r="AL241" s="72"/>
      <c r="AM241" s="73"/>
      <c r="AN241" s="74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</row>
    <row r="242">
      <c r="A242" s="70"/>
      <c r="D242" s="70"/>
      <c r="N242" s="70"/>
      <c r="W242" s="71"/>
      <c r="X242" s="70"/>
      <c r="AF242" s="72"/>
      <c r="AG242" s="73"/>
      <c r="AH242" s="72"/>
      <c r="AI242" s="72"/>
      <c r="AJ242" s="72"/>
      <c r="AK242" s="72"/>
      <c r="AL242" s="72"/>
      <c r="AM242" s="73"/>
      <c r="AN242" s="74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</row>
    <row r="243">
      <c r="A243" s="70"/>
      <c r="D243" s="70"/>
      <c r="N243" s="70"/>
      <c r="W243" s="71"/>
      <c r="X243" s="70"/>
      <c r="AF243" s="72"/>
      <c r="AG243" s="73"/>
      <c r="AH243" s="72"/>
      <c r="AI243" s="72"/>
      <c r="AJ243" s="72"/>
      <c r="AK243" s="72"/>
      <c r="AL243" s="72"/>
      <c r="AM243" s="73"/>
      <c r="AN243" s="74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</row>
    <row r="244">
      <c r="A244" s="70"/>
      <c r="D244" s="70"/>
      <c r="N244" s="70"/>
      <c r="W244" s="71"/>
      <c r="X244" s="70"/>
      <c r="AF244" s="72"/>
      <c r="AG244" s="73"/>
      <c r="AH244" s="72"/>
      <c r="AI244" s="72"/>
      <c r="AJ244" s="72"/>
      <c r="AK244" s="72"/>
      <c r="AL244" s="72"/>
      <c r="AM244" s="73"/>
      <c r="AN244" s="74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</row>
    <row r="245">
      <c r="A245" s="70"/>
      <c r="D245" s="70"/>
      <c r="N245" s="70"/>
      <c r="W245" s="71"/>
      <c r="X245" s="70"/>
      <c r="AF245" s="72"/>
      <c r="AG245" s="73"/>
      <c r="AH245" s="72"/>
      <c r="AI245" s="72"/>
      <c r="AJ245" s="72"/>
      <c r="AK245" s="72"/>
      <c r="AL245" s="72"/>
      <c r="AM245" s="73"/>
      <c r="AN245" s="74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</row>
    <row r="246">
      <c r="A246" s="70"/>
      <c r="D246" s="70"/>
      <c r="N246" s="70"/>
      <c r="W246" s="71"/>
      <c r="X246" s="70"/>
      <c r="AF246" s="72"/>
      <c r="AG246" s="73"/>
      <c r="AH246" s="72"/>
      <c r="AI246" s="72"/>
      <c r="AJ246" s="72"/>
      <c r="AK246" s="72"/>
      <c r="AL246" s="72"/>
      <c r="AM246" s="73"/>
      <c r="AN246" s="74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</row>
    <row r="247">
      <c r="A247" s="70"/>
      <c r="D247" s="70"/>
      <c r="N247" s="70"/>
      <c r="W247" s="71"/>
      <c r="X247" s="70"/>
      <c r="AF247" s="72"/>
      <c r="AG247" s="73"/>
      <c r="AH247" s="72"/>
      <c r="AI247" s="72"/>
      <c r="AJ247" s="72"/>
      <c r="AK247" s="72"/>
      <c r="AL247" s="72"/>
      <c r="AM247" s="73"/>
      <c r="AN247" s="74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</row>
    <row r="248">
      <c r="A248" s="70"/>
      <c r="D248" s="70"/>
      <c r="N248" s="70"/>
      <c r="W248" s="71"/>
      <c r="X248" s="70"/>
      <c r="AF248" s="72"/>
      <c r="AG248" s="73"/>
      <c r="AH248" s="72"/>
      <c r="AI248" s="72"/>
      <c r="AJ248" s="72"/>
      <c r="AK248" s="72"/>
      <c r="AL248" s="72"/>
      <c r="AM248" s="73"/>
      <c r="AN248" s="74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</row>
    <row r="249">
      <c r="A249" s="70"/>
      <c r="D249" s="70"/>
      <c r="N249" s="70"/>
      <c r="W249" s="71"/>
      <c r="X249" s="70"/>
      <c r="AF249" s="72"/>
      <c r="AG249" s="73"/>
      <c r="AH249" s="72"/>
      <c r="AI249" s="72"/>
      <c r="AJ249" s="72"/>
      <c r="AK249" s="72"/>
      <c r="AL249" s="72"/>
      <c r="AM249" s="73"/>
      <c r="AN249" s="74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</row>
    <row r="250">
      <c r="A250" s="70"/>
      <c r="D250" s="70"/>
      <c r="N250" s="70"/>
      <c r="W250" s="71"/>
      <c r="X250" s="70"/>
      <c r="AF250" s="72"/>
      <c r="AG250" s="73"/>
      <c r="AH250" s="72"/>
      <c r="AI250" s="72"/>
      <c r="AJ250" s="72"/>
      <c r="AK250" s="72"/>
      <c r="AL250" s="72"/>
      <c r="AM250" s="73"/>
      <c r="AN250" s="74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</row>
    <row r="251">
      <c r="A251" s="70"/>
      <c r="D251" s="70"/>
      <c r="N251" s="70"/>
      <c r="W251" s="71"/>
      <c r="X251" s="70"/>
      <c r="AF251" s="72"/>
      <c r="AG251" s="73"/>
      <c r="AH251" s="72"/>
      <c r="AI251" s="72"/>
      <c r="AJ251" s="72"/>
      <c r="AK251" s="72"/>
      <c r="AL251" s="72"/>
      <c r="AM251" s="73"/>
      <c r="AN251" s="74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</row>
    <row r="252">
      <c r="A252" s="70"/>
      <c r="D252" s="70"/>
      <c r="N252" s="70"/>
      <c r="W252" s="71"/>
      <c r="X252" s="70"/>
      <c r="AF252" s="72"/>
      <c r="AG252" s="73"/>
      <c r="AH252" s="72"/>
      <c r="AI252" s="72"/>
      <c r="AJ252" s="72"/>
      <c r="AK252" s="72"/>
      <c r="AL252" s="72"/>
      <c r="AM252" s="73"/>
      <c r="AN252" s="74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</row>
    <row r="253">
      <c r="A253" s="70"/>
      <c r="D253" s="70"/>
      <c r="N253" s="70"/>
      <c r="W253" s="71"/>
      <c r="X253" s="70"/>
      <c r="AF253" s="72"/>
      <c r="AG253" s="73"/>
      <c r="AH253" s="72"/>
      <c r="AI253" s="72"/>
      <c r="AJ253" s="72"/>
      <c r="AK253" s="72"/>
      <c r="AL253" s="72"/>
      <c r="AM253" s="73"/>
      <c r="AN253" s="74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</row>
    <row r="254">
      <c r="A254" s="70"/>
      <c r="D254" s="70"/>
      <c r="N254" s="70"/>
      <c r="W254" s="71"/>
      <c r="X254" s="70"/>
      <c r="AF254" s="72"/>
      <c r="AG254" s="73"/>
      <c r="AH254" s="72"/>
      <c r="AI254" s="72"/>
      <c r="AJ254" s="72"/>
      <c r="AK254" s="72"/>
      <c r="AL254" s="72"/>
      <c r="AM254" s="73"/>
      <c r="AN254" s="74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</row>
    <row r="255">
      <c r="A255" s="70"/>
      <c r="D255" s="70"/>
      <c r="N255" s="70"/>
      <c r="W255" s="71"/>
      <c r="X255" s="70"/>
      <c r="AF255" s="72"/>
      <c r="AG255" s="73"/>
      <c r="AH255" s="72"/>
      <c r="AI255" s="72"/>
      <c r="AJ255" s="72"/>
      <c r="AK255" s="72"/>
      <c r="AL255" s="72"/>
      <c r="AM255" s="73"/>
      <c r="AN255" s="74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</row>
    <row r="256">
      <c r="A256" s="70"/>
      <c r="D256" s="70"/>
      <c r="N256" s="70"/>
      <c r="W256" s="71"/>
      <c r="X256" s="70"/>
      <c r="AF256" s="72"/>
      <c r="AG256" s="73"/>
      <c r="AH256" s="72"/>
      <c r="AI256" s="72"/>
      <c r="AJ256" s="72"/>
      <c r="AK256" s="72"/>
      <c r="AL256" s="72"/>
      <c r="AM256" s="73"/>
      <c r="AN256" s="74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</row>
    <row r="257">
      <c r="A257" s="70"/>
      <c r="D257" s="70"/>
      <c r="N257" s="70"/>
      <c r="W257" s="71"/>
      <c r="X257" s="70"/>
      <c r="AF257" s="72"/>
      <c r="AG257" s="73"/>
      <c r="AH257" s="72"/>
      <c r="AI257" s="72"/>
      <c r="AJ257" s="72"/>
      <c r="AK257" s="72"/>
      <c r="AL257" s="72"/>
      <c r="AM257" s="73"/>
      <c r="AN257" s="74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</row>
    <row r="258">
      <c r="A258" s="70"/>
      <c r="D258" s="70"/>
      <c r="N258" s="70"/>
      <c r="W258" s="71"/>
      <c r="X258" s="70"/>
      <c r="AF258" s="72"/>
      <c r="AG258" s="73"/>
      <c r="AH258" s="72"/>
      <c r="AI258" s="72"/>
      <c r="AJ258" s="72"/>
      <c r="AK258" s="72"/>
      <c r="AL258" s="72"/>
      <c r="AM258" s="73"/>
      <c r="AN258" s="74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</row>
    <row r="259">
      <c r="A259" s="70"/>
      <c r="D259" s="70"/>
      <c r="N259" s="70"/>
      <c r="W259" s="71"/>
      <c r="X259" s="70"/>
      <c r="AF259" s="72"/>
      <c r="AG259" s="73"/>
      <c r="AH259" s="72"/>
      <c r="AI259" s="72"/>
      <c r="AJ259" s="72"/>
      <c r="AK259" s="72"/>
      <c r="AL259" s="72"/>
      <c r="AM259" s="73"/>
      <c r="AN259" s="74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</row>
    <row r="260">
      <c r="A260" s="70"/>
      <c r="D260" s="70"/>
      <c r="N260" s="70"/>
      <c r="W260" s="71"/>
      <c r="X260" s="70"/>
      <c r="AF260" s="72"/>
      <c r="AG260" s="73"/>
      <c r="AH260" s="72"/>
      <c r="AI260" s="72"/>
      <c r="AJ260" s="72"/>
      <c r="AK260" s="72"/>
      <c r="AL260" s="72"/>
      <c r="AM260" s="73"/>
      <c r="AN260" s="74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</row>
    <row r="261">
      <c r="A261" s="70"/>
      <c r="D261" s="70"/>
      <c r="N261" s="70"/>
      <c r="W261" s="71"/>
      <c r="X261" s="70"/>
      <c r="AF261" s="72"/>
      <c r="AG261" s="73"/>
      <c r="AH261" s="72"/>
      <c r="AI261" s="72"/>
      <c r="AJ261" s="72"/>
      <c r="AK261" s="72"/>
      <c r="AL261" s="72"/>
      <c r="AM261" s="73"/>
      <c r="AN261" s="74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</row>
    <row r="262">
      <c r="A262" s="70"/>
      <c r="D262" s="70"/>
      <c r="N262" s="70"/>
      <c r="W262" s="71"/>
      <c r="X262" s="70"/>
      <c r="AF262" s="72"/>
      <c r="AG262" s="73"/>
      <c r="AH262" s="72"/>
      <c r="AI262" s="72"/>
      <c r="AJ262" s="72"/>
      <c r="AK262" s="72"/>
      <c r="AL262" s="72"/>
      <c r="AM262" s="73"/>
      <c r="AN262" s="74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</row>
    <row r="263">
      <c r="A263" s="70"/>
      <c r="D263" s="70"/>
      <c r="N263" s="70"/>
      <c r="W263" s="71"/>
      <c r="X263" s="70"/>
      <c r="AF263" s="72"/>
      <c r="AG263" s="73"/>
      <c r="AH263" s="72"/>
      <c r="AI263" s="72"/>
      <c r="AJ263" s="72"/>
      <c r="AK263" s="72"/>
      <c r="AL263" s="72"/>
      <c r="AM263" s="73"/>
      <c r="AN263" s="74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</row>
    <row r="264">
      <c r="A264" s="70"/>
      <c r="D264" s="70"/>
      <c r="N264" s="70"/>
      <c r="W264" s="71"/>
      <c r="X264" s="70"/>
      <c r="AF264" s="72"/>
      <c r="AG264" s="73"/>
      <c r="AH264" s="72"/>
      <c r="AI264" s="72"/>
      <c r="AJ264" s="72"/>
      <c r="AK264" s="72"/>
      <c r="AL264" s="72"/>
      <c r="AM264" s="73"/>
      <c r="AN264" s="74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</row>
    <row r="265">
      <c r="A265" s="70"/>
      <c r="D265" s="70"/>
      <c r="N265" s="70"/>
      <c r="W265" s="71"/>
      <c r="X265" s="70"/>
      <c r="AF265" s="72"/>
      <c r="AG265" s="73"/>
      <c r="AH265" s="72"/>
      <c r="AI265" s="72"/>
      <c r="AJ265" s="72"/>
      <c r="AK265" s="72"/>
      <c r="AL265" s="72"/>
      <c r="AM265" s="73"/>
      <c r="AN265" s="74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</row>
    <row r="266">
      <c r="A266" s="70"/>
      <c r="D266" s="70"/>
      <c r="N266" s="70"/>
      <c r="W266" s="71"/>
      <c r="X266" s="70"/>
      <c r="AF266" s="72"/>
      <c r="AG266" s="73"/>
      <c r="AH266" s="72"/>
      <c r="AI266" s="72"/>
      <c r="AJ266" s="72"/>
      <c r="AK266" s="72"/>
      <c r="AL266" s="72"/>
      <c r="AM266" s="73"/>
      <c r="AN266" s="74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</row>
    <row r="267">
      <c r="A267" s="70"/>
      <c r="D267" s="70"/>
      <c r="N267" s="70"/>
      <c r="W267" s="71"/>
      <c r="X267" s="70"/>
      <c r="AF267" s="72"/>
      <c r="AG267" s="73"/>
      <c r="AH267" s="72"/>
      <c r="AI267" s="72"/>
      <c r="AJ267" s="72"/>
      <c r="AK267" s="72"/>
      <c r="AL267" s="72"/>
      <c r="AM267" s="73"/>
      <c r="AN267" s="74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</row>
    <row r="268">
      <c r="A268" s="70"/>
      <c r="D268" s="70"/>
      <c r="N268" s="70"/>
      <c r="W268" s="71"/>
      <c r="X268" s="70"/>
      <c r="AF268" s="72"/>
      <c r="AG268" s="73"/>
      <c r="AH268" s="72"/>
      <c r="AI268" s="72"/>
      <c r="AJ268" s="72"/>
      <c r="AK268" s="72"/>
      <c r="AL268" s="72"/>
      <c r="AM268" s="73"/>
      <c r="AN268" s="74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</row>
    <row r="269">
      <c r="A269" s="70"/>
      <c r="D269" s="70"/>
      <c r="N269" s="70"/>
      <c r="W269" s="71"/>
      <c r="X269" s="70"/>
      <c r="AF269" s="72"/>
      <c r="AG269" s="73"/>
      <c r="AH269" s="72"/>
      <c r="AI269" s="72"/>
      <c r="AJ269" s="72"/>
      <c r="AK269" s="72"/>
      <c r="AL269" s="72"/>
      <c r="AM269" s="73"/>
      <c r="AN269" s="74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</row>
    <row r="270">
      <c r="A270" s="70"/>
      <c r="D270" s="70"/>
      <c r="N270" s="70"/>
      <c r="W270" s="71"/>
      <c r="X270" s="70"/>
      <c r="AF270" s="72"/>
      <c r="AG270" s="73"/>
      <c r="AH270" s="72"/>
      <c r="AI270" s="72"/>
      <c r="AJ270" s="72"/>
      <c r="AK270" s="72"/>
      <c r="AL270" s="72"/>
      <c r="AM270" s="73"/>
      <c r="AN270" s="74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</row>
    <row r="271">
      <c r="A271" s="70"/>
      <c r="D271" s="70"/>
      <c r="N271" s="70"/>
      <c r="W271" s="71"/>
      <c r="X271" s="70"/>
      <c r="AF271" s="72"/>
      <c r="AG271" s="73"/>
      <c r="AH271" s="72"/>
      <c r="AI271" s="72"/>
      <c r="AJ271" s="72"/>
      <c r="AK271" s="72"/>
      <c r="AL271" s="72"/>
      <c r="AM271" s="73"/>
      <c r="AN271" s="74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</row>
    <row r="272">
      <c r="A272" s="70"/>
      <c r="D272" s="70"/>
      <c r="N272" s="70"/>
      <c r="W272" s="71"/>
      <c r="X272" s="70"/>
      <c r="AF272" s="72"/>
      <c r="AG272" s="73"/>
      <c r="AH272" s="72"/>
      <c r="AI272" s="72"/>
      <c r="AJ272" s="72"/>
      <c r="AK272" s="72"/>
      <c r="AL272" s="72"/>
      <c r="AM272" s="73"/>
      <c r="AN272" s="74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</row>
    <row r="273">
      <c r="A273" s="70"/>
      <c r="D273" s="70"/>
      <c r="N273" s="70"/>
      <c r="W273" s="71"/>
      <c r="X273" s="70"/>
      <c r="AF273" s="72"/>
      <c r="AG273" s="73"/>
      <c r="AH273" s="72"/>
      <c r="AI273" s="72"/>
      <c r="AJ273" s="72"/>
      <c r="AK273" s="72"/>
      <c r="AL273" s="72"/>
      <c r="AM273" s="73"/>
      <c r="AN273" s="74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</row>
    <row r="274">
      <c r="A274" s="70"/>
      <c r="D274" s="70"/>
      <c r="N274" s="70"/>
      <c r="W274" s="71"/>
      <c r="X274" s="70"/>
      <c r="AF274" s="72"/>
      <c r="AG274" s="73"/>
      <c r="AH274" s="72"/>
      <c r="AI274" s="72"/>
      <c r="AJ274" s="72"/>
      <c r="AK274" s="72"/>
      <c r="AL274" s="72"/>
      <c r="AM274" s="73"/>
      <c r="AN274" s="74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</row>
    <row r="275">
      <c r="A275" s="70"/>
      <c r="D275" s="70"/>
      <c r="N275" s="70"/>
      <c r="W275" s="71"/>
      <c r="X275" s="70"/>
      <c r="AF275" s="72"/>
      <c r="AG275" s="73"/>
      <c r="AH275" s="72"/>
      <c r="AI275" s="72"/>
      <c r="AJ275" s="72"/>
      <c r="AK275" s="72"/>
      <c r="AL275" s="72"/>
      <c r="AM275" s="73"/>
      <c r="AN275" s="74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</row>
    <row r="276">
      <c r="A276" s="70"/>
      <c r="D276" s="70"/>
      <c r="N276" s="70"/>
      <c r="W276" s="71"/>
      <c r="X276" s="70"/>
      <c r="AF276" s="72"/>
      <c r="AG276" s="73"/>
      <c r="AH276" s="72"/>
      <c r="AI276" s="72"/>
      <c r="AJ276" s="72"/>
      <c r="AK276" s="72"/>
      <c r="AL276" s="72"/>
      <c r="AM276" s="73"/>
      <c r="AN276" s="74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</row>
    <row r="277">
      <c r="A277" s="70"/>
      <c r="D277" s="70"/>
      <c r="N277" s="70"/>
      <c r="W277" s="71"/>
      <c r="X277" s="70"/>
      <c r="AF277" s="72"/>
      <c r="AG277" s="73"/>
      <c r="AH277" s="72"/>
      <c r="AI277" s="72"/>
      <c r="AJ277" s="72"/>
      <c r="AK277" s="72"/>
      <c r="AL277" s="72"/>
      <c r="AM277" s="73"/>
      <c r="AN277" s="74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</row>
    <row r="278">
      <c r="A278" s="70"/>
      <c r="D278" s="70"/>
      <c r="N278" s="70"/>
      <c r="W278" s="71"/>
      <c r="X278" s="70"/>
      <c r="AF278" s="72"/>
      <c r="AG278" s="73"/>
      <c r="AH278" s="72"/>
      <c r="AI278" s="72"/>
      <c r="AJ278" s="72"/>
      <c r="AK278" s="72"/>
      <c r="AL278" s="72"/>
      <c r="AM278" s="73"/>
      <c r="AN278" s="74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</row>
    <row r="279">
      <c r="A279" s="70"/>
      <c r="D279" s="70"/>
      <c r="N279" s="70"/>
      <c r="W279" s="71"/>
      <c r="X279" s="70"/>
      <c r="AF279" s="72"/>
      <c r="AG279" s="73"/>
      <c r="AH279" s="72"/>
      <c r="AI279" s="72"/>
      <c r="AJ279" s="72"/>
      <c r="AK279" s="72"/>
      <c r="AL279" s="72"/>
      <c r="AM279" s="73"/>
      <c r="AN279" s="74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</row>
    <row r="280">
      <c r="A280" s="70"/>
      <c r="D280" s="70"/>
      <c r="N280" s="70"/>
      <c r="W280" s="71"/>
      <c r="X280" s="70"/>
      <c r="AF280" s="72"/>
      <c r="AG280" s="73"/>
      <c r="AH280" s="72"/>
      <c r="AI280" s="72"/>
      <c r="AJ280" s="72"/>
      <c r="AK280" s="72"/>
      <c r="AL280" s="72"/>
      <c r="AM280" s="73"/>
      <c r="AN280" s="74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</row>
    <row r="281">
      <c r="A281" s="70"/>
      <c r="D281" s="70"/>
      <c r="N281" s="70"/>
      <c r="W281" s="71"/>
      <c r="X281" s="70"/>
      <c r="AF281" s="72"/>
      <c r="AG281" s="73"/>
      <c r="AH281" s="72"/>
      <c r="AI281" s="72"/>
      <c r="AJ281" s="72"/>
      <c r="AK281" s="72"/>
      <c r="AL281" s="72"/>
      <c r="AM281" s="73"/>
      <c r="AN281" s="74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</row>
    <row r="282">
      <c r="A282" s="70"/>
      <c r="D282" s="70"/>
      <c r="N282" s="70"/>
      <c r="W282" s="71"/>
      <c r="X282" s="70"/>
      <c r="AF282" s="72"/>
      <c r="AG282" s="73"/>
      <c r="AH282" s="72"/>
      <c r="AI282" s="72"/>
      <c r="AJ282" s="72"/>
      <c r="AK282" s="72"/>
      <c r="AL282" s="72"/>
      <c r="AM282" s="73"/>
      <c r="AN282" s="74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</row>
    <row r="283">
      <c r="A283" s="70"/>
      <c r="D283" s="70"/>
      <c r="N283" s="70"/>
      <c r="W283" s="71"/>
      <c r="X283" s="70"/>
      <c r="AF283" s="72"/>
      <c r="AG283" s="73"/>
      <c r="AH283" s="72"/>
      <c r="AI283" s="72"/>
      <c r="AJ283" s="72"/>
      <c r="AK283" s="72"/>
      <c r="AL283" s="72"/>
      <c r="AM283" s="73"/>
      <c r="AN283" s="74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</row>
    <row r="284">
      <c r="A284" s="70"/>
      <c r="D284" s="70"/>
      <c r="N284" s="70"/>
      <c r="W284" s="71"/>
      <c r="X284" s="70"/>
      <c r="AF284" s="72"/>
      <c r="AG284" s="73"/>
      <c r="AH284" s="72"/>
      <c r="AI284" s="72"/>
      <c r="AJ284" s="72"/>
      <c r="AK284" s="72"/>
      <c r="AL284" s="72"/>
      <c r="AM284" s="73"/>
      <c r="AN284" s="74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</row>
    <row r="285">
      <c r="A285" s="70"/>
      <c r="D285" s="70"/>
      <c r="N285" s="70"/>
      <c r="W285" s="71"/>
      <c r="X285" s="70"/>
      <c r="AF285" s="72"/>
      <c r="AG285" s="73"/>
      <c r="AH285" s="72"/>
      <c r="AI285" s="72"/>
      <c r="AJ285" s="72"/>
      <c r="AK285" s="72"/>
      <c r="AL285" s="72"/>
      <c r="AM285" s="73"/>
      <c r="AN285" s="74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</row>
    <row r="286">
      <c r="A286" s="70"/>
      <c r="D286" s="70"/>
      <c r="N286" s="70"/>
      <c r="W286" s="71"/>
      <c r="X286" s="70"/>
      <c r="AF286" s="72"/>
      <c r="AG286" s="73"/>
      <c r="AH286" s="72"/>
      <c r="AI286" s="72"/>
      <c r="AJ286" s="72"/>
      <c r="AK286" s="72"/>
      <c r="AL286" s="72"/>
      <c r="AM286" s="73"/>
      <c r="AN286" s="74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</row>
    <row r="287">
      <c r="A287" s="70"/>
      <c r="D287" s="70"/>
      <c r="N287" s="70"/>
      <c r="W287" s="71"/>
      <c r="X287" s="70"/>
      <c r="AF287" s="72"/>
      <c r="AG287" s="73"/>
      <c r="AH287" s="72"/>
      <c r="AI287" s="72"/>
      <c r="AJ287" s="72"/>
      <c r="AK287" s="72"/>
      <c r="AL287" s="72"/>
      <c r="AM287" s="73"/>
      <c r="AN287" s="74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</row>
    <row r="288">
      <c r="A288" s="70"/>
      <c r="D288" s="70"/>
      <c r="N288" s="70"/>
      <c r="W288" s="71"/>
      <c r="X288" s="70"/>
      <c r="AF288" s="72"/>
      <c r="AG288" s="73"/>
      <c r="AH288" s="72"/>
      <c r="AI288" s="72"/>
      <c r="AJ288" s="72"/>
      <c r="AK288" s="72"/>
      <c r="AL288" s="72"/>
      <c r="AM288" s="73"/>
      <c r="AN288" s="74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</row>
    <row r="289">
      <c r="A289" s="70"/>
      <c r="D289" s="70"/>
      <c r="N289" s="70"/>
      <c r="W289" s="71"/>
      <c r="X289" s="70"/>
      <c r="AF289" s="72"/>
      <c r="AG289" s="73"/>
      <c r="AH289" s="72"/>
      <c r="AI289" s="72"/>
      <c r="AJ289" s="72"/>
      <c r="AK289" s="72"/>
      <c r="AL289" s="72"/>
      <c r="AM289" s="73"/>
      <c r="AN289" s="74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</row>
    <row r="290">
      <c r="A290" s="70"/>
      <c r="D290" s="70"/>
      <c r="N290" s="70"/>
      <c r="W290" s="71"/>
      <c r="X290" s="70"/>
      <c r="AF290" s="72"/>
      <c r="AG290" s="73"/>
      <c r="AH290" s="72"/>
      <c r="AI290" s="72"/>
      <c r="AJ290" s="72"/>
      <c r="AK290" s="72"/>
      <c r="AL290" s="72"/>
      <c r="AM290" s="73"/>
      <c r="AN290" s="74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</row>
    <row r="291">
      <c r="A291" s="70"/>
      <c r="D291" s="70"/>
      <c r="N291" s="70"/>
      <c r="W291" s="71"/>
      <c r="X291" s="70"/>
      <c r="AF291" s="72"/>
      <c r="AG291" s="73"/>
      <c r="AH291" s="72"/>
      <c r="AI291" s="72"/>
      <c r="AJ291" s="72"/>
      <c r="AK291" s="72"/>
      <c r="AL291" s="72"/>
      <c r="AM291" s="73"/>
      <c r="AN291" s="74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</row>
    <row r="292">
      <c r="A292" s="70"/>
      <c r="D292" s="70"/>
      <c r="N292" s="70"/>
      <c r="W292" s="71"/>
      <c r="X292" s="70"/>
      <c r="AF292" s="72"/>
      <c r="AG292" s="73"/>
      <c r="AH292" s="72"/>
      <c r="AI292" s="72"/>
      <c r="AJ292" s="72"/>
      <c r="AK292" s="72"/>
      <c r="AL292" s="72"/>
      <c r="AM292" s="73"/>
      <c r="AN292" s="74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</row>
    <row r="293">
      <c r="A293" s="70"/>
      <c r="D293" s="70"/>
      <c r="N293" s="70"/>
      <c r="W293" s="71"/>
      <c r="X293" s="70"/>
      <c r="AF293" s="72"/>
      <c r="AG293" s="73"/>
      <c r="AH293" s="72"/>
      <c r="AI293" s="72"/>
      <c r="AJ293" s="72"/>
      <c r="AK293" s="72"/>
      <c r="AL293" s="72"/>
      <c r="AM293" s="73"/>
      <c r="AN293" s="74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</row>
    <row r="294">
      <c r="A294" s="70"/>
      <c r="D294" s="70"/>
      <c r="N294" s="70"/>
      <c r="W294" s="71"/>
      <c r="X294" s="70"/>
      <c r="AF294" s="72"/>
      <c r="AG294" s="73"/>
      <c r="AH294" s="72"/>
      <c r="AI294" s="72"/>
      <c r="AJ294" s="72"/>
      <c r="AK294" s="72"/>
      <c r="AL294" s="72"/>
      <c r="AM294" s="73"/>
      <c r="AN294" s="74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</row>
    <row r="295">
      <c r="A295" s="70"/>
      <c r="D295" s="70"/>
      <c r="N295" s="70"/>
      <c r="W295" s="71"/>
      <c r="X295" s="70"/>
      <c r="AF295" s="72"/>
      <c r="AG295" s="73"/>
      <c r="AH295" s="72"/>
      <c r="AI295" s="72"/>
      <c r="AJ295" s="72"/>
      <c r="AK295" s="72"/>
      <c r="AL295" s="72"/>
      <c r="AM295" s="73"/>
      <c r="AN295" s="74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</row>
    <row r="296">
      <c r="A296" s="70"/>
      <c r="D296" s="70"/>
      <c r="N296" s="70"/>
      <c r="W296" s="71"/>
      <c r="X296" s="70"/>
      <c r="AF296" s="72"/>
      <c r="AG296" s="73"/>
      <c r="AH296" s="72"/>
      <c r="AI296" s="72"/>
      <c r="AJ296" s="72"/>
      <c r="AK296" s="72"/>
      <c r="AL296" s="72"/>
      <c r="AM296" s="73"/>
      <c r="AN296" s="74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</row>
    <row r="297">
      <c r="A297" s="70"/>
      <c r="D297" s="70"/>
      <c r="N297" s="70"/>
      <c r="W297" s="71"/>
      <c r="X297" s="70"/>
      <c r="AF297" s="72"/>
      <c r="AG297" s="73"/>
      <c r="AH297" s="72"/>
      <c r="AI297" s="72"/>
      <c r="AJ297" s="72"/>
      <c r="AK297" s="72"/>
      <c r="AL297" s="72"/>
      <c r="AM297" s="73"/>
      <c r="AN297" s="74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</row>
    <row r="298">
      <c r="A298" s="70"/>
      <c r="D298" s="70"/>
      <c r="N298" s="70"/>
      <c r="W298" s="71"/>
      <c r="X298" s="70"/>
      <c r="AF298" s="72"/>
      <c r="AG298" s="73"/>
      <c r="AH298" s="72"/>
      <c r="AI298" s="72"/>
      <c r="AJ298" s="72"/>
      <c r="AK298" s="72"/>
      <c r="AL298" s="72"/>
      <c r="AM298" s="73"/>
      <c r="AN298" s="74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</row>
    <row r="299">
      <c r="A299" s="70"/>
      <c r="D299" s="70"/>
      <c r="N299" s="70"/>
      <c r="W299" s="71"/>
      <c r="X299" s="70"/>
      <c r="AF299" s="72"/>
      <c r="AG299" s="73"/>
      <c r="AH299" s="72"/>
      <c r="AI299" s="72"/>
      <c r="AJ299" s="72"/>
      <c r="AK299" s="72"/>
      <c r="AL299" s="72"/>
      <c r="AM299" s="73"/>
      <c r="AN299" s="74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</row>
    <row r="300">
      <c r="A300" s="70"/>
      <c r="D300" s="70"/>
      <c r="N300" s="70"/>
      <c r="W300" s="71"/>
      <c r="X300" s="70"/>
      <c r="AF300" s="72"/>
      <c r="AG300" s="73"/>
      <c r="AH300" s="72"/>
      <c r="AI300" s="72"/>
      <c r="AJ300" s="72"/>
      <c r="AK300" s="72"/>
      <c r="AL300" s="72"/>
      <c r="AM300" s="73"/>
      <c r="AN300" s="74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</row>
    <row r="301">
      <c r="A301" s="70"/>
      <c r="D301" s="70"/>
      <c r="N301" s="70"/>
      <c r="W301" s="71"/>
      <c r="X301" s="70"/>
      <c r="AF301" s="72"/>
      <c r="AG301" s="73"/>
      <c r="AH301" s="72"/>
      <c r="AI301" s="72"/>
      <c r="AJ301" s="72"/>
      <c r="AK301" s="72"/>
      <c r="AL301" s="72"/>
      <c r="AM301" s="73"/>
      <c r="AN301" s="74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</row>
    <row r="302">
      <c r="A302" s="70"/>
      <c r="D302" s="70"/>
      <c r="N302" s="70"/>
      <c r="W302" s="71"/>
      <c r="X302" s="70"/>
      <c r="AF302" s="72"/>
      <c r="AG302" s="73"/>
      <c r="AH302" s="72"/>
      <c r="AI302" s="72"/>
      <c r="AJ302" s="72"/>
      <c r="AK302" s="72"/>
      <c r="AL302" s="72"/>
      <c r="AM302" s="73"/>
      <c r="AN302" s="74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</row>
    <row r="303">
      <c r="A303" s="70"/>
      <c r="D303" s="70"/>
      <c r="N303" s="70"/>
      <c r="W303" s="71"/>
      <c r="X303" s="70"/>
      <c r="AF303" s="72"/>
      <c r="AG303" s="73"/>
      <c r="AH303" s="72"/>
      <c r="AI303" s="72"/>
      <c r="AJ303" s="72"/>
      <c r="AK303" s="72"/>
      <c r="AL303" s="72"/>
      <c r="AM303" s="73"/>
      <c r="AN303" s="74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</row>
    <row r="304">
      <c r="A304" s="70"/>
      <c r="D304" s="70"/>
      <c r="N304" s="70"/>
      <c r="W304" s="71"/>
      <c r="X304" s="70"/>
      <c r="AF304" s="72"/>
      <c r="AG304" s="73"/>
      <c r="AH304" s="72"/>
      <c r="AI304" s="72"/>
      <c r="AJ304" s="72"/>
      <c r="AK304" s="72"/>
      <c r="AL304" s="72"/>
      <c r="AM304" s="73"/>
      <c r="AN304" s="74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</row>
    <row r="305">
      <c r="A305" s="70"/>
      <c r="D305" s="70"/>
      <c r="N305" s="70"/>
      <c r="W305" s="71"/>
      <c r="X305" s="70"/>
      <c r="AF305" s="72"/>
      <c r="AG305" s="73"/>
      <c r="AH305" s="72"/>
      <c r="AI305" s="72"/>
      <c r="AJ305" s="72"/>
      <c r="AK305" s="72"/>
      <c r="AL305" s="72"/>
      <c r="AM305" s="73"/>
      <c r="AN305" s="74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</row>
    <row r="306">
      <c r="A306" s="70"/>
      <c r="D306" s="70"/>
      <c r="N306" s="70"/>
      <c r="W306" s="71"/>
      <c r="X306" s="70"/>
      <c r="AF306" s="72"/>
      <c r="AG306" s="73"/>
      <c r="AH306" s="72"/>
      <c r="AI306" s="72"/>
      <c r="AJ306" s="72"/>
      <c r="AK306" s="72"/>
      <c r="AL306" s="72"/>
      <c r="AM306" s="73"/>
      <c r="AN306" s="74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</row>
    <row r="307">
      <c r="A307" s="70"/>
      <c r="D307" s="70"/>
      <c r="N307" s="70"/>
      <c r="W307" s="71"/>
      <c r="X307" s="70"/>
      <c r="AF307" s="72"/>
      <c r="AG307" s="73"/>
      <c r="AH307" s="72"/>
      <c r="AI307" s="72"/>
      <c r="AJ307" s="72"/>
      <c r="AK307" s="72"/>
      <c r="AL307" s="72"/>
      <c r="AM307" s="73"/>
      <c r="AN307" s="74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</row>
    <row r="308">
      <c r="A308" s="70"/>
      <c r="D308" s="70"/>
      <c r="N308" s="70"/>
      <c r="W308" s="71"/>
      <c r="X308" s="70"/>
      <c r="AF308" s="72"/>
      <c r="AG308" s="73"/>
      <c r="AH308" s="72"/>
      <c r="AI308" s="72"/>
      <c r="AJ308" s="72"/>
      <c r="AK308" s="72"/>
      <c r="AL308" s="72"/>
      <c r="AM308" s="73"/>
      <c r="AN308" s="74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</row>
    <row r="309">
      <c r="A309" s="70"/>
      <c r="D309" s="70"/>
      <c r="N309" s="70"/>
      <c r="W309" s="71"/>
      <c r="X309" s="70"/>
      <c r="AF309" s="72"/>
      <c r="AG309" s="73"/>
      <c r="AH309" s="72"/>
      <c r="AI309" s="72"/>
      <c r="AJ309" s="72"/>
      <c r="AK309" s="72"/>
      <c r="AL309" s="72"/>
      <c r="AM309" s="73"/>
      <c r="AN309" s="74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</row>
    <row r="310">
      <c r="A310" s="70"/>
      <c r="D310" s="70"/>
      <c r="N310" s="70"/>
      <c r="W310" s="71"/>
      <c r="X310" s="70"/>
      <c r="AF310" s="72"/>
      <c r="AG310" s="73"/>
      <c r="AH310" s="72"/>
      <c r="AI310" s="72"/>
      <c r="AJ310" s="72"/>
      <c r="AK310" s="72"/>
      <c r="AL310" s="72"/>
      <c r="AM310" s="73"/>
      <c r="AN310" s="74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</row>
    <row r="311">
      <c r="A311" s="70"/>
      <c r="D311" s="70"/>
      <c r="N311" s="70"/>
      <c r="W311" s="71"/>
      <c r="X311" s="70"/>
      <c r="AF311" s="72"/>
      <c r="AG311" s="73"/>
      <c r="AH311" s="72"/>
      <c r="AI311" s="72"/>
      <c r="AJ311" s="72"/>
      <c r="AK311" s="72"/>
      <c r="AL311" s="72"/>
      <c r="AM311" s="73"/>
      <c r="AN311" s="74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</row>
    <row r="312">
      <c r="A312" s="70"/>
      <c r="D312" s="70"/>
      <c r="N312" s="70"/>
      <c r="W312" s="71"/>
      <c r="X312" s="70"/>
      <c r="AF312" s="72"/>
      <c r="AG312" s="73"/>
      <c r="AH312" s="72"/>
      <c r="AI312" s="72"/>
      <c r="AJ312" s="72"/>
      <c r="AK312" s="72"/>
      <c r="AL312" s="72"/>
      <c r="AM312" s="73"/>
      <c r="AN312" s="74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</row>
    <row r="313">
      <c r="A313" s="70"/>
      <c r="D313" s="70"/>
      <c r="N313" s="70"/>
      <c r="W313" s="71"/>
      <c r="X313" s="70"/>
      <c r="AF313" s="72"/>
      <c r="AG313" s="73"/>
      <c r="AH313" s="72"/>
      <c r="AI313" s="72"/>
      <c r="AJ313" s="72"/>
      <c r="AK313" s="72"/>
      <c r="AL313" s="72"/>
      <c r="AM313" s="73"/>
      <c r="AN313" s="74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</row>
    <row r="314">
      <c r="A314" s="70"/>
      <c r="D314" s="70"/>
      <c r="N314" s="70"/>
      <c r="W314" s="71"/>
      <c r="X314" s="70"/>
      <c r="AF314" s="72"/>
      <c r="AG314" s="73"/>
      <c r="AH314" s="72"/>
      <c r="AI314" s="72"/>
      <c r="AJ314" s="72"/>
      <c r="AK314" s="72"/>
      <c r="AL314" s="72"/>
      <c r="AM314" s="73"/>
      <c r="AN314" s="74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</row>
    <row r="315">
      <c r="A315" s="70"/>
      <c r="D315" s="70"/>
      <c r="N315" s="70"/>
      <c r="W315" s="71"/>
      <c r="X315" s="70"/>
      <c r="AF315" s="72"/>
      <c r="AG315" s="73"/>
      <c r="AH315" s="72"/>
      <c r="AI315" s="72"/>
      <c r="AJ315" s="72"/>
      <c r="AK315" s="72"/>
      <c r="AL315" s="72"/>
      <c r="AM315" s="73"/>
      <c r="AN315" s="74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</row>
    <row r="316">
      <c r="A316" s="70"/>
      <c r="D316" s="70"/>
      <c r="N316" s="70"/>
      <c r="W316" s="71"/>
      <c r="X316" s="70"/>
      <c r="AF316" s="72"/>
      <c r="AG316" s="73"/>
      <c r="AH316" s="72"/>
      <c r="AI316" s="72"/>
      <c r="AJ316" s="72"/>
      <c r="AK316" s="72"/>
      <c r="AL316" s="72"/>
      <c r="AM316" s="73"/>
      <c r="AN316" s="74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</row>
    <row r="317">
      <c r="A317" s="70"/>
      <c r="D317" s="70"/>
      <c r="N317" s="70"/>
      <c r="W317" s="71"/>
      <c r="X317" s="70"/>
      <c r="AF317" s="72"/>
      <c r="AG317" s="73"/>
      <c r="AH317" s="72"/>
      <c r="AI317" s="72"/>
      <c r="AJ317" s="72"/>
      <c r="AK317" s="72"/>
      <c r="AL317" s="72"/>
      <c r="AM317" s="73"/>
      <c r="AN317" s="74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</row>
    <row r="318">
      <c r="A318" s="70"/>
      <c r="D318" s="70"/>
      <c r="N318" s="70"/>
      <c r="W318" s="71"/>
      <c r="X318" s="70"/>
      <c r="AF318" s="72"/>
      <c r="AG318" s="73"/>
      <c r="AH318" s="72"/>
      <c r="AI318" s="72"/>
      <c r="AJ318" s="72"/>
      <c r="AK318" s="72"/>
      <c r="AL318" s="72"/>
      <c r="AM318" s="73"/>
      <c r="AN318" s="74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</row>
    <row r="319">
      <c r="A319" s="70"/>
      <c r="D319" s="70"/>
      <c r="N319" s="70"/>
      <c r="W319" s="71"/>
      <c r="X319" s="70"/>
      <c r="AF319" s="72"/>
      <c r="AG319" s="73"/>
      <c r="AH319" s="72"/>
      <c r="AI319" s="72"/>
      <c r="AJ319" s="72"/>
      <c r="AK319" s="72"/>
      <c r="AL319" s="72"/>
      <c r="AM319" s="73"/>
      <c r="AN319" s="74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</row>
    <row r="320">
      <c r="A320" s="70"/>
      <c r="D320" s="70"/>
      <c r="N320" s="70"/>
      <c r="W320" s="71"/>
      <c r="X320" s="70"/>
      <c r="AF320" s="72"/>
      <c r="AG320" s="73"/>
      <c r="AH320" s="72"/>
      <c r="AI320" s="72"/>
      <c r="AJ320" s="72"/>
      <c r="AK320" s="72"/>
      <c r="AL320" s="72"/>
      <c r="AM320" s="73"/>
      <c r="AN320" s="74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</row>
    <row r="321">
      <c r="A321" s="70"/>
      <c r="D321" s="70"/>
      <c r="N321" s="70"/>
      <c r="W321" s="71"/>
      <c r="X321" s="70"/>
      <c r="AF321" s="72"/>
      <c r="AG321" s="73"/>
      <c r="AH321" s="72"/>
      <c r="AI321" s="72"/>
      <c r="AJ321" s="72"/>
      <c r="AK321" s="72"/>
      <c r="AL321" s="72"/>
      <c r="AM321" s="73"/>
      <c r="AN321" s="74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</row>
    <row r="322">
      <c r="A322" s="70"/>
      <c r="D322" s="70"/>
      <c r="N322" s="70"/>
      <c r="W322" s="71"/>
      <c r="X322" s="70"/>
      <c r="AF322" s="72"/>
      <c r="AG322" s="73"/>
      <c r="AH322" s="72"/>
      <c r="AI322" s="72"/>
      <c r="AJ322" s="72"/>
      <c r="AK322" s="72"/>
      <c r="AL322" s="72"/>
      <c r="AM322" s="73"/>
      <c r="AN322" s="74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</row>
    <row r="323">
      <c r="A323" s="70"/>
      <c r="D323" s="70"/>
      <c r="N323" s="70"/>
      <c r="W323" s="71"/>
      <c r="X323" s="70"/>
      <c r="AF323" s="72"/>
      <c r="AG323" s="73"/>
      <c r="AH323" s="72"/>
      <c r="AI323" s="72"/>
      <c r="AJ323" s="72"/>
      <c r="AK323" s="72"/>
      <c r="AL323" s="72"/>
      <c r="AM323" s="73"/>
      <c r="AN323" s="74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</row>
    <row r="324">
      <c r="A324" s="70"/>
      <c r="D324" s="70"/>
      <c r="N324" s="70"/>
      <c r="W324" s="71"/>
      <c r="X324" s="70"/>
      <c r="AF324" s="72"/>
      <c r="AG324" s="73"/>
      <c r="AH324" s="72"/>
      <c r="AI324" s="72"/>
      <c r="AJ324" s="72"/>
      <c r="AK324" s="72"/>
      <c r="AL324" s="72"/>
      <c r="AM324" s="73"/>
      <c r="AN324" s="74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</row>
    <row r="325">
      <c r="A325" s="70"/>
      <c r="D325" s="70"/>
      <c r="N325" s="70"/>
      <c r="W325" s="71"/>
      <c r="X325" s="70"/>
      <c r="AF325" s="72"/>
      <c r="AG325" s="73"/>
      <c r="AH325" s="72"/>
      <c r="AI325" s="72"/>
      <c r="AJ325" s="72"/>
      <c r="AK325" s="72"/>
      <c r="AL325" s="72"/>
      <c r="AM325" s="73"/>
      <c r="AN325" s="74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</row>
    <row r="326">
      <c r="A326" s="70"/>
      <c r="D326" s="70"/>
      <c r="N326" s="70"/>
      <c r="W326" s="71"/>
      <c r="X326" s="70"/>
      <c r="AF326" s="72"/>
      <c r="AG326" s="73"/>
      <c r="AH326" s="72"/>
      <c r="AI326" s="72"/>
      <c r="AJ326" s="72"/>
      <c r="AK326" s="72"/>
      <c r="AL326" s="72"/>
      <c r="AM326" s="73"/>
      <c r="AN326" s="74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</row>
    <row r="327">
      <c r="A327" s="70"/>
      <c r="D327" s="70"/>
      <c r="N327" s="70"/>
      <c r="W327" s="71"/>
      <c r="X327" s="70"/>
      <c r="AF327" s="72"/>
      <c r="AG327" s="73"/>
      <c r="AH327" s="72"/>
      <c r="AI327" s="72"/>
      <c r="AJ327" s="72"/>
      <c r="AK327" s="72"/>
      <c r="AL327" s="72"/>
      <c r="AM327" s="73"/>
      <c r="AN327" s="74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</row>
    <row r="328">
      <c r="A328" s="70"/>
      <c r="D328" s="70"/>
      <c r="N328" s="70"/>
      <c r="W328" s="71"/>
      <c r="X328" s="70"/>
      <c r="AF328" s="72"/>
      <c r="AG328" s="73"/>
      <c r="AH328" s="72"/>
      <c r="AI328" s="72"/>
      <c r="AJ328" s="72"/>
      <c r="AK328" s="72"/>
      <c r="AL328" s="72"/>
      <c r="AM328" s="73"/>
      <c r="AN328" s="74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</row>
    <row r="329">
      <c r="A329" s="70"/>
      <c r="D329" s="70"/>
      <c r="N329" s="70"/>
      <c r="W329" s="71"/>
      <c r="X329" s="70"/>
      <c r="AF329" s="72"/>
      <c r="AG329" s="73"/>
      <c r="AH329" s="72"/>
      <c r="AI329" s="72"/>
      <c r="AJ329" s="72"/>
      <c r="AK329" s="72"/>
      <c r="AL329" s="72"/>
      <c r="AM329" s="73"/>
      <c r="AN329" s="74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</row>
    <row r="330">
      <c r="A330" s="70"/>
      <c r="D330" s="70"/>
      <c r="N330" s="70"/>
      <c r="W330" s="71"/>
      <c r="X330" s="70"/>
      <c r="AF330" s="72"/>
      <c r="AG330" s="73"/>
      <c r="AH330" s="72"/>
      <c r="AI330" s="72"/>
      <c r="AJ330" s="72"/>
      <c r="AK330" s="72"/>
      <c r="AL330" s="72"/>
      <c r="AM330" s="73"/>
      <c r="AN330" s="74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</row>
    <row r="331">
      <c r="A331" s="70"/>
      <c r="D331" s="70"/>
      <c r="N331" s="70"/>
      <c r="W331" s="71"/>
      <c r="X331" s="70"/>
      <c r="AF331" s="72"/>
      <c r="AG331" s="73"/>
      <c r="AH331" s="72"/>
      <c r="AI331" s="72"/>
      <c r="AJ331" s="72"/>
      <c r="AK331" s="72"/>
      <c r="AL331" s="72"/>
      <c r="AM331" s="73"/>
      <c r="AN331" s="74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</row>
    <row r="332">
      <c r="A332" s="70"/>
      <c r="D332" s="70"/>
      <c r="N332" s="70"/>
      <c r="W332" s="71"/>
      <c r="X332" s="70"/>
      <c r="AF332" s="72"/>
      <c r="AG332" s="73"/>
      <c r="AH332" s="72"/>
      <c r="AI332" s="72"/>
      <c r="AJ332" s="72"/>
      <c r="AK332" s="72"/>
      <c r="AL332" s="72"/>
      <c r="AM332" s="73"/>
      <c r="AN332" s="74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</row>
    <row r="333">
      <c r="A333" s="70"/>
      <c r="D333" s="70"/>
      <c r="N333" s="70"/>
      <c r="W333" s="71"/>
      <c r="X333" s="70"/>
      <c r="AF333" s="72"/>
      <c r="AG333" s="73"/>
      <c r="AH333" s="72"/>
      <c r="AI333" s="72"/>
      <c r="AJ333" s="72"/>
      <c r="AK333" s="72"/>
      <c r="AL333" s="72"/>
      <c r="AM333" s="73"/>
      <c r="AN333" s="74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</row>
    <row r="334">
      <c r="A334" s="70"/>
      <c r="D334" s="70"/>
      <c r="N334" s="70"/>
      <c r="W334" s="71"/>
      <c r="X334" s="70"/>
      <c r="AF334" s="72"/>
      <c r="AG334" s="73"/>
      <c r="AH334" s="72"/>
      <c r="AI334" s="72"/>
      <c r="AJ334" s="72"/>
      <c r="AK334" s="72"/>
      <c r="AL334" s="72"/>
      <c r="AM334" s="73"/>
      <c r="AN334" s="74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</row>
    <row r="335">
      <c r="A335" s="70"/>
      <c r="D335" s="70"/>
      <c r="N335" s="70"/>
      <c r="W335" s="71"/>
      <c r="X335" s="70"/>
      <c r="AF335" s="72"/>
      <c r="AG335" s="73"/>
      <c r="AH335" s="72"/>
      <c r="AI335" s="72"/>
      <c r="AJ335" s="72"/>
      <c r="AK335" s="72"/>
      <c r="AL335" s="72"/>
      <c r="AM335" s="73"/>
      <c r="AN335" s="74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</row>
    <row r="336">
      <c r="A336" s="70"/>
      <c r="D336" s="70"/>
      <c r="N336" s="70"/>
      <c r="W336" s="71"/>
      <c r="X336" s="70"/>
      <c r="AF336" s="72"/>
      <c r="AG336" s="73"/>
      <c r="AH336" s="72"/>
      <c r="AI336" s="72"/>
      <c r="AJ336" s="72"/>
      <c r="AK336" s="72"/>
      <c r="AL336" s="72"/>
      <c r="AM336" s="73"/>
      <c r="AN336" s="74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</row>
    <row r="337">
      <c r="A337" s="70"/>
      <c r="D337" s="70"/>
      <c r="N337" s="70"/>
      <c r="W337" s="71"/>
      <c r="X337" s="70"/>
      <c r="AF337" s="72"/>
      <c r="AG337" s="73"/>
      <c r="AH337" s="72"/>
      <c r="AI337" s="72"/>
      <c r="AJ337" s="72"/>
      <c r="AK337" s="72"/>
      <c r="AL337" s="72"/>
      <c r="AM337" s="73"/>
      <c r="AN337" s="74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</row>
    <row r="338">
      <c r="A338" s="70"/>
      <c r="D338" s="70"/>
      <c r="N338" s="70"/>
      <c r="W338" s="71"/>
      <c r="X338" s="70"/>
      <c r="AF338" s="72"/>
      <c r="AG338" s="73"/>
      <c r="AH338" s="72"/>
      <c r="AI338" s="72"/>
      <c r="AJ338" s="72"/>
      <c r="AK338" s="72"/>
      <c r="AL338" s="72"/>
      <c r="AM338" s="73"/>
      <c r="AN338" s="74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</row>
    <row r="339">
      <c r="A339" s="70"/>
      <c r="D339" s="70"/>
      <c r="N339" s="70"/>
      <c r="W339" s="71"/>
      <c r="X339" s="70"/>
      <c r="AF339" s="72"/>
      <c r="AG339" s="73"/>
      <c r="AH339" s="72"/>
      <c r="AI339" s="72"/>
      <c r="AJ339" s="72"/>
      <c r="AK339" s="72"/>
      <c r="AL339" s="72"/>
      <c r="AM339" s="73"/>
      <c r="AN339" s="74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</row>
    <row r="340">
      <c r="A340" s="70"/>
      <c r="D340" s="70"/>
      <c r="N340" s="70"/>
      <c r="W340" s="71"/>
      <c r="X340" s="70"/>
      <c r="AF340" s="72"/>
      <c r="AG340" s="73"/>
      <c r="AH340" s="72"/>
      <c r="AI340" s="72"/>
      <c r="AJ340" s="72"/>
      <c r="AK340" s="72"/>
      <c r="AL340" s="72"/>
      <c r="AM340" s="73"/>
      <c r="AN340" s="74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</row>
    <row r="341">
      <c r="A341" s="70"/>
      <c r="D341" s="70"/>
      <c r="N341" s="70"/>
      <c r="W341" s="71"/>
      <c r="X341" s="70"/>
      <c r="AF341" s="72"/>
      <c r="AG341" s="73"/>
      <c r="AH341" s="72"/>
      <c r="AI341" s="72"/>
      <c r="AJ341" s="72"/>
      <c r="AK341" s="72"/>
      <c r="AL341" s="72"/>
      <c r="AM341" s="73"/>
      <c r="AN341" s="74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</row>
    <row r="342">
      <c r="A342" s="70"/>
      <c r="D342" s="70"/>
      <c r="N342" s="70"/>
      <c r="W342" s="71"/>
      <c r="X342" s="70"/>
      <c r="AF342" s="72"/>
      <c r="AG342" s="73"/>
      <c r="AH342" s="72"/>
      <c r="AI342" s="72"/>
      <c r="AJ342" s="72"/>
      <c r="AK342" s="72"/>
      <c r="AL342" s="72"/>
      <c r="AM342" s="73"/>
      <c r="AN342" s="74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</row>
    <row r="343">
      <c r="A343" s="70"/>
      <c r="D343" s="70"/>
      <c r="N343" s="70"/>
      <c r="W343" s="71"/>
      <c r="X343" s="70"/>
      <c r="AF343" s="72"/>
      <c r="AG343" s="73"/>
      <c r="AH343" s="72"/>
      <c r="AI343" s="72"/>
      <c r="AJ343" s="72"/>
      <c r="AK343" s="72"/>
      <c r="AL343" s="72"/>
      <c r="AM343" s="73"/>
      <c r="AN343" s="74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</row>
    <row r="344">
      <c r="A344" s="70"/>
      <c r="D344" s="70"/>
      <c r="N344" s="70"/>
      <c r="W344" s="71"/>
      <c r="X344" s="70"/>
      <c r="AF344" s="72"/>
      <c r="AG344" s="73"/>
      <c r="AH344" s="72"/>
      <c r="AI344" s="72"/>
      <c r="AJ344" s="72"/>
      <c r="AK344" s="72"/>
      <c r="AL344" s="72"/>
      <c r="AM344" s="73"/>
      <c r="AN344" s="74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</row>
    <row r="345">
      <c r="A345" s="70"/>
      <c r="D345" s="70"/>
      <c r="N345" s="70"/>
      <c r="W345" s="71"/>
      <c r="X345" s="70"/>
      <c r="AF345" s="72"/>
      <c r="AG345" s="73"/>
      <c r="AH345" s="72"/>
      <c r="AI345" s="72"/>
      <c r="AJ345" s="72"/>
      <c r="AK345" s="72"/>
      <c r="AL345" s="72"/>
      <c r="AM345" s="73"/>
      <c r="AN345" s="74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</row>
    <row r="346">
      <c r="A346" s="70"/>
      <c r="D346" s="70"/>
      <c r="N346" s="70"/>
      <c r="W346" s="71"/>
      <c r="X346" s="70"/>
      <c r="AF346" s="72"/>
      <c r="AG346" s="73"/>
      <c r="AH346" s="72"/>
      <c r="AI346" s="72"/>
      <c r="AJ346" s="72"/>
      <c r="AK346" s="72"/>
      <c r="AL346" s="72"/>
      <c r="AM346" s="73"/>
      <c r="AN346" s="74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</row>
    <row r="347">
      <c r="A347" s="70"/>
      <c r="D347" s="70"/>
      <c r="N347" s="70"/>
      <c r="W347" s="71"/>
      <c r="X347" s="70"/>
      <c r="AF347" s="72"/>
      <c r="AG347" s="73"/>
      <c r="AH347" s="72"/>
      <c r="AI347" s="72"/>
      <c r="AJ347" s="72"/>
      <c r="AK347" s="72"/>
      <c r="AL347" s="72"/>
      <c r="AM347" s="73"/>
      <c r="AN347" s="74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</row>
    <row r="348">
      <c r="A348" s="70"/>
      <c r="D348" s="70"/>
      <c r="N348" s="70"/>
      <c r="W348" s="71"/>
      <c r="X348" s="70"/>
      <c r="AF348" s="72"/>
      <c r="AG348" s="73"/>
      <c r="AH348" s="72"/>
      <c r="AI348" s="72"/>
      <c r="AJ348" s="72"/>
      <c r="AK348" s="72"/>
      <c r="AL348" s="72"/>
      <c r="AM348" s="73"/>
      <c r="AN348" s="74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</row>
    <row r="349">
      <c r="A349" s="70"/>
      <c r="D349" s="70"/>
      <c r="N349" s="70"/>
      <c r="W349" s="71"/>
      <c r="X349" s="70"/>
      <c r="AF349" s="72"/>
      <c r="AG349" s="73"/>
      <c r="AH349" s="72"/>
      <c r="AI349" s="72"/>
      <c r="AJ349" s="72"/>
      <c r="AK349" s="72"/>
      <c r="AL349" s="72"/>
      <c r="AM349" s="73"/>
      <c r="AN349" s="74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</row>
    <row r="350">
      <c r="A350" s="70"/>
      <c r="D350" s="70"/>
      <c r="N350" s="70"/>
      <c r="W350" s="71"/>
      <c r="X350" s="70"/>
      <c r="AF350" s="72"/>
      <c r="AG350" s="73"/>
      <c r="AH350" s="72"/>
      <c r="AI350" s="72"/>
      <c r="AJ350" s="72"/>
      <c r="AK350" s="72"/>
      <c r="AL350" s="72"/>
      <c r="AM350" s="73"/>
      <c r="AN350" s="74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</row>
    <row r="351">
      <c r="A351" s="70"/>
      <c r="D351" s="70"/>
      <c r="N351" s="70"/>
      <c r="W351" s="71"/>
      <c r="X351" s="70"/>
      <c r="AF351" s="72"/>
      <c r="AG351" s="73"/>
      <c r="AH351" s="72"/>
      <c r="AI351" s="72"/>
      <c r="AJ351" s="72"/>
      <c r="AK351" s="72"/>
      <c r="AL351" s="72"/>
      <c r="AM351" s="73"/>
      <c r="AN351" s="74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</row>
    <row r="352">
      <c r="A352" s="70"/>
      <c r="D352" s="70"/>
      <c r="N352" s="70"/>
      <c r="W352" s="71"/>
      <c r="X352" s="70"/>
      <c r="AF352" s="72"/>
      <c r="AG352" s="73"/>
      <c r="AH352" s="72"/>
      <c r="AI352" s="72"/>
      <c r="AJ352" s="72"/>
      <c r="AK352" s="72"/>
      <c r="AL352" s="72"/>
      <c r="AM352" s="73"/>
      <c r="AN352" s="74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</row>
    <row r="353">
      <c r="A353" s="70"/>
      <c r="D353" s="70"/>
      <c r="N353" s="70"/>
      <c r="W353" s="71"/>
      <c r="X353" s="70"/>
      <c r="AF353" s="72"/>
      <c r="AG353" s="73"/>
      <c r="AH353" s="72"/>
      <c r="AI353" s="72"/>
      <c r="AJ353" s="72"/>
      <c r="AK353" s="72"/>
      <c r="AL353" s="72"/>
      <c r="AM353" s="73"/>
      <c r="AN353" s="74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</row>
    <row r="354">
      <c r="A354" s="70"/>
      <c r="D354" s="70"/>
      <c r="N354" s="70"/>
      <c r="W354" s="71"/>
      <c r="X354" s="70"/>
      <c r="AF354" s="72"/>
      <c r="AG354" s="73"/>
      <c r="AH354" s="72"/>
      <c r="AI354" s="72"/>
      <c r="AJ354" s="72"/>
      <c r="AK354" s="72"/>
      <c r="AL354" s="72"/>
      <c r="AM354" s="73"/>
      <c r="AN354" s="74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</row>
    <row r="355">
      <c r="A355" s="70"/>
      <c r="D355" s="70"/>
      <c r="N355" s="70"/>
      <c r="W355" s="71"/>
      <c r="X355" s="70"/>
      <c r="AF355" s="72"/>
      <c r="AG355" s="73"/>
      <c r="AH355" s="72"/>
      <c r="AI355" s="72"/>
      <c r="AJ355" s="72"/>
      <c r="AK355" s="72"/>
      <c r="AL355" s="72"/>
      <c r="AM355" s="73"/>
      <c r="AN355" s="74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</row>
    <row r="356">
      <c r="A356" s="70"/>
      <c r="D356" s="70"/>
      <c r="N356" s="70"/>
      <c r="W356" s="71"/>
      <c r="X356" s="70"/>
      <c r="AF356" s="72"/>
      <c r="AG356" s="73"/>
      <c r="AH356" s="72"/>
      <c r="AI356" s="72"/>
      <c r="AJ356" s="72"/>
      <c r="AK356" s="72"/>
      <c r="AL356" s="72"/>
      <c r="AM356" s="73"/>
      <c r="AN356" s="74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</row>
    <row r="357">
      <c r="A357" s="70"/>
      <c r="D357" s="70"/>
      <c r="N357" s="70"/>
      <c r="W357" s="71"/>
      <c r="X357" s="70"/>
      <c r="AF357" s="72"/>
      <c r="AG357" s="73"/>
      <c r="AH357" s="72"/>
      <c r="AI357" s="72"/>
      <c r="AJ357" s="72"/>
      <c r="AK357" s="72"/>
      <c r="AL357" s="72"/>
      <c r="AM357" s="73"/>
      <c r="AN357" s="74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</row>
    <row r="358">
      <c r="A358" s="70"/>
      <c r="D358" s="70"/>
      <c r="N358" s="70"/>
      <c r="W358" s="71"/>
      <c r="X358" s="70"/>
      <c r="AF358" s="72"/>
      <c r="AG358" s="73"/>
      <c r="AH358" s="72"/>
      <c r="AI358" s="72"/>
      <c r="AJ358" s="72"/>
      <c r="AK358" s="72"/>
      <c r="AL358" s="72"/>
      <c r="AM358" s="73"/>
      <c r="AN358" s="74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</row>
    <row r="359">
      <c r="A359" s="70"/>
      <c r="D359" s="70"/>
      <c r="N359" s="70"/>
      <c r="W359" s="71"/>
      <c r="X359" s="70"/>
      <c r="AF359" s="72"/>
      <c r="AG359" s="73"/>
      <c r="AH359" s="72"/>
      <c r="AI359" s="72"/>
      <c r="AJ359" s="72"/>
      <c r="AK359" s="72"/>
      <c r="AL359" s="72"/>
      <c r="AM359" s="73"/>
      <c r="AN359" s="74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</row>
    <row r="360">
      <c r="A360" s="70"/>
      <c r="D360" s="70"/>
      <c r="N360" s="70"/>
      <c r="W360" s="71"/>
      <c r="X360" s="70"/>
      <c r="AF360" s="72"/>
      <c r="AG360" s="73"/>
      <c r="AH360" s="72"/>
      <c r="AI360" s="72"/>
      <c r="AJ360" s="72"/>
      <c r="AK360" s="72"/>
      <c r="AL360" s="72"/>
      <c r="AM360" s="73"/>
      <c r="AN360" s="74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</row>
    <row r="361">
      <c r="A361" s="70"/>
      <c r="D361" s="70"/>
      <c r="N361" s="70"/>
      <c r="W361" s="71"/>
      <c r="X361" s="70"/>
      <c r="AF361" s="72"/>
      <c r="AG361" s="73"/>
      <c r="AH361" s="72"/>
      <c r="AI361" s="72"/>
      <c r="AJ361" s="72"/>
      <c r="AK361" s="72"/>
      <c r="AL361" s="72"/>
      <c r="AM361" s="73"/>
      <c r="AN361" s="74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</row>
    <row r="362">
      <c r="A362" s="70"/>
      <c r="D362" s="70"/>
      <c r="N362" s="70"/>
      <c r="W362" s="71"/>
      <c r="X362" s="70"/>
      <c r="AF362" s="72"/>
      <c r="AG362" s="73"/>
      <c r="AH362" s="72"/>
      <c r="AI362" s="72"/>
      <c r="AJ362" s="72"/>
      <c r="AK362" s="72"/>
      <c r="AL362" s="72"/>
      <c r="AM362" s="73"/>
      <c r="AN362" s="74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</row>
    <row r="363">
      <c r="A363" s="70"/>
      <c r="D363" s="70"/>
      <c r="N363" s="70"/>
      <c r="W363" s="71"/>
      <c r="X363" s="70"/>
      <c r="AF363" s="72"/>
      <c r="AG363" s="73"/>
      <c r="AH363" s="72"/>
      <c r="AI363" s="72"/>
      <c r="AJ363" s="72"/>
      <c r="AK363" s="72"/>
      <c r="AL363" s="72"/>
      <c r="AM363" s="73"/>
      <c r="AN363" s="74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</row>
    <row r="364">
      <c r="A364" s="70"/>
      <c r="D364" s="70"/>
      <c r="N364" s="70"/>
      <c r="W364" s="71"/>
      <c r="X364" s="70"/>
      <c r="AF364" s="72"/>
      <c r="AG364" s="73"/>
      <c r="AH364" s="72"/>
      <c r="AI364" s="72"/>
      <c r="AJ364" s="72"/>
      <c r="AK364" s="72"/>
      <c r="AL364" s="72"/>
      <c r="AM364" s="73"/>
      <c r="AN364" s="74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</row>
    <row r="365">
      <c r="A365" s="70"/>
      <c r="D365" s="70"/>
      <c r="N365" s="70"/>
      <c r="W365" s="71"/>
      <c r="X365" s="70"/>
      <c r="AF365" s="72"/>
      <c r="AG365" s="73"/>
      <c r="AH365" s="72"/>
      <c r="AI365" s="72"/>
      <c r="AJ365" s="72"/>
      <c r="AK365" s="72"/>
      <c r="AL365" s="72"/>
      <c r="AM365" s="73"/>
      <c r="AN365" s="74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</row>
    <row r="366">
      <c r="A366" s="70"/>
      <c r="D366" s="70"/>
      <c r="N366" s="70"/>
      <c r="W366" s="71"/>
      <c r="X366" s="70"/>
      <c r="AF366" s="72"/>
      <c r="AG366" s="73"/>
      <c r="AH366" s="72"/>
      <c r="AI366" s="72"/>
      <c r="AJ366" s="72"/>
      <c r="AK366" s="72"/>
      <c r="AL366" s="72"/>
      <c r="AM366" s="73"/>
      <c r="AN366" s="74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</row>
    <row r="367">
      <c r="A367" s="70"/>
      <c r="D367" s="70"/>
      <c r="N367" s="70"/>
      <c r="W367" s="71"/>
      <c r="X367" s="70"/>
      <c r="AF367" s="72"/>
      <c r="AG367" s="73"/>
      <c r="AH367" s="72"/>
      <c r="AI367" s="72"/>
      <c r="AJ367" s="72"/>
      <c r="AK367" s="72"/>
      <c r="AL367" s="72"/>
      <c r="AM367" s="73"/>
      <c r="AN367" s="74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</row>
    <row r="368">
      <c r="A368" s="70"/>
      <c r="D368" s="70"/>
      <c r="N368" s="70"/>
      <c r="W368" s="71"/>
      <c r="X368" s="70"/>
      <c r="AF368" s="72"/>
      <c r="AG368" s="73"/>
      <c r="AH368" s="72"/>
      <c r="AI368" s="72"/>
      <c r="AJ368" s="72"/>
      <c r="AK368" s="72"/>
      <c r="AL368" s="72"/>
      <c r="AM368" s="73"/>
      <c r="AN368" s="74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</row>
    <row r="369">
      <c r="A369" s="70"/>
      <c r="D369" s="70"/>
      <c r="N369" s="70"/>
      <c r="W369" s="71"/>
      <c r="X369" s="70"/>
      <c r="AF369" s="72"/>
      <c r="AG369" s="73"/>
      <c r="AH369" s="72"/>
      <c r="AI369" s="72"/>
      <c r="AJ369" s="72"/>
      <c r="AK369" s="72"/>
      <c r="AL369" s="72"/>
      <c r="AM369" s="73"/>
      <c r="AN369" s="74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</row>
    <row r="370">
      <c r="A370" s="70"/>
      <c r="D370" s="70"/>
      <c r="N370" s="70"/>
      <c r="W370" s="71"/>
      <c r="X370" s="70"/>
      <c r="AF370" s="72"/>
      <c r="AG370" s="73"/>
      <c r="AH370" s="72"/>
      <c r="AI370" s="72"/>
      <c r="AJ370" s="72"/>
      <c r="AK370" s="72"/>
      <c r="AL370" s="72"/>
      <c r="AM370" s="73"/>
      <c r="AN370" s="74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</row>
    <row r="371">
      <c r="A371" s="70"/>
      <c r="D371" s="70"/>
      <c r="N371" s="70"/>
      <c r="W371" s="71"/>
      <c r="X371" s="70"/>
      <c r="AF371" s="72"/>
      <c r="AG371" s="73"/>
      <c r="AH371" s="72"/>
      <c r="AI371" s="72"/>
      <c r="AJ371" s="72"/>
      <c r="AK371" s="72"/>
      <c r="AL371" s="72"/>
      <c r="AM371" s="73"/>
      <c r="AN371" s="74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</row>
    <row r="372">
      <c r="A372" s="70"/>
      <c r="D372" s="70"/>
      <c r="N372" s="70"/>
      <c r="W372" s="71"/>
      <c r="X372" s="70"/>
      <c r="AF372" s="72"/>
      <c r="AG372" s="73"/>
      <c r="AH372" s="72"/>
      <c r="AI372" s="72"/>
      <c r="AJ372" s="72"/>
      <c r="AK372" s="72"/>
      <c r="AL372" s="72"/>
      <c r="AM372" s="73"/>
      <c r="AN372" s="74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</row>
    <row r="373">
      <c r="A373" s="70"/>
      <c r="D373" s="70"/>
      <c r="N373" s="70"/>
      <c r="W373" s="71"/>
      <c r="X373" s="70"/>
      <c r="AF373" s="72"/>
      <c r="AG373" s="73"/>
      <c r="AH373" s="72"/>
      <c r="AI373" s="72"/>
      <c r="AJ373" s="72"/>
      <c r="AK373" s="72"/>
      <c r="AL373" s="72"/>
      <c r="AM373" s="73"/>
      <c r="AN373" s="74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</row>
    <row r="374">
      <c r="A374" s="70"/>
      <c r="D374" s="70"/>
      <c r="N374" s="70"/>
      <c r="W374" s="71"/>
      <c r="X374" s="70"/>
      <c r="AF374" s="72"/>
      <c r="AG374" s="73"/>
      <c r="AH374" s="72"/>
      <c r="AI374" s="72"/>
      <c r="AJ374" s="72"/>
      <c r="AK374" s="72"/>
      <c r="AL374" s="72"/>
      <c r="AM374" s="73"/>
      <c r="AN374" s="74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</row>
    <row r="375">
      <c r="A375" s="70"/>
      <c r="D375" s="70"/>
      <c r="N375" s="70"/>
      <c r="W375" s="71"/>
      <c r="X375" s="70"/>
      <c r="AF375" s="72"/>
      <c r="AG375" s="73"/>
      <c r="AH375" s="72"/>
      <c r="AI375" s="72"/>
      <c r="AJ375" s="72"/>
      <c r="AK375" s="72"/>
      <c r="AL375" s="72"/>
      <c r="AM375" s="73"/>
      <c r="AN375" s="74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</row>
    <row r="376">
      <c r="A376" s="70"/>
      <c r="D376" s="70"/>
      <c r="N376" s="70"/>
      <c r="W376" s="71"/>
      <c r="X376" s="70"/>
      <c r="AF376" s="72"/>
      <c r="AG376" s="73"/>
      <c r="AH376" s="72"/>
      <c r="AI376" s="72"/>
      <c r="AJ376" s="72"/>
      <c r="AK376" s="72"/>
      <c r="AL376" s="72"/>
      <c r="AM376" s="73"/>
      <c r="AN376" s="74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</row>
    <row r="377">
      <c r="A377" s="70"/>
      <c r="D377" s="70"/>
      <c r="N377" s="70"/>
      <c r="W377" s="71"/>
      <c r="X377" s="70"/>
      <c r="AF377" s="72"/>
      <c r="AG377" s="73"/>
      <c r="AH377" s="72"/>
      <c r="AI377" s="72"/>
      <c r="AJ377" s="72"/>
      <c r="AK377" s="72"/>
      <c r="AL377" s="72"/>
      <c r="AM377" s="73"/>
      <c r="AN377" s="74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</row>
    <row r="378">
      <c r="A378" s="70"/>
      <c r="D378" s="70"/>
      <c r="N378" s="70"/>
      <c r="W378" s="71"/>
      <c r="X378" s="70"/>
      <c r="AF378" s="72"/>
      <c r="AG378" s="73"/>
      <c r="AH378" s="72"/>
      <c r="AI378" s="72"/>
      <c r="AJ378" s="72"/>
      <c r="AK378" s="72"/>
      <c r="AL378" s="72"/>
      <c r="AM378" s="73"/>
      <c r="AN378" s="74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</row>
    <row r="379">
      <c r="A379" s="70"/>
      <c r="D379" s="70"/>
      <c r="N379" s="70"/>
      <c r="W379" s="71"/>
      <c r="X379" s="70"/>
      <c r="AF379" s="72"/>
      <c r="AG379" s="73"/>
      <c r="AH379" s="72"/>
      <c r="AI379" s="72"/>
      <c r="AJ379" s="72"/>
      <c r="AK379" s="72"/>
      <c r="AL379" s="72"/>
      <c r="AM379" s="73"/>
      <c r="AN379" s="74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</row>
    <row r="380">
      <c r="A380" s="70"/>
      <c r="D380" s="70"/>
      <c r="N380" s="70"/>
      <c r="W380" s="71"/>
      <c r="X380" s="70"/>
      <c r="AF380" s="72"/>
      <c r="AG380" s="73"/>
      <c r="AH380" s="72"/>
      <c r="AI380" s="72"/>
      <c r="AJ380" s="72"/>
      <c r="AK380" s="72"/>
      <c r="AL380" s="72"/>
      <c r="AM380" s="73"/>
      <c r="AN380" s="74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</row>
    <row r="381">
      <c r="A381" s="70"/>
      <c r="D381" s="70"/>
      <c r="N381" s="70"/>
      <c r="W381" s="71"/>
      <c r="X381" s="70"/>
      <c r="AF381" s="72"/>
      <c r="AG381" s="73"/>
      <c r="AH381" s="72"/>
      <c r="AI381" s="72"/>
      <c r="AJ381" s="72"/>
      <c r="AK381" s="72"/>
      <c r="AL381" s="72"/>
      <c r="AM381" s="73"/>
      <c r="AN381" s="74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</row>
    <row r="382">
      <c r="A382" s="70"/>
      <c r="D382" s="70"/>
      <c r="N382" s="70"/>
      <c r="W382" s="71"/>
      <c r="X382" s="70"/>
      <c r="AF382" s="72"/>
      <c r="AG382" s="73"/>
      <c r="AH382" s="72"/>
      <c r="AI382" s="72"/>
      <c r="AJ382" s="72"/>
      <c r="AK382" s="72"/>
      <c r="AL382" s="72"/>
      <c r="AM382" s="73"/>
      <c r="AN382" s="74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</row>
    <row r="383">
      <c r="A383" s="70"/>
      <c r="D383" s="70"/>
      <c r="N383" s="70"/>
      <c r="W383" s="71"/>
      <c r="X383" s="70"/>
      <c r="AF383" s="72"/>
      <c r="AG383" s="73"/>
      <c r="AH383" s="72"/>
      <c r="AI383" s="72"/>
      <c r="AJ383" s="72"/>
      <c r="AK383" s="72"/>
      <c r="AL383" s="72"/>
      <c r="AM383" s="73"/>
      <c r="AN383" s="74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</row>
    <row r="384">
      <c r="A384" s="70"/>
      <c r="D384" s="70"/>
      <c r="N384" s="70"/>
      <c r="W384" s="71"/>
      <c r="X384" s="70"/>
      <c r="AF384" s="72"/>
      <c r="AG384" s="73"/>
      <c r="AH384" s="72"/>
      <c r="AI384" s="72"/>
      <c r="AJ384" s="72"/>
      <c r="AK384" s="72"/>
      <c r="AL384" s="72"/>
      <c r="AM384" s="73"/>
      <c r="AN384" s="74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</row>
    <row r="385">
      <c r="A385" s="70"/>
      <c r="D385" s="70"/>
      <c r="N385" s="70"/>
      <c r="W385" s="71"/>
      <c r="X385" s="70"/>
      <c r="AF385" s="72"/>
      <c r="AG385" s="73"/>
      <c r="AH385" s="72"/>
      <c r="AI385" s="72"/>
      <c r="AJ385" s="72"/>
      <c r="AK385" s="72"/>
      <c r="AL385" s="72"/>
      <c r="AM385" s="73"/>
      <c r="AN385" s="74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</row>
    <row r="386">
      <c r="A386" s="70"/>
      <c r="D386" s="70"/>
      <c r="N386" s="70"/>
      <c r="W386" s="71"/>
      <c r="X386" s="70"/>
      <c r="AF386" s="72"/>
      <c r="AG386" s="73"/>
      <c r="AH386" s="72"/>
      <c r="AI386" s="72"/>
      <c r="AJ386" s="72"/>
      <c r="AK386" s="72"/>
      <c r="AL386" s="72"/>
      <c r="AM386" s="73"/>
      <c r="AN386" s="74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</row>
    <row r="387">
      <c r="A387" s="70"/>
      <c r="D387" s="70"/>
      <c r="N387" s="70"/>
      <c r="W387" s="71"/>
      <c r="X387" s="70"/>
      <c r="AF387" s="72"/>
      <c r="AG387" s="73"/>
      <c r="AH387" s="72"/>
      <c r="AI387" s="72"/>
      <c r="AJ387" s="72"/>
      <c r="AK387" s="72"/>
      <c r="AL387" s="72"/>
      <c r="AM387" s="73"/>
      <c r="AN387" s="74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</row>
    <row r="388">
      <c r="A388" s="70"/>
      <c r="D388" s="70"/>
      <c r="N388" s="70"/>
      <c r="W388" s="71"/>
      <c r="X388" s="70"/>
      <c r="AF388" s="72"/>
      <c r="AG388" s="73"/>
      <c r="AH388" s="72"/>
      <c r="AI388" s="72"/>
      <c r="AJ388" s="72"/>
      <c r="AK388" s="72"/>
      <c r="AL388" s="72"/>
      <c r="AM388" s="73"/>
      <c r="AN388" s="74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</row>
    <row r="389">
      <c r="A389" s="70"/>
      <c r="D389" s="70"/>
      <c r="N389" s="70"/>
      <c r="W389" s="71"/>
      <c r="X389" s="70"/>
      <c r="AF389" s="72"/>
      <c r="AG389" s="73"/>
      <c r="AH389" s="72"/>
      <c r="AI389" s="72"/>
      <c r="AJ389" s="72"/>
      <c r="AK389" s="72"/>
      <c r="AL389" s="72"/>
      <c r="AM389" s="73"/>
      <c r="AN389" s="74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</row>
    <row r="390">
      <c r="A390" s="70"/>
      <c r="D390" s="70"/>
      <c r="N390" s="70"/>
      <c r="W390" s="71"/>
      <c r="X390" s="70"/>
      <c r="AF390" s="72"/>
      <c r="AG390" s="73"/>
      <c r="AH390" s="72"/>
      <c r="AI390" s="72"/>
      <c r="AJ390" s="72"/>
      <c r="AK390" s="72"/>
      <c r="AL390" s="72"/>
      <c r="AM390" s="73"/>
      <c r="AN390" s="74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</row>
    <row r="391">
      <c r="A391" s="70"/>
      <c r="D391" s="70"/>
      <c r="N391" s="70"/>
      <c r="W391" s="71"/>
      <c r="X391" s="70"/>
      <c r="AF391" s="72"/>
      <c r="AG391" s="73"/>
      <c r="AH391" s="72"/>
      <c r="AI391" s="72"/>
      <c r="AJ391" s="72"/>
      <c r="AK391" s="72"/>
      <c r="AL391" s="72"/>
      <c r="AM391" s="73"/>
      <c r="AN391" s="74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</row>
    <row r="392">
      <c r="A392" s="70"/>
      <c r="D392" s="70"/>
      <c r="N392" s="70"/>
      <c r="W392" s="71"/>
      <c r="X392" s="70"/>
      <c r="AF392" s="72"/>
      <c r="AG392" s="73"/>
      <c r="AH392" s="72"/>
      <c r="AI392" s="72"/>
      <c r="AJ392" s="72"/>
      <c r="AK392" s="72"/>
      <c r="AL392" s="72"/>
      <c r="AM392" s="73"/>
      <c r="AN392" s="74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</row>
    <row r="393">
      <c r="A393" s="70"/>
      <c r="D393" s="70"/>
      <c r="N393" s="70"/>
      <c r="W393" s="71"/>
      <c r="X393" s="70"/>
      <c r="AF393" s="72"/>
      <c r="AG393" s="73"/>
      <c r="AH393" s="72"/>
      <c r="AI393" s="72"/>
      <c r="AJ393" s="72"/>
      <c r="AK393" s="72"/>
      <c r="AL393" s="72"/>
      <c r="AM393" s="73"/>
      <c r="AN393" s="74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</row>
    <row r="394">
      <c r="A394" s="70"/>
      <c r="D394" s="70"/>
      <c r="N394" s="70"/>
      <c r="W394" s="71"/>
      <c r="X394" s="70"/>
      <c r="AF394" s="72"/>
      <c r="AG394" s="73"/>
      <c r="AH394" s="72"/>
      <c r="AI394" s="72"/>
      <c r="AJ394" s="72"/>
      <c r="AK394" s="72"/>
      <c r="AL394" s="72"/>
      <c r="AM394" s="73"/>
      <c r="AN394" s="74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</row>
    <row r="395">
      <c r="A395" s="70"/>
      <c r="D395" s="70"/>
      <c r="N395" s="70"/>
      <c r="W395" s="71"/>
      <c r="X395" s="70"/>
      <c r="AF395" s="72"/>
      <c r="AG395" s="73"/>
      <c r="AH395" s="72"/>
      <c r="AI395" s="72"/>
      <c r="AJ395" s="72"/>
      <c r="AK395" s="72"/>
      <c r="AL395" s="72"/>
      <c r="AM395" s="73"/>
      <c r="AN395" s="74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</row>
    <row r="396">
      <c r="A396" s="70"/>
      <c r="D396" s="70"/>
      <c r="N396" s="70"/>
      <c r="W396" s="71"/>
      <c r="X396" s="70"/>
      <c r="AF396" s="72"/>
      <c r="AG396" s="73"/>
      <c r="AH396" s="72"/>
      <c r="AI396" s="72"/>
      <c r="AJ396" s="72"/>
      <c r="AK396" s="72"/>
      <c r="AL396" s="72"/>
      <c r="AM396" s="73"/>
      <c r="AN396" s="74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</row>
    <row r="397">
      <c r="A397" s="70"/>
      <c r="D397" s="70"/>
      <c r="N397" s="70"/>
      <c r="W397" s="71"/>
      <c r="X397" s="70"/>
      <c r="AF397" s="72"/>
      <c r="AG397" s="73"/>
      <c r="AH397" s="72"/>
      <c r="AI397" s="72"/>
      <c r="AJ397" s="72"/>
      <c r="AK397" s="72"/>
      <c r="AL397" s="72"/>
      <c r="AM397" s="73"/>
      <c r="AN397" s="74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</row>
    <row r="398">
      <c r="A398" s="70"/>
      <c r="D398" s="70"/>
      <c r="N398" s="70"/>
      <c r="W398" s="71"/>
      <c r="X398" s="70"/>
      <c r="AF398" s="72"/>
      <c r="AG398" s="73"/>
      <c r="AH398" s="72"/>
      <c r="AI398" s="72"/>
      <c r="AJ398" s="72"/>
      <c r="AK398" s="72"/>
      <c r="AL398" s="72"/>
      <c r="AM398" s="73"/>
      <c r="AN398" s="74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</row>
    <row r="399">
      <c r="A399" s="70"/>
      <c r="D399" s="70"/>
      <c r="N399" s="70"/>
      <c r="W399" s="71"/>
      <c r="X399" s="70"/>
      <c r="AF399" s="72"/>
      <c r="AG399" s="73"/>
      <c r="AH399" s="72"/>
      <c r="AI399" s="72"/>
      <c r="AJ399" s="72"/>
      <c r="AK399" s="72"/>
      <c r="AL399" s="72"/>
      <c r="AM399" s="73"/>
      <c r="AN399" s="74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</row>
    <row r="400">
      <c r="A400" s="70"/>
      <c r="D400" s="70"/>
      <c r="N400" s="70"/>
      <c r="W400" s="71"/>
      <c r="X400" s="70"/>
      <c r="AF400" s="72"/>
      <c r="AG400" s="73"/>
      <c r="AH400" s="72"/>
      <c r="AI400" s="72"/>
      <c r="AJ400" s="72"/>
      <c r="AK400" s="72"/>
      <c r="AL400" s="72"/>
      <c r="AM400" s="73"/>
      <c r="AN400" s="74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</row>
    <row r="401">
      <c r="A401" s="70"/>
      <c r="D401" s="70"/>
      <c r="N401" s="70"/>
      <c r="W401" s="71"/>
      <c r="X401" s="70"/>
      <c r="AF401" s="72"/>
      <c r="AG401" s="73"/>
      <c r="AH401" s="72"/>
      <c r="AI401" s="72"/>
      <c r="AJ401" s="72"/>
      <c r="AK401" s="72"/>
      <c r="AL401" s="72"/>
      <c r="AM401" s="73"/>
      <c r="AN401" s="74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</row>
    <row r="402">
      <c r="A402" s="70"/>
      <c r="D402" s="70"/>
      <c r="N402" s="70"/>
      <c r="W402" s="71"/>
      <c r="X402" s="70"/>
      <c r="AF402" s="72"/>
      <c r="AG402" s="73"/>
      <c r="AH402" s="72"/>
      <c r="AI402" s="72"/>
      <c r="AJ402" s="72"/>
      <c r="AK402" s="72"/>
      <c r="AL402" s="72"/>
      <c r="AM402" s="73"/>
      <c r="AN402" s="74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</row>
    <row r="403">
      <c r="A403" s="70"/>
      <c r="D403" s="70"/>
      <c r="N403" s="70"/>
      <c r="W403" s="71"/>
      <c r="X403" s="70"/>
      <c r="AF403" s="72"/>
      <c r="AG403" s="73"/>
      <c r="AH403" s="72"/>
      <c r="AI403" s="72"/>
      <c r="AJ403" s="72"/>
      <c r="AK403" s="72"/>
      <c r="AL403" s="72"/>
      <c r="AM403" s="73"/>
      <c r="AN403" s="74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</row>
    <row r="404">
      <c r="A404" s="70"/>
      <c r="D404" s="70"/>
      <c r="N404" s="70"/>
      <c r="W404" s="71"/>
      <c r="X404" s="70"/>
      <c r="AF404" s="72"/>
      <c r="AG404" s="73"/>
      <c r="AH404" s="72"/>
      <c r="AI404" s="72"/>
      <c r="AJ404" s="72"/>
      <c r="AK404" s="72"/>
      <c r="AL404" s="72"/>
      <c r="AM404" s="73"/>
      <c r="AN404" s="74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</row>
    <row r="405">
      <c r="A405" s="70"/>
      <c r="D405" s="70"/>
      <c r="N405" s="70"/>
      <c r="W405" s="71"/>
      <c r="X405" s="70"/>
      <c r="AF405" s="72"/>
      <c r="AG405" s="73"/>
      <c r="AH405" s="72"/>
      <c r="AI405" s="72"/>
      <c r="AJ405" s="72"/>
      <c r="AK405" s="72"/>
      <c r="AL405" s="72"/>
      <c r="AM405" s="73"/>
      <c r="AN405" s="74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</row>
    <row r="406">
      <c r="A406" s="70"/>
      <c r="D406" s="70"/>
      <c r="N406" s="70"/>
      <c r="W406" s="71"/>
      <c r="X406" s="70"/>
      <c r="AF406" s="72"/>
      <c r="AG406" s="73"/>
      <c r="AH406" s="72"/>
      <c r="AI406" s="72"/>
      <c r="AJ406" s="72"/>
      <c r="AK406" s="72"/>
      <c r="AL406" s="72"/>
      <c r="AM406" s="73"/>
      <c r="AN406" s="74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</row>
    <row r="407">
      <c r="A407" s="70"/>
      <c r="D407" s="70"/>
      <c r="N407" s="70"/>
      <c r="W407" s="71"/>
      <c r="X407" s="70"/>
      <c r="AF407" s="72"/>
      <c r="AG407" s="73"/>
      <c r="AH407" s="72"/>
      <c r="AI407" s="72"/>
      <c r="AJ407" s="72"/>
      <c r="AK407" s="72"/>
      <c r="AL407" s="72"/>
      <c r="AM407" s="73"/>
      <c r="AN407" s="74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</row>
    <row r="408">
      <c r="A408" s="70"/>
      <c r="D408" s="70"/>
      <c r="N408" s="70"/>
      <c r="W408" s="71"/>
      <c r="X408" s="70"/>
      <c r="AF408" s="72"/>
      <c r="AG408" s="73"/>
      <c r="AH408" s="72"/>
      <c r="AI408" s="72"/>
      <c r="AJ408" s="72"/>
      <c r="AK408" s="72"/>
      <c r="AL408" s="72"/>
      <c r="AM408" s="73"/>
      <c r="AN408" s="74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</row>
    <row r="409">
      <c r="A409" s="70"/>
      <c r="D409" s="70"/>
      <c r="N409" s="70"/>
      <c r="W409" s="71"/>
      <c r="X409" s="70"/>
      <c r="AF409" s="72"/>
      <c r="AG409" s="73"/>
      <c r="AH409" s="72"/>
      <c r="AI409" s="72"/>
      <c r="AJ409" s="72"/>
      <c r="AK409" s="72"/>
      <c r="AL409" s="72"/>
      <c r="AM409" s="73"/>
      <c r="AN409" s="74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</row>
    <row r="410">
      <c r="A410" s="70"/>
      <c r="D410" s="70"/>
      <c r="N410" s="70"/>
      <c r="W410" s="71"/>
      <c r="X410" s="70"/>
      <c r="AF410" s="72"/>
      <c r="AG410" s="73"/>
      <c r="AH410" s="72"/>
      <c r="AI410" s="72"/>
      <c r="AJ410" s="72"/>
      <c r="AK410" s="72"/>
      <c r="AL410" s="72"/>
      <c r="AM410" s="73"/>
      <c r="AN410" s="74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</row>
    <row r="411">
      <c r="A411" s="70"/>
      <c r="D411" s="70"/>
      <c r="N411" s="70"/>
      <c r="W411" s="71"/>
      <c r="X411" s="70"/>
      <c r="AF411" s="72"/>
      <c r="AG411" s="73"/>
      <c r="AH411" s="72"/>
      <c r="AI411" s="72"/>
      <c r="AJ411" s="72"/>
      <c r="AK411" s="72"/>
      <c r="AL411" s="72"/>
      <c r="AM411" s="73"/>
      <c r="AN411" s="74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</row>
    <row r="412">
      <c r="A412" s="70"/>
      <c r="D412" s="70"/>
      <c r="N412" s="70"/>
      <c r="W412" s="71"/>
      <c r="X412" s="70"/>
      <c r="AF412" s="72"/>
      <c r="AG412" s="73"/>
      <c r="AH412" s="72"/>
      <c r="AI412" s="72"/>
      <c r="AJ412" s="72"/>
      <c r="AK412" s="72"/>
      <c r="AL412" s="72"/>
      <c r="AM412" s="73"/>
      <c r="AN412" s="74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</row>
    <row r="413">
      <c r="A413" s="70"/>
      <c r="D413" s="70"/>
      <c r="N413" s="70"/>
      <c r="W413" s="71"/>
      <c r="X413" s="70"/>
      <c r="AF413" s="72"/>
      <c r="AG413" s="73"/>
      <c r="AH413" s="72"/>
      <c r="AI413" s="72"/>
      <c r="AJ413" s="72"/>
      <c r="AK413" s="72"/>
      <c r="AL413" s="72"/>
      <c r="AM413" s="73"/>
      <c r="AN413" s="74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</row>
    <row r="414">
      <c r="A414" s="70"/>
      <c r="D414" s="70"/>
      <c r="N414" s="70"/>
      <c r="W414" s="71"/>
      <c r="X414" s="70"/>
      <c r="AF414" s="72"/>
      <c r="AG414" s="73"/>
      <c r="AH414" s="72"/>
      <c r="AI414" s="72"/>
      <c r="AJ414" s="72"/>
      <c r="AK414" s="72"/>
      <c r="AL414" s="72"/>
      <c r="AM414" s="73"/>
      <c r="AN414" s="74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</row>
    <row r="415">
      <c r="A415" s="70"/>
      <c r="D415" s="70"/>
      <c r="N415" s="70"/>
      <c r="W415" s="71"/>
      <c r="X415" s="70"/>
      <c r="AF415" s="72"/>
      <c r="AG415" s="73"/>
      <c r="AH415" s="72"/>
      <c r="AI415" s="72"/>
      <c r="AJ415" s="72"/>
      <c r="AK415" s="72"/>
      <c r="AL415" s="72"/>
      <c r="AM415" s="73"/>
      <c r="AN415" s="74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</row>
    <row r="416">
      <c r="A416" s="70"/>
      <c r="D416" s="70"/>
      <c r="N416" s="70"/>
      <c r="W416" s="71"/>
      <c r="X416" s="70"/>
      <c r="AF416" s="72"/>
      <c r="AG416" s="73"/>
      <c r="AH416" s="72"/>
      <c r="AI416" s="72"/>
      <c r="AJ416" s="72"/>
      <c r="AK416" s="72"/>
      <c r="AL416" s="72"/>
      <c r="AM416" s="73"/>
      <c r="AN416" s="74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</row>
    <row r="417">
      <c r="A417" s="70"/>
      <c r="D417" s="70"/>
      <c r="N417" s="70"/>
      <c r="W417" s="71"/>
      <c r="X417" s="70"/>
      <c r="AF417" s="72"/>
      <c r="AG417" s="73"/>
      <c r="AH417" s="72"/>
      <c r="AI417" s="72"/>
      <c r="AJ417" s="72"/>
      <c r="AK417" s="72"/>
      <c r="AL417" s="72"/>
      <c r="AM417" s="73"/>
      <c r="AN417" s="74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</row>
    <row r="418">
      <c r="A418" s="70"/>
      <c r="D418" s="70"/>
      <c r="N418" s="70"/>
      <c r="W418" s="71"/>
      <c r="X418" s="70"/>
      <c r="AF418" s="72"/>
      <c r="AG418" s="73"/>
      <c r="AH418" s="72"/>
      <c r="AI418" s="72"/>
      <c r="AJ418" s="72"/>
      <c r="AK418" s="72"/>
      <c r="AL418" s="72"/>
      <c r="AM418" s="73"/>
      <c r="AN418" s="74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</row>
    <row r="419">
      <c r="A419" s="70"/>
      <c r="D419" s="70"/>
      <c r="N419" s="70"/>
      <c r="W419" s="71"/>
      <c r="X419" s="70"/>
      <c r="AF419" s="72"/>
      <c r="AG419" s="73"/>
      <c r="AH419" s="72"/>
      <c r="AI419" s="72"/>
      <c r="AJ419" s="72"/>
      <c r="AK419" s="72"/>
      <c r="AL419" s="72"/>
      <c r="AM419" s="73"/>
      <c r="AN419" s="74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</row>
    <row r="420">
      <c r="A420" s="70"/>
      <c r="D420" s="70"/>
      <c r="N420" s="70"/>
      <c r="W420" s="71"/>
      <c r="X420" s="70"/>
      <c r="AF420" s="72"/>
      <c r="AG420" s="73"/>
      <c r="AH420" s="72"/>
      <c r="AI420" s="72"/>
      <c r="AJ420" s="72"/>
      <c r="AK420" s="72"/>
      <c r="AL420" s="72"/>
      <c r="AM420" s="73"/>
      <c r="AN420" s="74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</row>
    <row r="421">
      <c r="A421" s="70"/>
      <c r="D421" s="70"/>
      <c r="N421" s="70"/>
      <c r="W421" s="71"/>
      <c r="X421" s="70"/>
      <c r="AF421" s="72"/>
      <c r="AG421" s="73"/>
      <c r="AH421" s="72"/>
      <c r="AI421" s="72"/>
      <c r="AJ421" s="72"/>
      <c r="AK421" s="72"/>
      <c r="AL421" s="72"/>
      <c r="AM421" s="73"/>
      <c r="AN421" s="74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</row>
    <row r="422">
      <c r="A422" s="70"/>
      <c r="D422" s="70"/>
      <c r="N422" s="70"/>
      <c r="W422" s="71"/>
      <c r="X422" s="70"/>
      <c r="AF422" s="72"/>
      <c r="AG422" s="73"/>
      <c r="AH422" s="72"/>
      <c r="AI422" s="72"/>
      <c r="AJ422" s="72"/>
      <c r="AK422" s="72"/>
      <c r="AL422" s="72"/>
      <c r="AM422" s="73"/>
      <c r="AN422" s="74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</row>
    <row r="423">
      <c r="A423" s="70"/>
      <c r="D423" s="70"/>
      <c r="N423" s="70"/>
      <c r="W423" s="71"/>
      <c r="X423" s="70"/>
      <c r="AF423" s="72"/>
      <c r="AG423" s="73"/>
      <c r="AH423" s="72"/>
      <c r="AI423" s="72"/>
      <c r="AJ423" s="72"/>
      <c r="AK423" s="72"/>
      <c r="AL423" s="72"/>
      <c r="AM423" s="73"/>
      <c r="AN423" s="74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</row>
    <row r="424">
      <c r="A424" s="70"/>
      <c r="D424" s="70"/>
      <c r="N424" s="70"/>
      <c r="W424" s="71"/>
      <c r="X424" s="70"/>
      <c r="AF424" s="72"/>
      <c r="AG424" s="73"/>
      <c r="AH424" s="72"/>
      <c r="AI424" s="72"/>
      <c r="AJ424" s="72"/>
      <c r="AK424" s="72"/>
      <c r="AL424" s="72"/>
      <c r="AM424" s="73"/>
      <c r="AN424" s="74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</row>
    <row r="425">
      <c r="A425" s="70"/>
      <c r="D425" s="70"/>
      <c r="N425" s="70"/>
      <c r="W425" s="71"/>
      <c r="X425" s="70"/>
      <c r="AF425" s="72"/>
      <c r="AG425" s="73"/>
      <c r="AH425" s="72"/>
      <c r="AI425" s="72"/>
      <c r="AJ425" s="72"/>
      <c r="AK425" s="72"/>
      <c r="AL425" s="72"/>
      <c r="AM425" s="73"/>
      <c r="AN425" s="74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</row>
    <row r="426">
      <c r="A426" s="70"/>
      <c r="D426" s="70"/>
      <c r="N426" s="70"/>
      <c r="W426" s="71"/>
      <c r="X426" s="70"/>
      <c r="AF426" s="72"/>
      <c r="AG426" s="73"/>
      <c r="AH426" s="72"/>
      <c r="AI426" s="72"/>
      <c r="AJ426" s="72"/>
      <c r="AK426" s="72"/>
      <c r="AL426" s="72"/>
      <c r="AM426" s="73"/>
      <c r="AN426" s="74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</row>
    <row r="427">
      <c r="A427" s="70"/>
      <c r="D427" s="70"/>
      <c r="N427" s="70"/>
      <c r="W427" s="71"/>
      <c r="X427" s="70"/>
      <c r="AF427" s="72"/>
      <c r="AG427" s="73"/>
      <c r="AH427" s="72"/>
      <c r="AI427" s="72"/>
      <c r="AJ427" s="72"/>
      <c r="AK427" s="72"/>
      <c r="AL427" s="72"/>
      <c r="AM427" s="73"/>
      <c r="AN427" s="74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</row>
    <row r="428">
      <c r="A428" s="70"/>
      <c r="D428" s="70"/>
      <c r="N428" s="70"/>
      <c r="W428" s="71"/>
      <c r="X428" s="70"/>
      <c r="AF428" s="72"/>
      <c r="AG428" s="73"/>
      <c r="AH428" s="72"/>
      <c r="AI428" s="72"/>
      <c r="AJ428" s="72"/>
      <c r="AK428" s="72"/>
      <c r="AL428" s="72"/>
      <c r="AM428" s="73"/>
      <c r="AN428" s="74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</row>
    <row r="429">
      <c r="A429" s="70"/>
      <c r="D429" s="70"/>
      <c r="N429" s="70"/>
      <c r="W429" s="71"/>
      <c r="X429" s="70"/>
      <c r="AF429" s="72"/>
      <c r="AG429" s="73"/>
      <c r="AH429" s="72"/>
      <c r="AI429" s="72"/>
      <c r="AJ429" s="72"/>
      <c r="AK429" s="72"/>
      <c r="AL429" s="72"/>
      <c r="AM429" s="73"/>
      <c r="AN429" s="74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</row>
    <row r="430">
      <c r="A430" s="70"/>
      <c r="D430" s="70"/>
      <c r="N430" s="70"/>
      <c r="W430" s="71"/>
      <c r="X430" s="70"/>
      <c r="AF430" s="72"/>
      <c r="AG430" s="73"/>
      <c r="AH430" s="72"/>
      <c r="AI430" s="72"/>
      <c r="AJ430" s="72"/>
      <c r="AK430" s="72"/>
      <c r="AL430" s="72"/>
      <c r="AM430" s="73"/>
      <c r="AN430" s="74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</row>
    <row r="431">
      <c r="A431" s="70"/>
      <c r="D431" s="70"/>
      <c r="N431" s="70"/>
      <c r="W431" s="71"/>
      <c r="X431" s="70"/>
      <c r="AF431" s="72"/>
      <c r="AG431" s="73"/>
      <c r="AH431" s="72"/>
      <c r="AI431" s="72"/>
      <c r="AJ431" s="72"/>
      <c r="AK431" s="72"/>
      <c r="AL431" s="72"/>
      <c r="AM431" s="73"/>
      <c r="AN431" s="74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</row>
    <row r="432">
      <c r="A432" s="70"/>
      <c r="D432" s="70"/>
      <c r="N432" s="70"/>
      <c r="W432" s="71"/>
      <c r="X432" s="70"/>
      <c r="AF432" s="72"/>
      <c r="AG432" s="73"/>
      <c r="AH432" s="72"/>
      <c r="AI432" s="72"/>
      <c r="AJ432" s="72"/>
      <c r="AK432" s="72"/>
      <c r="AL432" s="72"/>
      <c r="AM432" s="73"/>
      <c r="AN432" s="74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</row>
    <row r="433">
      <c r="A433" s="70"/>
      <c r="D433" s="70"/>
      <c r="N433" s="70"/>
      <c r="W433" s="71"/>
      <c r="X433" s="70"/>
      <c r="AF433" s="72"/>
      <c r="AG433" s="73"/>
      <c r="AH433" s="72"/>
      <c r="AI433" s="72"/>
      <c r="AJ433" s="72"/>
      <c r="AK433" s="72"/>
      <c r="AL433" s="72"/>
      <c r="AM433" s="73"/>
      <c r="AN433" s="74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</row>
    <row r="434">
      <c r="A434" s="70"/>
      <c r="D434" s="70"/>
      <c r="N434" s="70"/>
      <c r="W434" s="71"/>
      <c r="X434" s="70"/>
      <c r="AF434" s="72"/>
      <c r="AG434" s="73"/>
      <c r="AH434" s="72"/>
      <c r="AI434" s="72"/>
      <c r="AJ434" s="72"/>
      <c r="AK434" s="72"/>
      <c r="AL434" s="72"/>
      <c r="AM434" s="73"/>
      <c r="AN434" s="74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</row>
    <row r="435">
      <c r="A435" s="70"/>
      <c r="D435" s="70"/>
      <c r="N435" s="70"/>
      <c r="W435" s="71"/>
      <c r="X435" s="70"/>
      <c r="AF435" s="72"/>
      <c r="AG435" s="73"/>
      <c r="AH435" s="72"/>
      <c r="AI435" s="72"/>
      <c r="AJ435" s="72"/>
      <c r="AK435" s="72"/>
      <c r="AL435" s="72"/>
      <c r="AM435" s="73"/>
      <c r="AN435" s="74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</row>
    <row r="436">
      <c r="A436" s="70"/>
      <c r="D436" s="70"/>
      <c r="N436" s="70"/>
      <c r="W436" s="71"/>
      <c r="X436" s="70"/>
      <c r="AF436" s="72"/>
      <c r="AG436" s="73"/>
      <c r="AH436" s="72"/>
      <c r="AI436" s="72"/>
      <c r="AJ436" s="72"/>
      <c r="AK436" s="72"/>
      <c r="AL436" s="72"/>
      <c r="AM436" s="73"/>
      <c r="AN436" s="74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</row>
    <row r="437">
      <c r="A437" s="70"/>
      <c r="D437" s="70"/>
      <c r="N437" s="70"/>
      <c r="W437" s="71"/>
      <c r="X437" s="70"/>
      <c r="AF437" s="72"/>
      <c r="AG437" s="73"/>
      <c r="AH437" s="72"/>
      <c r="AI437" s="72"/>
      <c r="AJ437" s="72"/>
      <c r="AK437" s="72"/>
      <c r="AL437" s="72"/>
      <c r="AM437" s="73"/>
      <c r="AN437" s="74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</row>
    <row r="438">
      <c r="A438" s="70"/>
      <c r="D438" s="70"/>
      <c r="N438" s="70"/>
      <c r="W438" s="71"/>
      <c r="X438" s="70"/>
      <c r="AF438" s="72"/>
      <c r="AG438" s="73"/>
      <c r="AH438" s="72"/>
      <c r="AI438" s="72"/>
      <c r="AJ438" s="72"/>
      <c r="AK438" s="72"/>
      <c r="AL438" s="72"/>
      <c r="AM438" s="73"/>
      <c r="AN438" s="74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</row>
    <row r="439">
      <c r="A439" s="70"/>
      <c r="D439" s="70"/>
      <c r="N439" s="70"/>
      <c r="W439" s="71"/>
      <c r="X439" s="70"/>
      <c r="AF439" s="72"/>
      <c r="AG439" s="73"/>
      <c r="AH439" s="72"/>
      <c r="AI439" s="72"/>
      <c r="AJ439" s="72"/>
      <c r="AK439" s="72"/>
      <c r="AL439" s="72"/>
      <c r="AM439" s="73"/>
      <c r="AN439" s="74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</row>
    <row r="440">
      <c r="A440" s="70"/>
      <c r="D440" s="70"/>
      <c r="N440" s="70"/>
      <c r="W440" s="71"/>
      <c r="X440" s="70"/>
      <c r="AF440" s="72"/>
      <c r="AG440" s="73"/>
      <c r="AH440" s="72"/>
      <c r="AI440" s="72"/>
      <c r="AJ440" s="72"/>
      <c r="AK440" s="72"/>
      <c r="AL440" s="72"/>
      <c r="AM440" s="73"/>
      <c r="AN440" s="74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</row>
    <row r="441">
      <c r="A441" s="70"/>
      <c r="D441" s="70"/>
      <c r="N441" s="70"/>
      <c r="W441" s="71"/>
      <c r="X441" s="70"/>
      <c r="AF441" s="72"/>
      <c r="AG441" s="73"/>
      <c r="AH441" s="72"/>
      <c r="AI441" s="72"/>
      <c r="AJ441" s="72"/>
      <c r="AK441" s="72"/>
      <c r="AL441" s="72"/>
      <c r="AM441" s="73"/>
      <c r="AN441" s="74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</row>
    <row r="442">
      <c r="A442" s="70"/>
      <c r="D442" s="70"/>
      <c r="N442" s="70"/>
      <c r="W442" s="71"/>
      <c r="X442" s="70"/>
      <c r="AF442" s="72"/>
      <c r="AG442" s="73"/>
      <c r="AH442" s="72"/>
      <c r="AI442" s="72"/>
      <c r="AJ442" s="72"/>
      <c r="AK442" s="72"/>
      <c r="AL442" s="72"/>
      <c r="AM442" s="73"/>
      <c r="AN442" s="74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</row>
    <row r="443">
      <c r="A443" s="70"/>
      <c r="D443" s="70"/>
      <c r="N443" s="70"/>
      <c r="W443" s="71"/>
      <c r="X443" s="70"/>
      <c r="AF443" s="72"/>
      <c r="AG443" s="73"/>
      <c r="AH443" s="72"/>
      <c r="AI443" s="72"/>
      <c r="AJ443" s="72"/>
      <c r="AK443" s="72"/>
      <c r="AL443" s="72"/>
      <c r="AM443" s="73"/>
      <c r="AN443" s="74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</row>
    <row r="444">
      <c r="A444" s="70"/>
      <c r="D444" s="70"/>
      <c r="N444" s="70"/>
      <c r="W444" s="71"/>
      <c r="X444" s="70"/>
      <c r="AF444" s="72"/>
      <c r="AG444" s="73"/>
      <c r="AH444" s="72"/>
      <c r="AI444" s="72"/>
      <c r="AJ444" s="72"/>
      <c r="AK444" s="72"/>
      <c r="AL444" s="72"/>
      <c r="AM444" s="73"/>
      <c r="AN444" s="74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</row>
    <row r="445">
      <c r="A445" s="70"/>
      <c r="D445" s="70"/>
      <c r="N445" s="70"/>
      <c r="W445" s="71"/>
      <c r="X445" s="70"/>
      <c r="AF445" s="72"/>
      <c r="AG445" s="73"/>
      <c r="AH445" s="72"/>
      <c r="AI445" s="72"/>
      <c r="AJ445" s="72"/>
      <c r="AK445" s="72"/>
      <c r="AL445" s="72"/>
      <c r="AM445" s="73"/>
      <c r="AN445" s="74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</row>
    <row r="446">
      <c r="A446" s="70"/>
      <c r="D446" s="70"/>
      <c r="N446" s="70"/>
      <c r="W446" s="71"/>
      <c r="X446" s="70"/>
      <c r="AF446" s="72"/>
      <c r="AG446" s="73"/>
      <c r="AH446" s="72"/>
      <c r="AI446" s="72"/>
      <c r="AJ446" s="72"/>
      <c r="AK446" s="72"/>
      <c r="AL446" s="72"/>
      <c r="AM446" s="73"/>
      <c r="AN446" s="74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</row>
    <row r="447">
      <c r="A447" s="70"/>
      <c r="D447" s="70"/>
      <c r="N447" s="70"/>
      <c r="W447" s="71"/>
      <c r="X447" s="70"/>
      <c r="AF447" s="72"/>
      <c r="AG447" s="73"/>
      <c r="AH447" s="72"/>
      <c r="AI447" s="72"/>
      <c r="AJ447" s="72"/>
      <c r="AK447" s="72"/>
      <c r="AL447" s="72"/>
      <c r="AM447" s="73"/>
      <c r="AN447" s="74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</row>
    <row r="448">
      <c r="A448" s="70"/>
      <c r="D448" s="70"/>
      <c r="N448" s="70"/>
      <c r="W448" s="71"/>
      <c r="X448" s="70"/>
      <c r="AF448" s="72"/>
      <c r="AG448" s="73"/>
      <c r="AH448" s="72"/>
      <c r="AI448" s="72"/>
      <c r="AJ448" s="72"/>
      <c r="AK448" s="72"/>
      <c r="AL448" s="72"/>
      <c r="AM448" s="73"/>
      <c r="AN448" s="74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</row>
    <row r="449">
      <c r="A449" s="70"/>
      <c r="D449" s="70"/>
      <c r="N449" s="70"/>
      <c r="W449" s="71"/>
      <c r="X449" s="70"/>
      <c r="AF449" s="72"/>
      <c r="AG449" s="73"/>
      <c r="AH449" s="72"/>
      <c r="AI449" s="72"/>
      <c r="AJ449" s="72"/>
      <c r="AK449" s="72"/>
      <c r="AL449" s="72"/>
      <c r="AM449" s="73"/>
      <c r="AN449" s="74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</row>
    <row r="450">
      <c r="A450" s="70"/>
      <c r="D450" s="70"/>
      <c r="N450" s="70"/>
      <c r="W450" s="71"/>
      <c r="X450" s="70"/>
      <c r="AF450" s="72"/>
      <c r="AG450" s="73"/>
      <c r="AH450" s="72"/>
      <c r="AI450" s="72"/>
      <c r="AJ450" s="72"/>
      <c r="AK450" s="72"/>
      <c r="AL450" s="72"/>
      <c r="AM450" s="73"/>
      <c r="AN450" s="74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</row>
    <row r="451">
      <c r="A451" s="70"/>
      <c r="D451" s="70"/>
      <c r="N451" s="70"/>
      <c r="W451" s="71"/>
      <c r="X451" s="70"/>
      <c r="AF451" s="72"/>
      <c r="AG451" s="73"/>
      <c r="AH451" s="72"/>
      <c r="AI451" s="72"/>
      <c r="AJ451" s="72"/>
      <c r="AK451" s="72"/>
      <c r="AL451" s="72"/>
      <c r="AM451" s="73"/>
      <c r="AN451" s="74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</row>
    <row r="452">
      <c r="A452" s="70"/>
      <c r="D452" s="70"/>
      <c r="N452" s="70"/>
      <c r="W452" s="71"/>
      <c r="X452" s="70"/>
      <c r="AF452" s="72"/>
      <c r="AG452" s="73"/>
      <c r="AH452" s="72"/>
      <c r="AI452" s="72"/>
      <c r="AJ452" s="72"/>
      <c r="AK452" s="72"/>
      <c r="AL452" s="72"/>
      <c r="AM452" s="73"/>
      <c r="AN452" s="74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</row>
    <row r="453">
      <c r="A453" s="70"/>
      <c r="D453" s="70"/>
      <c r="N453" s="70"/>
      <c r="W453" s="71"/>
      <c r="X453" s="70"/>
      <c r="AF453" s="72"/>
      <c r="AG453" s="73"/>
      <c r="AH453" s="72"/>
      <c r="AI453" s="72"/>
      <c r="AJ453" s="72"/>
      <c r="AK453" s="72"/>
      <c r="AL453" s="72"/>
      <c r="AM453" s="73"/>
      <c r="AN453" s="74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</row>
    <row r="454">
      <c r="A454" s="70"/>
      <c r="D454" s="70"/>
      <c r="N454" s="70"/>
      <c r="W454" s="71"/>
      <c r="X454" s="70"/>
      <c r="AF454" s="72"/>
      <c r="AG454" s="73"/>
      <c r="AH454" s="72"/>
      <c r="AI454" s="72"/>
      <c r="AJ454" s="72"/>
      <c r="AK454" s="72"/>
      <c r="AL454" s="72"/>
      <c r="AM454" s="73"/>
      <c r="AN454" s="74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</row>
    <row r="455">
      <c r="A455" s="70"/>
      <c r="D455" s="70"/>
      <c r="N455" s="70"/>
      <c r="W455" s="71"/>
      <c r="X455" s="70"/>
      <c r="AF455" s="72"/>
      <c r="AG455" s="73"/>
      <c r="AH455" s="72"/>
      <c r="AI455" s="72"/>
      <c r="AJ455" s="72"/>
      <c r="AK455" s="72"/>
      <c r="AL455" s="72"/>
      <c r="AM455" s="73"/>
      <c r="AN455" s="74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</row>
    <row r="456">
      <c r="A456" s="70"/>
      <c r="D456" s="70"/>
      <c r="N456" s="70"/>
      <c r="W456" s="71"/>
      <c r="X456" s="70"/>
      <c r="AF456" s="72"/>
      <c r="AG456" s="73"/>
      <c r="AH456" s="72"/>
      <c r="AI456" s="72"/>
      <c r="AJ456" s="72"/>
      <c r="AK456" s="72"/>
      <c r="AL456" s="72"/>
      <c r="AM456" s="73"/>
      <c r="AN456" s="74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</row>
    <row r="457">
      <c r="A457" s="70"/>
      <c r="D457" s="70"/>
      <c r="N457" s="70"/>
      <c r="W457" s="71"/>
      <c r="X457" s="70"/>
      <c r="AF457" s="72"/>
      <c r="AG457" s="73"/>
      <c r="AH457" s="72"/>
      <c r="AI457" s="72"/>
      <c r="AJ457" s="72"/>
      <c r="AK457" s="72"/>
      <c r="AL457" s="72"/>
      <c r="AM457" s="73"/>
      <c r="AN457" s="74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</row>
    <row r="458">
      <c r="A458" s="70"/>
      <c r="D458" s="70"/>
      <c r="N458" s="70"/>
      <c r="W458" s="71"/>
      <c r="X458" s="70"/>
      <c r="AF458" s="72"/>
      <c r="AG458" s="73"/>
      <c r="AH458" s="72"/>
      <c r="AI458" s="72"/>
      <c r="AJ458" s="72"/>
      <c r="AK458" s="72"/>
      <c r="AL458" s="72"/>
      <c r="AM458" s="73"/>
      <c r="AN458" s="74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</row>
    <row r="459">
      <c r="A459" s="70"/>
      <c r="D459" s="70"/>
      <c r="N459" s="70"/>
      <c r="W459" s="71"/>
      <c r="X459" s="70"/>
      <c r="AF459" s="72"/>
      <c r="AG459" s="73"/>
      <c r="AH459" s="72"/>
      <c r="AI459" s="72"/>
      <c r="AJ459" s="72"/>
      <c r="AK459" s="72"/>
      <c r="AL459" s="72"/>
      <c r="AM459" s="73"/>
      <c r="AN459" s="74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</row>
    <row r="460">
      <c r="A460" s="70"/>
      <c r="D460" s="70"/>
      <c r="N460" s="70"/>
      <c r="W460" s="71"/>
      <c r="X460" s="70"/>
      <c r="AF460" s="72"/>
      <c r="AG460" s="73"/>
      <c r="AH460" s="72"/>
      <c r="AI460" s="72"/>
      <c r="AJ460" s="72"/>
      <c r="AK460" s="72"/>
      <c r="AL460" s="72"/>
      <c r="AM460" s="73"/>
      <c r="AN460" s="74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</row>
    <row r="461">
      <c r="A461" s="70"/>
      <c r="D461" s="70"/>
      <c r="N461" s="70"/>
      <c r="W461" s="71"/>
      <c r="X461" s="70"/>
      <c r="AF461" s="72"/>
      <c r="AG461" s="73"/>
      <c r="AH461" s="72"/>
      <c r="AI461" s="72"/>
      <c r="AJ461" s="72"/>
      <c r="AK461" s="72"/>
      <c r="AL461" s="72"/>
      <c r="AM461" s="73"/>
      <c r="AN461" s="74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</row>
    <row r="462">
      <c r="A462" s="70"/>
      <c r="D462" s="70"/>
      <c r="N462" s="70"/>
      <c r="W462" s="71"/>
      <c r="X462" s="70"/>
      <c r="AF462" s="72"/>
      <c r="AG462" s="73"/>
      <c r="AH462" s="72"/>
      <c r="AI462" s="72"/>
      <c r="AJ462" s="72"/>
      <c r="AK462" s="72"/>
      <c r="AL462" s="72"/>
      <c r="AM462" s="73"/>
      <c r="AN462" s="74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</row>
    <row r="463">
      <c r="A463" s="70"/>
      <c r="D463" s="70"/>
      <c r="N463" s="70"/>
      <c r="W463" s="71"/>
      <c r="X463" s="70"/>
      <c r="AF463" s="72"/>
      <c r="AG463" s="73"/>
      <c r="AH463" s="72"/>
      <c r="AI463" s="72"/>
      <c r="AJ463" s="72"/>
      <c r="AK463" s="72"/>
      <c r="AL463" s="72"/>
      <c r="AM463" s="73"/>
      <c r="AN463" s="74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</row>
    <row r="464">
      <c r="A464" s="70"/>
      <c r="D464" s="70"/>
      <c r="N464" s="70"/>
      <c r="W464" s="71"/>
      <c r="X464" s="70"/>
      <c r="AF464" s="72"/>
      <c r="AG464" s="73"/>
      <c r="AH464" s="72"/>
      <c r="AI464" s="72"/>
      <c r="AJ464" s="72"/>
      <c r="AK464" s="72"/>
      <c r="AL464" s="72"/>
      <c r="AM464" s="73"/>
      <c r="AN464" s="74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</row>
    <row r="465">
      <c r="A465" s="70"/>
      <c r="D465" s="70"/>
      <c r="N465" s="70"/>
      <c r="W465" s="71"/>
      <c r="X465" s="70"/>
      <c r="AF465" s="72"/>
      <c r="AG465" s="73"/>
      <c r="AH465" s="72"/>
      <c r="AI465" s="72"/>
      <c r="AJ465" s="72"/>
      <c r="AK465" s="72"/>
      <c r="AL465" s="72"/>
      <c r="AM465" s="73"/>
      <c r="AN465" s="74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</row>
    <row r="466">
      <c r="A466" s="70"/>
      <c r="D466" s="70"/>
      <c r="N466" s="70"/>
      <c r="W466" s="71"/>
      <c r="X466" s="70"/>
      <c r="AF466" s="72"/>
      <c r="AG466" s="73"/>
      <c r="AH466" s="72"/>
      <c r="AI466" s="72"/>
      <c r="AJ466" s="72"/>
      <c r="AK466" s="72"/>
      <c r="AL466" s="72"/>
      <c r="AM466" s="73"/>
      <c r="AN466" s="74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</row>
    <row r="467">
      <c r="A467" s="70"/>
      <c r="D467" s="70"/>
      <c r="N467" s="70"/>
      <c r="W467" s="71"/>
      <c r="X467" s="70"/>
      <c r="AF467" s="72"/>
      <c r="AG467" s="73"/>
      <c r="AH467" s="72"/>
      <c r="AI467" s="72"/>
      <c r="AJ467" s="72"/>
      <c r="AK467" s="72"/>
      <c r="AL467" s="72"/>
      <c r="AM467" s="73"/>
      <c r="AN467" s="74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</row>
    <row r="468">
      <c r="A468" s="70"/>
      <c r="D468" s="70"/>
      <c r="N468" s="70"/>
      <c r="W468" s="71"/>
      <c r="X468" s="70"/>
      <c r="AF468" s="72"/>
      <c r="AG468" s="73"/>
      <c r="AH468" s="72"/>
      <c r="AI468" s="72"/>
      <c r="AJ468" s="72"/>
      <c r="AK468" s="72"/>
      <c r="AL468" s="72"/>
      <c r="AM468" s="73"/>
      <c r="AN468" s="74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</row>
    <row r="469">
      <c r="A469" s="70"/>
      <c r="D469" s="70"/>
      <c r="N469" s="70"/>
      <c r="W469" s="71"/>
      <c r="X469" s="70"/>
      <c r="AF469" s="72"/>
      <c r="AG469" s="73"/>
      <c r="AH469" s="72"/>
      <c r="AI469" s="72"/>
      <c r="AJ469" s="72"/>
      <c r="AK469" s="72"/>
      <c r="AL469" s="72"/>
      <c r="AM469" s="73"/>
      <c r="AN469" s="74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</row>
    <row r="470">
      <c r="A470" s="70"/>
      <c r="D470" s="70"/>
      <c r="N470" s="70"/>
      <c r="W470" s="71"/>
      <c r="X470" s="70"/>
      <c r="AF470" s="72"/>
      <c r="AG470" s="73"/>
      <c r="AH470" s="72"/>
      <c r="AI470" s="72"/>
      <c r="AJ470" s="72"/>
      <c r="AK470" s="72"/>
      <c r="AL470" s="72"/>
      <c r="AM470" s="73"/>
      <c r="AN470" s="74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</row>
    <row r="471">
      <c r="A471" s="70"/>
      <c r="D471" s="70"/>
      <c r="N471" s="70"/>
      <c r="W471" s="71"/>
      <c r="X471" s="70"/>
      <c r="AF471" s="72"/>
      <c r="AG471" s="73"/>
      <c r="AH471" s="72"/>
      <c r="AI471" s="72"/>
      <c r="AJ471" s="72"/>
      <c r="AK471" s="72"/>
      <c r="AL471" s="72"/>
      <c r="AM471" s="73"/>
      <c r="AN471" s="74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</row>
    <row r="472">
      <c r="A472" s="70"/>
      <c r="D472" s="70"/>
      <c r="N472" s="70"/>
      <c r="W472" s="71"/>
      <c r="X472" s="70"/>
      <c r="AF472" s="72"/>
      <c r="AG472" s="73"/>
      <c r="AH472" s="72"/>
      <c r="AI472" s="72"/>
      <c r="AJ472" s="72"/>
      <c r="AK472" s="72"/>
      <c r="AL472" s="72"/>
      <c r="AM472" s="73"/>
      <c r="AN472" s="74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</row>
    <row r="473">
      <c r="A473" s="70"/>
      <c r="D473" s="70"/>
      <c r="N473" s="70"/>
      <c r="W473" s="71"/>
      <c r="X473" s="70"/>
      <c r="AF473" s="72"/>
      <c r="AG473" s="73"/>
      <c r="AH473" s="72"/>
      <c r="AI473" s="72"/>
      <c r="AJ473" s="72"/>
      <c r="AK473" s="72"/>
      <c r="AL473" s="72"/>
      <c r="AM473" s="73"/>
      <c r="AN473" s="74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</row>
    <row r="474">
      <c r="A474" s="70"/>
      <c r="D474" s="70"/>
      <c r="N474" s="70"/>
      <c r="W474" s="71"/>
      <c r="X474" s="70"/>
      <c r="AF474" s="72"/>
      <c r="AG474" s="73"/>
      <c r="AH474" s="72"/>
      <c r="AI474" s="72"/>
      <c r="AJ474" s="72"/>
      <c r="AK474" s="72"/>
      <c r="AL474" s="72"/>
      <c r="AM474" s="73"/>
      <c r="AN474" s="74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</row>
    <row r="475">
      <c r="A475" s="70"/>
      <c r="D475" s="70"/>
      <c r="N475" s="70"/>
      <c r="W475" s="71"/>
      <c r="X475" s="70"/>
      <c r="AF475" s="72"/>
      <c r="AG475" s="73"/>
      <c r="AH475" s="72"/>
      <c r="AI475" s="72"/>
      <c r="AJ475" s="72"/>
      <c r="AK475" s="72"/>
      <c r="AL475" s="72"/>
      <c r="AM475" s="73"/>
      <c r="AN475" s="74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</row>
    <row r="476">
      <c r="A476" s="70"/>
      <c r="D476" s="70"/>
      <c r="N476" s="70"/>
      <c r="W476" s="71"/>
      <c r="X476" s="70"/>
      <c r="AF476" s="72"/>
      <c r="AG476" s="73"/>
      <c r="AH476" s="72"/>
      <c r="AI476" s="72"/>
      <c r="AJ476" s="72"/>
      <c r="AK476" s="72"/>
      <c r="AL476" s="72"/>
      <c r="AM476" s="73"/>
      <c r="AN476" s="74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</row>
    <row r="477">
      <c r="A477" s="70"/>
      <c r="D477" s="70"/>
      <c r="N477" s="70"/>
      <c r="W477" s="71"/>
      <c r="X477" s="70"/>
      <c r="AF477" s="72"/>
      <c r="AG477" s="73"/>
      <c r="AH477" s="72"/>
      <c r="AI477" s="72"/>
      <c r="AJ477" s="72"/>
      <c r="AK477" s="72"/>
      <c r="AL477" s="72"/>
      <c r="AM477" s="73"/>
      <c r="AN477" s="74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</row>
    <row r="478">
      <c r="A478" s="70"/>
      <c r="D478" s="70"/>
      <c r="N478" s="70"/>
      <c r="W478" s="71"/>
      <c r="X478" s="70"/>
      <c r="AF478" s="72"/>
      <c r="AG478" s="73"/>
      <c r="AH478" s="72"/>
      <c r="AI478" s="72"/>
      <c r="AJ478" s="72"/>
      <c r="AK478" s="72"/>
      <c r="AL478" s="72"/>
      <c r="AM478" s="73"/>
      <c r="AN478" s="74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</row>
    <row r="479">
      <c r="A479" s="70"/>
      <c r="D479" s="70"/>
      <c r="N479" s="70"/>
      <c r="W479" s="71"/>
      <c r="X479" s="70"/>
      <c r="AF479" s="72"/>
      <c r="AG479" s="73"/>
      <c r="AH479" s="72"/>
      <c r="AI479" s="72"/>
      <c r="AJ479" s="72"/>
      <c r="AK479" s="72"/>
      <c r="AL479" s="72"/>
      <c r="AM479" s="73"/>
      <c r="AN479" s="74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</row>
    <row r="480">
      <c r="A480" s="70"/>
      <c r="D480" s="70"/>
      <c r="N480" s="70"/>
      <c r="W480" s="71"/>
      <c r="X480" s="70"/>
      <c r="AF480" s="72"/>
      <c r="AG480" s="73"/>
      <c r="AH480" s="72"/>
      <c r="AI480" s="72"/>
      <c r="AJ480" s="72"/>
      <c r="AK480" s="72"/>
      <c r="AL480" s="72"/>
      <c r="AM480" s="73"/>
      <c r="AN480" s="74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</row>
    <row r="481">
      <c r="A481" s="70"/>
      <c r="D481" s="70"/>
      <c r="N481" s="70"/>
      <c r="W481" s="71"/>
      <c r="X481" s="70"/>
      <c r="AF481" s="72"/>
      <c r="AG481" s="73"/>
      <c r="AH481" s="72"/>
      <c r="AI481" s="72"/>
      <c r="AJ481" s="72"/>
      <c r="AK481" s="72"/>
      <c r="AL481" s="72"/>
      <c r="AM481" s="73"/>
      <c r="AN481" s="74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</row>
    <row r="482">
      <c r="A482" s="70"/>
      <c r="D482" s="70"/>
      <c r="N482" s="70"/>
      <c r="W482" s="71"/>
      <c r="X482" s="70"/>
      <c r="AF482" s="72"/>
      <c r="AG482" s="73"/>
      <c r="AH482" s="72"/>
      <c r="AI482" s="72"/>
      <c r="AJ482" s="72"/>
      <c r="AK482" s="72"/>
      <c r="AL482" s="72"/>
      <c r="AM482" s="73"/>
      <c r="AN482" s="74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</row>
    <row r="483">
      <c r="A483" s="70"/>
      <c r="D483" s="70"/>
      <c r="N483" s="70"/>
      <c r="W483" s="71"/>
      <c r="X483" s="70"/>
      <c r="AF483" s="72"/>
      <c r="AG483" s="73"/>
      <c r="AH483" s="72"/>
      <c r="AI483" s="72"/>
      <c r="AJ483" s="72"/>
      <c r="AK483" s="72"/>
      <c r="AL483" s="72"/>
      <c r="AM483" s="73"/>
      <c r="AN483" s="74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</row>
    <row r="484">
      <c r="A484" s="70"/>
      <c r="D484" s="70"/>
      <c r="N484" s="70"/>
      <c r="W484" s="71"/>
      <c r="X484" s="70"/>
      <c r="AF484" s="72"/>
      <c r="AG484" s="73"/>
      <c r="AH484" s="72"/>
      <c r="AI484" s="72"/>
      <c r="AJ484" s="72"/>
      <c r="AK484" s="72"/>
      <c r="AL484" s="72"/>
      <c r="AM484" s="73"/>
      <c r="AN484" s="74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</row>
    <row r="485">
      <c r="A485" s="70"/>
      <c r="D485" s="70"/>
      <c r="N485" s="70"/>
      <c r="W485" s="71"/>
      <c r="X485" s="70"/>
      <c r="AF485" s="72"/>
      <c r="AG485" s="73"/>
      <c r="AH485" s="72"/>
      <c r="AI485" s="72"/>
      <c r="AJ485" s="72"/>
      <c r="AK485" s="72"/>
      <c r="AL485" s="72"/>
      <c r="AM485" s="73"/>
      <c r="AN485" s="74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</row>
    <row r="486">
      <c r="A486" s="70"/>
      <c r="D486" s="70"/>
      <c r="N486" s="70"/>
      <c r="W486" s="71"/>
      <c r="X486" s="70"/>
      <c r="AF486" s="72"/>
      <c r="AG486" s="73"/>
      <c r="AH486" s="72"/>
      <c r="AI486" s="72"/>
      <c r="AJ486" s="72"/>
      <c r="AK486" s="72"/>
      <c r="AL486" s="72"/>
      <c r="AM486" s="73"/>
      <c r="AN486" s="74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</row>
    <row r="487">
      <c r="A487" s="70"/>
      <c r="D487" s="70"/>
      <c r="N487" s="70"/>
      <c r="W487" s="71"/>
      <c r="X487" s="70"/>
      <c r="AF487" s="72"/>
      <c r="AG487" s="73"/>
      <c r="AH487" s="72"/>
      <c r="AI487" s="72"/>
      <c r="AJ487" s="72"/>
      <c r="AK487" s="72"/>
      <c r="AL487" s="72"/>
      <c r="AM487" s="73"/>
      <c r="AN487" s="74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</row>
    <row r="488">
      <c r="A488" s="70"/>
      <c r="D488" s="70"/>
      <c r="N488" s="70"/>
      <c r="W488" s="71"/>
      <c r="X488" s="70"/>
      <c r="AF488" s="72"/>
      <c r="AG488" s="73"/>
      <c r="AH488" s="72"/>
      <c r="AI488" s="72"/>
      <c r="AJ488" s="72"/>
      <c r="AK488" s="72"/>
      <c r="AL488" s="72"/>
      <c r="AM488" s="73"/>
      <c r="AN488" s="74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</row>
    <row r="489">
      <c r="A489" s="70"/>
      <c r="D489" s="70"/>
      <c r="N489" s="70"/>
      <c r="W489" s="71"/>
      <c r="X489" s="70"/>
      <c r="AF489" s="72"/>
      <c r="AG489" s="73"/>
      <c r="AH489" s="72"/>
      <c r="AI489" s="72"/>
      <c r="AJ489" s="72"/>
      <c r="AK489" s="72"/>
      <c r="AL489" s="72"/>
      <c r="AM489" s="73"/>
      <c r="AN489" s="74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</row>
    <row r="490">
      <c r="A490" s="70"/>
      <c r="D490" s="70"/>
      <c r="N490" s="70"/>
      <c r="W490" s="71"/>
      <c r="X490" s="70"/>
      <c r="AF490" s="72"/>
      <c r="AG490" s="73"/>
      <c r="AH490" s="72"/>
      <c r="AI490" s="72"/>
      <c r="AJ490" s="72"/>
      <c r="AK490" s="72"/>
      <c r="AL490" s="72"/>
      <c r="AM490" s="73"/>
      <c r="AN490" s="74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</row>
    <row r="491">
      <c r="A491" s="70"/>
      <c r="D491" s="70"/>
      <c r="N491" s="70"/>
      <c r="W491" s="71"/>
      <c r="X491" s="70"/>
      <c r="AF491" s="72"/>
      <c r="AG491" s="73"/>
      <c r="AH491" s="72"/>
      <c r="AI491" s="72"/>
      <c r="AJ491" s="72"/>
      <c r="AK491" s="72"/>
      <c r="AL491" s="72"/>
      <c r="AM491" s="73"/>
      <c r="AN491" s="74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</row>
    <row r="492">
      <c r="A492" s="70"/>
      <c r="D492" s="70"/>
      <c r="N492" s="70"/>
      <c r="W492" s="71"/>
      <c r="X492" s="70"/>
      <c r="AF492" s="72"/>
      <c r="AG492" s="73"/>
      <c r="AH492" s="72"/>
      <c r="AI492" s="72"/>
      <c r="AJ492" s="72"/>
      <c r="AK492" s="72"/>
      <c r="AL492" s="72"/>
      <c r="AM492" s="73"/>
      <c r="AN492" s="74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</row>
    <row r="493">
      <c r="A493" s="70"/>
      <c r="D493" s="70"/>
      <c r="N493" s="70"/>
      <c r="W493" s="71"/>
      <c r="X493" s="70"/>
      <c r="AF493" s="72"/>
      <c r="AG493" s="73"/>
      <c r="AH493" s="72"/>
      <c r="AI493" s="72"/>
      <c r="AJ493" s="72"/>
      <c r="AK493" s="72"/>
      <c r="AL493" s="72"/>
      <c r="AM493" s="73"/>
      <c r="AN493" s="74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</row>
    <row r="494">
      <c r="A494" s="70"/>
      <c r="D494" s="70"/>
      <c r="N494" s="70"/>
      <c r="W494" s="71"/>
      <c r="X494" s="70"/>
      <c r="AF494" s="72"/>
      <c r="AG494" s="73"/>
      <c r="AH494" s="72"/>
      <c r="AI494" s="72"/>
      <c r="AJ494" s="72"/>
      <c r="AK494" s="72"/>
      <c r="AL494" s="72"/>
      <c r="AM494" s="73"/>
      <c r="AN494" s="74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</row>
    <row r="495">
      <c r="A495" s="70"/>
      <c r="D495" s="70"/>
      <c r="N495" s="70"/>
      <c r="W495" s="71"/>
      <c r="X495" s="70"/>
      <c r="AF495" s="72"/>
      <c r="AG495" s="73"/>
      <c r="AH495" s="72"/>
      <c r="AI495" s="72"/>
      <c r="AJ495" s="72"/>
      <c r="AK495" s="72"/>
      <c r="AL495" s="72"/>
      <c r="AM495" s="73"/>
      <c r="AN495" s="74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</row>
    <row r="496">
      <c r="A496" s="70"/>
      <c r="D496" s="70"/>
      <c r="N496" s="70"/>
      <c r="W496" s="71"/>
      <c r="X496" s="70"/>
      <c r="AF496" s="72"/>
      <c r="AG496" s="73"/>
      <c r="AH496" s="72"/>
      <c r="AI496" s="72"/>
      <c r="AJ496" s="72"/>
      <c r="AK496" s="72"/>
      <c r="AL496" s="72"/>
      <c r="AM496" s="73"/>
      <c r="AN496" s="74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</row>
    <row r="497">
      <c r="A497" s="70"/>
      <c r="D497" s="70"/>
      <c r="N497" s="70"/>
      <c r="W497" s="71"/>
      <c r="X497" s="70"/>
      <c r="AF497" s="72"/>
      <c r="AG497" s="73"/>
      <c r="AH497" s="72"/>
      <c r="AI497" s="72"/>
      <c r="AJ497" s="72"/>
      <c r="AK497" s="72"/>
      <c r="AL497" s="72"/>
      <c r="AM497" s="73"/>
      <c r="AN497" s="74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</row>
    <row r="498">
      <c r="A498" s="70"/>
      <c r="D498" s="70"/>
      <c r="N498" s="70"/>
      <c r="W498" s="71"/>
      <c r="X498" s="70"/>
      <c r="AF498" s="72"/>
      <c r="AG498" s="73"/>
      <c r="AH498" s="72"/>
      <c r="AI498" s="72"/>
      <c r="AJ498" s="72"/>
      <c r="AK498" s="72"/>
      <c r="AL498" s="72"/>
      <c r="AM498" s="73"/>
      <c r="AN498" s="74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</row>
    <row r="499">
      <c r="A499" s="70"/>
      <c r="D499" s="70"/>
      <c r="N499" s="70"/>
      <c r="W499" s="71"/>
      <c r="X499" s="70"/>
      <c r="AF499" s="72"/>
      <c r="AG499" s="73"/>
      <c r="AH499" s="72"/>
      <c r="AI499" s="72"/>
      <c r="AJ499" s="72"/>
      <c r="AK499" s="72"/>
      <c r="AL499" s="72"/>
      <c r="AM499" s="73"/>
      <c r="AN499" s="74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</row>
    <row r="500">
      <c r="A500" s="70"/>
      <c r="D500" s="70"/>
      <c r="N500" s="70"/>
      <c r="W500" s="71"/>
      <c r="X500" s="70"/>
      <c r="AF500" s="72"/>
      <c r="AG500" s="73"/>
      <c r="AH500" s="72"/>
      <c r="AI500" s="72"/>
      <c r="AJ500" s="72"/>
      <c r="AK500" s="72"/>
      <c r="AL500" s="72"/>
      <c r="AM500" s="73"/>
      <c r="AN500" s="74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</row>
    <row r="501">
      <c r="A501" s="70"/>
      <c r="D501" s="70"/>
      <c r="N501" s="70"/>
      <c r="W501" s="71"/>
      <c r="X501" s="70"/>
      <c r="AF501" s="72"/>
      <c r="AG501" s="73"/>
      <c r="AH501" s="72"/>
      <c r="AI501" s="72"/>
      <c r="AJ501" s="72"/>
      <c r="AK501" s="72"/>
      <c r="AL501" s="72"/>
      <c r="AM501" s="73"/>
      <c r="AN501" s="74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</row>
    <row r="502">
      <c r="A502" s="70"/>
      <c r="D502" s="70"/>
      <c r="N502" s="70"/>
      <c r="W502" s="71"/>
      <c r="X502" s="70"/>
      <c r="AF502" s="72"/>
      <c r="AG502" s="73"/>
      <c r="AH502" s="72"/>
      <c r="AI502" s="72"/>
      <c r="AJ502" s="72"/>
      <c r="AK502" s="72"/>
      <c r="AL502" s="72"/>
      <c r="AM502" s="73"/>
      <c r="AN502" s="74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</row>
    <row r="503">
      <c r="A503" s="70"/>
      <c r="D503" s="70"/>
      <c r="N503" s="70"/>
      <c r="W503" s="71"/>
      <c r="X503" s="70"/>
      <c r="AF503" s="72"/>
      <c r="AG503" s="73"/>
      <c r="AH503" s="72"/>
      <c r="AI503" s="72"/>
      <c r="AJ503" s="72"/>
      <c r="AK503" s="72"/>
      <c r="AL503" s="72"/>
      <c r="AM503" s="73"/>
      <c r="AN503" s="74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</row>
    <row r="504">
      <c r="A504" s="70"/>
      <c r="D504" s="70"/>
      <c r="N504" s="70"/>
      <c r="W504" s="71"/>
      <c r="X504" s="70"/>
      <c r="AF504" s="72"/>
      <c r="AG504" s="73"/>
      <c r="AH504" s="72"/>
      <c r="AI504" s="72"/>
      <c r="AJ504" s="72"/>
      <c r="AK504" s="72"/>
      <c r="AL504" s="72"/>
      <c r="AM504" s="73"/>
      <c r="AN504" s="74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</row>
    <row r="505">
      <c r="A505" s="70"/>
      <c r="D505" s="70"/>
      <c r="N505" s="70"/>
      <c r="W505" s="71"/>
      <c r="X505" s="70"/>
      <c r="AF505" s="72"/>
      <c r="AG505" s="73"/>
      <c r="AH505" s="72"/>
      <c r="AI505" s="72"/>
      <c r="AJ505" s="72"/>
      <c r="AK505" s="72"/>
      <c r="AL505" s="72"/>
      <c r="AM505" s="73"/>
      <c r="AN505" s="74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</row>
    <row r="506">
      <c r="A506" s="70"/>
      <c r="D506" s="70"/>
      <c r="N506" s="70"/>
      <c r="W506" s="71"/>
      <c r="X506" s="70"/>
      <c r="AF506" s="72"/>
      <c r="AG506" s="73"/>
      <c r="AH506" s="72"/>
      <c r="AI506" s="72"/>
      <c r="AJ506" s="72"/>
      <c r="AK506" s="72"/>
      <c r="AL506" s="72"/>
      <c r="AM506" s="73"/>
      <c r="AN506" s="74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</row>
    <row r="507">
      <c r="A507" s="70"/>
      <c r="D507" s="70"/>
      <c r="N507" s="70"/>
      <c r="W507" s="71"/>
      <c r="X507" s="70"/>
      <c r="AF507" s="72"/>
      <c r="AG507" s="73"/>
      <c r="AH507" s="72"/>
      <c r="AI507" s="72"/>
      <c r="AJ507" s="72"/>
      <c r="AK507" s="72"/>
      <c r="AL507" s="72"/>
      <c r="AM507" s="73"/>
      <c r="AN507" s="74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</row>
    <row r="508">
      <c r="A508" s="70"/>
      <c r="D508" s="70"/>
      <c r="N508" s="70"/>
      <c r="W508" s="71"/>
      <c r="X508" s="70"/>
      <c r="AF508" s="72"/>
      <c r="AG508" s="73"/>
      <c r="AH508" s="72"/>
      <c r="AI508" s="72"/>
      <c r="AJ508" s="72"/>
      <c r="AK508" s="72"/>
      <c r="AL508" s="72"/>
      <c r="AM508" s="73"/>
      <c r="AN508" s="74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</row>
    <row r="509">
      <c r="A509" s="70"/>
      <c r="D509" s="70"/>
      <c r="N509" s="70"/>
      <c r="W509" s="71"/>
      <c r="X509" s="70"/>
      <c r="AF509" s="72"/>
      <c r="AG509" s="73"/>
      <c r="AH509" s="72"/>
      <c r="AI509" s="72"/>
      <c r="AJ509" s="72"/>
      <c r="AK509" s="72"/>
      <c r="AL509" s="72"/>
      <c r="AM509" s="73"/>
      <c r="AN509" s="74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</row>
    <row r="510">
      <c r="A510" s="70"/>
      <c r="D510" s="70"/>
      <c r="N510" s="70"/>
      <c r="W510" s="71"/>
      <c r="X510" s="70"/>
      <c r="AF510" s="72"/>
      <c r="AG510" s="73"/>
      <c r="AH510" s="72"/>
      <c r="AI510" s="72"/>
      <c r="AJ510" s="72"/>
      <c r="AK510" s="72"/>
      <c r="AL510" s="72"/>
      <c r="AM510" s="73"/>
      <c r="AN510" s="74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</row>
    <row r="511">
      <c r="A511" s="70"/>
      <c r="D511" s="70"/>
      <c r="N511" s="70"/>
      <c r="W511" s="71"/>
      <c r="X511" s="70"/>
      <c r="AF511" s="72"/>
      <c r="AG511" s="73"/>
      <c r="AH511" s="72"/>
      <c r="AI511" s="72"/>
      <c r="AJ511" s="72"/>
      <c r="AK511" s="72"/>
      <c r="AL511" s="72"/>
      <c r="AM511" s="73"/>
      <c r="AN511" s="74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</row>
    <row r="512">
      <c r="A512" s="70"/>
      <c r="D512" s="70"/>
      <c r="N512" s="70"/>
      <c r="W512" s="71"/>
      <c r="X512" s="70"/>
      <c r="AF512" s="72"/>
      <c r="AG512" s="73"/>
      <c r="AH512" s="72"/>
      <c r="AI512" s="72"/>
      <c r="AJ512" s="72"/>
      <c r="AK512" s="72"/>
      <c r="AL512" s="72"/>
      <c r="AM512" s="73"/>
      <c r="AN512" s="74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</row>
    <row r="513">
      <c r="A513" s="70"/>
      <c r="D513" s="70"/>
      <c r="N513" s="70"/>
      <c r="W513" s="71"/>
      <c r="X513" s="70"/>
      <c r="AF513" s="72"/>
      <c r="AG513" s="73"/>
      <c r="AH513" s="72"/>
      <c r="AI513" s="72"/>
      <c r="AJ513" s="72"/>
      <c r="AK513" s="72"/>
      <c r="AL513" s="72"/>
      <c r="AM513" s="73"/>
      <c r="AN513" s="74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</row>
    <row r="514">
      <c r="A514" s="70"/>
      <c r="D514" s="70"/>
      <c r="N514" s="70"/>
      <c r="W514" s="71"/>
      <c r="X514" s="70"/>
      <c r="AF514" s="72"/>
      <c r="AG514" s="73"/>
      <c r="AH514" s="72"/>
      <c r="AI514" s="72"/>
      <c r="AJ514" s="72"/>
      <c r="AK514" s="72"/>
      <c r="AL514" s="72"/>
      <c r="AM514" s="73"/>
      <c r="AN514" s="74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</row>
    <row r="515">
      <c r="A515" s="70"/>
      <c r="D515" s="70"/>
      <c r="N515" s="70"/>
      <c r="W515" s="71"/>
      <c r="X515" s="70"/>
      <c r="AF515" s="72"/>
      <c r="AG515" s="73"/>
      <c r="AH515" s="72"/>
      <c r="AI515" s="72"/>
      <c r="AJ515" s="72"/>
      <c r="AK515" s="72"/>
      <c r="AL515" s="72"/>
      <c r="AM515" s="73"/>
      <c r="AN515" s="74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</row>
    <row r="516">
      <c r="A516" s="70"/>
      <c r="D516" s="70"/>
      <c r="N516" s="70"/>
      <c r="W516" s="71"/>
      <c r="X516" s="70"/>
      <c r="AF516" s="72"/>
      <c r="AG516" s="73"/>
      <c r="AH516" s="72"/>
      <c r="AI516" s="72"/>
      <c r="AJ516" s="72"/>
      <c r="AK516" s="72"/>
      <c r="AL516" s="72"/>
      <c r="AM516" s="73"/>
      <c r="AN516" s="74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</row>
    <row r="517">
      <c r="A517" s="70"/>
      <c r="D517" s="70"/>
      <c r="N517" s="70"/>
      <c r="W517" s="71"/>
      <c r="X517" s="70"/>
      <c r="AF517" s="72"/>
      <c r="AG517" s="73"/>
      <c r="AH517" s="72"/>
      <c r="AI517" s="72"/>
      <c r="AJ517" s="72"/>
      <c r="AK517" s="72"/>
      <c r="AL517" s="72"/>
      <c r="AM517" s="73"/>
      <c r="AN517" s="74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</row>
    <row r="518">
      <c r="A518" s="70"/>
      <c r="D518" s="70"/>
      <c r="N518" s="70"/>
      <c r="W518" s="71"/>
      <c r="X518" s="70"/>
      <c r="AF518" s="72"/>
      <c r="AG518" s="73"/>
      <c r="AH518" s="72"/>
      <c r="AI518" s="72"/>
      <c r="AJ518" s="72"/>
      <c r="AK518" s="72"/>
      <c r="AL518" s="72"/>
      <c r="AM518" s="73"/>
      <c r="AN518" s="74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</row>
    <row r="519">
      <c r="A519" s="70"/>
      <c r="D519" s="70"/>
      <c r="N519" s="70"/>
      <c r="W519" s="71"/>
      <c r="X519" s="70"/>
      <c r="AF519" s="72"/>
      <c r="AG519" s="73"/>
      <c r="AH519" s="72"/>
      <c r="AI519" s="72"/>
      <c r="AJ519" s="72"/>
      <c r="AK519" s="72"/>
      <c r="AL519" s="72"/>
      <c r="AM519" s="73"/>
      <c r="AN519" s="74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</row>
    <row r="520">
      <c r="A520" s="70"/>
      <c r="D520" s="70"/>
      <c r="N520" s="70"/>
      <c r="W520" s="71"/>
      <c r="X520" s="70"/>
      <c r="AF520" s="72"/>
      <c r="AG520" s="73"/>
      <c r="AH520" s="72"/>
      <c r="AI520" s="72"/>
      <c r="AJ520" s="72"/>
      <c r="AK520" s="72"/>
      <c r="AL520" s="72"/>
      <c r="AM520" s="73"/>
      <c r="AN520" s="74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</row>
    <row r="521">
      <c r="A521" s="70"/>
      <c r="D521" s="70"/>
      <c r="N521" s="70"/>
      <c r="W521" s="71"/>
      <c r="X521" s="70"/>
      <c r="AF521" s="72"/>
      <c r="AG521" s="73"/>
      <c r="AH521" s="72"/>
      <c r="AI521" s="72"/>
      <c r="AJ521" s="72"/>
      <c r="AK521" s="72"/>
      <c r="AL521" s="72"/>
      <c r="AM521" s="73"/>
      <c r="AN521" s="74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</row>
    <row r="522">
      <c r="A522" s="70"/>
      <c r="D522" s="70"/>
      <c r="N522" s="70"/>
      <c r="W522" s="71"/>
      <c r="X522" s="70"/>
      <c r="AF522" s="72"/>
      <c r="AG522" s="73"/>
      <c r="AH522" s="72"/>
      <c r="AI522" s="72"/>
      <c r="AJ522" s="72"/>
      <c r="AK522" s="72"/>
      <c r="AL522" s="72"/>
      <c r="AM522" s="73"/>
      <c r="AN522" s="74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</row>
    <row r="523">
      <c r="A523" s="70"/>
      <c r="D523" s="70"/>
      <c r="N523" s="70"/>
      <c r="W523" s="71"/>
      <c r="X523" s="70"/>
      <c r="AF523" s="72"/>
      <c r="AG523" s="73"/>
      <c r="AH523" s="72"/>
      <c r="AI523" s="72"/>
      <c r="AJ523" s="72"/>
      <c r="AK523" s="72"/>
      <c r="AL523" s="72"/>
      <c r="AM523" s="73"/>
      <c r="AN523" s="74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</row>
    <row r="524">
      <c r="A524" s="70"/>
      <c r="D524" s="70"/>
      <c r="N524" s="70"/>
      <c r="W524" s="71"/>
      <c r="X524" s="70"/>
      <c r="AF524" s="72"/>
      <c r="AG524" s="73"/>
      <c r="AH524" s="72"/>
      <c r="AI524" s="72"/>
      <c r="AJ524" s="72"/>
      <c r="AK524" s="72"/>
      <c r="AL524" s="72"/>
      <c r="AM524" s="73"/>
      <c r="AN524" s="74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</row>
    <row r="525">
      <c r="A525" s="70"/>
      <c r="D525" s="70"/>
      <c r="N525" s="70"/>
      <c r="W525" s="71"/>
      <c r="X525" s="70"/>
      <c r="AF525" s="72"/>
      <c r="AG525" s="73"/>
      <c r="AH525" s="72"/>
      <c r="AI525" s="72"/>
      <c r="AJ525" s="72"/>
      <c r="AK525" s="72"/>
      <c r="AL525" s="72"/>
      <c r="AM525" s="73"/>
      <c r="AN525" s="74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</row>
    <row r="526">
      <c r="A526" s="70"/>
      <c r="D526" s="70"/>
      <c r="N526" s="70"/>
      <c r="W526" s="71"/>
      <c r="X526" s="70"/>
      <c r="AF526" s="72"/>
      <c r="AG526" s="73"/>
      <c r="AH526" s="72"/>
      <c r="AI526" s="72"/>
      <c r="AJ526" s="72"/>
      <c r="AK526" s="72"/>
      <c r="AL526" s="72"/>
      <c r="AM526" s="73"/>
      <c r="AN526" s="74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</row>
    <row r="527">
      <c r="A527" s="70"/>
      <c r="D527" s="70"/>
      <c r="N527" s="70"/>
      <c r="W527" s="71"/>
      <c r="X527" s="70"/>
      <c r="AF527" s="72"/>
      <c r="AG527" s="73"/>
      <c r="AH527" s="72"/>
      <c r="AI527" s="72"/>
      <c r="AJ527" s="72"/>
      <c r="AK527" s="72"/>
      <c r="AL527" s="72"/>
      <c r="AM527" s="73"/>
      <c r="AN527" s="74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</row>
    <row r="528">
      <c r="A528" s="70"/>
      <c r="D528" s="70"/>
      <c r="N528" s="70"/>
      <c r="W528" s="71"/>
      <c r="X528" s="70"/>
      <c r="AF528" s="72"/>
      <c r="AG528" s="73"/>
      <c r="AH528" s="72"/>
      <c r="AI528" s="72"/>
      <c r="AJ528" s="72"/>
      <c r="AK528" s="72"/>
      <c r="AL528" s="72"/>
      <c r="AM528" s="73"/>
      <c r="AN528" s="74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</row>
    <row r="529">
      <c r="A529" s="70"/>
      <c r="D529" s="70"/>
      <c r="N529" s="70"/>
      <c r="W529" s="71"/>
      <c r="X529" s="70"/>
      <c r="AF529" s="72"/>
      <c r="AG529" s="73"/>
      <c r="AH529" s="72"/>
      <c r="AI529" s="72"/>
      <c r="AJ529" s="72"/>
      <c r="AK529" s="72"/>
      <c r="AL529" s="72"/>
      <c r="AM529" s="73"/>
      <c r="AN529" s="74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</row>
    <row r="530">
      <c r="A530" s="70"/>
      <c r="D530" s="70"/>
      <c r="N530" s="70"/>
      <c r="W530" s="71"/>
      <c r="X530" s="70"/>
      <c r="AF530" s="72"/>
      <c r="AG530" s="73"/>
      <c r="AH530" s="72"/>
      <c r="AI530" s="72"/>
      <c r="AJ530" s="72"/>
      <c r="AK530" s="72"/>
      <c r="AL530" s="72"/>
      <c r="AM530" s="73"/>
      <c r="AN530" s="74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</row>
    <row r="531">
      <c r="A531" s="70"/>
      <c r="D531" s="70"/>
      <c r="N531" s="70"/>
      <c r="W531" s="71"/>
      <c r="X531" s="70"/>
      <c r="AF531" s="72"/>
      <c r="AG531" s="73"/>
      <c r="AH531" s="72"/>
      <c r="AI531" s="72"/>
      <c r="AJ531" s="72"/>
      <c r="AK531" s="72"/>
      <c r="AL531" s="72"/>
      <c r="AM531" s="73"/>
      <c r="AN531" s="74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</row>
    <row r="532">
      <c r="A532" s="70"/>
      <c r="D532" s="70"/>
      <c r="N532" s="70"/>
      <c r="W532" s="71"/>
      <c r="X532" s="70"/>
      <c r="AF532" s="72"/>
      <c r="AG532" s="73"/>
      <c r="AH532" s="72"/>
      <c r="AI532" s="72"/>
      <c r="AJ532" s="72"/>
      <c r="AK532" s="72"/>
      <c r="AL532" s="72"/>
      <c r="AM532" s="73"/>
      <c r="AN532" s="74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</row>
    <row r="533">
      <c r="A533" s="70"/>
      <c r="D533" s="70"/>
      <c r="N533" s="70"/>
      <c r="W533" s="71"/>
      <c r="X533" s="70"/>
      <c r="AF533" s="72"/>
      <c r="AG533" s="73"/>
      <c r="AH533" s="72"/>
      <c r="AI533" s="72"/>
      <c r="AJ533" s="72"/>
      <c r="AK533" s="72"/>
      <c r="AL533" s="72"/>
      <c r="AM533" s="73"/>
      <c r="AN533" s="74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</row>
    <row r="534">
      <c r="A534" s="70"/>
      <c r="D534" s="70"/>
      <c r="N534" s="70"/>
      <c r="W534" s="71"/>
      <c r="X534" s="70"/>
      <c r="AF534" s="72"/>
      <c r="AG534" s="73"/>
      <c r="AH534" s="72"/>
      <c r="AI534" s="72"/>
      <c r="AJ534" s="72"/>
      <c r="AK534" s="72"/>
      <c r="AL534" s="72"/>
      <c r="AM534" s="73"/>
      <c r="AN534" s="74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</row>
    <row r="535">
      <c r="A535" s="70"/>
      <c r="D535" s="70"/>
      <c r="N535" s="70"/>
      <c r="W535" s="71"/>
      <c r="X535" s="70"/>
      <c r="AF535" s="72"/>
      <c r="AG535" s="73"/>
      <c r="AH535" s="72"/>
      <c r="AI535" s="72"/>
      <c r="AJ535" s="72"/>
      <c r="AK535" s="72"/>
      <c r="AL535" s="72"/>
      <c r="AM535" s="73"/>
      <c r="AN535" s="74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</row>
    <row r="536">
      <c r="A536" s="70"/>
      <c r="D536" s="70"/>
      <c r="N536" s="70"/>
      <c r="W536" s="71"/>
      <c r="X536" s="70"/>
      <c r="AF536" s="72"/>
      <c r="AG536" s="73"/>
      <c r="AH536" s="72"/>
      <c r="AI536" s="72"/>
      <c r="AJ536" s="72"/>
      <c r="AK536" s="72"/>
      <c r="AL536" s="72"/>
      <c r="AM536" s="73"/>
      <c r="AN536" s="74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</row>
    <row r="537">
      <c r="A537" s="70"/>
      <c r="D537" s="70"/>
      <c r="N537" s="70"/>
      <c r="W537" s="71"/>
      <c r="X537" s="70"/>
      <c r="AF537" s="72"/>
      <c r="AG537" s="73"/>
      <c r="AH537" s="72"/>
      <c r="AI537" s="72"/>
      <c r="AJ537" s="72"/>
      <c r="AK537" s="72"/>
      <c r="AL537" s="72"/>
      <c r="AM537" s="73"/>
      <c r="AN537" s="74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</row>
    <row r="538">
      <c r="A538" s="70"/>
      <c r="D538" s="70"/>
      <c r="N538" s="70"/>
      <c r="W538" s="71"/>
      <c r="X538" s="70"/>
      <c r="AF538" s="72"/>
      <c r="AG538" s="73"/>
      <c r="AH538" s="72"/>
      <c r="AI538" s="72"/>
      <c r="AJ538" s="72"/>
      <c r="AK538" s="72"/>
      <c r="AL538" s="72"/>
      <c r="AM538" s="73"/>
      <c r="AN538" s="74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</row>
    <row r="539">
      <c r="A539" s="70"/>
      <c r="D539" s="70"/>
      <c r="N539" s="70"/>
      <c r="W539" s="71"/>
      <c r="X539" s="70"/>
      <c r="AF539" s="72"/>
      <c r="AG539" s="73"/>
      <c r="AH539" s="72"/>
      <c r="AI539" s="72"/>
      <c r="AJ539" s="72"/>
      <c r="AK539" s="72"/>
      <c r="AL539" s="72"/>
      <c r="AM539" s="73"/>
      <c r="AN539" s="74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</row>
    <row r="540">
      <c r="A540" s="70"/>
      <c r="D540" s="70"/>
      <c r="N540" s="70"/>
      <c r="W540" s="71"/>
      <c r="X540" s="70"/>
      <c r="AF540" s="72"/>
      <c r="AG540" s="73"/>
      <c r="AH540" s="72"/>
      <c r="AI540" s="72"/>
      <c r="AJ540" s="72"/>
      <c r="AK540" s="72"/>
      <c r="AL540" s="72"/>
      <c r="AM540" s="73"/>
      <c r="AN540" s="74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</row>
    <row r="541">
      <c r="A541" s="70"/>
      <c r="D541" s="70"/>
      <c r="N541" s="70"/>
      <c r="W541" s="71"/>
      <c r="X541" s="70"/>
      <c r="AF541" s="72"/>
      <c r="AG541" s="73"/>
      <c r="AH541" s="72"/>
      <c r="AI541" s="72"/>
      <c r="AJ541" s="72"/>
      <c r="AK541" s="72"/>
      <c r="AL541" s="72"/>
      <c r="AM541" s="73"/>
      <c r="AN541" s="74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</row>
    <row r="542">
      <c r="A542" s="70"/>
      <c r="D542" s="70"/>
      <c r="N542" s="70"/>
      <c r="W542" s="71"/>
      <c r="X542" s="70"/>
      <c r="AF542" s="72"/>
      <c r="AG542" s="73"/>
      <c r="AH542" s="72"/>
      <c r="AI542" s="72"/>
      <c r="AJ542" s="72"/>
      <c r="AK542" s="72"/>
      <c r="AL542" s="72"/>
      <c r="AM542" s="73"/>
      <c r="AN542" s="74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</row>
    <row r="543">
      <c r="A543" s="70"/>
      <c r="D543" s="70"/>
      <c r="N543" s="70"/>
      <c r="W543" s="71"/>
      <c r="X543" s="70"/>
      <c r="AF543" s="72"/>
      <c r="AG543" s="73"/>
      <c r="AH543" s="72"/>
      <c r="AI543" s="72"/>
      <c r="AJ543" s="72"/>
      <c r="AK543" s="72"/>
      <c r="AL543" s="72"/>
      <c r="AM543" s="73"/>
      <c r="AN543" s="74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</row>
    <row r="544">
      <c r="A544" s="70"/>
      <c r="D544" s="70"/>
      <c r="N544" s="70"/>
      <c r="W544" s="71"/>
      <c r="X544" s="70"/>
      <c r="AF544" s="72"/>
      <c r="AG544" s="73"/>
      <c r="AH544" s="72"/>
      <c r="AI544" s="72"/>
      <c r="AJ544" s="72"/>
      <c r="AK544" s="72"/>
      <c r="AL544" s="72"/>
      <c r="AM544" s="73"/>
      <c r="AN544" s="74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</row>
    <row r="545">
      <c r="A545" s="70"/>
      <c r="D545" s="70"/>
      <c r="N545" s="70"/>
      <c r="W545" s="71"/>
      <c r="X545" s="70"/>
      <c r="AF545" s="72"/>
      <c r="AG545" s="73"/>
      <c r="AH545" s="72"/>
      <c r="AI545" s="72"/>
      <c r="AJ545" s="72"/>
      <c r="AK545" s="72"/>
      <c r="AL545" s="72"/>
      <c r="AM545" s="73"/>
      <c r="AN545" s="74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</row>
    <row r="546">
      <c r="A546" s="70"/>
      <c r="D546" s="70"/>
      <c r="N546" s="70"/>
      <c r="W546" s="71"/>
      <c r="X546" s="70"/>
      <c r="AF546" s="72"/>
      <c r="AG546" s="73"/>
      <c r="AH546" s="72"/>
      <c r="AI546" s="72"/>
      <c r="AJ546" s="72"/>
      <c r="AK546" s="72"/>
      <c r="AL546" s="72"/>
      <c r="AM546" s="73"/>
      <c r="AN546" s="74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</row>
    <row r="547">
      <c r="A547" s="70"/>
      <c r="D547" s="70"/>
      <c r="N547" s="70"/>
      <c r="W547" s="71"/>
      <c r="X547" s="70"/>
      <c r="AF547" s="72"/>
      <c r="AG547" s="73"/>
      <c r="AH547" s="72"/>
      <c r="AI547" s="72"/>
      <c r="AJ547" s="72"/>
      <c r="AK547" s="72"/>
      <c r="AL547" s="72"/>
      <c r="AM547" s="73"/>
      <c r="AN547" s="74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</row>
    <row r="548">
      <c r="A548" s="70"/>
      <c r="D548" s="70"/>
      <c r="N548" s="70"/>
      <c r="W548" s="71"/>
      <c r="X548" s="70"/>
      <c r="AF548" s="72"/>
      <c r="AG548" s="73"/>
      <c r="AH548" s="72"/>
      <c r="AI548" s="72"/>
      <c r="AJ548" s="72"/>
      <c r="AK548" s="72"/>
      <c r="AL548" s="72"/>
      <c r="AM548" s="73"/>
      <c r="AN548" s="74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</row>
    <row r="549">
      <c r="A549" s="70"/>
      <c r="D549" s="70"/>
      <c r="N549" s="70"/>
      <c r="W549" s="71"/>
      <c r="X549" s="70"/>
      <c r="AF549" s="72"/>
      <c r="AG549" s="73"/>
      <c r="AH549" s="72"/>
      <c r="AI549" s="72"/>
      <c r="AJ549" s="72"/>
      <c r="AK549" s="72"/>
      <c r="AL549" s="72"/>
      <c r="AM549" s="73"/>
      <c r="AN549" s="74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</row>
    <row r="550">
      <c r="A550" s="70"/>
      <c r="D550" s="70"/>
      <c r="N550" s="70"/>
      <c r="W550" s="71"/>
      <c r="X550" s="70"/>
      <c r="AF550" s="72"/>
      <c r="AG550" s="73"/>
      <c r="AH550" s="72"/>
      <c r="AI550" s="72"/>
      <c r="AJ550" s="72"/>
      <c r="AK550" s="72"/>
      <c r="AL550" s="72"/>
      <c r="AM550" s="73"/>
      <c r="AN550" s="74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</row>
    <row r="551">
      <c r="A551" s="70"/>
      <c r="D551" s="70"/>
      <c r="N551" s="70"/>
      <c r="W551" s="71"/>
      <c r="X551" s="70"/>
      <c r="AF551" s="72"/>
      <c r="AG551" s="73"/>
      <c r="AH551" s="72"/>
      <c r="AI551" s="72"/>
      <c r="AJ551" s="72"/>
      <c r="AK551" s="72"/>
      <c r="AL551" s="72"/>
      <c r="AM551" s="73"/>
      <c r="AN551" s="74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</row>
    <row r="552">
      <c r="A552" s="70"/>
      <c r="D552" s="70"/>
      <c r="N552" s="70"/>
      <c r="W552" s="71"/>
      <c r="X552" s="70"/>
      <c r="AF552" s="72"/>
      <c r="AG552" s="73"/>
      <c r="AH552" s="72"/>
      <c r="AI552" s="72"/>
      <c r="AJ552" s="72"/>
      <c r="AK552" s="72"/>
      <c r="AL552" s="72"/>
      <c r="AM552" s="73"/>
      <c r="AN552" s="74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</row>
    <row r="553">
      <c r="A553" s="70"/>
      <c r="D553" s="70"/>
      <c r="N553" s="70"/>
      <c r="W553" s="71"/>
      <c r="X553" s="70"/>
      <c r="AF553" s="72"/>
      <c r="AG553" s="73"/>
      <c r="AH553" s="72"/>
      <c r="AI553" s="72"/>
      <c r="AJ553" s="72"/>
      <c r="AK553" s="72"/>
      <c r="AL553" s="72"/>
      <c r="AM553" s="73"/>
      <c r="AN553" s="74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</row>
    <row r="554">
      <c r="A554" s="70"/>
      <c r="D554" s="70"/>
      <c r="N554" s="70"/>
      <c r="W554" s="71"/>
      <c r="X554" s="70"/>
      <c r="AF554" s="72"/>
      <c r="AG554" s="73"/>
      <c r="AH554" s="72"/>
      <c r="AI554" s="72"/>
      <c r="AJ554" s="72"/>
      <c r="AK554" s="72"/>
      <c r="AL554" s="72"/>
      <c r="AM554" s="73"/>
      <c r="AN554" s="74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</row>
    <row r="555">
      <c r="A555" s="70"/>
      <c r="D555" s="70"/>
      <c r="N555" s="70"/>
      <c r="W555" s="71"/>
      <c r="X555" s="70"/>
      <c r="AF555" s="72"/>
      <c r="AG555" s="73"/>
      <c r="AH555" s="72"/>
      <c r="AI555" s="72"/>
      <c r="AJ555" s="72"/>
      <c r="AK555" s="72"/>
      <c r="AL555" s="72"/>
      <c r="AM555" s="73"/>
      <c r="AN555" s="74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</row>
    <row r="556">
      <c r="A556" s="70"/>
      <c r="D556" s="70"/>
      <c r="N556" s="70"/>
      <c r="W556" s="71"/>
      <c r="X556" s="70"/>
      <c r="AF556" s="72"/>
      <c r="AG556" s="73"/>
      <c r="AH556" s="72"/>
      <c r="AI556" s="72"/>
      <c r="AJ556" s="72"/>
      <c r="AK556" s="72"/>
      <c r="AL556" s="72"/>
      <c r="AM556" s="73"/>
      <c r="AN556" s="74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</row>
    <row r="557">
      <c r="A557" s="70"/>
      <c r="D557" s="70"/>
      <c r="N557" s="70"/>
      <c r="W557" s="71"/>
      <c r="X557" s="70"/>
      <c r="AF557" s="72"/>
      <c r="AG557" s="73"/>
      <c r="AH557" s="72"/>
      <c r="AI557" s="72"/>
      <c r="AJ557" s="72"/>
      <c r="AK557" s="72"/>
      <c r="AL557" s="72"/>
      <c r="AM557" s="73"/>
      <c r="AN557" s="74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</row>
    <row r="558">
      <c r="A558" s="70"/>
      <c r="D558" s="70"/>
      <c r="N558" s="70"/>
      <c r="W558" s="71"/>
      <c r="X558" s="70"/>
      <c r="AF558" s="72"/>
      <c r="AG558" s="73"/>
      <c r="AH558" s="72"/>
      <c r="AI558" s="72"/>
      <c r="AJ558" s="72"/>
      <c r="AK558" s="72"/>
      <c r="AL558" s="72"/>
      <c r="AM558" s="73"/>
      <c r="AN558" s="74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</row>
    <row r="559">
      <c r="A559" s="70"/>
      <c r="D559" s="70"/>
      <c r="N559" s="70"/>
      <c r="W559" s="71"/>
      <c r="X559" s="70"/>
      <c r="AF559" s="72"/>
      <c r="AG559" s="73"/>
      <c r="AH559" s="72"/>
      <c r="AI559" s="72"/>
      <c r="AJ559" s="72"/>
      <c r="AK559" s="72"/>
      <c r="AL559" s="72"/>
      <c r="AM559" s="73"/>
      <c r="AN559" s="74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</row>
    <row r="560">
      <c r="A560" s="70"/>
      <c r="D560" s="70"/>
      <c r="N560" s="70"/>
      <c r="W560" s="71"/>
      <c r="X560" s="70"/>
      <c r="AF560" s="72"/>
      <c r="AG560" s="73"/>
      <c r="AH560" s="72"/>
      <c r="AI560" s="72"/>
      <c r="AJ560" s="72"/>
      <c r="AK560" s="72"/>
      <c r="AL560" s="72"/>
      <c r="AM560" s="73"/>
      <c r="AN560" s="74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</row>
    <row r="561">
      <c r="A561" s="70"/>
      <c r="D561" s="70"/>
      <c r="N561" s="70"/>
      <c r="W561" s="71"/>
      <c r="X561" s="70"/>
      <c r="AF561" s="72"/>
      <c r="AG561" s="73"/>
      <c r="AH561" s="72"/>
      <c r="AI561" s="72"/>
      <c r="AJ561" s="72"/>
      <c r="AK561" s="72"/>
      <c r="AL561" s="72"/>
      <c r="AM561" s="73"/>
      <c r="AN561" s="74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</row>
    <row r="562">
      <c r="A562" s="70"/>
      <c r="D562" s="70"/>
      <c r="N562" s="70"/>
      <c r="W562" s="71"/>
      <c r="X562" s="70"/>
      <c r="AF562" s="72"/>
      <c r="AG562" s="73"/>
      <c r="AH562" s="72"/>
      <c r="AI562" s="72"/>
      <c r="AJ562" s="72"/>
      <c r="AK562" s="72"/>
      <c r="AL562" s="72"/>
      <c r="AM562" s="73"/>
      <c r="AN562" s="74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</row>
    <row r="563">
      <c r="A563" s="70"/>
      <c r="D563" s="70"/>
      <c r="N563" s="70"/>
      <c r="W563" s="71"/>
      <c r="X563" s="70"/>
      <c r="AF563" s="72"/>
      <c r="AG563" s="73"/>
      <c r="AH563" s="72"/>
      <c r="AI563" s="72"/>
      <c r="AJ563" s="72"/>
      <c r="AK563" s="72"/>
      <c r="AL563" s="72"/>
      <c r="AM563" s="73"/>
      <c r="AN563" s="74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</row>
    <row r="564">
      <c r="A564" s="70"/>
      <c r="D564" s="70"/>
      <c r="N564" s="70"/>
      <c r="W564" s="71"/>
      <c r="X564" s="70"/>
      <c r="AF564" s="72"/>
      <c r="AG564" s="73"/>
      <c r="AH564" s="72"/>
      <c r="AI564" s="72"/>
      <c r="AJ564" s="72"/>
      <c r="AK564" s="72"/>
      <c r="AL564" s="72"/>
      <c r="AM564" s="73"/>
      <c r="AN564" s="74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</row>
    <row r="565">
      <c r="A565" s="70"/>
      <c r="D565" s="70"/>
      <c r="N565" s="70"/>
      <c r="W565" s="71"/>
      <c r="X565" s="70"/>
      <c r="AF565" s="72"/>
      <c r="AG565" s="73"/>
      <c r="AH565" s="72"/>
      <c r="AI565" s="72"/>
      <c r="AJ565" s="72"/>
      <c r="AK565" s="72"/>
      <c r="AL565" s="72"/>
      <c r="AM565" s="73"/>
      <c r="AN565" s="74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</row>
    <row r="566">
      <c r="A566" s="70"/>
      <c r="D566" s="70"/>
      <c r="N566" s="70"/>
      <c r="W566" s="71"/>
      <c r="X566" s="70"/>
      <c r="AF566" s="72"/>
      <c r="AG566" s="73"/>
      <c r="AH566" s="72"/>
      <c r="AI566" s="72"/>
      <c r="AJ566" s="72"/>
      <c r="AK566" s="72"/>
      <c r="AL566" s="72"/>
      <c r="AM566" s="73"/>
      <c r="AN566" s="74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</row>
    <row r="567">
      <c r="A567" s="70"/>
      <c r="D567" s="70"/>
      <c r="N567" s="70"/>
      <c r="W567" s="71"/>
      <c r="X567" s="70"/>
      <c r="AF567" s="72"/>
      <c r="AG567" s="73"/>
      <c r="AH567" s="72"/>
      <c r="AI567" s="72"/>
      <c r="AJ567" s="72"/>
      <c r="AK567" s="72"/>
      <c r="AL567" s="72"/>
      <c r="AM567" s="73"/>
      <c r="AN567" s="74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</row>
    <row r="568">
      <c r="A568" s="70"/>
      <c r="D568" s="70"/>
      <c r="N568" s="70"/>
      <c r="W568" s="71"/>
      <c r="X568" s="70"/>
      <c r="AF568" s="72"/>
      <c r="AG568" s="73"/>
      <c r="AH568" s="72"/>
      <c r="AI568" s="72"/>
      <c r="AJ568" s="72"/>
      <c r="AK568" s="72"/>
      <c r="AL568" s="72"/>
      <c r="AM568" s="73"/>
      <c r="AN568" s="74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</row>
    <row r="569">
      <c r="A569" s="70"/>
      <c r="D569" s="70"/>
      <c r="N569" s="70"/>
      <c r="W569" s="71"/>
      <c r="X569" s="70"/>
      <c r="AF569" s="72"/>
      <c r="AG569" s="73"/>
      <c r="AH569" s="72"/>
      <c r="AI569" s="72"/>
      <c r="AJ569" s="72"/>
      <c r="AK569" s="72"/>
      <c r="AL569" s="72"/>
      <c r="AM569" s="73"/>
      <c r="AN569" s="74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</row>
    <row r="570">
      <c r="A570" s="70"/>
      <c r="D570" s="70"/>
      <c r="N570" s="70"/>
      <c r="W570" s="71"/>
      <c r="X570" s="70"/>
      <c r="AF570" s="72"/>
      <c r="AG570" s="73"/>
      <c r="AH570" s="72"/>
      <c r="AI570" s="72"/>
      <c r="AJ570" s="72"/>
      <c r="AK570" s="72"/>
      <c r="AL570" s="72"/>
      <c r="AM570" s="73"/>
      <c r="AN570" s="74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</row>
    <row r="571">
      <c r="A571" s="70"/>
      <c r="D571" s="70"/>
      <c r="N571" s="70"/>
      <c r="W571" s="71"/>
      <c r="X571" s="70"/>
      <c r="AF571" s="72"/>
      <c r="AG571" s="73"/>
      <c r="AH571" s="72"/>
      <c r="AI571" s="72"/>
      <c r="AJ571" s="72"/>
      <c r="AK571" s="72"/>
      <c r="AL571" s="72"/>
      <c r="AM571" s="73"/>
      <c r="AN571" s="74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</row>
    <row r="572">
      <c r="A572" s="70"/>
      <c r="D572" s="70"/>
      <c r="N572" s="70"/>
      <c r="W572" s="71"/>
      <c r="X572" s="70"/>
      <c r="AF572" s="72"/>
      <c r="AG572" s="73"/>
      <c r="AH572" s="72"/>
      <c r="AI572" s="72"/>
      <c r="AJ572" s="72"/>
      <c r="AK572" s="72"/>
      <c r="AL572" s="72"/>
      <c r="AM572" s="73"/>
      <c r="AN572" s="74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</row>
    <row r="573">
      <c r="A573" s="70"/>
      <c r="D573" s="70"/>
      <c r="N573" s="70"/>
      <c r="W573" s="71"/>
      <c r="X573" s="70"/>
      <c r="AF573" s="72"/>
      <c r="AG573" s="73"/>
      <c r="AH573" s="72"/>
      <c r="AI573" s="72"/>
      <c r="AJ573" s="72"/>
      <c r="AK573" s="72"/>
      <c r="AL573" s="72"/>
      <c r="AM573" s="73"/>
      <c r="AN573" s="74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</row>
    <row r="574">
      <c r="A574" s="70"/>
      <c r="D574" s="70"/>
      <c r="N574" s="70"/>
      <c r="W574" s="71"/>
      <c r="X574" s="70"/>
      <c r="AF574" s="72"/>
      <c r="AG574" s="73"/>
      <c r="AH574" s="72"/>
      <c r="AI574" s="72"/>
      <c r="AJ574" s="72"/>
      <c r="AK574" s="72"/>
      <c r="AL574" s="72"/>
      <c r="AM574" s="73"/>
      <c r="AN574" s="74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</row>
    <row r="575">
      <c r="A575" s="70"/>
      <c r="D575" s="70"/>
      <c r="N575" s="70"/>
      <c r="W575" s="71"/>
      <c r="X575" s="70"/>
      <c r="AF575" s="72"/>
      <c r="AG575" s="73"/>
      <c r="AH575" s="72"/>
      <c r="AI575" s="72"/>
      <c r="AJ575" s="72"/>
      <c r="AK575" s="72"/>
      <c r="AL575" s="72"/>
      <c r="AM575" s="73"/>
      <c r="AN575" s="74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</row>
    <row r="576">
      <c r="A576" s="70"/>
      <c r="D576" s="70"/>
      <c r="N576" s="70"/>
      <c r="W576" s="71"/>
      <c r="X576" s="70"/>
      <c r="AF576" s="72"/>
      <c r="AG576" s="73"/>
      <c r="AH576" s="72"/>
      <c r="AI576" s="72"/>
      <c r="AJ576" s="72"/>
      <c r="AK576" s="72"/>
      <c r="AL576" s="72"/>
      <c r="AM576" s="73"/>
      <c r="AN576" s="74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</row>
    <row r="577">
      <c r="A577" s="70"/>
      <c r="D577" s="70"/>
      <c r="N577" s="70"/>
      <c r="W577" s="71"/>
      <c r="X577" s="70"/>
      <c r="AF577" s="72"/>
      <c r="AG577" s="73"/>
      <c r="AH577" s="72"/>
      <c r="AI577" s="72"/>
      <c r="AJ577" s="72"/>
      <c r="AK577" s="72"/>
      <c r="AL577" s="72"/>
      <c r="AM577" s="73"/>
      <c r="AN577" s="74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</row>
    <row r="578">
      <c r="A578" s="70"/>
      <c r="D578" s="70"/>
      <c r="N578" s="70"/>
      <c r="W578" s="71"/>
      <c r="X578" s="70"/>
      <c r="AF578" s="72"/>
      <c r="AG578" s="73"/>
      <c r="AH578" s="72"/>
      <c r="AI578" s="72"/>
      <c r="AJ578" s="72"/>
      <c r="AK578" s="72"/>
      <c r="AL578" s="72"/>
      <c r="AM578" s="73"/>
      <c r="AN578" s="74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</row>
    <row r="579">
      <c r="A579" s="70"/>
      <c r="D579" s="70"/>
      <c r="N579" s="70"/>
      <c r="W579" s="71"/>
      <c r="X579" s="70"/>
      <c r="AF579" s="72"/>
      <c r="AG579" s="73"/>
      <c r="AH579" s="72"/>
      <c r="AI579" s="72"/>
      <c r="AJ579" s="72"/>
      <c r="AK579" s="72"/>
      <c r="AL579" s="72"/>
      <c r="AM579" s="73"/>
      <c r="AN579" s="74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</row>
    <row r="580">
      <c r="A580" s="70"/>
      <c r="D580" s="70"/>
      <c r="N580" s="70"/>
      <c r="W580" s="71"/>
      <c r="X580" s="70"/>
      <c r="AF580" s="72"/>
      <c r="AG580" s="73"/>
      <c r="AH580" s="72"/>
      <c r="AI580" s="72"/>
      <c r="AJ580" s="72"/>
      <c r="AK580" s="72"/>
      <c r="AL580" s="72"/>
      <c r="AM580" s="73"/>
      <c r="AN580" s="74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</row>
    <row r="581">
      <c r="A581" s="70"/>
      <c r="D581" s="70"/>
      <c r="N581" s="70"/>
      <c r="W581" s="71"/>
      <c r="X581" s="70"/>
      <c r="AF581" s="72"/>
      <c r="AG581" s="73"/>
      <c r="AH581" s="72"/>
      <c r="AI581" s="72"/>
      <c r="AJ581" s="72"/>
      <c r="AK581" s="72"/>
      <c r="AL581" s="72"/>
      <c r="AM581" s="73"/>
      <c r="AN581" s="74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</row>
    <row r="582">
      <c r="A582" s="70"/>
      <c r="D582" s="70"/>
      <c r="N582" s="70"/>
      <c r="W582" s="71"/>
      <c r="X582" s="70"/>
      <c r="AF582" s="72"/>
      <c r="AG582" s="73"/>
      <c r="AH582" s="72"/>
      <c r="AI582" s="72"/>
      <c r="AJ582" s="72"/>
      <c r="AK582" s="72"/>
      <c r="AL582" s="72"/>
      <c r="AM582" s="73"/>
      <c r="AN582" s="74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</row>
    <row r="583">
      <c r="A583" s="70"/>
      <c r="D583" s="70"/>
      <c r="N583" s="70"/>
      <c r="W583" s="71"/>
      <c r="X583" s="70"/>
      <c r="AF583" s="72"/>
      <c r="AG583" s="73"/>
      <c r="AH583" s="72"/>
      <c r="AI583" s="72"/>
      <c r="AJ583" s="72"/>
      <c r="AK583" s="72"/>
      <c r="AL583" s="72"/>
      <c r="AM583" s="73"/>
      <c r="AN583" s="74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</row>
    <row r="584">
      <c r="A584" s="70"/>
      <c r="D584" s="70"/>
      <c r="N584" s="70"/>
      <c r="W584" s="71"/>
      <c r="X584" s="70"/>
      <c r="AF584" s="72"/>
      <c r="AG584" s="73"/>
      <c r="AH584" s="72"/>
      <c r="AI584" s="72"/>
      <c r="AJ584" s="72"/>
      <c r="AK584" s="72"/>
      <c r="AL584" s="72"/>
      <c r="AM584" s="73"/>
      <c r="AN584" s="74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</row>
    <row r="585">
      <c r="A585" s="70"/>
      <c r="D585" s="70"/>
      <c r="N585" s="70"/>
      <c r="W585" s="71"/>
      <c r="X585" s="70"/>
      <c r="AF585" s="72"/>
      <c r="AG585" s="73"/>
      <c r="AH585" s="72"/>
      <c r="AI585" s="72"/>
      <c r="AJ585" s="72"/>
      <c r="AK585" s="72"/>
      <c r="AL585" s="72"/>
      <c r="AM585" s="73"/>
      <c r="AN585" s="74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</row>
    <row r="586">
      <c r="A586" s="70"/>
      <c r="D586" s="70"/>
      <c r="N586" s="70"/>
      <c r="W586" s="71"/>
      <c r="X586" s="70"/>
      <c r="AF586" s="72"/>
      <c r="AG586" s="73"/>
      <c r="AH586" s="72"/>
      <c r="AI586" s="72"/>
      <c r="AJ586" s="72"/>
      <c r="AK586" s="72"/>
      <c r="AL586" s="72"/>
      <c r="AM586" s="73"/>
      <c r="AN586" s="74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</row>
    <row r="587">
      <c r="A587" s="70"/>
      <c r="D587" s="70"/>
      <c r="N587" s="70"/>
      <c r="W587" s="71"/>
      <c r="X587" s="70"/>
      <c r="AF587" s="72"/>
      <c r="AG587" s="73"/>
      <c r="AH587" s="72"/>
      <c r="AI587" s="72"/>
      <c r="AJ587" s="72"/>
      <c r="AK587" s="72"/>
      <c r="AL587" s="72"/>
      <c r="AM587" s="73"/>
      <c r="AN587" s="74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</row>
    <row r="588">
      <c r="A588" s="70"/>
      <c r="D588" s="70"/>
      <c r="N588" s="70"/>
      <c r="W588" s="71"/>
      <c r="X588" s="70"/>
      <c r="AF588" s="72"/>
      <c r="AG588" s="73"/>
      <c r="AH588" s="72"/>
      <c r="AI588" s="72"/>
      <c r="AJ588" s="72"/>
      <c r="AK588" s="72"/>
      <c r="AL588" s="72"/>
      <c r="AM588" s="73"/>
      <c r="AN588" s="74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</row>
    <row r="589">
      <c r="A589" s="70"/>
      <c r="D589" s="70"/>
      <c r="N589" s="70"/>
      <c r="W589" s="71"/>
      <c r="X589" s="70"/>
      <c r="AF589" s="72"/>
      <c r="AG589" s="73"/>
      <c r="AH589" s="72"/>
      <c r="AI589" s="72"/>
      <c r="AJ589" s="72"/>
      <c r="AK589" s="72"/>
      <c r="AL589" s="72"/>
      <c r="AM589" s="73"/>
      <c r="AN589" s="74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</row>
    <row r="590">
      <c r="A590" s="70"/>
      <c r="D590" s="70"/>
      <c r="N590" s="70"/>
      <c r="W590" s="71"/>
      <c r="X590" s="70"/>
      <c r="AF590" s="72"/>
      <c r="AG590" s="73"/>
      <c r="AH590" s="72"/>
      <c r="AI590" s="72"/>
      <c r="AJ590" s="72"/>
      <c r="AK590" s="72"/>
      <c r="AL590" s="72"/>
      <c r="AM590" s="73"/>
      <c r="AN590" s="74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</row>
    <row r="591">
      <c r="A591" s="70"/>
      <c r="D591" s="70"/>
      <c r="N591" s="70"/>
      <c r="W591" s="71"/>
      <c r="X591" s="70"/>
      <c r="AF591" s="72"/>
      <c r="AG591" s="73"/>
      <c r="AH591" s="72"/>
      <c r="AI591" s="72"/>
      <c r="AJ591" s="72"/>
      <c r="AK591" s="72"/>
      <c r="AL591" s="72"/>
      <c r="AM591" s="73"/>
      <c r="AN591" s="74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</row>
    <row r="592">
      <c r="A592" s="70"/>
      <c r="D592" s="70"/>
      <c r="N592" s="70"/>
      <c r="W592" s="71"/>
      <c r="X592" s="70"/>
      <c r="AF592" s="72"/>
      <c r="AG592" s="73"/>
      <c r="AH592" s="72"/>
      <c r="AI592" s="72"/>
      <c r="AJ592" s="72"/>
      <c r="AK592" s="72"/>
      <c r="AL592" s="72"/>
      <c r="AM592" s="73"/>
      <c r="AN592" s="74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</row>
    <row r="593">
      <c r="A593" s="70"/>
      <c r="D593" s="70"/>
      <c r="N593" s="70"/>
      <c r="W593" s="71"/>
      <c r="X593" s="70"/>
      <c r="AF593" s="72"/>
      <c r="AG593" s="73"/>
      <c r="AH593" s="72"/>
      <c r="AI593" s="72"/>
      <c r="AJ593" s="72"/>
      <c r="AK593" s="72"/>
      <c r="AL593" s="72"/>
      <c r="AM593" s="73"/>
      <c r="AN593" s="74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</row>
    <row r="594">
      <c r="A594" s="70"/>
      <c r="D594" s="70"/>
      <c r="N594" s="70"/>
      <c r="W594" s="71"/>
      <c r="X594" s="70"/>
      <c r="AF594" s="72"/>
      <c r="AG594" s="73"/>
      <c r="AH594" s="72"/>
      <c r="AI594" s="72"/>
      <c r="AJ594" s="72"/>
      <c r="AK594" s="72"/>
      <c r="AL594" s="72"/>
      <c r="AM594" s="73"/>
      <c r="AN594" s="74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</row>
    <row r="595">
      <c r="A595" s="70"/>
      <c r="D595" s="70"/>
      <c r="N595" s="70"/>
      <c r="W595" s="71"/>
      <c r="X595" s="70"/>
      <c r="AF595" s="72"/>
      <c r="AG595" s="73"/>
      <c r="AH595" s="72"/>
      <c r="AI595" s="72"/>
      <c r="AJ595" s="72"/>
      <c r="AK595" s="72"/>
      <c r="AL595" s="72"/>
      <c r="AM595" s="73"/>
      <c r="AN595" s="74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</row>
    <row r="596">
      <c r="A596" s="70"/>
      <c r="D596" s="70"/>
      <c r="N596" s="70"/>
      <c r="W596" s="71"/>
      <c r="X596" s="70"/>
      <c r="AF596" s="72"/>
      <c r="AG596" s="73"/>
      <c r="AH596" s="72"/>
      <c r="AI596" s="72"/>
      <c r="AJ596" s="72"/>
      <c r="AK596" s="72"/>
      <c r="AL596" s="72"/>
      <c r="AM596" s="73"/>
      <c r="AN596" s="74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</row>
    <row r="597">
      <c r="A597" s="70"/>
      <c r="D597" s="70"/>
      <c r="N597" s="70"/>
      <c r="W597" s="71"/>
      <c r="X597" s="70"/>
      <c r="AF597" s="72"/>
      <c r="AG597" s="73"/>
      <c r="AH597" s="72"/>
      <c r="AI597" s="72"/>
      <c r="AJ597" s="72"/>
      <c r="AK597" s="72"/>
      <c r="AL597" s="72"/>
      <c r="AM597" s="73"/>
      <c r="AN597" s="74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</row>
    <row r="598">
      <c r="A598" s="70"/>
      <c r="D598" s="70"/>
      <c r="N598" s="70"/>
      <c r="W598" s="71"/>
      <c r="X598" s="70"/>
      <c r="AF598" s="72"/>
      <c r="AG598" s="73"/>
      <c r="AH598" s="72"/>
      <c r="AI598" s="72"/>
      <c r="AJ598" s="72"/>
      <c r="AK598" s="72"/>
      <c r="AL598" s="72"/>
      <c r="AM598" s="73"/>
      <c r="AN598" s="74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</row>
    <row r="599">
      <c r="A599" s="70"/>
      <c r="D599" s="70"/>
      <c r="N599" s="70"/>
      <c r="W599" s="71"/>
      <c r="X599" s="70"/>
      <c r="AF599" s="72"/>
      <c r="AG599" s="73"/>
      <c r="AH599" s="72"/>
      <c r="AI599" s="72"/>
      <c r="AJ599" s="72"/>
      <c r="AK599" s="72"/>
      <c r="AL599" s="72"/>
      <c r="AM599" s="73"/>
      <c r="AN599" s="74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</row>
    <row r="600">
      <c r="A600" s="70"/>
      <c r="D600" s="70"/>
      <c r="N600" s="70"/>
      <c r="W600" s="71"/>
      <c r="X600" s="70"/>
      <c r="AF600" s="72"/>
      <c r="AG600" s="73"/>
      <c r="AH600" s="72"/>
      <c r="AI600" s="72"/>
      <c r="AJ600" s="72"/>
      <c r="AK600" s="72"/>
      <c r="AL600" s="72"/>
      <c r="AM600" s="73"/>
      <c r="AN600" s="74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</row>
    <row r="601">
      <c r="A601" s="70"/>
      <c r="D601" s="70"/>
      <c r="N601" s="70"/>
      <c r="W601" s="71"/>
      <c r="X601" s="70"/>
      <c r="AF601" s="72"/>
      <c r="AG601" s="73"/>
      <c r="AH601" s="72"/>
      <c r="AI601" s="72"/>
      <c r="AJ601" s="72"/>
      <c r="AK601" s="72"/>
      <c r="AL601" s="72"/>
      <c r="AM601" s="73"/>
      <c r="AN601" s="74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</row>
    <row r="602">
      <c r="A602" s="70"/>
      <c r="D602" s="70"/>
      <c r="N602" s="70"/>
      <c r="W602" s="71"/>
      <c r="X602" s="70"/>
      <c r="AF602" s="72"/>
      <c r="AG602" s="73"/>
      <c r="AH602" s="72"/>
      <c r="AI602" s="72"/>
      <c r="AJ602" s="72"/>
      <c r="AK602" s="72"/>
      <c r="AL602" s="72"/>
      <c r="AM602" s="73"/>
      <c r="AN602" s="74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</row>
    <row r="603">
      <c r="A603" s="70"/>
      <c r="D603" s="70"/>
      <c r="N603" s="70"/>
      <c r="W603" s="71"/>
      <c r="X603" s="70"/>
      <c r="AF603" s="72"/>
      <c r="AG603" s="73"/>
      <c r="AH603" s="72"/>
      <c r="AI603" s="72"/>
      <c r="AJ603" s="72"/>
      <c r="AK603" s="72"/>
      <c r="AL603" s="72"/>
      <c r="AM603" s="73"/>
      <c r="AN603" s="74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</row>
    <row r="604">
      <c r="A604" s="70"/>
      <c r="D604" s="70"/>
      <c r="N604" s="70"/>
      <c r="W604" s="71"/>
      <c r="X604" s="70"/>
      <c r="AF604" s="72"/>
      <c r="AG604" s="73"/>
      <c r="AH604" s="72"/>
      <c r="AI604" s="72"/>
      <c r="AJ604" s="72"/>
      <c r="AK604" s="72"/>
      <c r="AL604" s="72"/>
      <c r="AM604" s="73"/>
      <c r="AN604" s="74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</row>
    <row r="605">
      <c r="A605" s="70"/>
      <c r="D605" s="70"/>
      <c r="N605" s="70"/>
      <c r="W605" s="71"/>
      <c r="X605" s="70"/>
      <c r="AF605" s="72"/>
      <c r="AG605" s="73"/>
      <c r="AH605" s="72"/>
      <c r="AI605" s="72"/>
      <c r="AJ605" s="72"/>
      <c r="AK605" s="72"/>
      <c r="AL605" s="72"/>
      <c r="AM605" s="73"/>
      <c r="AN605" s="74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</row>
    <row r="606">
      <c r="A606" s="70"/>
      <c r="D606" s="70"/>
      <c r="N606" s="70"/>
      <c r="W606" s="71"/>
      <c r="X606" s="70"/>
      <c r="AF606" s="72"/>
      <c r="AG606" s="73"/>
      <c r="AH606" s="72"/>
      <c r="AI606" s="72"/>
      <c r="AJ606" s="72"/>
      <c r="AK606" s="72"/>
      <c r="AL606" s="72"/>
      <c r="AM606" s="73"/>
      <c r="AN606" s="74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</row>
    <row r="607">
      <c r="A607" s="70"/>
      <c r="D607" s="70"/>
      <c r="N607" s="70"/>
      <c r="W607" s="71"/>
      <c r="X607" s="70"/>
      <c r="AF607" s="72"/>
      <c r="AG607" s="73"/>
      <c r="AH607" s="72"/>
      <c r="AI607" s="72"/>
      <c r="AJ607" s="72"/>
      <c r="AK607" s="72"/>
      <c r="AL607" s="72"/>
      <c r="AM607" s="73"/>
      <c r="AN607" s="74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</row>
    <row r="608">
      <c r="A608" s="70"/>
      <c r="D608" s="70"/>
      <c r="N608" s="70"/>
      <c r="W608" s="71"/>
      <c r="X608" s="70"/>
      <c r="AF608" s="72"/>
      <c r="AG608" s="73"/>
      <c r="AH608" s="72"/>
      <c r="AI608" s="72"/>
      <c r="AJ608" s="72"/>
      <c r="AK608" s="72"/>
      <c r="AL608" s="72"/>
      <c r="AM608" s="73"/>
      <c r="AN608" s="74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</row>
    <row r="609">
      <c r="A609" s="70"/>
      <c r="D609" s="70"/>
      <c r="N609" s="70"/>
      <c r="W609" s="71"/>
      <c r="X609" s="70"/>
      <c r="AF609" s="72"/>
      <c r="AG609" s="73"/>
      <c r="AH609" s="72"/>
      <c r="AI609" s="72"/>
      <c r="AJ609" s="72"/>
      <c r="AK609" s="72"/>
      <c r="AL609" s="72"/>
      <c r="AM609" s="73"/>
      <c r="AN609" s="74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</row>
    <row r="610">
      <c r="A610" s="70"/>
      <c r="D610" s="70"/>
      <c r="N610" s="70"/>
      <c r="W610" s="71"/>
      <c r="X610" s="70"/>
      <c r="AF610" s="72"/>
      <c r="AG610" s="73"/>
      <c r="AH610" s="72"/>
      <c r="AI610" s="72"/>
      <c r="AJ610" s="72"/>
      <c r="AK610" s="72"/>
      <c r="AL610" s="72"/>
      <c r="AM610" s="73"/>
      <c r="AN610" s="74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</row>
    <row r="611">
      <c r="A611" s="70"/>
      <c r="D611" s="70"/>
      <c r="N611" s="70"/>
      <c r="W611" s="71"/>
      <c r="X611" s="70"/>
      <c r="AF611" s="72"/>
      <c r="AG611" s="73"/>
      <c r="AH611" s="72"/>
      <c r="AI611" s="72"/>
      <c r="AJ611" s="72"/>
      <c r="AK611" s="72"/>
      <c r="AL611" s="72"/>
      <c r="AM611" s="73"/>
      <c r="AN611" s="74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</row>
    <row r="612">
      <c r="A612" s="70"/>
      <c r="D612" s="70"/>
      <c r="N612" s="70"/>
      <c r="W612" s="71"/>
      <c r="X612" s="70"/>
      <c r="AF612" s="72"/>
      <c r="AG612" s="73"/>
      <c r="AH612" s="72"/>
      <c r="AI612" s="72"/>
      <c r="AJ612" s="72"/>
      <c r="AK612" s="72"/>
      <c r="AL612" s="72"/>
      <c r="AM612" s="73"/>
      <c r="AN612" s="74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</row>
    <row r="613">
      <c r="A613" s="70"/>
      <c r="D613" s="70"/>
      <c r="N613" s="70"/>
      <c r="W613" s="71"/>
      <c r="X613" s="70"/>
      <c r="AF613" s="72"/>
      <c r="AG613" s="73"/>
      <c r="AH613" s="72"/>
      <c r="AI613" s="72"/>
      <c r="AJ613" s="72"/>
      <c r="AK613" s="72"/>
      <c r="AL613" s="72"/>
      <c r="AM613" s="73"/>
      <c r="AN613" s="74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</row>
    <row r="614">
      <c r="A614" s="70"/>
      <c r="D614" s="70"/>
      <c r="N614" s="70"/>
      <c r="W614" s="71"/>
      <c r="X614" s="70"/>
      <c r="AF614" s="72"/>
      <c r="AG614" s="73"/>
      <c r="AH614" s="72"/>
      <c r="AI614" s="72"/>
      <c r="AJ614" s="72"/>
      <c r="AK614" s="72"/>
      <c r="AL614" s="72"/>
      <c r="AM614" s="73"/>
      <c r="AN614" s="74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</row>
    <row r="615">
      <c r="A615" s="70"/>
      <c r="D615" s="70"/>
      <c r="N615" s="70"/>
      <c r="W615" s="71"/>
      <c r="X615" s="70"/>
      <c r="AF615" s="72"/>
      <c r="AG615" s="73"/>
      <c r="AH615" s="72"/>
      <c r="AI615" s="72"/>
      <c r="AJ615" s="72"/>
      <c r="AK615" s="72"/>
      <c r="AL615" s="72"/>
      <c r="AM615" s="73"/>
      <c r="AN615" s="74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</row>
    <row r="616">
      <c r="A616" s="70"/>
      <c r="D616" s="70"/>
      <c r="N616" s="70"/>
      <c r="W616" s="71"/>
      <c r="X616" s="70"/>
      <c r="AF616" s="72"/>
      <c r="AG616" s="73"/>
      <c r="AH616" s="72"/>
      <c r="AI616" s="72"/>
      <c r="AJ616" s="72"/>
      <c r="AK616" s="72"/>
      <c r="AL616" s="72"/>
      <c r="AM616" s="73"/>
      <c r="AN616" s="74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</row>
    <row r="617">
      <c r="A617" s="70"/>
      <c r="D617" s="70"/>
      <c r="N617" s="70"/>
      <c r="W617" s="71"/>
      <c r="X617" s="70"/>
      <c r="AF617" s="72"/>
      <c r="AG617" s="73"/>
      <c r="AH617" s="72"/>
      <c r="AI617" s="72"/>
      <c r="AJ617" s="72"/>
      <c r="AK617" s="72"/>
      <c r="AL617" s="72"/>
      <c r="AM617" s="73"/>
      <c r="AN617" s="74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</row>
    <row r="618">
      <c r="A618" s="70"/>
      <c r="D618" s="70"/>
      <c r="N618" s="70"/>
      <c r="W618" s="71"/>
      <c r="X618" s="70"/>
      <c r="AF618" s="72"/>
      <c r="AG618" s="73"/>
      <c r="AH618" s="72"/>
      <c r="AI618" s="72"/>
      <c r="AJ618" s="72"/>
      <c r="AK618" s="72"/>
      <c r="AL618" s="72"/>
      <c r="AM618" s="73"/>
      <c r="AN618" s="74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</row>
    <row r="619">
      <c r="A619" s="70"/>
      <c r="D619" s="70"/>
      <c r="N619" s="70"/>
      <c r="W619" s="71"/>
      <c r="X619" s="70"/>
      <c r="AF619" s="72"/>
      <c r="AG619" s="73"/>
      <c r="AH619" s="72"/>
      <c r="AI619" s="72"/>
      <c r="AJ619" s="72"/>
      <c r="AK619" s="72"/>
      <c r="AL619" s="72"/>
      <c r="AM619" s="73"/>
      <c r="AN619" s="74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</row>
    <row r="620">
      <c r="A620" s="70"/>
      <c r="D620" s="70"/>
      <c r="N620" s="70"/>
      <c r="W620" s="71"/>
      <c r="X620" s="70"/>
      <c r="AF620" s="72"/>
      <c r="AG620" s="73"/>
      <c r="AH620" s="72"/>
      <c r="AI620" s="72"/>
      <c r="AJ620" s="72"/>
      <c r="AK620" s="72"/>
      <c r="AL620" s="72"/>
      <c r="AM620" s="73"/>
      <c r="AN620" s="74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</row>
    <row r="621">
      <c r="A621" s="70"/>
      <c r="D621" s="70"/>
      <c r="N621" s="70"/>
      <c r="W621" s="71"/>
      <c r="X621" s="70"/>
      <c r="AF621" s="72"/>
      <c r="AG621" s="73"/>
      <c r="AH621" s="72"/>
      <c r="AI621" s="72"/>
      <c r="AJ621" s="72"/>
      <c r="AK621" s="72"/>
      <c r="AL621" s="72"/>
      <c r="AM621" s="73"/>
      <c r="AN621" s="74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</row>
    <row r="622">
      <c r="A622" s="70"/>
      <c r="D622" s="70"/>
      <c r="N622" s="70"/>
      <c r="W622" s="71"/>
      <c r="X622" s="70"/>
      <c r="AF622" s="72"/>
      <c r="AG622" s="73"/>
      <c r="AH622" s="72"/>
      <c r="AI622" s="72"/>
      <c r="AJ622" s="72"/>
      <c r="AK622" s="72"/>
      <c r="AL622" s="72"/>
      <c r="AM622" s="73"/>
      <c r="AN622" s="74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</row>
    <row r="623">
      <c r="A623" s="70"/>
      <c r="D623" s="70"/>
      <c r="N623" s="70"/>
      <c r="W623" s="71"/>
      <c r="X623" s="70"/>
      <c r="AF623" s="72"/>
      <c r="AG623" s="73"/>
      <c r="AH623" s="72"/>
      <c r="AI623" s="72"/>
      <c r="AJ623" s="72"/>
      <c r="AK623" s="72"/>
      <c r="AL623" s="72"/>
      <c r="AM623" s="73"/>
      <c r="AN623" s="74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</row>
    <row r="624">
      <c r="A624" s="70"/>
      <c r="D624" s="70"/>
      <c r="N624" s="70"/>
      <c r="W624" s="71"/>
      <c r="X624" s="70"/>
      <c r="AF624" s="72"/>
      <c r="AG624" s="73"/>
      <c r="AH624" s="72"/>
      <c r="AI624" s="72"/>
      <c r="AJ624" s="72"/>
      <c r="AK624" s="72"/>
      <c r="AL624" s="72"/>
      <c r="AM624" s="73"/>
      <c r="AN624" s="74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</row>
    <row r="625">
      <c r="A625" s="70"/>
      <c r="D625" s="70"/>
      <c r="N625" s="70"/>
      <c r="W625" s="71"/>
      <c r="X625" s="70"/>
      <c r="AF625" s="72"/>
      <c r="AG625" s="73"/>
      <c r="AH625" s="72"/>
      <c r="AI625" s="72"/>
      <c r="AJ625" s="72"/>
      <c r="AK625" s="72"/>
      <c r="AL625" s="72"/>
      <c r="AM625" s="73"/>
      <c r="AN625" s="74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</row>
    <row r="626">
      <c r="A626" s="70"/>
      <c r="D626" s="70"/>
      <c r="N626" s="70"/>
      <c r="W626" s="71"/>
      <c r="X626" s="70"/>
      <c r="AF626" s="72"/>
      <c r="AG626" s="73"/>
      <c r="AH626" s="72"/>
      <c r="AI626" s="72"/>
      <c r="AJ626" s="72"/>
      <c r="AK626" s="72"/>
      <c r="AL626" s="72"/>
      <c r="AM626" s="73"/>
      <c r="AN626" s="74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</row>
    <row r="627">
      <c r="A627" s="70"/>
      <c r="D627" s="70"/>
      <c r="N627" s="70"/>
      <c r="W627" s="71"/>
      <c r="X627" s="70"/>
      <c r="AF627" s="72"/>
      <c r="AG627" s="73"/>
      <c r="AH627" s="72"/>
      <c r="AI627" s="72"/>
      <c r="AJ627" s="72"/>
      <c r="AK627" s="72"/>
      <c r="AL627" s="72"/>
      <c r="AM627" s="73"/>
      <c r="AN627" s="74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</row>
    <row r="628">
      <c r="A628" s="70"/>
      <c r="D628" s="70"/>
      <c r="N628" s="70"/>
      <c r="W628" s="71"/>
      <c r="X628" s="70"/>
      <c r="AF628" s="72"/>
      <c r="AG628" s="73"/>
      <c r="AH628" s="72"/>
      <c r="AI628" s="72"/>
      <c r="AJ628" s="72"/>
      <c r="AK628" s="72"/>
      <c r="AL628" s="72"/>
      <c r="AM628" s="73"/>
      <c r="AN628" s="74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</row>
    <row r="629">
      <c r="A629" s="70"/>
      <c r="D629" s="70"/>
      <c r="N629" s="70"/>
      <c r="W629" s="71"/>
      <c r="X629" s="70"/>
      <c r="AF629" s="72"/>
      <c r="AG629" s="73"/>
      <c r="AH629" s="72"/>
      <c r="AI629" s="72"/>
      <c r="AJ629" s="72"/>
      <c r="AK629" s="72"/>
      <c r="AL629" s="72"/>
      <c r="AM629" s="73"/>
      <c r="AN629" s="74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</row>
    <row r="630">
      <c r="A630" s="70"/>
      <c r="D630" s="70"/>
      <c r="N630" s="70"/>
      <c r="W630" s="71"/>
      <c r="X630" s="70"/>
      <c r="AF630" s="72"/>
      <c r="AG630" s="73"/>
      <c r="AH630" s="72"/>
      <c r="AI630" s="72"/>
      <c r="AJ630" s="72"/>
      <c r="AK630" s="72"/>
      <c r="AL630" s="72"/>
      <c r="AM630" s="73"/>
      <c r="AN630" s="74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</row>
    <row r="631">
      <c r="A631" s="70"/>
      <c r="D631" s="70"/>
      <c r="N631" s="70"/>
      <c r="W631" s="71"/>
      <c r="X631" s="70"/>
      <c r="AF631" s="72"/>
      <c r="AG631" s="73"/>
      <c r="AH631" s="72"/>
      <c r="AI631" s="72"/>
      <c r="AJ631" s="72"/>
      <c r="AK631" s="72"/>
      <c r="AL631" s="72"/>
      <c r="AM631" s="73"/>
      <c r="AN631" s="74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</row>
    <row r="632">
      <c r="A632" s="70"/>
      <c r="D632" s="70"/>
      <c r="N632" s="70"/>
      <c r="W632" s="71"/>
      <c r="X632" s="70"/>
      <c r="AF632" s="72"/>
      <c r="AG632" s="73"/>
      <c r="AH632" s="72"/>
      <c r="AI632" s="72"/>
      <c r="AJ632" s="72"/>
      <c r="AK632" s="72"/>
      <c r="AL632" s="72"/>
      <c r="AM632" s="73"/>
      <c r="AN632" s="74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</row>
    <row r="633">
      <c r="A633" s="70"/>
      <c r="D633" s="70"/>
      <c r="N633" s="70"/>
      <c r="W633" s="71"/>
      <c r="X633" s="70"/>
      <c r="AF633" s="72"/>
      <c r="AG633" s="73"/>
      <c r="AH633" s="72"/>
      <c r="AI633" s="72"/>
      <c r="AJ633" s="72"/>
      <c r="AK633" s="72"/>
      <c r="AL633" s="72"/>
      <c r="AM633" s="73"/>
      <c r="AN633" s="74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</row>
    <row r="634">
      <c r="A634" s="70"/>
      <c r="D634" s="70"/>
      <c r="N634" s="70"/>
      <c r="W634" s="71"/>
      <c r="X634" s="70"/>
      <c r="AF634" s="72"/>
      <c r="AG634" s="73"/>
      <c r="AH634" s="72"/>
      <c r="AI634" s="72"/>
      <c r="AJ634" s="72"/>
      <c r="AK634" s="72"/>
      <c r="AL634" s="72"/>
      <c r="AM634" s="73"/>
      <c r="AN634" s="74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</row>
    <row r="635">
      <c r="A635" s="70"/>
      <c r="D635" s="70"/>
      <c r="N635" s="70"/>
      <c r="W635" s="71"/>
      <c r="X635" s="70"/>
      <c r="AF635" s="72"/>
      <c r="AG635" s="73"/>
      <c r="AH635" s="72"/>
      <c r="AI635" s="72"/>
      <c r="AJ635" s="72"/>
      <c r="AK635" s="72"/>
      <c r="AL635" s="72"/>
      <c r="AM635" s="73"/>
      <c r="AN635" s="74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</row>
    <row r="636">
      <c r="A636" s="70"/>
      <c r="D636" s="70"/>
      <c r="N636" s="70"/>
      <c r="W636" s="71"/>
      <c r="X636" s="70"/>
      <c r="AF636" s="72"/>
      <c r="AG636" s="73"/>
      <c r="AH636" s="72"/>
      <c r="AI636" s="72"/>
      <c r="AJ636" s="72"/>
      <c r="AK636" s="72"/>
      <c r="AL636" s="72"/>
      <c r="AM636" s="73"/>
      <c r="AN636" s="74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</row>
    <row r="637">
      <c r="A637" s="70"/>
      <c r="D637" s="70"/>
      <c r="N637" s="70"/>
      <c r="W637" s="71"/>
      <c r="X637" s="70"/>
      <c r="AF637" s="72"/>
      <c r="AG637" s="73"/>
      <c r="AH637" s="72"/>
      <c r="AI637" s="72"/>
      <c r="AJ637" s="72"/>
      <c r="AK637" s="72"/>
      <c r="AL637" s="72"/>
      <c r="AM637" s="73"/>
      <c r="AN637" s="74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</row>
    <row r="638">
      <c r="A638" s="70"/>
      <c r="D638" s="70"/>
      <c r="N638" s="70"/>
      <c r="W638" s="71"/>
      <c r="X638" s="70"/>
      <c r="AF638" s="72"/>
      <c r="AG638" s="73"/>
      <c r="AH638" s="72"/>
      <c r="AI638" s="72"/>
      <c r="AJ638" s="72"/>
      <c r="AK638" s="72"/>
      <c r="AL638" s="72"/>
      <c r="AM638" s="73"/>
      <c r="AN638" s="74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</row>
    <row r="639">
      <c r="A639" s="70"/>
      <c r="D639" s="70"/>
      <c r="N639" s="70"/>
      <c r="W639" s="71"/>
      <c r="X639" s="70"/>
      <c r="AF639" s="72"/>
      <c r="AG639" s="73"/>
      <c r="AH639" s="72"/>
      <c r="AI639" s="72"/>
      <c r="AJ639" s="72"/>
      <c r="AK639" s="72"/>
      <c r="AL639" s="72"/>
      <c r="AM639" s="73"/>
      <c r="AN639" s="74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</row>
    <row r="640">
      <c r="A640" s="70"/>
      <c r="D640" s="70"/>
      <c r="N640" s="70"/>
      <c r="W640" s="71"/>
      <c r="X640" s="70"/>
      <c r="AF640" s="72"/>
      <c r="AG640" s="73"/>
      <c r="AH640" s="72"/>
      <c r="AI640" s="72"/>
      <c r="AJ640" s="72"/>
      <c r="AK640" s="72"/>
      <c r="AL640" s="72"/>
      <c r="AM640" s="73"/>
      <c r="AN640" s="74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</row>
    <row r="641">
      <c r="A641" s="70"/>
      <c r="D641" s="70"/>
      <c r="N641" s="70"/>
      <c r="W641" s="71"/>
      <c r="X641" s="70"/>
      <c r="AF641" s="72"/>
      <c r="AG641" s="73"/>
      <c r="AH641" s="72"/>
      <c r="AI641" s="72"/>
      <c r="AJ641" s="72"/>
      <c r="AK641" s="72"/>
      <c r="AL641" s="72"/>
      <c r="AM641" s="73"/>
      <c r="AN641" s="74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</row>
    <row r="642">
      <c r="A642" s="70"/>
      <c r="D642" s="70"/>
      <c r="N642" s="70"/>
      <c r="W642" s="71"/>
      <c r="X642" s="70"/>
      <c r="AF642" s="72"/>
      <c r="AG642" s="73"/>
      <c r="AH642" s="72"/>
      <c r="AI642" s="72"/>
      <c r="AJ642" s="72"/>
      <c r="AK642" s="72"/>
      <c r="AL642" s="72"/>
      <c r="AM642" s="73"/>
      <c r="AN642" s="74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</row>
    <row r="643">
      <c r="A643" s="70"/>
      <c r="D643" s="70"/>
      <c r="N643" s="70"/>
      <c r="W643" s="71"/>
      <c r="X643" s="70"/>
      <c r="AF643" s="72"/>
      <c r="AG643" s="73"/>
      <c r="AH643" s="72"/>
      <c r="AI643" s="72"/>
      <c r="AJ643" s="72"/>
      <c r="AK643" s="72"/>
      <c r="AL643" s="72"/>
      <c r="AM643" s="73"/>
      <c r="AN643" s="74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</row>
    <row r="644">
      <c r="A644" s="70"/>
      <c r="D644" s="70"/>
      <c r="N644" s="70"/>
      <c r="W644" s="71"/>
      <c r="X644" s="70"/>
      <c r="AF644" s="72"/>
      <c r="AG644" s="73"/>
      <c r="AH644" s="72"/>
      <c r="AI644" s="72"/>
      <c r="AJ644" s="72"/>
      <c r="AK644" s="72"/>
      <c r="AL644" s="72"/>
      <c r="AM644" s="73"/>
      <c r="AN644" s="74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</row>
    <row r="645">
      <c r="A645" s="70"/>
      <c r="D645" s="70"/>
      <c r="N645" s="70"/>
      <c r="W645" s="71"/>
      <c r="X645" s="70"/>
      <c r="AF645" s="72"/>
      <c r="AG645" s="73"/>
      <c r="AH645" s="72"/>
      <c r="AI645" s="72"/>
      <c r="AJ645" s="72"/>
      <c r="AK645" s="72"/>
      <c r="AL645" s="72"/>
      <c r="AM645" s="73"/>
      <c r="AN645" s="74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</row>
    <row r="646">
      <c r="A646" s="70"/>
      <c r="D646" s="70"/>
      <c r="N646" s="70"/>
      <c r="W646" s="71"/>
      <c r="X646" s="70"/>
      <c r="AF646" s="72"/>
      <c r="AG646" s="73"/>
      <c r="AH646" s="72"/>
      <c r="AI646" s="72"/>
      <c r="AJ646" s="72"/>
      <c r="AK646" s="72"/>
      <c r="AL646" s="72"/>
      <c r="AM646" s="73"/>
      <c r="AN646" s="74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</row>
    <row r="647">
      <c r="A647" s="70"/>
      <c r="D647" s="70"/>
      <c r="N647" s="70"/>
      <c r="W647" s="71"/>
      <c r="X647" s="70"/>
      <c r="AF647" s="72"/>
      <c r="AG647" s="73"/>
      <c r="AH647" s="72"/>
      <c r="AI647" s="72"/>
      <c r="AJ647" s="72"/>
      <c r="AK647" s="72"/>
      <c r="AL647" s="72"/>
      <c r="AM647" s="73"/>
      <c r="AN647" s="74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</row>
    <row r="648">
      <c r="A648" s="70"/>
      <c r="D648" s="70"/>
      <c r="N648" s="70"/>
      <c r="W648" s="71"/>
      <c r="X648" s="70"/>
      <c r="AF648" s="72"/>
      <c r="AG648" s="73"/>
      <c r="AH648" s="72"/>
      <c r="AI648" s="72"/>
      <c r="AJ648" s="72"/>
      <c r="AK648" s="72"/>
      <c r="AL648" s="72"/>
      <c r="AM648" s="73"/>
      <c r="AN648" s="74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</row>
    <row r="649">
      <c r="A649" s="70"/>
      <c r="D649" s="70"/>
      <c r="N649" s="70"/>
      <c r="W649" s="71"/>
      <c r="X649" s="70"/>
      <c r="AF649" s="72"/>
      <c r="AG649" s="73"/>
      <c r="AH649" s="72"/>
      <c r="AI649" s="72"/>
      <c r="AJ649" s="72"/>
      <c r="AK649" s="72"/>
      <c r="AL649" s="72"/>
      <c r="AM649" s="73"/>
      <c r="AN649" s="74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</row>
    <row r="650">
      <c r="A650" s="70"/>
      <c r="D650" s="70"/>
      <c r="N650" s="70"/>
      <c r="W650" s="71"/>
      <c r="X650" s="70"/>
      <c r="AF650" s="72"/>
      <c r="AG650" s="73"/>
      <c r="AH650" s="72"/>
      <c r="AI650" s="72"/>
      <c r="AJ650" s="72"/>
      <c r="AK650" s="72"/>
      <c r="AL650" s="72"/>
      <c r="AM650" s="73"/>
      <c r="AN650" s="74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</row>
    <row r="651">
      <c r="A651" s="70"/>
      <c r="D651" s="70"/>
      <c r="N651" s="70"/>
      <c r="W651" s="71"/>
      <c r="X651" s="70"/>
      <c r="AF651" s="72"/>
      <c r="AG651" s="73"/>
      <c r="AH651" s="72"/>
      <c r="AI651" s="72"/>
      <c r="AJ651" s="72"/>
      <c r="AK651" s="72"/>
      <c r="AL651" s="72"/>
      <c r="AM651" s="73"/>
      <c r="AN651" s="74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</row>
    <row r="652">
      <c r="A652" s="70"/>
      <c r="D652" s="70"/>
      <c r="N652" s="70"/>
      <c r="W652" s="71"/>
      <c r="X652" s="70"/>
      <c r="AF652" s="72"/>
      <c r="AG652" s="73"/>
      <c r="AH652" s="72"/>
      <c r="AI652" s="72"/>
      <c r="AJ652" s="72"/>
      <c r="AK652" s="72"/>
      <c r="AL652" s="72"/>
      <c r="AM652" s="73"/>
      <c r="AN652" s="74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</row>
    <row r="653">
      <c r="A653" s="70"/>
      <c r="D653" s="70"/>
      <c r="N653" s="70"/>
      <c r="W653" s="71"/>
      <c r="X653" s="70"/>
      <c r="AF653" s="72"/>
      <c r="AG653" s="73"/>
      <c r="AH653" s="72"/>
      <c r="AI653" s="72"/>
      <c r="AJ653" s="72"/>
      <c r="AK653" s="72"/>
      <c r="AL653" s="72"/>
      <c r="AM653" s="73"/>
      <c r="AN653" s="74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</row>
    <row r="654">
      <c r="A654" s="70"/>
      <c r="D654" s="70"/>
      <c r="N654" s="70"/>
      <c r="W654" s="71"/>
      <c r="X654" s="70"/>
      <c r="AF654" s="72"/>
      <c r="AG654" s="73"/>
      <c r="AH654" s="72"/>
      <c r="AI654" s="72"/>
      <c r="AJ654" s="72"/>
      <c r="AK654" s="72"/>
      <c r="AL654" s="72"/>
      <c r="AM654" s="73"/>
      <c r="AN654" s="74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</row>
    <row r="655">
      <c r="A655" s="70"/>
      <c r="D655" s="70"/>
      <c r="N655" s="70"/>
      <c r="W655" s="71"/>
      <c r="X655" s="70"/>
      <c r="AF655" s="72"/>
      <c r="AG655" s="73"/>
      <c r="AH655" s="72"/>
      <c r="AI655" s="72"/>
      <c r="AJ655" s="72"/>
      <c r="AK655" s="72"/>
      <c r="AL655" s="72"/>
      <c r="AM655" s="73"/>
      <c r="AN655" s="74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</row>
    <row r="656">
      <c r="A656" s="70"/>
      <c r="D656" s="70"/>
      <c r="N656" s="70"/>
      <c r="W656" s="71"/>
      <c r="X656" s="70"/>
      <c r="AF656" s="72"/>
      <c r="AG656" s="73"/>
      <c r="AH656" s="72"/>
      <c r="AI656" s="72"/>
      <c r="AJ656" s="72"/>
      <c r="AK656" s="72"/>
      <c r="AL656" s="72"/>
      <c r="AM656" s="73"/>
      <c r="AN656" s="74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</row>
    <row r="657">
      <c r="A657" s="70"/>
      <c r="D657" s="70"/>
      <c r="N657" s="70"/>
      <c r="W657" s="71"/>
      <c r="X657" s="70"/>
      <c r="AF657" s="72"/>
      <c r="AG657" s="73"/>
      <c r="AH657" s="72"/>
      <c r="AI657" s="72"/>
      <c r="AJ657" s="72"/>
      <c r="AK657" s="72"/>
      <c r="AL657" s="72"/>
      <c r="AM657" s="73"/>
      <c r="AN657" s="74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</row>
    <row r="658">
      <c r="A658" s="70"/>
      <c r="D658" s="70"/>
      <c r="N658" s="70"/>
      <c r="W658" s="71"/>
      <c r="X658" s="70"/>
      <c r="AF658" s="72"/>
      <c r="AG658" s="73"/>
      <c r="AH658" s="72"/>
      <c r="AI658" s="72"/>
      <c r="AJ658" s="72"/>
      <c r="AK658" s="72"/>
      <c r="AL658" s="72"/>
      <c r="AM658" s="73"/>
      <c r="AN658" s="74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</row>
    <row r="659">
      <c r="A659" s="70"/>
      <c r="D659" s="70"/>
      <c r="N659" s="70"/>
      <c r="W659" s="71"/>
      <c r="X659" s="70"/>
      <c r="AF659" s="72"/>
      <c r="AG659" s="73"/>
      <c r="AH659" s="72"/>
      <c r="AI659" s="72"/>
      <c r="AJ659" s="72"/>
      <c r="AK659" s="72"/>
      <c r="AL659" s="72"/>
      <c r="AM659" s="73"/>
      <c r="AN659" s="74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</row>
    <row r="660">
      <c r="A660" s="70"/>
      <c r="D660" s="70"/>
      <c r="N660" s="70"/>
      <c r="W660" s="71"/>
      <c r="X660" s="70"/>
      <c r="AF660" s="72"/>
      <c r="AG660" s="73"/>
      <c r="AH660" s="72"/>
      <c r="AI660" s="72"/>
      <c r="AJ660" s="72"/>
      <c r="AK660" s="72"/>
      <c r="AL660" s="72"/>
      <c r="AM660" s="73"/>
      <c r="AN660" s="74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</row>
    <row r="661">
      <c r="A661" s="70"/>
      <c r="D661" s="70"/>
      <c r="N661" s="70"/>
      <c r="W661" s="71"/>
      <c r="X661" s="70"/>
      <c r="AF661" s="72"/>
      <c r="AG661" s="73"/>
      <c r="AH661" s="72"/>
      <c r="AI661" s="72"/>
      <c r="AJ661" s="72"/>
      <c r="AK661" s="72"/>
      <c r="AL661" s="72"/>
      <c r="AM661" s="73"/>
      <c r="AN661" s="74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</row>
    <row r="662">
      <c r="A662" s="70"/>
      <c r="D662" s="70"/>
      <c r="N662" s="70"/>
      <c r="W662" s="71"/>
      <c r="X662" s="70"/>
      <c r="AF662" s="72"/>
      <c r="AG662" s="73"/>
      <c r="AH662" s="72"/>
      <c r="AI662" s="72"/>
      <c r="AJ662" s="72"/>
      <c r="AK662" s="72"/>
      <c r="AL662" s="72"/>
      <c r="AM662" s="73"/>
      <c r="AN662" s="74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</row>
    <row r="663">
      <c r="A663" s="70"/>
      <c r="D663" s="70"/>
      <c r="N663" s="70"/>
      <c r="W663" s="71"/>
      <c r="X663" s="70"/>
      <c r="AF663" s="72"/>
      <c r="AG663" s="73"/>
      <c r="AH663" s="72"/>
      <c r="AI663" s="72"/>
      <c r="AJ663" s="72"/>
      <c r="AK663" s="72"/>
      <c r="AL663" s="72"/>
      <c r="AM663" s="73"/>
      <c r="AN663" s="74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</row>
    <row r="664">
      <c r="A664" s="70"/>
      <c r="D664" s="70"/>
      <c r="N664" s="70"/>
      <c r="W664" s="71"/>
      <c r="X664" s="70"/>
      <c r="AF664" s="72"/>
      <c r="AG664" s="73"/>
      <c r="AH664" s="72"/>
      <c r="AI664" s="72"/>
      <c r="AJ664" s="72"/>
      <c r="AK664" s="72"/>
      <c r="AL664" s="72"/>
      <c r="AM664" s="73"/>
      <c r="AN664" s="74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</row>
    <row r="665">
      <c r="A665" s="70"/>
      <c r="D665" s="70"/>
      <c r="N665" s="70"/>
      <c r="W665" s="71"/>
      <c r="X665" s="70"/>
      <c r="AF665" s="72"/>
      <c r="AG665" s="73"/>
      <c r="AH665" s="72"/>
      <c r="AI665" s="72"/>
      <c r="AJ665" s="72"/>
      <c r="AK665" s="72"/>
      <c r="AL665" s="72"/>
      <c r="AM665" s="73"/>
      <c r="AN665" s="74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</row>
    <row r="666">
      <c r="A666" s="70"/>
      <c r="D666" s="70"/>
      <c r="N666" s="70"/>
      <c r="W666" s="71"/>
      <c r="X666" s="70"/>
      <c r="AF666" s="72"/>
      <c r="AG666" s="73"/>
      <c r="AH666" s="72"/>
      <c r="AI666" s="72"/>
      <c r="AJ666" s="72"/>
      <c r="AK666" s="72"/>
      <c r="AL666" s="72"/>
      <c r="AM666" s="73"/>
      <c r="AN666" s="74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</row>
    <row r="667">
      <c r="A667" s="70"/>
      <c r="D667" s="70"/>
      <c r="N667" s="70"/>
      <c r="W667" s="71"/>
      <c r="X667" s="70"/>
      <c r="AF667" s="72"/>
      <c r="AG667" s="73"/>
      <c r="AH667" s="72"/>
      <c r="AI667" s="72"/>
      <c r="AJ667" s="72"/>
      <c r="AK667" s="72"/>
      <c r="AL667" s="72"/>
      <c r="AM667" s="73"/>
      <c r="AN667" s="74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</row>
    <row r="668">
      <c r="A668" s="70"/>
      <c r="D668" s="70"/>
      <c r="N668" s="70"/>
      <c r="W668" s="71"/>
      <c r="X668" s="70"/>
      <c r="AF668" s="72"/>
      <c r="AG668" s="73"/>
      <c r="AH668" s="72"/>
      <c r="AI668" s="72"/>
      <c r="AJ668" s="72"/>
      <c r="AK668" s="72"/>
      <c r="AL668" s="72"/>
      <c r="AM668" s="73"/>
      <c r="AN668" s="74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</row>
    <row r="669">
      <c r="A669" s="70"/>
      <c r="D669" s="70"/>
      <c r="N669" s="70"/>
      <c r="W669" s="71"/>
      <c r="X669" s="70"/>
      <c r="AF669" s="72"/>
      <c r="AG669" s="73"/>
      <c r="AH669" s="72"/>
      <c r="AI669" s="72"/>
      <c r="AJ669" s="72"/>
      <c r="AK669" s="72"/>
      <c r="AL669" s="72"/>
      <c r="AM669" s="73"/>
      <c r="AN669" s="74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</row>
    <row r="670">
      <c r="A670" s="70"/>
      <c r="D670" s="70"/>
      <c r="N670" s="70"/>
      <c r="W670" s="71"/>
      <c r="X670" s="70"/>
      <c r="AF670" s="72"/>
      <c r="AG670" s="73"/>
      <c r="AH670" s="72"/>
      <c r="AI670" s="72"/>
      <c r="AJ670" s="72"/>
      <c r="AK670" s="72"/>
      <c r="AL670" s="72"/>
      <c r="AM670" s="73"/>
      <c r="AN670" s="74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</row>
    <row r="671">
      <c r="A671" s="70"/>
      <c r="D671" s="70"/>
      <c r="N671" s="70"/>
      <c r="W671" s="71"/>
      <c r="X671" s="70"/>
      <c r="AF671" s="72"/>
      <c r="AG671" s="73"/>
      <c r="AH671" s="72"/>
      <c r="AI671" s="72"/>
      <c r="AJ671" s="72"/>
      <c r="AK671" s="72"/>
      <c r="AL671" s="72"/>
      <c r="AM671" s="73"/>
      <c r="AN671" s="74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</row>
    <row r="672">
      <c r="A672" s="70"/>
      <c r="D672" s="70"/>
      <c r="N672" s="70"/>
      <c r="W672" s="71"/>
      <c r="X672" s="70"/>
      <c r="AF672" s="72"/>
      <c r="AG672" s="73"/>
      <c r="AH672" s="72"/>
      <c r="AI672" s="72"/>
      <c r="AJ672" s="72"/>
      <c r="AK672" s="72"/>
      <c r="AL672" s="72"/>
      <c r="AM672" s="73"/>
      <c r="AN672" s="74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</row>
    <row r="673">
      <c r="A673" s="70"/>
      <c r="D673" s="70"/>
      <c r="N673" s="70"/>
      <c r="W673" s="71"/>
      <c r="X673" s="70"/>
      <c r="AF673" s="72"/>
      <c r="AG673" s="73"/>
      <c r="AH673" s="72"/>
      <c r="AI673" s="72"/>
      <c r="AJ673" s="72"/>
      <c r="AK673" s="72"/>
      <c r="AL673" s="72"/>
      <c r="AM673" s="73"/>
      <c r="AN673" s="74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</row>
    <row r="674">
      <c r="A674" s="70"/>
      <c r="D674" s="70"/>
      <c r="N674" s="70"/>
      <c r="W674" s="71"/>
      <c r="X674" s="70"/>
      <c r="AF674" s="72"/>
      <c r="AG674" s="73"/>
      <c r="AH674" s="72"/>
      <c r="AI674" s="72"/>
      <c r="AJ674" s="72"/>
      <c r="AK674" s="72"/>
      <c r="AL674" s="72"/>
      <c r="AM674" s="73"/>
      <c r="AN674" s="74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</row>
    <row r="675">
      <c r="A675" s="70"/>
      <c r="D675" s="70"/>
      <c r="N675" s="70"/>
      <c r="W675" s="71"/>
      <c r="X675" s="70"/>
      <c r="AF675" s="72"/>
      <c r="AG675" s="73"/>
      <c r="AH675" s="72"/>
      <c r="AI675" s="72"/>
      <c r="AJ675" s="72"/>
      <c r="AK675" s="72"/>
      <c r="AL675" s="72"/>
      <c r="AM675" s="73"/>
      <c r="AN675" s="74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</row>
    <row r="676">
      <c r="A676" s="70"/>
      <c r="D676" s="70"/>
      <c r="N676" s="70"/>
      <c r="W676" s="71"/>
      <c r="X676" s="70"/>
      <c r="AF676" s="72"/>
      <c r="AG676" s="73"/>
      <c r="AH676" s="72"/>
      <c r="AI676" s="72"/>
      <c r="AJ676" s="72"/>
      <c r="AK676" s="72"/>
      <c r="AL676" s="72"/>
      <c r="AM676" s="73"/>
      <c r="AN676" s="74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</row>
    <row r="677">
      <c r="A677" s="70"/>
      <c r="D677" s="70"/>
      <c r="N677" s="70"/>
      <c r="W677" s="71"/>
      <c r="X677" s="70"/>
      <c r="AF677" s="72"/>
      <c r="AG677" s="73"/>
      <c r="AH677" s="72"/>
      <c r="AI677" s="72"/>
      <c r="AJ677" s="72"/>
      <c r="AK677" s="72"/>
      <c r="AL677" s="72"/>
      <c r="AM677" s="73"/>
      <c r="AN677" s="74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</row>
    <row r="678">
      <c r="A678" s="70"/>
      <c r="D678" s="70"/>
      <c r="N678" s="70"/>
      <c r="W678" s="71"/>
      <c r="X678" s="70"/>
      <c r="AF678" s="72"/>
      <c r="AG678" s="73"/>
      <c r="AH678" s="72"/>
      <c r="AI678" s="72"/>
      <c r="AJ678" s="72"/>
      <c r="AK678" s="72"/>
      <c r="AL678" s="72"/>
      <c r="AM678" s="73"/>
      <c r="AN678" s="74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</row>
    <row r="679">
      <c r="A679" s="70"/>
      <c r="D679" s="70"/>
      <c r="N679" s="70"/>
      <c r="W679" s="71"/>
      <c r="X679" s="70"/>
      <c r="AF679" s="72"/>
      <c r="AG679" s="73"/>
      <c r="AH679" s="72"/>
      <c r="AI679" s="72"/>
      <c r="AJ679" s="72"/>
      <c r="AK679" s="72"/>
      <c r="AL679" s="72"/>
      <c r="AM679" s="73"/>
      <c r="AN679" s="74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</row>
    <row r="680">
      <c r="A680" s="70"/>
      <c r="D680" s="70"/>
      <c r="N680" s="70"/>
      <c r="W680" s="71"/>
      <c r="X680" s="70"/>
      <c r="AF680" s="72"/>
      <c r="AG680" s="73"/>
      <c r="AH680" s="72"/>
      <c r="AI680" s="72"/>
      <c r="AJ680" s="72"/>
      <c r="AK680" s="72"/>
      <c r="AL680" s="72"/>
      <c r="AM680" s="73"/>
      <c r="AN680" s="74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</row>
    <row r="681">
      <c r="A681" s="70"/>
      <c r="D681" s="70"/>
      <c r="N681" s="70"/>
      <c r="W681" s="71"/>
      <c r="X681" s="70"/>
      <c r="AF681" s="72"/>
      <c r="AG681" s="73"/>
      <c r="AH681" s="72"/>
      <c r="AI681" s="72"/>
      <c r="AJ681" s="72"/>
      <c r="AK681" s="72"/>
      <c r="AL681" s="72"/>
      <c r="AM681" s="73"/>
      <c r="AN681" s="74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</row>
    <row r="682">
      <c r="A682" s="70"/>
      <c r="D682" s="70"/>
      <c r="N682" s="70"/>
      <c r="W682" s="71"/>
      <c r="X682" s="70"/>
      <c r="AF682" s="72"/>
      <c r="AG682" s="73"/>
      <c r="AH682" s="72"/>
      <c r="AI682" s="72"/>
      <c r="AJ682" s="72"/>
      <c r="AK682" s="72"/>
      <c r="AL682" s="72"/>
      <c r="AM682" s="73"/>
      <c r="AN682" s="74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</row>
    <row r="683">
      <c r="A683" s="70"/>
      <c r="D683" s="70"/>
      <c r="N683" s="70"/>
      <c r="W683" s="71"/>
      <c r="X683" s="70"/>
      <c r="AF683" s="72"/>
      <c r="AG683" s="73"/>
      <c r="AH683" s="72"/>
      <c r="AI683" s="72"/>
      <c r="AJ683" s="72"/>
      <c r="AK683" s="72"/>
      <c r="AL683" s="72"/>
      <c r="AM683" s="73"/>
      <c r="AN683" s="74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</row>
    <row r="684">
      <c r="A684" s="70"/>
      <c r="D684" s="70"/>
      <c r="N684" s="70"/>
      <c r="W684" s="71"/>
      <c r="X684" s="70"/>
      <c r="AF684" s="72"/>
      <c r="AG684" s="73"/>
      <c r="AH684" s="72"/>
      <c r="AI684" s="72"/>
      <c r="AJ684" s="72"/>
      <c r="AK684" s="72"/>
      <c r="AL684" s="72"/>
      <c r="AM684" s="73"/>
      <c r="AN684" s="74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</row>
    <row r="685">
      <c r="A685" s="70"/>
      <c r="D685" s="70"/>
      <c r="N685" s="70"/>
      <c r="W685" s="71"/>
      <c r="X685" s="70"/>
      <c r="AF685" s="72"/>
      <c r="AG685" s="73"/>
      <c r="AH685" s="72"/>
      <c r="AI685" s="72"/>
      <c r="AJ685" s="72"/>
      <c r="AK685" s="72"/>
      <c r="AL685" s="72"/>
      <c r="AM685" s="73"/>
      <c r="AN685" s="74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</row>
    <row r="686">
      <c r="A686" s="70"/>
      <c r="D686" s="70"/>
      <c r="N686" s="70"/>
      <c r="W686" s="71"/>
      <c r="X686" s="70"/>
      <c r="AF686" s="72"/>
      <c r="AG686" s="73"/>
      <c r="AH686" s="72"/>
      <c r="AI686" s="72"/>
      <c r="AJ686" s="72"/>
      <c r="AK686" s="72"/>
      <c r="AL686" s="72"/>
      <c r="AM686" s="73"/>
      <c r="AN686" s="74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</row>
    <row r="687">
      <c r="A687" s="70"/>
      <c r="D687" s="70"/>
      <c r="N687" s="70"/>
      <c r="W687" s="71"/>
      <c r="X687" s="70"/>
      <c r="AF687" s="72"/>
      <c r="AG687" s="73"/>
      <c r="AH687" s="72"/>
      <c r="AI687" s="72"/>
      <c r="AJ687" s="72"/>
      <c r="AK687" s="72"/>
      <c r="AL687" s="72"/>
      <c r="AM687" s="73"/>
      <c r="AN687" s="74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</row>
    <row r="688">
      <c r="A688" s="70"/>
      <c r="D688" s="70"/>
      <c r="N688" s="70"/>
      <c r="W688" s="71"/>
      <c r="X688" s="70"/>
      <c r="AF688" s="72"/>
      <c r="AG688" s="73"/>
      <c r="AH688" s="72"/>
      <c r="AI688" s="72"/>
      <c r="AJ688" s="72"/>
      <c r="AK688" s="72"/>
      <c r="AL688" s="72"/>
      <c r="AM688" s="73"/>
      <c r="AN688" s="74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</row>
    <row r="689">
      <c r="A689" s="70"/>
      <c r="D689" s="70"/>
      <c r="N689" s="70"/>
      <c r="W689" s="71"/>
      <c r="X689" s="70"/>
      <c r="AF689" s="72"/>
      <c r="AG689" s="73"/>
      <c r="AH689" s="72"/>
      <c r="AI689" s="72"/>
      <c r="AJ689" s="72"/>
      <c r="AK689" s="72"/>
      <c r="AL689" s="72"/>
      <c r="AM689" s="73"/>
      <c r="AN689" s="74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</row>
    <row r="690">
      <c r="A690" s="70"/>
      <c r="D690" s="70"/>
      <c r="N690" s="70"/>
      <c r="W690" s="71"/>
      <c r="X690" s="70"/>
      <c r="AF690" s="72"/>
      <c r="AG690" s="73"/>
      <c r="AH690" s="72"/>
      <c r="AI690" s="72"/>
      <c r="AJ690" s="72"/>
      <c r="AK690" s="72"/>
      <c r="AL690" s="72"/>
      <c r="AM690" s="73"/>
      <c r="AN690" s="74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</row>
    <row r="691">
      <c r="A691" s="70"/>
      <c r="D691" s="70"/>
      <c r="N691" s="70"/>
      <c r="W691" s="71"/>
      <c r="X691" s="70"/>
      <c r="AF691" s="72"/>
      <c r="AG691" s="73"/>
      <c r="AH691" s="72"/>
      <c r="AI691" s="72"/>
      <c r="AJ691" s="72"/>
      <c r="AK691" s="72"/>
      <c r="AL691" s="72"/>
      <c r="AM691" s="73"/>
      <c r="AN691" s="74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</row>
    <row r="692">
      <c r="A692" s="70"/>
      <c r="D692" s="70"/>
      <c r="N692" s="70"/>
      <c r="W692" s="71"/>
      <c r="X692" s="70"/>
      <c r="AF692" s="72"/>
      <c r="AG692" s="73"/>
      <c r="AH692" s="72"/>
      <c r="AI692" s="72"/>
      <c r="AJ692" s="72"/>
      <c r="AK692" s="72"/>
      <c r="AL692" s="72"/>
      <c r="AM692" s="73"/>
      <c r="AN692" s="74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</row>
    <row r="693">
      <c r="A693" s="70"/>
      <c r="D693" s="70"/>
      <c r="N693" s="70"/>
      <c r="W693" s="71"/>
      <c r="X693" s="70"/>
      <c r="AF693" s="72"/>
      <c r="AG693" s="73"/>
      <c r="AH693" s="72"/>
      <c r="AI693" s="72"/>
      <c r="AJ693" s="72"/>
      <c r="AK693" s="72"/>
      <c r="AL693" s="72"/>
      <c r="AM693" s="73"/>
      <c r="AN693" s="74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</row>
    <row r="694">
      <c r="A694" s="70"/>
      <c r="D694" s="70"/>
      <c r="N694" s="70"/>
      <c r="W694" s="71"/>
      <c r="X694" s="70"/>
      <c r="AF694" s="72"/>
      <c r="AG694" s="73"/>
      <c r="AH694" s="72"/>
      <c r="AI694" s="72"/>
      <c r="AJ694" s="72"/>
      <c r="AK694" s="72"/>
      <c r="AL694" s="72"/>
      <c r="AM694" s="73"/>
      <c r="AN694" s="74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</row>
    <row r="695">
      <c r="A695" s="70"/>
      <c r="D695" s="70"/>
      <c r="N695" s="70"/>
      <c r="W695" s="71"/>
      <c r="X695" s="70"/>
      <c r="AF695" s="72"/>
      <c r="AG695" s="73"/>
      <c r="AH695" s="72"/>
      <c r="AI695" s="72"/>
      <c r="AJ695" s="72"/>
      <c r="AK695" s="72"/>
      <c r="AL695" s="72"/>
      <c r="AM695" s="73"/>
      <c r="AN695" s="74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</row>
    <row r="696">
      <c r="A696" s="70"/>
      <c r="D696" s="70"/>
      <c r="N696" s="70"/>
      <c r="W696" s="71"/>
      <c r="X696" s="70"/>
      <c r="AF696" s="72"/>
      <c r="AG696" s="73"/>
      <c r="AH696" s="72"/>
      <c r="AI696" s="72"/>
      <c r="AJ696" s="72"/>
      <c r="AK696" s="72"/>
      <c r="AL696" s="72"/>
      <c r="AM696" s="73"/>
      <c r="AN696" s="74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</row>
    <row r="697">
      <c r="A697" s="70"/>
      <c r="D697" s="70"/>
      <c r="N697" s="70"/>
      <c r="W697" s="71"/>
      <c r="X697" s="70"/>
      <c r="AF697" s="72"/>
      <c r="AG697" s="73"/>
      <c r="AH697" s="72"/>
      <c r="AI697" s="72"/>
      <c r="AJ697" s="72"/>
      <c r="AK697" s="72"/>
      <c r="AL697" s="72"/>
      <c r="AM697" s="73"/>
      <c r="AN697" s="74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</row>
    <row r="698">
      <c r="A698" s="70"/>
      <c r="D698" s="70"/>
      <c r="N698" s="70"/>
      <c r="W698" s="71"/>
      <c r="X698" s="70"/>
      <c r="AF698" s="72"/>
      <c r="AG698" s="73"/>
      <c r="AH698" s="72"/>
      <c r="AI698" s="72"/>
      <c r="AJ698" s="72"/>
      <c r="AK698" s="72"/>
      <c r="AL698" s="72"/>
      <c r="AM698" s="73"/>
      <c r="AN698" s="74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</row>
    <row r="699">
      <c r="A699" s="70"/>
      <c r="D699" s="70"/>
      <c r="N699" s="70"/>
      <c r="W699" s="71"/>
      <c r="X699" s="70"/>
      <c r="AF699" s="72"/>
      <c r="AG699" s="73"/>
      <c r="AH699" s="72"/>
      <c r="AI699" s="72"/>
      <c r="AJ699" s="72"/>
      <c r="AK699" s="72"/>
      <c r="AL699" s="72"/>
      <c r="AM699" s="73"/>
      <c r="AN699" s="74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</row>
    <row r="700">
      <c r="A700" s="70"/>
      <c r="D700" s="70"/>
      <c r="N700" s="70"/>
      <c r="W700" s="71"/>
      <c r="X700" s="70"/>
      <c r="AF700" s="72"/>
      <c r="AG700" s="73"/>
      <c r="AH700" s="72"/>
      <c r="AI700" s="72"/>
      <c r="AJ700" s="72"/>
      <c r="AK700" s="72"/>
      <c r="AL700" s="72"/>
      <c r="AM700" s="73"/>
      <c r="AN700" s="74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</row>
    <row r="701">
      <c r="A701" s="70"/>
      <c r="D701" s="70"/>
      <c r="N701" s="70"/>
      <c r="W701" s="71"/>
      <c r="X701" s="70"/>
      <c r="AF701" s="72"/>
      <c r="AG701" s="73"/>
      <c r="AH701" s="72"/>
      <c r="AI701" s="72"/>
      <c r="AJ701" s="72"/>
      <c r="AK701" s="72"/>
      <c r="AL701" s="72"/>
      <c r="AM701" s="73"/>
      <c r="AN701" s="74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</row>
    <row r="702">
      <c r="A702" s="70"/>
      <c r="D702" s="70"/>
      <c r="N702" s="70"/>
      <c r="W702" s="71"/>
      <c r="X702" s="70"/>
      <c r="AF702" s="72"/>
      <c r="AG702" s="73"/>
      <c r="AH702" s="72"/>
      <c r="AI702" s="72"/>
      <c r="AJ702" s="72"/>
      <c r="AK702" s="72"/>
      <c r="AL702" s="72"/>
      <c r="AM702" s="73"/>
      <c r="AN702" s="74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</row>
    <row r="703">
      <c r="A703" s="70"/>
      <c r="D703" s="70"/>
      <c r="N703" s="70"/>
      <c r="W703" s="71"/>
      <c r="X703" s="70"/>
      <c r="AF703" s="72"/>
      <c r="AG703" s="73"/>
      <c r="AH703" s="72"/>
      <c r="AI703" s="72"/>
      <c r="AJ703" s="72"/>
      <c r="AK703" s="72"/>
      <c r="AL703" s="72"/>
      <c r="AM703" s="73"/>
      <c r="AN703" s="74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</row>
    <row r="704">
      <c r="A704" s="70"/>
      <c r="D704" s="70"/>
      <c r="N704" s="70"/>
      <c r="W704" s="71"/>
      <c r="X704" s="70"/>
      <c r="AF704" s="72"/>
      <c r="AG704" s="73"/>
      <c r="AH704" s="72"/>
      <c r="AI704" s="72"/>
      <c r="AJ704" s="72"/>
      <c r="AK704" s="72"/>
      <c r="AL704" s="72"/>
      <c r="AM704" s="73"/>
      <c r="AN704" s="74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</row>
    <row r="705">
      <c r="A705" s="70"/>
      <c r="D705" s="70"/>
      <c r="N705" s="70"/>
      <c r="W705" s="71"/>
      <c r="X705" s="70"/>
      <c r="AF705" s="72"/>
      <c r="AG705" s="73"/>
      <c r="AH705" s="72"/>
      <c r="AI705" s="72"/>
      <c r="AJ705" s="72"/>
      <c r="AK705" s="72"/>
      <c r="AL705" s="72"/>
      <c r="AM705" s="73"/>
      <c r="AN705" s="74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</row>
    <row r="706">
      <c r="A706" s="70"/>
      <c r="D706" s="70"/>
      <c r="N706" s="70"/>
      <c r="W706" s="71"/>
      <c r="X706" s="70"/>
      <c r="AF706" s="72"/>
      <c r="AG706" s="73"/>
      <c r="AH706" s="72"/>
      <c r="AI706" s="72"/>
      <c r="AJ706" s="72"/>
      <c r="AK706" s="72"/>
      <c r="AL706" s="72"/>
      <c r="AM706" s="73"/>
      <c r="AN706" s="74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</row>
    <row r="707">
      <c r="A707" s="70"/>
      <c r="D707" s="70"/>
      <c r="N707" s="70"/>
      <c r="W707" s="71"/>
      <c r="X707" s="70"/>
      <c r="AF707" s="72"/>
      <c r="AG707" s="73"/>
      <c r="AH707" s="72"/>
      <c r="AI707" s="72"/>
      <c r="AJ707" s="72"/>
      <c r="AK707" s="72"/>
      <c r="AL707" s="72"/>
      <c r="AM707" s="73"/>
      <c r="AN707" s="74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</row>
    <row r="708">
      <c r="A708" s="70"/>
      <c r="D708" s="70"/>
      <c r="N708" s="70"/>
      <c r="W708" s="71"/>
      <c r="X708" s="70"/>
      <c r="AF708" s="72"/>
      <c r="AG708" s="73"/>
      <c r="AH708" s="72"/>
      <c r="AI708" s="72"/>
      <c r="AJ708" s="72"/>
      <c r="AK708" s="72"/>
      <c r="AL708" s="72"/>
      <c r="AM708" s="73"/>
      <c r="AN708" s="74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</row>
    <row r="709">
      <c r="A709" s="70"/>
      <c r="D709" s="70"/>
      <c r="N709" s="70"/>
      <c r="W709" s="71"/>
      <c r="X709" s="70"/>
      <c r="AF709" s="72"/>
      <c r="AG709" s="73"/>
      <c r="AH709" s="72"/>
      <c r="AI709" s="72"/>
      <c r="AJ709" s="72"/>
      <c r="AK709" s="72"/>
      <c r="AL709" s="72"/>
      <c r="AM709" s="73"/>
      <c r="AN709" s="74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</row>
    <row r="710">
      <c r="A710" s="70"/>
      <c r="D710" s="70"/>
      <c r="N710" s="70"/>
      <c r="W710" s="71"/>
      <c r="X710" s="70"/>
      <c r="AF710" s="72"/>
      <c r="AG710" s="73"/>
      <c r="AH710" s="72"/>
      <c r="AI710" s="72"/>
      <c r="AJ710" s="72"/>
      <c r="AK710" s="72"/>
      <c r="AL710" s="72"/>
      <c r="AM710" s="73"/>
      <c r="AN710" s="74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</row>
    <row r="711">
      <c r="A711" s="70"/>
      <c r="D711" s="70"/>
      <c r="N711" s="70"/>
      <c r="W711" s="71"/>
      <c r="X711" s="70"/>
      <c r="AF711" s="72"/>
      <c r="AG711" s="73"/>
      <c r="AH711" s="72"/>
      <c r="AI711" s="72"/>
      <c r="AJ711" s="72"/>
      <c r="AK711" s="72"/>
      <c r="AL711" s="72"/>
      <c r="AM711" s="73"/>
      <c r="AN711" s="74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</row>
    <row r="712">
      <c r="A712" s="70"/>
      <c r="D712" s="70"/>
      <c r="N712" s="70"/>
      <c r="W712" s="71"/>
      <c r="X712" s="70"/>
      <c r="AF712" s="72"/>
      <c r="AG712" s="73"/>
      <c r="AH712" s="72"/>
      <c r="AI712" s="72"/>
      <c r="AJ712" s="72"/>
      <c r="AK712" s="72"/>
      <c r="AL712" s="72"/>
      <c r="AM712" s="73"/>
      <c r="AN712" s="74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</row>
    <row r="713">
      <c r="A713" s="70"/>
      <c r="D713" s="70"/>
      <c r="N713" s="70"/>
      <c r="W713" s="71"/>
      <c r="X713" s="70"/>
      <c r="AF713" s="72"/>
      <c r="AG713" s="73"/>
      <c r="AH713" s="72"/>
      <c r="AI713" s="72"/>
      <c r="AJ713" s="72"/>
      <c r="AK713" s="72"/>
      <c r="AL713" s="72"/>
      <c r="AM713" s="73"/>
      <c r="AN713" s="74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</row>
    <row r="714">
      <c r="A714" s="70"/>
      <c r="D714" s="70"/>
      <c r="N714" s="70"/>
      <c r="W714" s="71"/>
      <c r="X714" s="70"/>
      <c r="AF714" s="72"/>
      <c r="AG714" s="73"/>
      <c r="AH714" s="72"/>
      <c r="AI714" s="72"/>
      <c r="AJ714" s="72"/>
      <c r="AK714" s="72"/>
      <c r="AL714" s="72"/>
      <c r="AM714" s="73"/>
      <c r="AN714" s="74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</row>
    <row r="715">
      <c r="A715" s="70"/>
      <c r="D715" s="70"/>
      <c r="N715" s="70"/>
      <c r="W715" s="71"/>
      <c r="X715" s="70"/>
      <c r="AF715" s="72"/>
      <c r="AG715" s="73"/>
      <c r="AH715" s="72"/>
      <c r="AI715" s="72"/>
      <c r="AJ715" s="72"/>
      <c r="AK715" s="72"/>
      <c r="AL715" s="72"/>
      <c r="AM715" s="73"/>
      <c r="AN715" s="74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</row>
    <row r="716">
      <c r="A716" s="70"/>
      <c r="D716" s="70"/>
      <c r="N716" s="70"/>
      <c r="W716" s="71"/>
      <c r="X716" s="70"/>
      <c r="AF716" s="72"/>
      <c r="AG716" s="73"/>
      <c r="AH716" s="72"/>
      <c r="AI716" s="72"/>
      <c r="AJ716" s="72"/>
      <c r="AK716" s="72"/>
      <c r="AL716" s="72"/>
      <c r="AM716" s="73"/>
      <c r="AN716" s="74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</row>
    <row r="717">
      <c r="A717" s="70"/>
      <c r="D717" s="70"/>
      <c r="N717" s="70"/>
      <c r="W717" s="71"/>
      <c r="X717" s="70"/>
      <c r="AF717" s="72"/>
      <c r="AG717" s="73"/>
      <c r="AH717" s="72"/>
      <c r="AI717" s="72"/>
      <c r="AJ717" s="72"/>
      <c r="AK717" s="72"/>
      <c r="AL717" s="72"/>
      <c r="AM717" s="73"/>
      <c r="AN717" s="74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</row>
    <row r="718">
      <c r="A718" s="70"/>
      <c r="D718" s="70"/>
      <c r="N718" s="70"/>
      <c r="W718" s="71"/>
      <c r="X718" s="70"/>
      <c r="AF718" s="72"/>
      <c r="AG718" s="73"/>
      <c r="AH718" s="72"/>
      <c r="AI718" s="72"/>
      <c r="AJ718" s="72"/>
      <c r="AK718" s="72"/>
      <c r="AL718" s="72"/>
      <c r="AM718" s="73"/>
      <c r="AN718" s="74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</row>
    <row r="719">
      <c r="A719" s="70"/>
      <c r="D719" s="70"/>
      <c r="N719" s="70"/>
      <c r="W719" s="71"/>
      <c r="X719" s="70"/>
      <c r="AF719" s="72"/>
      <c r="AG719" s="73"/>
      <c r="AH719" s="72"/>
      <c r="AI719" s="72"/>
      <c r="AJ719" s="72"/>
      <c r="AK719" s="72"/>
      <c r="AL719" s="72"/>
      <c r="AM719" s="73"/>
      <c r="AN719" s="74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</row>
    <row r="720">
      <c r="A720" s="70"/>
      <c r="D720" s="70"/>
      <c r="N720" s="70"/>
      <c r="W720" s="71"/>
      <c r="X720" s="70"/>
      <c r="AF720" s="72"/>
      <c r="AG720" s="73"/>
      <c r="AH720" s="72"/>
      <c r="AI720" s="72"/>
      <c r="AJ720" s="72"/>
      <c r="AK720" s="72"/>
      <c r="AL720" s="72"/>
      <c r="AM720" s="73"/>
      <c r="AN720" s="74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</row>
    <row r="721">
      <c r="A721" s="70"/>
      <c r="D721" s="70"/>
      <c r="N721" s="70"/>
      <c r="W721" s="71"/>
      <c r="X721" s="70"/>
      <c r="AF721" s="72"/>
      <c r="AG721" s="73"/>
      <c r="AH721" s="72"/>
      <c r="AI721" s="72"/>
      <c r="AJ721" s="72"/>
      <c r="AK721" s="72"/>
      <c r="AL721" s="72"/>
      <c r="AM721" s="73"/>
      <c r="AN721" s="74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</row>
    <row r="722">
      <c r="A722" s="70"/>
      <c r="D722" s="70"/>
      <c r="N722" s="70"/>
      <c r="W722" s="71"/>
      <c r="X722" s="70"/>
      <c r="AF722" s="72"/>
      <c r="AG722" s="73"/>
      <c r="AH722" s="72"/>
      <c r="AI722" s="72"/>
      <c r="AJ722" s="72"/>
      <c r="AK722" s="72"/>
      <c r="AL722" s="72"/>
      <c r="AM722" s="73"/>
      <c r="AN722" s="74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</row>
    <row r="723">
      <c r="A723" s="70"/>
      <c r="D723" s="70"/>
      <c r="N723" s="70"/>
      <c r="W723" s="71"/>
      <c r="X723" s="70"/>
      <c r="AF723" s="72"/>
      <c r="AG723" s="73"/>
      <c r="AH723" s="72"/>
      <c r="AI723" s="72"/>
      <c r="AJ723" s="72"/>
      <c r="AK723" s="72"/>
      <c r="AL723" s="72"/>
      <c r="AM723" s="73"/>
      <c r="AN723" s="74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</row>
    <row r="724">
      <c r="A724" s="70"/>
      <c r="D724" s="70"/>
      <c r="N724" s="70"/>
      <c r="W724" s="71"/>
      <c r="X724" s="70"/>
      <c r="AF724" s="72"/>
      <c r="AG724" s="73"/>
      <c r="AH724" s="72"/>
      <c r="AI724" s="72"/>
      <c r="AJ724" s="72"/>
      <c r="AK724" s="72"/>
      <c r="AL724" s="72"/>
      <c r="AM724" s="73"/>
      <c r="AN724" s="74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</row>
    <row r="725">
      <c r="A725" s="70"/>
      <c r="D725" s="70"/>
      <c r="N725" s="70"/>
      <c r="W725" s="71"/>
      <c r="X725" s="70"/>
      <c r="AF725" s="72"/>
      <c r="AG725" s="73"/>
      <c r="AH725" s="72"/>
      <c r="AI725" s="72"/>
      <c r="AJ725" s="72"/>
      <c r="AK725" s="72"/>
      <c r="AL725" s="72"/>
      <c r="AM725" s="73"/>
      <c r="AN725" s="74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</row>
    <row r="726">
      <c r="A726" s="70"/>
      <c r="D726" s="70"/>
      <c r="N726" s="70"/>
      <c r="W726" s="71"/>
      <c r="X726" s="70"/>
      <c r="AF726" s="72"/>
      <c r="AG726" s="73"/>
      <c r="AH726" s="72"/>
      <c r="AI726" s="72"/>
      <c r="AJ726" s="72"/>
      <c r="AK726" s="72"/>
      <c r="AL726" s="72"/>
      <c r="AM726" s="73"/>
      <c r="AN726" s="74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</row>
    <row r="727">
      <c r="A727" s="70"/>
      <c r="D727" s="70"/>
      <c r="N727" s="70"/>
      <c r="W727" s="71"/>
      <c r="X727" s="70"/>
      <c r="AF727" s="72"/>
      <c r="AG727" s="73"/>
      <c r="AH727" s="72"/>
      <c r="AI727" s="72"/>
      <c r="AJ727" s="72"/>
      <c r="AK727" s="72"/>
      <c r="AL727" s="72"/>
      <c r="AM727" s="73"/>
      <c r="AN727" s="74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</row>
    <row r="728">
      <c r="A728" s="70"/>
      <c r="D728" s="70"/>
      <c r="N728" s="70"/>
      <c r="W728" s="71"/>
      <c r="X728" s="70"/>
      <c r="AF728" s="72"/>
      <c r="AG728" s="73"/>
      <c r="AH728" s="72"/>
      <c r="AI728" s="72"/>
      <c r="AJ728" s="72"/>
      <c r="AK728" s="72"/>
      <c r="AL728" s="72"/>
      <c r="AM728" s="73"/>
      <c r="AN728" s="74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</row>
    <row r="729">
      <c r="A729" s="70"/>
      <c r="D729" s="70"/>
      <c r="N729" s="70"/>
      <c r="W729" s="71"/>
      <c r="X729" s="70"/>
      <c r="AF729" s="72"/>
      <c r="AG729" s="73"/>
      <c r="AH729" s="72"/>
      <c r="AI729" s="72"/>
      <c r="AJ729" s="72"/>
      <c r="AK729" s="72"/>
      <c r="AL729" s="72"/>
      <c r="AM729" s="73"/>
      <c r="AN729" s="74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</row>
    <row r="730">
      <c r="A730" s="70"/>
      <c r="D730" s="70"/>
      <c r="N730" s="70"/>
      <c r="W730" s="71"/>
      <c r="X730" s="70"/>
      <c r="AF730" s="72"/>
      <c r="AG730" s="73"/>
      <c r="AH730" s="72"/>
      <c r="AI730" s="72"/>
      <c r="AJ730" s="72"/>
      <c r="AK730" s="72"/>
      <c r="AL730" s="72"/>
      <c r="AM730" s="73"/>
      <c r="AN730" s="74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</row>
    <row r="731">
      <c r="A731" s="70"/>
      <c r="D731" s="70"/>
      <c r="N731" s="70"/>
      <c r="W731" s="71"/>
      <c r="X731" s="70"/>
      <c r="AF731" s="72"/>
      <c r="AG731" s="73"/>
      <c r="AH731" s="72"/>
      <c r="AI731" s="72"/>
      <c r="AJ731" s="72"/>
      <c r="AK731" s="72"/>
      <c r="AL731" s="72"/>
      <c r="AM731" s="73"/>
      <c r="AN731" s="74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</row>
    <row r="732">
      <c r="A732" s="70"/>
      <c r="D732" s="70"/>
      <c r="N732" s="70"/>
      <c r="W732" s="71"/>
      <c r="X732" s="70"/>
      <c r="AF732" s="72"/>
      <c r="AG732" s="73"/>
      <c r="AH732" s="72"/>
      <c r="AI732" s="72"/>
      <c r="AJ732" s="72"/>
      <c r="AK732" s="72"/>
      <c r="AL732" s="72"/>
      <c r="AM732" s="73"/>
      <c r="AN732" s="74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</row>
    <row r="733">
      <c r="A733" s="70"/>
      <c r="D733" s="70"/>
      <c r="N733" s="70"/>
      <c r="W733" s="71"/>
      <c r="X733" s="70"/>
      <c r="AF733" s="72"/>
      <c r="AG733" s="73"/>
      <c r="AH733" s="72"/>
      <c r="AI733" s="72"/>
      <c r="AJ733" s="72"/>
      <c r="AK733" s="72"/>
      <c r="AL733" s="72"/>
      <c r="AM733" s="73"/>
      <c r="AN733" s="74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</row>
    <row r="734">
      <c r="A734" s="70"/>
      <c r="D734" s="70"/>
      <c r="N734" s="70"/>
      <c r="W734" s="71"/>
      <c r="X734" s="70"/>
      <c r="AF734" s="72"/>
      <c r="AG734" s="73"/>
      <c r="AH734" s="72"/>
      <c r="AI734" s="72"/>
      <c r="AJ734" s="72"/>
      <c r="AK734" s="72"/>
      <c r="AL734" s="72"/>
      <c r="AM734" s="73"/>
      <c r="AN734" s="74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</row>
    <row r="735">
      <c r="A735" s="70"/>
      <c r="D735" s="70"/>
      <c r="N735" s="70"/>
      <c r="W735" s="71"/>
      <c r="X735" s="70"/>
      <c r="AF735" s="72"/>
      <c r="AG735" s="73"/>
      <c r="AH735" s="72"/>
      <c r="AI735" s="72"/>
      <c r="AJ735" s="72"/>
      <c r="AK735" s="72"/>
      <c r="AL735" s="72"/>
      <c r="AM735" s="73"/>
      <c r="AN735" s="74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</row>
    <row r="736">
      <c r="A736" s="70"/>
      <c r="D736" s="70"/>
      <c r="N736" s="70"/>
      <c r="W736" s="71"/>
      <c r="X736" s="70"/>
      <c r="AF736" s="72"/>
      <c r="AG736" s="73"/>
      <c r="AH736" s="72"/>
      <c r="AI736" s="72"/>
      <c r="AJ736" s="72"/>
      <c r="AK736" s="72"/>
      <c r="AL736" s="72"/>
      <c r="AM736" s="73"/>
      <c r="AN736" s="74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</row>
    <row r="737">
      <c r="A737" s="70"/>
      <c r="D737" s="70"/>
      <c r="N737" s="70"/>
      <c r="W737" s="71"/>
      <c r="X737" s="70"/>
      <c r="AF737" s="72"/>
      <c r="AG737" s="73"/>
      <c r="AH737" s="72"/>
      <c r="AI737" s="72"/>
      <c r="AJ737" s="72"/>
      <c r="AK737" s="72"/>
      <c r="AL737" s="72"/>
      <c r="AM737" s="73"/>
      <c r="AN737" s="74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</row>
    <row r="738">
      <c r="A738" s="70"/>
      <c r="D738" s="70"/>
      <c r="N738" s="70"/>
      <c r="W738" s="71"/>
      <c r="X738" s="70"/>
      <c r="AF738" s="72"/>
      <c r="AG738" s="73"/>
      <c r="AH738" s="72"/>
      <c r="AI738" s="72"/>
      <c r="AJ738" s="72"/>
      <c r="AK738" s="72"/>
      <c r="AL738" s="72"/>
      <c r="AM738" s="73"/>
      <c r="AN738" s="74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</row>
    <row r="739">
      <c r="A739" s="70"/>
      <c r="D739" s="70"/>
      <c r="N739" s="70"/>
      <c r="W739" s="71"/>
      <c r="X739" s="70"/>
      <c r="AF739" s="72"/>
      <c r="AG739" s="73"/>
      <c r="AH739" s="72"/>
      <c r="AI739" s="72"/>
      <c r="AJ739" s="72"/>
      <c r="AK739" s="72"/>
      <c r="AL739" s="72"/>
      <c r="AM739" s="73"/>
      <c r="AN739" s="74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</row>
    <row r="740">
      <c r="A740" s="70"/>
      <c r="D740" s="70"/>
      <c r="N740" s="70"/>
      <c r="W740" s="71"/>
      <c r="X740" s="70"/>
      <c r="AF740" s="72"/>
      <c r="AG740" s="73"/>
      <c r="AH740" s="72"/>
      <c r="AI740" s="72"/>
      <c r="AJ740" s="72"/>
      <c r="AK740" s="72"/>
      <c r="AL740" s="72"/>
      <c r="AM740" s="73"/>
      <c r="AN740" s="74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</row>
    <row r="741">
      <c r="A741" s="70"/>
      <c r="D741" s="70"/>
      <c r="N741" s="70"/>
      <c r="W741" s="71"/>
      <c r="X741" s="70"/>
      <c r="AF741" s="72"/>
      <c r="AG741" s="73"/>
      <c r="AH741" s="72"/>
      <c r="AI741" s="72"/>
      <c r="AJ741" s="72"/>
      <c r="AK741" s="72"/>
      <c r="AL741" s="72"/>
      <c r="AM741" s="73"/>
      <c r="AN741" s="74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</row>
    <row r="742">
      <c r="A742" s="70"/>
      <c r="D742" s="70"/>
      <c r="N742" s="70"/>
      <c r="W742" s="71"/>
      <c r="X742" s="70"/>
      <c r="AF742" s="72"/>
      <c r="AG742" s="73"/>
      <c r="AH742" s="72"/>
      <c r="AI742" s="72"/>
      <c r="AJ742" s="72"/>
      <c r="AK742" s="72"/>
      <c r="AL742" s="72"/>
      <c r="AM742" s="73"/>
      <c r="AN742" s="74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</row>
    <row r="743">
      <c r="A743" s="70"/>
      <c r="D743" s="70"/>
      <c r="N743" s="70"/>
      <c r="W743" s="71"/>
      <c r="X743" s="70"/>
      <c r="AF743" s="72"/>
      <c r="AG743" s="73"/>
      <c r="AH743" s="72"/>
      <c r="AI743" s="72"/>
      <c r="AJ743" s="72"/>
      <c r="AK743" s="72"/>
      <c r="AL743" s="72"/>
      <c r="AM743" s="73"/>
      <c r="AN743" s="74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</row>
    <row r="744">
      <c r="A744" s="70"/>
      <c r="D744" s="70"/>
      <c r="N744" s="70"/>
      <c r="W744" s="71"/>
      <c r="X744" s="70"/>
      <c r="AF744" s="72"/>
      <c r="AG744" s="73"/>
      <c r="AH744" s="72"/>
      <c r="AI744" s="72"/>
      <c r="AJ744" s="72"/>
      <c r="AK744" s="72"/>
      <c r="AL744" s="72"/>
      <c r="AM744" s="73"/>
      <c r="AN744" s="74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</row>
    <row r="745">
      <c r="A745" s="70"/>
      <c r="D745" s="70"/>
      <c r="N745" s="70"/>
      <c r="W745" s="71"/>
      <c r="X745" s="70"/>
      <c r="AF745" s="72"/>
      <c r="AG745" s="73"/>
      <c r="AH745" s="72"/>
      <c r="AI745" s="72"/>
      <c r="AJ745" s="72"/>
      <c r="AK745" s="72"/>
      <c r="AL745" s="72"/>
      <c r="AM745" s="73"/>
      <c r="AN745" s="74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</row>
    <row r="746">
      <c r="A746" s="70"/>
      <c r="D746" s="70"/>
      <c r="N746" s="70"/>
      <c r="W746" s="71"/>
      <c r="X746" s="70"/>
      <c r="AF746" s="72"/>
      <c r="AG746" s="73"/>
      <c r="AH746" s="72"/>
      <c r="AI746" s="72"/>
      <c r="AJ746" s="72"/>
      <c r="AK746" s="72"/>
      <c r="AL746" s="72"/>
      <c r="AM746" s="73"/>
      <c r="AN746" s="74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</row>
    <row r="747">
      <c r="A747" s="70"/>
      <c r="D747" s="70"/>
      <c r="N747" s="70"/>
      <c r="W747" s="71"/>
      <c r="X747" s="70"/>
      <c r="AF747" s="72"/>
      <c r="AG747" s="73"/>
      <c r="AH747" s="72"/>
      <c r="AI747" s="72"/>
      <c r="AJ747" s="72"/>
      <c r="AK747" s="72"/>
      <c r="AL747" s="72"/>
      <c r="AM747" s="73"/>
      <c r="AN747" s="74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</row>
    <row r="748">
      <c r="A748" s="70"/>
      <c r="D748" s="70"/>
      <c r="N748" s="70"/>
      <c r="W748" s="71"/>
      <c r="X748" s="70"/>
      <c r="AF748" s="72"/>
      <c r="AG748" s="73"/>
      <c r="AH748" s="72"/>
      <c r="AI748" s="72"/>
      <c r="AJ748" s="72"/>
      <c r="AK748" s="72"/>
      <c r="AL748" s="72"/>
      <c r="AM748" s="73"/>
      <c r="AN748" s="74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</row>
    <row r="749">
      <c r="A749" s="70"/>
      <c r="D749" s="70"/>
      <c r="N749" s="70"/>
      <c r="W749" s="71"/>
      <c r="X749" s="70"/>
      <c r="AF749" s="72"/>
      <c r="AG749" s="73"/>
      <c r="AH749" s="72"/>
      <c r="AI749" s="72"/>
      <c r="AJ749" s="72"/>
      <c r="AK749" s="72"/>
      <c r="AL749" s="72"/>
      <c r="AM749" s="73"/>
      <c r="AN749" s="74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</row>
    <row r="750">
      <c r="A750" s="70"/>
      <c r="D750" s="70"/>
      <c r="N750" s="70"/>
      <c r="W750" s="71"/>
      <c r="X750" s="70"/>
      <c r="AF750" s="72"/>
      <c r="AG750" s="73"/>
      <c r="AH750" s="72"/>
      <c r="AI750" s="72"/>
      <c r="AJ750" s="72"/>
      <c r="AK750" s="72"/>
      <c r="AL750" s="72"/>
      <c r="AM750" s="73"/>
      <c r="AN750" s="74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</row>
    <row r="751">
      <c r="A751" s="70"/>
      <c r="D751" s="70"/>
      <c r="N751" s="70"/>
      <c r="W751" s="71"/>
      <c r="X751" s="70"/>
      <c r="AF751" s="72"/>
      <c r="AG751" s="73"/>
      <c r="AH751" s="72"/>
      <c r="AI751" s="72"/>
      <c r="AJ751" s="72"/>
      <c r="AK751" s="72"/>
      <c r="AL751" s="72"/>
      <c r="AM751" s="73"/>
      <c r="AN751" s="74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</row>
    <row r="752">
      <c r="A752" s="70"/>
      <c r="D752" s="70"/>
      <c r="N752" s="70"/>
      <c r="W752" s="71"/>
      <c r="X752" s="70"/>
      <c r="AF752" s="72"/>
      <c r="AG752" s="73"/>
      <c r="AH752" s="72"/>
      <c r="AI752" s="72"/>
      <c r="AJ752" s="72"/>
      <c r="AK752" s="72"/>
      <c r="AL752" s="72"/>
      <c r="AM752" s="73"/>
      <c r="AN752" s="74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</row>
    <row r="753">
      <c r="A753" s="70"/>
      <c r="D753" s="70"/>
      <c r="N753" s="70"/>
      <c r="W753" s="71"/>
      <c r="X753" s="70"/>
      <c r="AF753" s="72"/>
      <c r="AG753" s="73"/>
      <c r="AH753" s="72"/>
      <c r="AI753" s="72"/>
      <c r="AJ753" s="72"/>
      <c r="AK753" s="72"/>
      <c r="AL753" s="72"/>
      <c r="AM753" s="73"/>
      <c r="AN753" s="74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</row>
    <row r="754">
      <c r="A754" s="70"/>
      <c r="D754" s="70"/>
      <c r="N754" s="70"/>
      <c r="W754" s="71"/>
      <c r="X754" s="70"/>
      <c r="AF754" s="72"/>
      <c r="AG754" s="73"/>
      <c r="AH754" s="72"/>
      <c r="AI754" s="72"/>
      <c r="AJ754" s="72"/>
      <c r="AK754" s="72"/>
      <c r="AL754" s="72"/>
      <c r="AM754" s="73"/>
      <c r="AN754" s="74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</row>
    <row r="755">
      <c r="A755" s="70"/>
      <c r="D755" s="70"/>
      <c r="N755" s="70"/>
      <c r="W755" s="71"/>
      <c r="X755" s="70"/>
      <c r="AF755" s="72"/>
      <c r="AG755" s="73"/>
      <c r="AH755" s="72"/>
      <c r="AI755" s="72"/>
      <c r="AJ755" s="72"/>
      <c r="AK755" s="72"/>
      <c r="AL755" s="72"/>
      <c r="AM755" s="73"/>
      <c r="AN755" s="74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</row>
    <row r="756">
      <c r="A756" s="70"/>
      <c r="D756" s="70"/>
      <c r="N756" s="70"/>
      <c r="W756" s="71"/>
      <c r="X756" s="70"/>
      <c r="AF756" s="72"/>
      <c r="AG756" s="73"/>
      <c r="AH756" s="72"/>
      <c r="AI756" s="72"/>
      <c r="AJ756" s="72"/>
      <c r="AK756" s="72"/>
      <c r="AL756" s="72"/>
      <c r="AM756" s="73"/>
      <c r="AN756" s="74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</row>
    <row r="757">
      <c r="A757" s="70"/>
      <c r="D757" s="70"/>
      <c r="N757" s="70"/>
      <c r="W757" s="71"/>
      <c r="X757" s="70"/>
      <c r="AF757" s="72"/>
      <c r="AG757" s="73"/>
      <c r="AH757" s="72"/>
      <c r="AI757" s="72"/>
      <c r="AJ757" s="72"/>
      <c r="AK757" s="72"/>
      <c r="AL757" s="72"/>
      <c r="AM757" s="73"/>
      <c r="AN757" s="74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</row>
    <row r="758">
      <c r="A758" s="70"/>
      <c r="D758" s="70"/>
      <c r="N758" s="70"/>
      <c r="W758" s="71"/>
      <c r="X758" s="70"/>
      <c r="AF758" s="72"/>
      <c r="AG758" s="73"/>
      <c r="AH758" s="72"/>
      <c r="AI758" s="72"/>
      <c r="AJ758" s="72"/>
      <c r="AK758" s="72"/>
      <c r="AL758" s="72"/>
      <c r="AM758" s="73"/>
      <c r="AN758" s="74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</row>
    <row r="759">
      <c r="A759" s="70"/>
      <c r="D759" s="70"/>
      <c r="N759" s="70"/>
      <c r="W759" s="71"/>
      <c r="X759" s="70"/>
      <c r="AF759" s="72"/>
      <c r="AG759" s="73"/>
      <c r="AH759" s="72"/>
      <c r="AI759" s="72"/>
      <c r="AJ759" s="72"/>
      <c r="AK759" s="72"/>
      <c r="AL759" s="72"/>
      <c r="AM759" s="73"/>
      <c r="AN759" s="74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</row>
    <row r="760">
      <c r="A760" s="70"/>
      <c r="D760" s="70"/>
      <c r="N760" s="70"/>
      <c r="W760" s="71"/>
      <c r="X760" s="70"/>
      <c r="AF760" s="72"/>
      <c r="AG760" s="73"/>
      <c r="AH760" s="72"/>
      <c r="AI760" s="72"/>
      <c r="AJ760" s="72"/>
      <c r="AK760" s="72"/>
      <c r="AL760" s="72"/>
      <c r="AM760" s="73"/>
      <c r="AN760" s="74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</row>
    <row r="761">
      <c r="A761" s="70"/>
      <c r="D761" s="70"/>
      <c r="N761" s="70"/>
      <c r="W761" s="71"/>
      <c r="X761" s="70"/>
      <c r="AF761" s="72"/>
      <c r="AG761" s="73"/>
      <c r="AH761" s="72"/>
      <c r="AI761" s="72"/>
      <c r="AJ761" s="72"/>
      <c r="AK761" s="72"/>
      <c r="AL761" s="72"/>
      <c r="AM761" s="73"/>
      <c r="AN761" s="74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</row>
    <row r="762">
      <c r="A762" s="70"/>
      <c r="D762" s="70"/>
      <c r="N762" s="70"/>
      <c r="W762" s="71"/>
      <c r="X762" s="70"/>
      <c r="AF762" s="72"/>
      <c r="AG762" s="73"/>
      <c r="AH762" s="72"/>
      <c r="AI762" s="72"/>
      <c r="AJ762" s="72"/>
      <c r="AK762" s="72"/>
      <c r="AL762" s="72"/>
      <c r="AM762" s="73"/>
      <c r="AN762" s="74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</row>
    <row r="763">
      <c r="A763" s="70"/>
      <c r="D763" s="70"/>
      <c r="N763" s="70"/>
      <c r="W763" s="71"/>
      <c r="X763" s="70"/>
      <c r="AF763" s="72"/>
      <c r="AG763" s="73"/>
      <c r="AH763" s="72"/>
      <c r="AI763" s="72"/>
      <c r="AJ763" s="72"/>
      <c r="AK763" s="72"/>
      <c r="AL763" s="72"/>
      <c r="AM763" s="73"/>
      <c r="AN763" s="74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</row>
    <row r="764">
      <c r="A764" s="70"/>
      <c r="D764" s="70"/>
      <c r="N764" s="70"/>
      <c r="W764" s="71"/>
      <c r="X764" s="70"/>
      <c r="AF764" s="72"/>
      <c r="AG764" s="73"/>
      <c r="AH764" s="72"/>
      <c r="AI764" s="72"/>
      <c r="AJ764" s="72"/>
      <c r="AK764" s="72"/>
      <c r="AL764" s="72"/>
      <c r="AM764" s="73"/>
      <c r="AN764" s="74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</row>
    <row r="765">
      <c r="A765" s="70"/>
      <c r="D765" s="70"/>
      <c r="N765" s="70"/>
      <c r="W765" s="71"/>
      <c r="X765" s="70"/>
      <c r="AF765" s="72"/>
      <c r="AG765" s="73"/>
      <c r="AH765" s="72"/>
      <c r="AI765" s="72"/>
      <c r="AJ765" s="72"/>
      <c r="AK765" s="72"/>
      <c r="AL765" s="72"/>
      <c r="AM765" s="73"/>
      <c r="AN765" s="74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</row>
    <row r="766">
      <c r="A766" s="70"/>
      <c r="D766" s="70"/>
      <c r="N766" s="70"/>
      <c r="W766" s="71"/>
      <c r="X766" s="70"/>
      <c r="AF766" s="72"/>
      <c r="AG766" s="73"/>
      <c r="AH766" s="72"/>
      <c r="AI766" s="72"/>
      <c r="AJ766" s="72"/>
      <c r="AK766" s="72"/>
      <c r="AL766" s="72"/>
      <c r="AM766" s="73"/>
      <c r="AN766" s="74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</row>
    <row r="767">
      <c r="A767" s="70"/>
      <c r="D767" s="70"/>
      <c r="N767" s="70"/>
      <c r="W767" s="71"/>
      <c r="X767" s="70"/>
      <c r="AF767" s="72"/>
      <c r="AG767" s="73"/>
      <c r="AH767" s="72"/>
      <c r="AI767" s="72"/>
      <c r="AJ767" s="72"/>
      <c r="AK767" s="72"/>
      <c r="AL767" s="72"/>
      <c r="AM767" s="73"/>
      <c r="AN767" s="74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</row>
    <row r="768">
      <c r="A768" s="70"/>
      <c r="D768" s="70"/>
      <c r="N768" s="70"/>
      <c r="W768" s="71"/>
      <c r="X768" s="70"/>
      <c r="AF768" s="72"/>
      <c r="AG768" s="73"/>
      <c r="AH768" s="72"/>
      <c r="AI768" s="72"/>
      <c r="AJ768" s="72"/>
      <c r="AK768" s="72"/>
      <c r="AL768" s="72"/>
      <c r="AM768" s="73"/>
      <c r="AN768" s="74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</row>
    <row r="769">
      <c r="A769" s="70"/>
      <c r="D769" s="70"/>
      <c r="N769" s="70"/>
      <c r="W769" s="71"/>
      <c r="X769" s="70"/>
      <c r="AF769" s="72"/>
      <c r="AG769" s="73"/>
      <c r="AH769" s="72"/>
      <c r="AI769" s="72"/>
      <c r="AJ769" s="72"/>
      <c r="AK769" s="72"/>
      <c r="AL769" s="72"/>
      <c r="AM769" s="73"/>
      <c r="AN769" s="74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</row>
    <row r="770">
      <c r="A770" s="70"/>
      <c r="D770" s="70"/>
      <c r="N770" s="70"/>
      <c r="W770" s="71"/>
      <c r="X770" s="70"/>
      <c r="AF770" s="72"/>
      <c r="AG770" s="73"/>
      <c r="AH770" s="72"/>
      <c r="AI770" s="72"/>
      <c r="AJ770" s="72"/>
      <c r="AK770" s="72"/>
      <c r="AL770" s="72"/>
      <c r="AM770" s="73"/>
      <c r="AN770" s="74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</row>
    <row r="771">
      <c r="A771" s="70"/>
      <c r="D771" s="70"/>
      <c r="N771" s="70"/>
      <c r="W771" s="71"/>
      <c r="X771" s="70"/>
      <c r="AF771" s="72"/>
      <c r="AG771" s="73"/>
      <c r="AH771" s="72"/>
      <c r="AI771" s="72"/>
      <c r="AJ771" s="72"/>
      <c r="AK771" s="72"/>
      <c r="AL771" s="72"/>
      <c r="AM771" s="73"/>
      <c r="AN771" s="74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</row>
    <row r="772">
      <c r="A772" s="70"/>
      <c r="D772" s="70"/>
      <c r="N772" s="70"/>
      <c r="W772" s="71"/>
      <c r="X772" s="70"/>
      <c r="AF772" s="72"/>
      <c r="AG772" s="73"/>
      <c r="AH772" s="72"/>
      <c r="AI772" s="72"/>
      <c r="AJ772" s="72"/>
      <c r="AK772" s="72"/>
      <c r="AL772" s="72"/>
      <c r="AM772" s="73"/>
      <c r="AN772" s="74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</row>
    <row r="773">
      <c r="A773" s="70"/>
      <c r="D773" s="70"/>
      <c r="N773" s="70"/>
      <c r="W773" s="71"/>
      <c r="X773" s="70"/>
      <c r="AF773" s="72"/>
      <c r="AG773" s="73"/>
      <c r="AH773" s="72"/>
      <c r="AI773" s="72"/>
      <c r="AJ773" s="72"/>
      <c r="AK773" s="72"/>
      <c r="AL773" s="72"/>
      <c r="AM773" s="73"/>
      <c r="AN773" s="74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</row>
    <row r="774">
      <c r="A774" s="70"/>
      <c r="D774" s="70"/>
      <c r="N774" s="70"/>
      <c r="W774" s="71"/>
      <c r="X774" s="70"/>
      <c r="AF774" s="72"/>
      <c r="AG774" s="73"/>
      <c r="AH774" s="72"/>
      <c r="AI774" s="72"/>
      <c r="AJ774" s="72"/>
      <c r="AK774" s="72"/>
      <c r="AL774" s="72"/>
      <c r="AM774" s="73"/>
      <c r="AN774" s="74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</row>
    <row r="775">
      <c r="A775" s="70"/>
      <c r="D775" s="70"/>
      <c r="N775" s="70"/>
      <c r="W775" s="71"/>
      <c r="X775" s="70"/>
      <c r="AF775" s="72"/>
      <c r="AG775" s="73"/>
      <c r="AH775" s="72"/>
      <c r="AI775" s="72"/>
      <c r="AJ775" s="72"/>
      <c r="AK775" s="72"/>
      <c r="AL775" s="72"/>
      <c r="AM775" s="73"/>
      <c r="AN775" s="74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</row>
    <row r="776">
      <c r="A776" s="70"/>
      <c r="D776" s="70"/>
      <c r="N776" s="70"/>
      <c r="W776" s="71"/>
      <c r="X776" s="70"/>
      <c r="AF776" s="72"/>
      <c r="AG776" s="73"/>
      <c r="AH776" s="72"/>
      <c r="AI776" s="72"/>
      <c r="AJ776" s="72"/>
      <c r="AK776" s="72"/>
      <c r="AL776" s="72"/>
      <c r="AM776" s="73"/>
      <c r="AN776" s="74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</row>
    <row r="777">
      <c r="A777" s="70"/>
      <c r="D777" s="70"/>
      <c r="N777" s="70"/>
      <c r="W777" s="71"/>
      <c r="X777" s="70"/>
      <c r="AF777" s="72"/>
      <c r="AG777" s="73"/>
      <c r="AH777" s="72"/>
      <c r="AI777" s="72"/>
      <c r="AJ777" s="72"/>
      <c r="AK777" s="72"/>
      <c r="AL777" s="72"/>
      <c r="AM777" s="73"/>
      <c r="AN777" s="74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</row>
    <row r="778">
      <c r="A778" s="70"/>
      <c r="D778" s="70"/>
      <c r="N778" s="70"/>
      <c r="W778" s="71"/>
      <c r="X778" s="70"/>
      <c r="AF778" s="72"/>
      <c r="AG778" s="73"/>
      <c r="AH778" s="72"/>
      <c r="AI778" s="72"/>
      <c r="AJ778" s="72"/>
      <c r="AK778" s="72"/>
      <c r="AL778" s="72"/>
      <c r="AM778" s="73"/>
      <c r="AN778" s="74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</row>
    <row r="779">
      <c r="A779" s="70"/>
      <c r="D779" s="70"/>
      <c r="N779" s="70"/>
      <c r="W779" s="71"/>
      <c r="X779" s="70"/>
      <c r="AF779" s="72"/>
      <c r="AG779" s="73"/>
      <c r="AH779" s="72"/>
      <c r="AI779" s="72"/>
      <c r="AJ779" s="72"/>
      <c r="AK779" s="72"/>
      <c r="AL779" s="72"/>
      <c r="AM779" s="73"/>
      <c r="AN779" s="74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</row>
    <row r="780">
      <c r="A780" s="70"/>
      <c r="D780" s="70"/>
      <c r="N780" s="70"/>
      <c r="W780" s="71"/>
      <c r="X780" s="70"/>
      <c r="AF780" s="72"/>
      <c r="AG780" s="73"/>
      <c r="AH780" s="72"/>
      <c r="AI780" s="72"/>
      <c r="AJ780" s="72"/>
      <c r="AK780" s="72"/>
      <c r="AL780" s="72"/>
      <c r="AM780" s="73"/>
      <c r="AN780" s="74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</row>
    <row r="781">
      <c r="A781" s="70"/>
      <c r="D781" s="70"/>
      <c r="N781" s="70"/>
      <c r="W781" s="71"/>
      <c r="X781" s="70"/>
      <c r="AF781" s="72"/>
      <c r="AG781" s="73"/>
      <c r="AH781" s="72"/>
      <c r="AI781" s="72"/>
      <c r="AJ781" s="72"/>
      <c r="AK781" s="72"/>
      <c r="AL781" s="72"/>
      <c r="AM781" s="73"/>
      <c r="AN781" s="74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</row>
    <row r="782">
      <c r="A782" s="70"/>
      <c r="D782" s="70"/>
      <c r="N782" s="70"/>
      <c r="W782" s="71"/>
      <c r="X782" s="70"/>
      <c r="AF782" s="72"/>
      <c r="AG782" s="73"/>
      <c r="AH782" s="72"/>
      <c r="AI782" s="72"/>
      <c r="AJ782" s="72"/>
      <c r="AK782" s="72"/>
      <c r="AL782" s="72"/>
      <c r="AM782" s="73"/>
      <c r="AN782" s="74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</row>
    <row r="783">
      <c r="A783" s="70"/>
      <c r="D783" s="70"/>
      <c r="N783" s="70"/>
      <c r="W783" s="71"/>
      <c r="X783" s="70"/>
      <c r="AF783" s="72"/>
      <c r="AG783" s="73"/>
      <c r="AH783" s="72"/>
      <c r="AI783" s="72"/>
      <c r="AJ783" s="72"/>
      <c r="AK783" s="72"/>
      <c r="AL783" s="72"/>
      <c r="AM783" s="73"/>
      <c r="AN783" s="74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</row>
    <row r="784">
      <c r="A784" s="70"/>
      <c r="D784" s="70"/>
      <c r="N784" s="70"/>
      <c r="W784" s="71"/>
      <c r="X784" s="70"/>
      <c r="AF784" s="72"/>
      <c r="AG784" s="73"/>
      <c r="AH784" s="72"/>
      <c r="AI784" s="72"/>
      <c r="AJ784" s="72"/>
      <c r="AK784" s="72"/>
      <c r="AL784" s="72"/>
      <c r="AM784" s="73"/>
      <c r="AN784" s="74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</row>
    <row r="785">
      <c r="A785" s="70"/>
      <c r="D785" s="70"/>
      <c r="N785" s="70"/>
      <c r="W785" s="71"/>
      <c r="X785" s="70"/>
      <c r="AF785" s="72"/>
      <c r="AG785" s="73"/>
      <c r="AH785" s="72"/>
      <c r="AI785" s="72"/>
      <c r="AJ785" s="72"/>
      <c r="AK785" s="72"/>
      <c r="AL785" s="72"/>
      <c r="AM785" s="73"/>
      <c r="AN785" s="74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</row>
    <row r="786">
      <c r="A786" s="70"/>
      <c r="D786" s="70"/>
      <c r="N786" s="70"/>
      <c r="W786" s="71"/>
      <c r="X786" s="70"/>
      <c r="AF786" s="72"/>
      <c r="AG786" s="73"/>
      <c r="AH786" s="72"/>
      <c r="AI786" s="72"/>
      <c r="AJ786" s="72"/>
      <c r="AK786" s="72"/>
      <c r="AL786" s="72"/>
      <c r="AM786" s="73"/>
      <c r="AN786" s="74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</row>
    <row r="787">
      <c r="A787" s="70"/>
      <c r="D787" s="70"/>
      <c r="N787" s="70"/>
      <c r="W787" s="71"/>
      <c r="X787" s="70"/>
      <c r="AF787" s="72"/>
      <c r="AG787" s="73"/>
      <c r="AH787" s="72"/>
      <c r="AI787" s="72"/>
      <c r="AJ787" s="72"/>
      <c r="AK787" s="72"/>
      <c r="AL787" s="72"/>
      <c r="AM787" s="73"/>
      <c r="AN787" s="74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</row>
    <row r="788">
      <c r="A788" s="70"/>
      <c r="D788" s="70"/>
      <c r="N788" s="70"/>
      <c r="W788" s="71"/>
      <c r="X788" s="70"/>
      <c r="AF788" s="72"/>
      <c r="AG788" s="73"/>
      <c r="AH788" s="72"/>
      <c r="AI788" s="72"/>
      <c r="AJ788" s="72"/>
      <c r="AK788" s="72"/>
      <c r="AL788" s="72"/>
      <c r="AM788" s="73"/>
      <c r="AN788" s="74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</row>
    <row r="789">
      <c r="A789" s="70"/>
      <c r="D789" s="70"/>
      <c r="N789" s="70"/>
      <c r="W789" s="71"/>
      <c r="X789" s="70"/>
      <c r="AF789" s="72"/>
      <c r="AG789" s="73"/>
      <c r="AH789" s="72"/>
      <c r="AI789" s="72"/>
      <c r="AJ789" s="72"/>
      <c r="AK789" s="72"/>
      <c r="AL789" s="72"/>
      <c r="AM789" s="73"/>
      <c r="AN789" s="74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</row>
    <row r="790">
      <c r="A790" s="70"/>
      <c r="D790" s="70"/>
      <c r="N790" s="70"/>
      <c r="W790" s="71"/>
      <c r="X790" s="70"/>
      <c r="AF790" s="72"/>
      <c r="AG790" s="73"/>
      <c r="AH790" s="72"/>
      <c r="AI790" s="72"/>
      <c r="AJ790" s="72"/>
      <c r="AK790" s="72"/>
      <c r="AL790" s="72"/>
      <c r="AM790" s="73"/>
      <c r="AN790" s="74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</row>
    <row r="791">
      <c r="A791" s="70"/>
      <c r="D791" s="70"/>
      <c r="N791" s="70"/>
      <c r="W791" s="71"/>
      <c r="X791" s="70"/>
      <c r="AF791" s="72"/>
      <c r="AG791" s="73"/>
      <c r="AH791" s="72"/>
      <c r="AI791" s="72"/>
      <c r="AJ791" s="72"/>
      <c r="AK791" s="72"/>
      <c r="AL791" s="72"/>
      <c r="AM791" s="73"/>
      <c r="AN791" s="74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</row>
    <row r="792">
      <c r="A792" s="70"/>
      <c r="D792" s="70"/>
      <c r="N792" s="70"/>
      <c r="W792" s="71"/>
      <c r="X792" s="70"/>
      <c r="AF792" s="72"/>
      <c r="AG792" s="73"/>
      <c r="AH792" s="72"/>
      <c r="AI792" s="72"/>
      <c r="AJ792" s="72"/>
      <c r="AK792" s="72"/>
      <c r="AL792" s="72"/>
      <c r="AM792" s="73"/>
      <c r="AN792" s="74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</row>
    <row r="793">
      <c r="A793" s="70"/>
      <c r="D793" s="70"/>
      <c r="N793" s="70"/>
      <c r="W793" s="71"/>
      <c r="X793" s="70"/>
      <c r="AF793" s="72"/>
      <c r="AG793" s="73"/>
      <c r="AH793" s="72"/>
      <c r="AI793" s="72"/>
      <c r="AJ793" s="72"/>
      <c r="AK793" s="72"/>
      <c r="AL793" s="72"/>
      <c r="AM793" s="73"/>
      <c r="AN793" s="74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</row>
    <row r="794">
      <c r="A794" s="70"/>
      <c r="D794" s="70"/>
      <c r="N794" s="70"/>
      <c r="W794" s="71"/>
      <c r="X794" s="70"/>
      <c r="AF794" s="72"/>
      <c r="AG794" s="73"/>
      <c r="AH794" s="72"/>
      <c r="AI794" s="72"/>
      <c r="AJ794" s="72"/>
      <c r="AK794" s="72"/>
      <c r="AL794" s="72"/>
      <c r="AM794" s="73"/>
      <c r="AN794" s="74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</row>
    <row r="795">
      <c r="A795" s="70"/>
      <c r="D795" s="70"/>
      <c r="N795" s="70"/>
      <c r="W795" s="71"/>
      <c r="X795" s="70"/>
      <c r="AF795" s="72"/>
      <c r="AG795" s="73"/>
      <c r="AH795" s="72"/>
      <c r="AI795" s="72"/>
      <c r="AJ795" s="72"/>
      <c r="AK795" s="72"/>
      <c r="AL795" s="72"/>
      <c r="AM795" s="73"/>
      <c r="AN795" s="74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</row>
    <row r="796">
      <c r="A796" s="70"/>
      <c r="D796" s="70"/>
      <c r="N796" s="70"/>
      <c r="W796" s="71"/>
      <c r="X796" s="70"/>
      <c r="AF796" s="72"/>
      <c r="AG796" s="73"/>
      <c r="AH796" s="72"/>
      <c r="AI796" s="72"/>
      <c r="AJ796" s="72"/>
      <c r="AK796" s="72"/>
      <c r="AL796" s="72"/>
      <c r="AM796" s="73"/>
      <c r="AN796" s="74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</row>
    <row r="797">
      <c r="A797" s="70"/>
      <c r="D797" s="70"/>
      <c r="N797" s="70"/>
      <c r="W797" s="71"/>
      <c r="X797" s="70"/>
      <c r="AF797" s="72"/>
      <c r="AG797" s="73"/>
      <c r="AH797" s="72"/>
      <c r="AI797" s="72"/>
      <c r="AJ797" s="72"/>
      <c r="AK797" s="72"/>
      <c r="AL797" s="72"/>
      <c r="AM797" s="73"/>
      <c r="AN797" s="74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</row>
    <row r="798">
      <c r="A798" s="70"/>
      <c r="D798" s="70"/>
      <c r="N798" s="70"/>
      <c r="W798" s="71"/>
      <c r="X798" s="70"/>
      <c r="AF798" s="72"/>
      <c r="AG798" s="73"/>
      <c r="AH798" s="72"/>
      <c r="AI798" s="72"/>
      <c r="AJ798" s="72"/>
      <c r="AK798" s="72"/>
      <c r="AL798" s="72"/>
      <c r="AM798" s="73"/>
      <c r="AN798" s="74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</row>
    <row r="799">
      <c r="A799" s="70"/>
      <c r="D799" s="70"/>
      <c r="N799" s="70"/>
      <c r="W799" s="71"/>
      <c r="X799" s="70"/>
      <c r="AF799" s="72"/>
      <c r="AG799" s="73"/>
      <c r="AH799" s="72"/>
      <c r="AI799" s="72"/>
      <c r="AJ799" s="72"/>
      <c r="AK799" s="72"/>
      <c r="AL799" s="72"/>
      <c r="AM799" s="73"/>
      <c r="AN799" s="74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</row>
    <row r="800">
      <c r="A800" s="70"/>
      <c r="D800" s="70"/>
      <c r="N800" s="70"/>
      <c r="W800" s="71"/>
      <c r="X800" s="70"/>
      <c r="AF800" s="72"/>
      <c r="AG800" s="73"/>
      <c r="AH800" s="72"/>
      <c r="AI800" s="72"/>
      <c r="AJ800" s="72"/>
      <c r="AK800" s="72"/>
      <c r="AL800" s="72"/>
      <c r="AM800" s="73"/>
      <c r="AN800" s="74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</row>
    <row r="801">
      <c r="A801" s="70"/>
      <c r="D801" s="70"/>
      <c r="N801" s="70"/>
      <c r="W801" s="71"/>
      <c r="X801" s="70"/>
      <c r="AF801" s="72"/>
      <c r="AG801" s="73"/>
      <c r="AH801" s="72"/>
      <c r="AI801" s="72"/>
      <c r="AJ801" s="72"/>
      <c r="AK801" s="72"/>
      <c r="AL801" s="72"/>
      <c r="AM801" s="73"/>
      <c r="AN801" s="74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</row>
    <row r="802">
      <c r="A802" s="70"/>
      <c r="D802" s="70"/>
      <c r="N802" s="70"/>
      <c r="W802" s="71"/>
      <c r="X802" s="70"/>
      <c r="AF802" s="72"/>
      <c r="AG802" s="73"/>
      <c r="AH802" s="72"/>
      <c r="AI802" s="72"/>
      <c r="AJ802" s="72"/>
      <c r="AK802" s="72"/>
      <c r="AL802" s="72"/>
      <c r="AM802" s="73"/>
      <c r="AN802" s="74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</row>
    <row r="803">
      <c r="A803" s="70"/>
      <c r="D803" s="70"/>
      <c r="N803" s="70"/>
      <c r="W803" s="71"/>
      <c r="X803" s="70"/>
      <c r="AF803" s="72"/>
      <c r="AG803" s="73"/>
      <c r="AH803" s="72"/>
      <c r="AI803" s="72"/>
      <c r="AJ803" s="72"/>
      <c r="AK803" s="72"/>
      <c r="AL803" s="72"/>
      <c r="AM803" s="73"/>
      <c r="AN803" s="74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</row>
    <row r="804">
      <c r="A804" s="70"/>
      <c r="D804" s="70"/>
      <c r="N804" s="70"/>
      <c r="W804" s="71"/>
      <c r="X804" s="70"/>
      <c r="AF804" s="72"/>
      <c r="AG804" s="73"/>
      <c r="AH804" s="72"/>
      <c r="AI804" s="72"/>
      <c r="AJ804" s="72"/>
      <c r="AK804" s="72"/>
      <c r="AL804" s="72"/>
      <c r="AM804" s="73"/>
      <c r="AN804" s="74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</row>
    <row r="805">
      <c r="A805" s="70"/>
      <c r="D805" s="70"/>
      <c r="N805" s="70"/>
      <c r="W805" s="71"/>
      <c r="X805" s="70"/>
      <c r="AF805" s="72"/>
      <c r="AG805" s="73"/>
      <c r="AH805" s="72"/>
      <c r="AI805" s="72"/>
      <c r="AJ805" s="72"/>
      <c r="AK805" s="72"/>
      <c r="AL805" s="72"/>
      <c r="AM805" s="73"/>
      <c r="AN805" s="74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</row>
    <row r="806">
      <c r="A806" s="70"/>
      <c r="D806" s="70"/>
      <c r="N806" s="70"/>
      <c r="W806" s="71"/>
      <c r="X806" s="70"/>
      <c r="AF806" s="72"/>
      <c r="AG806" s="73"/>
      <c r="AH806" s="72"/>
      <c r="AI806" s="72"/>
      <c r="AJ806" s="72"/>
      <c r="AK806" s="72"/>
      <c r="AL806" s="72"/>
      <c r="AM806" s="73"/>
      <c r="AN806" s="74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</row>
    <row r="807">
      <c r="A807" s="70"/>
      <c r="D807" s="70"/>
      <c r="N807" s="70"/>
      <c r="W807" s="71"/>
      <c r="X807" s="70"/>
      <c r="AF807" s="72"/>
      <c r="AG807" s="73"/>
      <c r="AH807" s="72"/>
      <c r="AI807" s="72"/>
      <c r="AJ807" s="72"/>
      <c r="AK807" s="72"/>
      <c r="AL807" s="72"/>
      <c r="AM807" s="73"/>
      <c r="AN807" s="74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</row>
    <row r="808">
      <c r="A808" s="70"/>
      <c r="D808" s="70"/>
      <c r="N808" s="70"/>
      <c r="W808" s="71"/>
      <c r="X808" s="70"/>
      <c r="AF808" s="72"/>
      <c r="AG808" s="73"/>
      <c r="AH808" s="72"/>
      <c r="AI808" s="72"/>
      <c r="AJ808" s="72"/>
      <c r="AK808" s="72"/>
      <c r="AL808" s="72"/>
      <c r="AM808" s="73"/>
      <c r="AN808" s="74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</row>
    <row r="809">
      <c r="A809" s="70"/>
      <c r="D809" s="70"/>
      <c r="N809" s="70"/>
      <c r="W809" s="71"/>
      <c r="X809" s="70"/>
      <c r="AF809" s="72"/>
      <c r="AG809" s="73"/>
      <c r="AH809" s="72"/>
      <c r="AI809" s="72"/>
      <c r="AJ809" s="72"/>
      <c r="AK809" s="72"/>
      <c r="AL809" s="72"/>
      <c r="AM809" s="73"/>
      <c r="AN809" s="74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</row>
    <row r="810">
      <c r="A810" s="70"/>
      <c r="D810" s="70"/>
      <c r="N810" s="70"/>
      <c r="W810" s="71"/>
      <c r="X810" s="70"/>
      <c r="AF810" s="72"/>
      <c r="AG810" s="73"/>
      <c r="AH810" s="72"/>
      <c r="AI810" s="72"/>
      <c r="AJ810" s="72"/>
      <c r="AK810" s="72"/>
      <c r="AL810" s="72"/>
      <c r="AM810" s="73"/>
      <c r="AN810" s="74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</row>
    <row r="811">
      <c r="A811" s="70"/>
      <c r="D811" s="70"/>
      <c r="N811" s="70"/>
      <c r="W811" s="71"/>
      <c r="X811" s="70"/>
      <c r="AF811" s="72"/>
      <c r="AG811" s="73"/>
      <c r="AH811" s="72"/>
      <c r="AI811" s="72"/>
      <c r="AJ811" s="72"/>
      <c r="AK811" s="72"/>
      <c r="AL811" s="72"/>
      <c r="AM811" s="73"/>
      <c r="AN811" s="74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</row>
    <row r="812">
      <c r="A812" s="70"/>
      <c r="D812" s="70"/>
      <c r="N812" s="70"/>
      <c r="W812" s="71"/>
      <c r="X812" s="70"/>
      <c r="AF812" s="72"/>
      <c r="AG812" s="73"/>
      <c r="AH812" s="72"/>
      <c r="AI812" s="72"/>
      <c r="AJ812" s="72"/>
      <c r="AK812" s="72"/>
      <c r="AL812" s="72"/>
      <c r="AM812" s="73"/>
      <c r="AN812" s="74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</row>
    <row r="813">
      <c r="A813" s="70"/>
      <c r="D813" s="70"/>
      <c r="N813" s="70"/>
      <c r="W813" s="71"/>
      <c r="X813" s="70"/>
      <c r="AF813" s="72"/>
      <c r="AG813" s="73"/>
      <c r="AH813" s="72"/>
      <c r="AI813" s="72"/>
      <c r="AJ813" s="72"/>
      <c r="AK813" s="72"/>
      <c r="AL813" s="72"/>
      <c r="AM813" s="73"/>
      <c r="AN813" s="74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</row>
    <row r="814">
      <c r="A814" s="70"/>
      <c r="D814" s="70"/>
      <c r="N814" s="70"/>
      <c r="W814" s="71"/>
      <c r="X814" s="70"/>
      <c r="AF814" s="72"/>
      <c r="AG814" s="73"/>
      <c r="AH814" s="72"/>
      <c r="AI814" s="72"/>
      <c r="AJ814" s="72"/>
      <c r="AK814" s="72"/>
      <c r="AL814" s="72"/>
      <c r="AM814" s="73"/>
      <c r="AN814" s="74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</row>
    <row r="815">
      <c r="A815" s="70"/>
      <c r="D815" s="70"/>
      <c r="N815" s="70"/>
      <c r="W815" s="71"/>
      <c r="X815" s="70"/>
      <c r="AF815" s="72"/>
      <c r="AG815" s="73"/>
      <c r="AH815" s="72"/>
      <c r="AI815" s="72"/>
      <c r="AJ815" s="72"/>
      <c r="AK815" s="72"/>
      <c r="AL815" s="72"/>
      <c r="AM815" s="73"/>
      <c r="AN815" s="74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</row>
    <row r="816">
      <c r="A816" s="70"/>
      <c r="D816" s="70"/>
      <c r="N816" s="70"/>
      <c r="W816" s="71"/>
      <c r="X816" s="70"/>
      <c r="AF816" s="72"/>
      <c r="AG816" s="73"/>
      <c r="AH816" s="72"/>
      <c r="AI816" s="72"/>
      <c r="AJ816" s="72"/>
      <c r="AK816" s="72"/>
      <c r="AL816" s="72"/>
      <c r="AM816" s="73"/>
      <c r="AN816" s="74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</row>
    <row r="817">
      <c r="A817" s="70"/>
      <c r="D817" s="70"/>
      <c r="N817" s="70"/>
      <c r="W817" s="71"/>
      <c r="X817" s="70"/>
      <c r="AF817" s="72"/>
      <c r="AG817" s="73"/>
      <c r="AH817" s="72"/>
      <c r="AI817" s="72"/>
      <c r="AJ817" s="72"/>
      <c r="AK817" s="72"/>
      <c r="AL817" s="72"/>
      <c r="AM817" s="73"/>
      <c r="AN817" s="74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</row>
    <row r="818">
      <c r="A818" s="70"/>
      <c r="D818" s="70"/>
      <c r="N818" s="70"/>
      <c r="W818" s="71"/>
      <c r="X818" s="70"/>
      <c r="AF818" s="72"/>
      <c r="AG818" s="73"/>
      <c r="AH818" s="72"/>
      <c r="AI818" s="72"/>
      <c r="AJ818" s="72"/>
      <c r="AK818" s="72"/>
      <c r="AL818" s="72"/>
      <c r="AM818" s="73"/>
      <c r="AN818" s="74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</row>
    <row r="819">
      <c r="A819" s="70"/>
      <c r="D819" s="70"/>
      <c r="N819" s="70"/>
      <c r="W819" s="71"/>
      <c r="X819" s="70"/>
      <c r="AF819" s="72"/>
      <c r="AG819" s="73"/>
      <c r="AH819" s="72"/>
      <c r="AI819" s="72"/>
      <c r="AJ819" s="72"/>
      <c r="AK819" s="72"/>
      <c r="AL819" s="72"/>
      <c r="AM819" s="73"/>
      <c r="AN819" s="74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</row>
    <row r="820">
      <c r="A820" s="70"/>
      <c r="D820" s="70"/>
      <c r="N820" s="70"/>
      <c r="W820" s="71"/>
      <c r="X820" s="70"/>
      <c r="AF820" s="72"/>
      <c r="AG820" s="73"/>
      <c r="AH820" s="72"/>
      <c r="AI820" s="72"/>
      <c r="AJ820" s="72"/>
      <c r="AK820" s="72"/>
      <c r="AL820" s="72"/>
      <c r="AM820" s="73"/>
      <c r="AN820" s="74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</row>
    <row r="821">
      <c r="A821" s="70"/>
      <c r="D821" s="70"/>
      <c r="N821" s="70"/>
      <c r="W821" s="71"/>
      <c r="X821" s="70"/>
      <c r="AF821" s="72"/>
      <c r="AG821" s="73"/>
      <c r="AH821" s="72"/>
      <c r="AI821" s="72"/>
      <c r="AJ821" s="72"/>
      <c r="AK821" s="72"/>
      <c r="AL821" s="72"/>
      <c r="AM821" s="73"/>
      <c r="AN821" s="74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</row>
    <row r="822">
      <c r="A822" s="70"/>
      <c r="D822" s="70"/>
      <c r="N822" s="70"/>
      <c r="W822" s="71"/>
      <c r="X822" s="70"/>
      <c r="AF822" s="72"/>
      <c r="AG822" s="73"/>
      <c r="AH822" s="72"/>
      <c r="AI822" s="72"/>
      <c r="AJ822" s="72"/>
      <c r="AK822" s="72"/>
      <c r="AL822" s="72"/>
      <c r="AM822" s="73"/>
      <c r="AN822" s="74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</row>
    <row r="823">
      <c r="A823" s="70"/>
      <c r="D823" s="70"/>
      <c r="N823" s="70"/>
      <c r="W823" s="71"/>
      <c r="X823" s="70"/>
      <c r="AF823" s="72"/>
      <c r="AG823" s="73"/>
      <c r="AH823" s="72"/>
      <c r="AI823" s="72"/>
      <c r="AJ823" s="72"/>
      <c r="AK823" s="72"/>
      <c r="AL823" s="72"/>
      <c r="AM823" s="73"/>
      <c r="AN823" s="74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</row>
    <row r="824">
      <c r="A824" s="70"/>
      <c r="D824" s="70"/>
      <c r="N824" s="70"/>
      <c r="W824" s="71"/>
      <c r="X824" s="70"/>
      <c r="AF824" s="72"/>
      <c r="AG824" s="73"/>
      <c r="AH824" s="72"/>
      <c r="AI824" s="72"/>
      <c r="AJ824" s="72"/>
      <c r="AK824" s="72"/>
      <c r="AL824" s="72"/>
      <c r="AM824" s="73"/>
      <c r="AN824" s="74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</row>
    <row r="825">
      <c r="A825" s="70"/>
      <c r="D825" s="70"/>
      <c r="N825" s="70"/>
      <c r="W825" s="71"/>
      <c r="X825" s="70"/>
      <c r="AF825" s="72"/>
      <c r="AG825" s="73"/>
      <c r="AH825" s="72"/>
      <c r="AI825" s="72"/>
      <c r="AJ825" s="72"/>
      <c r="AK825" s="72"/>
      <c r="AL825" s="72"/>
      <c r="AM825" s="73"/>
      <c r="AN825" s="74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</row>
    <row r="826">
      <c r="A826" s="70"/>
      <c r="D826" s="70"/>
      <c r="N826" s="70"/>
      <c r="W826" s="71"/>
      <c r="X826" s="70"/>
      <c r="AF826" s="72"/>
      <c r="AG826" s="73"/>
      <c r="AH826" s="72"/>
      <c r="AI826" s="72"/>
      <c r="AJ826" s="72"/>
      <c r="AK826" s="72"/>
      <c r="AL826" s="72"/>
      <c r="AM826" s="73"/>
      <c r="AN826" s="74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</row>
    <row r="827">
      <c r="A827" s="70"/>
      <c r="D827" s="70"/>
      <c r="N827" s="70"/>
      <c r="W827" s="71"/>
      <c r="X827" s="70"/>
      <c r="AF827" s="72"/>
      <c r="AG827" s="73"/>
      <c r="AH827" s="72"/>
      <c r="AI827" s="72"/>
      <c r="AJ827" s="72"/>
      <c r="AK827" s="72"/>
      <c r="AL827" s="72"/>
      <c r="AM827" s="73"/>
      <c r="AN827" s="74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</row>
    <row r="828">
      <c r="A828" s="70"/>
      <c r="D828" s="70"/>
      <c r="N828" s="70"/>
      <c r="W828" s="71"/>
      <c r="X828" s="70"/>
      <c r="AF828" s="72"/>
      <c r="AG828" s="73"/>
      <c r="AH828" s="72"/>
      <c r="AI828" s="72"/>
      <c r="AJ828" s="72"/>
      <c r="AK828" s="72"/>
      <c r="AL828" s="72"/>
      <c r="AM828" s="73"/>
      <c r="AN828" s="74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</row>
    <row r="829">
      <c r="A829" s="70"/>
      <c r="D829" s="70"/>
      <c r="N829" s="70"/>
      <c r="W829" s="71"/>
      <c r="X829" s="70"/>
      <c r="AF829" s="72"/>
      <c r="AG829" s="73"/>
      <c r="AH829" s="72"/>
      <c r="AI829" s="72"/>
      <c r="AJ829" s="72"/>
      <c r="AK829" s="72"/>
      <c r="AL829" s="72"/>
      <c r="AM829" s="73"/>
      <c r="AN829" s="74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</row>
    <row r="830">
      <c r="A830" s="70"/>
      <c r="D830" s="70"/>
      <c r="N830" s="70"/>
      <c r="W830" s="71"/>
      <c r="X830" s="70"/>
      <c r="AF830" s="72"/>
      <c r="AG830" s="73"/>
      <c r="AH830" s="72"/>
      <c r="AI830" s="72"/>
      <c r="AJ830" s="72"/>
      <c r="AK830" s="72"/>
      <c r="AL830" s="72"/>
      <c r="AM830" s="73"/>
      <c r="AN830" s="74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</row>
    <row r="831">
      <c r="A831" s="70"/>
      <c r="D831" s="70"/>
      <c r="N831" s="70"/>
      <c r="W831" s="71"/>
      <c r="X831" s="70"/>
      <c r="AF831" s="72"/>
      <c r="AG831" s="73"/>
      <c r="AH831" s="72"/>
      <c r="AI831" s="72"/>
      <c r="AJ831" s="72"/>
      <c r="AK831" s="72"/>
      <c r="AL831" s="72"/>
      <c r="AM831" s="73"/>
      <c r="AN831" s="74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</row>
    <row r="832">
      <c r="A832" s="70"/>
      <c r="D832" s="70"/>
      <c r="N832" s="70"/>
      <c r="W832" s="71"/>
      <c r="X832" s="70"/>
      <c r="AF832" s="72"/>
      <c r="AG832" s="73"/>
      <c r="AH832" s="72"/>
      <c r="AI832" s="72"/>
      <c r="AJ832" s="72"/>
      <c r="AK832" s="72"/>
      <c r="AL832" s="72"/>
      <c r="AM832" s="73"/>
      <c r="AN832" s="74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</row>
    <row r="833">
      <c r="A833" s="70"/>
      <c r="D833" s="70"/>
      <c r="N833" s="70"/>
      <c r="W833" s="71"/>
      <c r="X833" s="70"/>
      <c r="AF833" s="72"/>
      <c r="AG833" s="73"/>
      <c r="AH833" s="72"/>
      <c r="AI833" s="72"/>
      <c r="AJ833" s="72"/>
      <c r="AK833" s="72"/>
      <c r="AL833" s="72"/>
      <c r="AM833" s="73"/>
      <c r="AN833" s="74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</row>
    <row r="834">
      <c r="A834" s="70"/>
      <c r="D834" s="70"/>
      <c r="N834" s="70"/>
      <c r="W834" s="71"/>
      <c r="X834" s="70"/>
      <c r="AF834" s="72"/>
      <c r="AG834" s="73"/>
      <c r="AH834" s="72"/>
      <c r="AI834" s="72"/>
      <c r="AJ834" s="72"/>
      <c r="AK834" s="72"/>
      <c r="AL834" s="72"/>
      <c r="AM834" s="73"/>
      <c r="AN834" s="74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</row>
    <row r="835">
      <c r="A835" s="70"/>
      <c r="D835" s="70"/>
      <c r="N835" s="70"/>
      <c r="W835" s="71"/>
      <c r="X835" s="70"/>
      <c r="AF835" s="72"/>
      <c r="AG835" s="73"/>
      <c r="AH835" s="72"/>
      <c r="AI835" s="72"/>
      <c r="AJ835" s="72"/>
      <c r="AK835" s="72"/>
      <c r="AL835" s="72"/>
      <c r="AM835" s="73"/>
      <c r="AN835" s="74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</row>
    <row r="836">
      <c r="A836" s="70"/>
      <c r="D836" s="70"/>
      <c r="N836" s="70"/>
      <c r="W836" s="71"/>
      <c r="X836" s="70"/>
      <c r="AF836" s="72"/>
      <c r="AG836" s="73"/>
      <c r="AH836" s="72"/>
      <c r="AI836" s="72"/>
      <c r="AJ836" s="72"/>
      <c r="AK836" s="72"/>
      <c r="AL836" s="72"/>
      <c r="AM836" s="73"/>
      <c r="AN836" s="74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</row>
    <row r="837">
      <c r="A837" s="70"/>
      <c r="D837" s="70"/>
      <c r="N837" s="70"/>
      <c r="W837" s="71"/>
      <c r="X837" s="70"/>
      <c r="AF837" s="72"/>
      <c r="AG837" s="73"/>
      <c r="AH837" s="72"/>
      <c r="AI837" s="72"/>
      <c r="AJ837" s="72"/>
      <c r="AK837" s="72"/>
      <c r="AL837" s="72"/>
      <c r="AM837" s="73"/>
      <c r="AN837" s="74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</row>
    <row r="838">
      <c r="A838" s="70"/>
      <c r="D838" s="70"/>
      <c r="N838" s="70"/>
      <c r="W838" s="71"/>
      <c r="X838" s="70"/>
      <c r="AF838" s="72"/>
      <c r="AG838" s="73"/>
      <c r="AH838" s="72"/>
      <c r="AI838" s="72"/>
      <c r="AJ838" s="72"/>
      <c r="AK838" s="72"/>
      <c r="AL838" s="72"/>
      <c r="AM838" s="73"/>
      <c r="AN838" s="74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</row>
    <row r="839">
      <c r="A839" s="70"/>
      <c r="D839" s="70"/>
      <c r="N839" s="70"/>
      <c r="W839" s="71"/>
      <c r="X839" s="70"/>
      <c r="AF839" s="72"/>
      <c r="AG839" s="73"/>
      <c r="AH839" s="72"/>
      <c r="AI839" s="72"/>
      <c r="AJ839" s="72"/>
      <c r="AK839" s="72"/>
      <c r="AL839" s="72"/>
      <c r="AM839" s="73"/>
      <c r="AN839" s="74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</row>
    <row r="840">
      <c r="A840" s="70"/>
      <c r="D840" s="70"/>
      <c r="N840" s="70"/>
      <c r="W840" s="71"/>
      <c r="X840" s="70"/>
      <c r="AF840" s="72"/>
      <c r="AG840" s="73"/>
      <c r="AH840" s="72"/>
      <c r="AI840" s="72"/>
      <c r="AJ840" s="72"/>
      <c r="AK840" s="72"/>
      <c r="AL840" s="72"/>
      <c r="AM840" s="73"/>
      <c r="AN840" s="74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</row>
    <row r="841">
      <c r="A841" s="70"/>
      <c r="D841" s="70"/>
      <c r="N841" s="70"/>
      <c r="W841" s="71"/>
      <c r="X841" s="70"/>
      <c r="AF841" s="72"/>
      <c r="AG841" s="73"/>
      <c r="AH841" s="72"/>
      <c r="AI841" s="72"/>
      <c r="AJ841" s="72"/>
      <c r="AK841" s="72"/>
      <c r="AL841" s="72"/>
      <c r="AM841" s="73"/>
      <c r="AN841" s="74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</row>
    <row r="842">
      <c r="A842" s="70"/>
      <c r="D842" s="70"/>
      <c r="N842" s="70"/>
      <c r="W842" s="71"/>
      <c r="X842" s="70"/>
      <c r="AF842" s="72"/>
      <c r="AG842" s="73"/>
      <c r="AH842" s="72"/>
      <c r="AI842" s="72"/>
      <c r="AJ842" s="72"/>
      <c r="AK842" s="72"/>
      <c r="AL842" s="72"/>
      <c r="AM842" s="73"/>
      <c r="AN842" s="74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</row>
    <row r="843">
      <c r="A843" s="70"/>
      <c r="D843" s="70"/>
      <c r="N843" s="70"/>
      <c r="W843" s="71"/>
      <c r="X843" s="70"/>
      <c r="AF843" s="72"/>
      <c r="AG843" s="73"/>
      <c r="AH843" s="72"/>
      <c r="AI843" s="72"/>
      <c r="AJ843" s="72"/>
      <c r="AK843" s="72"/>
      <c r="AL843" s="72"/>
      <c r="AM843" s="73"/>
      <c r="AN843" s="74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</row>
    <row r="844">
      <c r="A844" s="70"/>
      <c r="D844" s="70"/>
      <c r="N844" s="70"/>
      <c r="W844" s="71"/>
      <c r="X844" s="70"/>
      <c r="AF844" s="72"/>
      <c r="AG844" s="73"/>
      <c r="AH844" s="72"/>
      <c r="AI844" s="72"/>
      <c r="AJ844" s="72"/>
      <c r="AK844" s="72"/>
      <c r="AL844" s="72"/>
      <c r="AM844" s="73"/>
      <c r="AN844" s="74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</row>
    <row r="845">
      <c r="A845" s="70"/>
      <c r="D845" s="70"/>
      <c r="N845" s="70"/>
      <c r="W845" s="71"/>
      <c r="X845" s="70"/>
      <c r="AF845" s="72"/>
      <c r="AG845" s="73"/>
      <c r="AH845" s="72"/>
      <c r="AI845" s="72"/>
      <c r="AJ845" s="72"/>
      <c r="AK845" s="72"/>
      <c r="AL845" s="72"/>
      <c r="AM845" s="73"/>
      <c r="AN845" s="74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</row>
    <row r="846">
      <c r="A846" s="70"/>
      <c r="D846" s="70"/>
      <c r="N846" s="70"/>
      <c r="W846" s="71"/>
      <c r="X846" s="70"/>
      <c r="AF846" s="72"/>
      <c r="AG846" s="73"/>
      <c r="AH846" s="72"/>
      <c r="AI846" s="72"/>
      <c r="AJ846" s="72"/>
      <c r="AK846" s="72"/>
      <c r="AL846" s="72"/>
      <c r="AM846" s="73"/>
      <c r="AN846" s="74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</row>
    <row r="847">
      <c r="A847" s="70"/>
      <c r="D847" s="70"/>
      <c r="N847" s="70"/>
      <c r="W847" s="71"/>
      <c r="X847" s="70"/>
      <c r="AF847" s="72"/>
      <c r="AG847" s="73"/>
      <c r="AH847" s="72"/>
      <c r="AI847" s="72"/>
      <c r="AJ847" s="72"/>
      <c r="AK847" s="72"/>
      <c r="AL847" s="72"/>
      <c r="AM847" s="73"/>
      <c r="AN847" s="74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</row>
    <row r="848">
      <c r="A848" s="70"/>
      <c r="D848" s="70"/>
      <c r="N848" s="70"/>
      <c r="W848" s="71"/>
      <c r="X848" s="70"/>
      <c r="AF848" s="72"/>
      <c r="AG848" s="73"/>
      <c r="AH848" s="72"/>
      <c r="AI848" s="72"/>
      <c r="AJ848" s="72"/>
      <c r="AK848" s="72"/>
      <c r="AL848" s="72"/>
      <c r="AM848" s="73"/>
      <c r="AN848" s="74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</row>
    <row r="849">
      <c r="A849" s="70"/>
      <c r="D849" s="70"/>
      <c r="N849" s="70"/>
      <c r="W849" s="71"/>
      <c r="X849" s="70"/>
      <c r="AF849" s="72"/>
      <c r="AG849" s="73"/>
      <c r="AH849" s="72"/>
      <c r="AI849" s="72"/>
      <c r="AJ849" s="72"/>
      <c r="AK849" s="72"/>
      <c r="AL849" s="72"/>
      <c r="AM849" s="73"/>
      <c r="AN849" s="74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</row>
    <row r="850">
      <c r="A850" s="70"/>
      <c r="D850" s="70"/>
      <c r="N850" s="70"/>
      <c r="W850" s="71"/>
      <c r="X850" s="70"/>
      <c r="AF850" s="72"/>
      <c r="AG850" s="73"/>
      <c r="AH850" s="72"/>
      <c r="AI850" s="72"/>
      <c r="AJ850" s="72"/>
      <c r="AK850" s="72"/>
      <c r="AL850" s="72"/>
      <c r="AM850" s="73"/>
      <c r="AN850" s="74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</row>
    <row r="851">
      <c r="A851" s="70"/>
      <c r="D851" s="70"/>
      <c r="N851" s="70"/>
      <c r="W851" s="71"/>
      <c r="X851" s="70"/>
      <c r="AF851" s="72"/>
      <c r="AG851" s="73"/>
      <c r="AH851" s="72"/>
      <c r="AI851" s="72"/>
      <c r="AJ851" s="72"/>
      <c r="AK851" s="72"/>
      <c r="AL851" s="72"/>
      <c r="AM851" s="73"/>
      <c r="AN851" s="74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</row>
    <row r="852">
      <c r="A852" s="70"/>
      <c r="D852" s="70"/>
      <c r="N852" s="70"/>
      <c r="W852" s="71"/>
      <c r="X852" s="70"/>
      <c r="AF852" s="72"/>
      <c r="AG852" s="73"/>
      <c r="AH852" s="72"/>
      <c r="AI852" s="72"/>
      <c r="AJ852" s="72"/>
      <c r="AK852" s="72"/>
      <c r="AL852" s="72"/>
      <c r="AM852" s="73"/>
      <c r="AN852" s="74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</row>
    <row r="853">
      <c r="A853" s="70"/>
      <c r="D853" s="70"/>
      <c r="N853" s="70"/>
      <c r="W853" s="71"/>
      <c r="X853" s="70"/>
      <c r="AF853" s="72"/>
      <c r="AG853" s="73"/>
      <c r="AH853" s="72"/>
      <c r="AI853" s="72"/>
      <c r="AJ853" s="72"/>
      <c r="AK853" s="72"/>
      <c r="AL853" s="72"/>
      <c r="AM853" s="73"/>
      <c r="AN853" s="74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</row>
    <row r="854">
      <c r="A854" s="70"/>
      <c r="D854" s="70"/>
      <c r="N854" s="70"/>
      <c r="W854" s="71"/>
      <c r="X854" s="70"/>
      <c r="AF854" s="72"/>
      <c r="AG854" s="73"/>
      <c r="AH854" s="72"/>
      <c r="AI854" s="72"/>
      <c r="AJ854" s="72"/>
      <c r="AK854" s="72"/>
      <c r="AL854" s="72"/>
      <c r="AM854" s="73"/>
      <c r="AN854" s="74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</row>
    <row r="855">
      <c r="A855" s="70"/>
      <c r="D855" s="70"/>
      <c r="N855" s="70"/>
      <c r="W855" s="71"/>
      <c r="X855" s="70"/>
      <c r="AF855" s="72"/>
      <c r="AG855" s="73"/>
      <c r="AH855" s="72"/>
      <c r="AI855" s="72"/>
      <c r="AJ855" s="72"/>
      <c r="AK855" s="72"/>
      <c r="AL855" s="72"/>
      <c r="AM855" s="73"/>
      <c r="AN855" s="74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</row>
    <row r="856">
      <c r="A856" s="70"/>
      <c r="D856" s="70"/>
      <c r="N856" s="70"/>
      <c r="W856" s="71"/>
      <c r="X856" s="70"/>
      <c r="AF856" s="72"/>
      <c r="AG856" s="73"/>
      <c r="AH856" s="72"/>
      <c r="AI856" s="72"/>
      <c r="AJ856" s="72"/>
      <c r="AK856" s="72"/>
      <c r="AL856" s="72"/>
      <c r="AM856" s="73"/>
      <c r="AN856" s="74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</row>
    <row r="857">
      <c r="A857" s="70"/>
      <c r="D857" s="70"/>
      <c r="N857" s="70"/>
      <c r="W857" s="71"/>
      <c r="X857" s="70"/>
      <c r="AF857" s="72"/>
      <c r="AG857" s="73"/>
      <c r="AH857" s="72"/>
      <c r="AI857" s="72"/>
      <c r="AJ857" s="72"/>
      <c r="AK857" s="72"/>
      <c r="AL857" s="72"/>
      <c r="AM857" s="73"/>
      <c r="AN857" s="74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</row>
    <row r="858">
      <c r="A858" s="70"/>
      <c r="D858" s="70"/>
      <c r="N858" s="70"/>
      <c r="W858" s="71"/>
      <c r="X858" s="70"/>
      <c r="AF858" s="72"/>
      <c r="AG858" s="73"/>
      <c r="AH858" s="72"/>
      <c r="AI858" s="72"/>
      <c r="AJ858" s="72"/>
      <c r="AK858" s="72"/>
      <c r="AL858" s="72"/>
      <c r="AM858" s="73"/>
      <c r="AN858" s="74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</row>
    <row r="859">
      <c r="A859" s="70"/>
      <c r="D859" s="70"/>
      <c r="N859" s="70"/>
      <c r="W859" s="71"/>
      <c r="X859" s="70"/>
      <c r="AF859" s="72"/>
      <c r="AG859" s="73"/>
      <c r="AH859" s="72"/>
      <c r="AI859" s="72"/>
      <c r="AJ859" s="72"/>
      <c r="AK859" s="72"/>
      <c r="AL859" s="72"/>
      <c r="AM859" s="73"/>
      <c r="AN859" s="74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</row>
    <row r="860">
      <c r="A860" s="70"/>
      <c r="D860" s="70"/>
      <c r="N860" s="70"/>
      <c r="W860" s="71"/>
      <c r="X860" s="70"/>
      <c r="AF860" s="72"/>
      <c r="AG860" s="73"/>
      <c r="AH860" s="72"/>
      <c r="AI860" s="72"/>
      <c r="AJ860" s="72"/>
      <c r="AK860" s="72"/>
      <c r="AL860" s="72"/>
      <c r="AM860" s="73"/>
      <c r="AN860" s="74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</row>
    <row r="861">
      <c r="A861" s="70"/>
      <c r="D861" s="70"/>
      <c r="N861" s="70"/>
      <c r="W861" s="71"/>
      <c r="X861" s="70"/>
      <c r="AF861" s="72"/>
      <c r="AG861" s="73"/>
      <c r="AH861" s="72"/>
      <c r="AI861" s="72"/>
      <c r="AJ861" s="72"/>
      <c r="AK861" s="72"/>
      <c r="AL861" s="72"/>
      <c r="AM861" s="73"/>
      <c r="AN861" s="74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</row>
    <row r="862">
      <c r="A862" s="70"/>
      <c r="D862" s="70"/>
      <c r="N862" s="70"/>
      <c r="W862" s="71"/>
      <c r="X862" s="70"/>
      <c r="AF862" s="72"/>
      <c r="AG862" s="73"/>
      <c r="AH862" s="72"/>
      <c r="AI862" s="72"/>
      <c r="AJ862" s="72"/>
      <c r="AK862" s="72"/>
      <c r="AL862" s="72"/>
      <c r="AM862" s="73"/>
      <c r="AN862" s="74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</row>
    <row r="863">
      <c r="A863" s="70"/>
      <c r="D863" s="70"/>
      <c r="N863" s="70"/>
      <c r="W863" s="71"/>
      <c r="X863" s="70"/>
      <c r="AF863" s="72"/>
      <c r="AG863" s="73"/>
      <c r="AH863" s="72"/>
      <c r="AI863" s="72"/>
      <c r="AJ863" s="72"/>
      <c r="AK863" s="72"/>
      <c r="AL863" s="72"/>
      <c r="AM863" s="73"/>
      <c r="AN863" s="74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</row>
    <row r="864">
      <c r="A864" s="70"/>
      <c r="D864" s="70"/>
      <c r="N864" s="70"/>
      <c r="W864" s="71"/>
      <c r="X864" s="70"/>
      <c r="AF864" s="72"/>
      <c r="AG864" s="73"/>
      <c r="AH864" s="72"/>
      <c r="AI864" s="72"/>
      <c r="AJ864" s="72"/>
      <c r="AK864" s="72"/>
      <c r="AL864" s="72"/>
      <c r="AM864" s="73"/>
      <c r="AN864" s="74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</row>
    <row r="865">
      <c r="A865" s="70"/>
      <c r="D865" s="70"/>
      <c r="N865" s="70"/>
      <c r="W865" s="71"/>
      <c r="X865" s="70"/>
      <c r="AF865" s="72"/>
      <c r="AG865" s="73"/>
      <c r="AH865" s="72"/>
      <c r="AI865" s="72"/>
      <c r="AJ865" s="72"/>
      <c r="AK865" s="72"/>
      <c r="AL865" s="72"/>
      <c r="AM865" s="73"/>
      <c r="AN865" s="74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</row>
    <row r="866">
      <c r="A866" s="70"/>
      <c r="D866" s="70"/>
      <c r="N866" s="70"/>
      <c r="W866" s="71"/>
      <c r="X866" s="70"/>
      <c r="AF866" s="72"/>
      <c r="AG866" s="73"/>
      <c r="AH866" s="72"/>
      <c r="AI866" s="72"/>
      <c r="AJ866" s="72"/>
      <c r="AK866" s="72"/>
      <c r="AL866" s="72"/>
      <c r="AM866" s="73"/>
      <c r="AN866" s="74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</row>
    <row r="867">
      <c r="A867" s="70"/>
      <c r="D867" s="70"/>
      <c r="N867" s="70"/>
      <c r="W867" s="71"/>
      <c r="X867" s="70"/>
      <c r="AF867" s="72"/>
      <c r="AG867" s="73"/>
      <c r="AH867" s="72"/>
      <c r="AI867" s="72"/>
      <c r="AJ867" s="72"/>
      <c r="AK867" s="72"/>
      <c r="AL867" s="72"/>
      <c r="AM867" s="73"/>
      <c r="AN867" s="74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</row>
    <row r="868">
      <c r="A868" s="70"/>
      <c r="D868" s="70"/>
      <c r="N868" s="70"/>
      <c r="W868" s="71"/>
      <c r="X868" s="70"/>
      <c r="AF868" s="72"/>
      <c r="AG868" s="73"/>
      <c r="AH868" s="72"/>
      <c r="AI868" s="72"/>
      <c r="AJ868" s="72"/>
      <c r="AK868" s="72"/>
      <c r="AL868" s="72"/>
      <c r="AM868" s="73"/>
      <c r="AN868" s="74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</row>
    <row r="869">
      <c r="A869" s="70"/>
      <c r="D869" s="70"/>
      <c r="N869" s="70"/>
      <c r="W869" s="71"/>
      <c r="X869" s="70"/>
      <c r="AF869" s="72"/>
      <c r="AG869" s="73"/>
      <c r="AH869" s="72"/>
      <c r="AI869" s="72"/>
      <c r="AJ869" s="72"/>
      <c r="AK869" s="72"/>
      <c r="AL869" s="72"/>
      <c r="AM869" s="73"/>
      <c r="AN869" s="74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</row>
    <row r="870">
      <c r="A870" s="70"/>
      <c r="D870" s="70"/>
      <c r="N870" s="70"/>
      <c r="W870" s="71"/>
      <c r="X870" s="70"/>
      <c r="AF870" s="72"/>
      <c r="AG870" s="73"/>
      <c r="AH870" s="72"/>
      <c r="AI870" s="72"/>
      <c r="AJ870" s="72"/>
      <c r="AK870" s="72"/>
      <c r="AL870" s="72"/>
      <c r="AM870" s="73"/>
      <c r="AN870" s="74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</row>
    <row r="871">
      <c r="A871" s="70"/>
      <c r="D871" s="70"/>
      <c r="N871" s="70"/>
      <c r="W871" s="71"/>
      <c r="X871" s="70"/>
      <c r="AF871" s="72"/>
      <c r="AG871" s="73"/>
      <c r="AH871" s="72"/>
      <c r="AI871" s="72"/>
      <c r="AJ871" s="72"/>
      <c r="AK871" s="72"/>
      <c r="AL871" s="72"/>
      <c r="AM871" s="73"/>
      <c r="AN871" s="74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</row>
    <row r="872">
      <c r="A872" s="70"/>
      <c r="D872" s="70"/>
      <c r="N872" s="70"/>
      <c r="W872" s="71"/>
      <c r="X872" s="70"/>
      <c r="AF872" s="72"/>
      <c r="AG872" s="73"/>
      <c r="AH872" s="72"/>
      <c r="AI872" s="72"/>
      <c r="AJ872" s="72"/>
      <c r="AK872" s="72"/>
      <c r="AL872" s="72"/>
      <c r="AM872" s="73"/>
      <c r="AN872" s="74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</row>
    <row r="873">
      <c r="A873" s="70"/>
      <c r="D873" s="70"/>
      <c r="N873" s="70"/>
      <c r="W873" s="71"/>
      <c r="X873" s="70"/>
      <c r="AF873" s="72"/>
      <c r="AG873" s="73"/>
      <c r="AH873" s="72"/>
      <c r="AI873" s="72"/>
      <c r="AJ873" s="72"/>
      <c r="AK873" s="72"/>
      <c r="AL873" s="72"/>
      <c r="AM873" s="73"/>
      <c r="AN873" s="74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</row>
    <row r="874">
      <c r="A874" s="70"/>
      <c r="D874" s="70"/>
      <c r="N874" s="70"/>
      <c r="W874" s="71"/>
      <c r="X874" s="70"/>
      <c r="AF874" s="72"/>
      <c r="AG874" s="73"/>
      <c r="AH874" s="72"/>
      <c r="AI874" s="72"/>
      <c r="AJ874" s="72"/>
      <c r="AK874" s="72"/>
      <c r="AL874" s="72"/>
      <c r="AM874" s="73"/>
      <c r="AN874" s="74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</row>
    <row r="875">
      <c r="A875" s="70"/>
      <c r="D875" s="70"/>
      <c r="N875" s="70"/>
      <c r="W875" s="71"/>
      <c r="X875" s="70"/>
      <c r="AF875" s="72"/>
      <c r="AG875" s="73"/>
      <c r="AH875" s="72"/>
      <c r="AI875" s="72"/>
      <c r="AJ875" s="72"/>
      <c r="AK875" s="72"/>
      <c r="AL875" s="72"/>
      <c r="AM875" s="73"/>
      <c r="AN875" s="74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</row>
    <row r="876">
      <c r="A876" s="70"/>
      <c r="D876" s="70"/>
      <c r="N876" s="70"/>
      <c r="W876" s="71"/>
      <c r="X876" s="70"/>
      <c r="AF876" s="72"/>
      <c r="AG876" s="73"/>
      <c r="AH876" s="72"/>
      <c r="AI876" s="72"/>
      <c r="AJ876" s="72"/>
      <c r="AK876" s="72"/>
      <c r="AL876" s="72"/>
      <c r="AM876" s="73"/>
      <c r="AN876" s="74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</row>
    <row r="877">
      <c r="A877" s="70"/>
      <c r="D877" s="70"/>
      <c r="N877" s="70"/>
      <c r="W877" s="71"/>
      <c r="X877" s="70"/>
      <c r="AF877" s="72"/>
      <c r="AG877" s="73"/>
      <c r="AH877" s="72"/>
      <c r="AI877" s="72"/>
      <c r="AJ877" s="72"/>
      <c r="AK877" s="72"/>
      <c r="AL877" s="72"/>
      <c r="AM877" s="73"/>
      <c r="AN877" s="74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</row>
    <row r="878">
      <c r="A878" s="70"/>
      <c r="D878" s="70"/>
      <c r="N878" s="70"/>
      <c r="W878" s="71"/>
      <c r="X878" s="70"/>
      <c r="AF878" s="72"/>
      <c r="AG878" s="73"/>
      <c r="AH878" s="72"/>
      <c r="AI878" s="72"/>
      <c r="AJ878" s="72"/>
      <c r="AK878" s="72"/>
      <c r="AL878" s="72"/>
      <c r="AM878" s="73"/>
      <c r="AN878" s="74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</row>
    <row r="879">
      <c r="A879" s="70"/>
      <c r="D879" s="70"/>
      <c r="N879" s="70"/>
      <c r="W879" s="71"/>
      <c r="X879" s="70"/>
      <c r="AF879" s="72"/>
      <c r="AG879" s="73"/>
      <c r="AH879" s="72"/>
      <c r="AI879" s="72"/>
      <c r="AJ879" s="72"/>
      <c r="AK879" s="72"/>
      <c r="AL879" s="72"/>
      <c r="AM879" s="73"/>
      <c r="AN879" s="74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</row>
    <row r="880">
      <c r="A880" s="70"/>
      <c r="D880" s="70"/>
      <c r="N880" s="70"/>
      <c r="W880" s="71"/>
      <c r="X880" s="70"/>
      <c r="AF880" s="72"/>
      <c r="AG880" s="73"/>
      <c r="AH880" s="72"/>
      <c r="AI880" s="72"/>
      <c r="AJ880" s="72"/>
      <c r="AK880" s="72"/>
      <c r="AL880" s="72"/>
      <c r="AM880" s="73"/>
      <c r="AN880" s="74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</row>
    <row r="881">
      <c r="A881" s="70"/>
      <c r="D881" s="70"/>
      <c r="N881" s="70"/>
      <c r="W881" s="71"/>
      <c r="X881" s="70"/>
      <c r="AF881" s="72"/>
      <c r="AG881" s="73"/>
      <c r="AH881" s="72"/>
      <c r="AI881" s="72"/>
      <c r="AJ881" s="72"/>
      <c r="AK881" s="72"/>
      <c r="AL881" s="72"/>
      <c r="AM881" s="73"/>
      <c r="AN881" s="74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</row>
    <row r="882">
      <c r="A882" s="70"/>
      <c r="D882" s="70"/>
      <c r="N882" s="70"/>
      <c r="W882" s="71"/>
      <c r="X882" s="70"/>
      <c r="AF882" s="72"/>
      <c r="AG882" s="73"/>
      <c r="AH882" s="72"/>
      <c r="AI882" s="72"/>
      <c r="AJ882" s="72"/>
      <c r="AK882" s="72"/>
      <c r="AL882" s="72"/>
      <c r="AM882" s="73"/>
      <c r="AN882" s="74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</row>
    <row r="883">
      <c r="A883" s="70"/>
      <c r="D883" s="70"/>
      <c r="N883" s="70"/>
      <c r="W883" s="71"/>
      <c r="X883" s="70"/>
      <c r="AF883" s="72"/>
      <c r="AG883" s="73"/>
      <c r="AH883" s="72"/>
      <c r="AI883" s="72"/>
      <c r="AJ883" s="72"/>
      <c r="AK883" s="72"/>
      <c r="AL883" s="72"/>
      <c r="AM883" s="73"/>
      <c r="AN883" s="74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</row>
    <row r="884">
      <c r="A884" s="70"/>
      <c r="D884" s="70"/>
      <c r="N884" s="70"/>
      <c r="W884" s="71"/>
      <c r="X884" s="70"/>
      <c r="AF884" s="72"/>
      <c r="AG884" s="73"/>
      <c r="AH884" s="72"/>
      <c r="AI884" s="72"/>
      <c r="AJ884" s="72"/>
      <c r="AK884" s="72"/>
      <c r="AL884" s="72"/>
      <c r="AM884" s="73"/>
      <c r="AN884" s="74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</row>
    <row r="885">
      <c r="A885" s="70"/>
      <c r="D885" s="70"/>
      <c r="N885" s="70"/>
      <c r="W885" s="71"/>
      <c r="X885" s="70"/>
      <c r="AF885" s="72"/>
      <c r="AG885" s="73"/>
      <c r="AH885" s="72"/>
      <c r="AI885" s="72"/>
      <c r="AJ885" s="72"/>
      <c r="AK885" s="72"/>
      <c r="AL885" s="72"/>
      <c r="AM885" s="73"/>
      <c r="AN885" s="74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</row>
    <row r="886">
      <c r="A886" s="70"/>
      <c r="D886" s="70"/>
      <c r="N886" s="70"/>
      <c r="W886" s="71"/>
      <c r="X886" s="70"/>
      <c r="AF886" s="72"/>
      <c r="AG886" s="73"/>
      <c r="AH886" s="72"/>
      <c r="AI886" s="72"/>
      <c r="AJ886" s="72"/>
      <c r="AK886" s="72"/>
      <c r="AL886" s="72"/>
      <c r="AM886" s="73"/>
      <c r="AN886" s="74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</row>
    <row r="887">
      <c r="A887" s="70"/>
      <c r="D887" s="70"/>
      <c r="N887" s="70"/>
      <c r="W887" s="71"/>
      <c r="X887" s="70"/>
      <c r="AF887" s="72"/>
      <c r="AG887" s="73"/>
      <c r="AH887" s="72"/>
      <c r="AI887" s="72"/>
      <c r="AJ887" s="72"/>
      <c r="AK887" s="72"/>
      <c r="AL887" s="72"/>
      <c r="AM887" s="73"/>
      <c r="AN887" s="74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</row>
    <row r="888">
      <c r="A888" s="70"/>
      <c r="D888" s="70"/>
      <c r="N888" s="70"/>
      <c r="W888" s="71"/>
      <c r="X888" s="70"/>
      <c r="AF888" s="72"/>
      <c r="AG888" s="73"/>
      <c r="AH888" s="72"/>
      <c r="AI888" s="72"/>
      <c r="AJ888" s="72"/>
      <c r="AK888" s="72"/>
      <c r="AL888" s="72"/>
      <c r="AM888" s="73"/>
      <c r="AN888" s="74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</row>
    <row r="889">
      <c r="A889" s="70"/>
      <c r="D889" s="70"/>
      <c r="N889" s="70"/>
      <c r="W889" s="71"/>
      <c r="X889" s="70"/>
      <c r="AF889" s="72"/>
      <c r="AG889" s="73"/>
      <c r="AH889" s="72"/>
      <c r="AI889" s="72"/>
      <c r="AJ889" s="72"/>
      <c r="AK889" s="72"/>
      <c r="AL889" s="72"/>
      <c r="AM889" s="73"/>
      <c r="AN889" s="74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</row>
    <row r="890">
      <c r="A890" s="70"/>
      <c r="D890" s="70"/>
      <c r="N890" s="70"/>
      <c r="W890" s="71"/>
      <c r="X890" s="70"/>
      <c r="AF890" s="72"/>
      <c r="AG890" s="73"/>
      <c r="AH890" s="72"/>
      <c r="AI890" s="72"/>
      <c r="AJ890" s="72"/>
      <c r="AK890" s="72"/>
      <c r="AL890" s="72"/>
      <c r="AM890" s="73"/>
      <c r="AN890" s="74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</row>
    <row r="891">
      <c r="A891" s="70"/>
      <c r="D891" s="70"/>
      <c r="N891" s="70"/>
      <c r="W891" s="71"/>
      <c r="X891" s="70"/>
      <c r="AF891" s="72"/>
      <c r="AG891" s="73"/>
      <c r="AH891" s="72"/>
      <c r="AI891" s="72"/>
      <c r="AJ891" s="72"/>
      <c r="AK891" s="72"/>
      <c r="AL891" s="72"/>
      <c r="AM891" s="73"/>
      <c r="AN891" s="74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</row>
    <row r="892">
      <c r="A892" s="70"/>
      <c r="D892" s="70"/>
      <c r="N892" s="70"/>
      <c r="W892" s="71"/>
      <c r="X892" s="70"/>
      <c r="AF892" s="72"/>
      <c r="AG892" s="73"/>
      <c r="AH892" s="72"/>
      <c r="AI892" s="72"/>
      <c r="AJ892" s="72"/>
      <c r="AK892" s="72"/>
      <c r="AL892" s="72"/>
      <c r="AM892" s="73"/>
      <c r="AN892" s="74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</row>
    <row r="893">
      <c r="A893" s="70"/>
      <c r="D893" s="70"/>
      <c r="N893" s="70"/>
      <c r="W893" s="71"/>
      <c r="X893" s="70"/>
      <c r="AF893" s="72"/>
      <c r="AG893" s="73"/>
      <c r="AH893" s="72"/>
      <c r="AI893" s="72"/>
      <c r="AJ893" s="72"/>
      <c r="AK893" s="72"/>
      <c r="AL893" s="72"/>
      <c r="AM893" s="73"/>
      <c r="AN893" s="74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</row>
    <row r="894">
      <c r="A894" s="70"/>
      <c r="D894" s="70"/>
      <c r="N894" s="70"/>
      <c r="W894" s="71"/>
      <c r="X894" s="70"/>
      <c r="AF894" s="72"/>
      <c r="AG894" s="73"/>
      <c r="AH894" s="72"/>
      <c r="AI894" s="72"/>
      <c r="AJ894" s="72"/>
      <c r="AK894" s="72"/>
      <c r="AL894" s="72"/>
      <c r="AM894" s="73"/>
      <c r="AN894" s="74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</row>
    <row r="895">
      <c r="A895" s="70"/>
      <c r="D895" s="70"/>
      <c r="N895" s="70"/>
      <c r="W895" s="71"/>
      <c r="X895" s="70"/>
      <c r="AF895" s="72"/>
      <c r="AG895" s="73"/>
      <c r="AH895" s="72"/>
      <c r="AI895" s="72"/>
      <c r="AJ895" s="72"/>
      <c r="AK895" s="72"/>
      <c r="AL895" s="72"/>
      <c r="AM895" s="73"/>
      <c r="AN895" s="74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</row>
    <row r="896">
      <c r="A896" s="70"/>
      <c r="D896" s="70"/>
      <c r="N896" s="70"/>
      <c r="W896" s="71"/>
      <c r="X896" s="70"/>
      <c r="AF896" s="72"/>
      <c r="AG896" s="73"/>
      <c r="AH896" s="72"/>
      <c r="AI896" s="72"/>
      <c r="AJ896" s="72"/>
      <c r="AK896" s="72"/>
      <c r="AL896" s="72"/>
      <c r="AM896" s="73"/>
      <c r="AN896" s="74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</row>
    <row r="897">
      <c r="A897" s="70"/>
      <c r="D897" s="70"/>
      <c r="N897" s="70"/>
      <c r="W897" s="71"/>
      <c r="X897" s="70"/>
      <c r="AF897" s="72"/>
      <c r="AG897" s="73"/>
      <c r="AH897" s="72"/>
      <c r="AI897" s="72"/>
      <c r="AJ897" s="72"/>
      <c r="AK897" s="72"/>
      <c r="AL897" s="72"/>
      <c r="AM897" s="73"/>
      <c r="AN897" s="74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</row>
    <row r="898">
      <c r="A898" s="70"/>
      <c r="D898" s="70"/>
      <c r="N898" s="70"/>
      <c r="W898" s="71"/>
      <c r="X898" s="70"/>
      <c r="AF898" s="72"/>
      <c r="AG898" s="73"/>
      <c r="AH898" s="72"/>
      <c r="AI898" s="72"/>
      <c r="AJ898" s="72"/>
      <c r="AK898" s="72"/>
      <c r="AL898" s="72"/>
      <c r="AM898" s="73"/>
      <c r="AN898" s="74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</row>
    <row r="899">
      <c r="A899" s="70"/>
      <c r="D899" s="70"/>
      <c r="N899" s="70"/>
      <c r="W899" s="71"/>
      <c r="X899" s="70"/>
      <c r="AF899" s="72"/>
      <c r="AG899" s="73"/>
      <c r="AH899" s="72"/>
      <c r="AI899" s="72"/>
      <c r="AJ899" s="72"/>
      <c r="AK899" s="72"/>
      <c r="AL899" s="72"/>
      <c r="AM899" s="73"/>
      <c r="AN899" s="74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</row>
    <row r="900">
      <c r="A900" s="70"/>
      <c r="D900" s="70"/>
      <c r="N900" s="70"/>
      <c r="W900" s="71"/>
      <c r="X900" s="70"/>
      <c r="AF900" s="72"/>
      <c r="AG900" s="73"/>
      <c r="AH900" s="72"/>
      <c r="AI900" s="72"/>
      <c r="AJ900" s="72"/>
      <c r="AK900" s="72"/>
      <c r="AL900" s="72"/>
      <c r="AM900" s="73"/>
      <c r="AN900" s="74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</row>
    <row r="901">
      <c r="A901" s="70"/>
      <c r="D901" s="70"/>
      <c r="N901" s="70"/>
      <c r="W901" s="71"/>
      <c r="X901" s="70"/>
      <c r="AF901" s="72"/>
      <c r="AG901" s="73"/>
      <c r="AH901" s="72"/>
      <c r="AI901" s="72"/>
      <c r="AJ901" s="72"/>
      <c r="AK901" s="72"/>
      <c r="AL901" s="72"/>
      <c r="AM901" s="73"/>
      <c r="AN901" s="74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</row>
    <row r="902">
      <c r="A902" s="70"/>
      <c r="D902" s="70"/>
      <c r="N902" s="70"/>
      <c r="W902" s="71"/>
      <c r="X902" s="70"/>
      <c r="AF902" s="72"/>
      <c r="AG902" s="73"/>
      <c r="AH902" s="72"/>
      <c r="AI902" s="72"/>
      <c r="AJ902" s="72"/>
      <c r="AK902" s="72"/>
      <c r="AL902" s="72"/>
      <c r="AM902" s="73"/>
      <c r="AN902" s="74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</row>
    <row r="903">
      <c r="A903" s="70"/>
      <c r="D903" s="70"/>
      <c r="N903" s="70"/>
      <c r="W903" s="71"/>
      <c r="X903" s="70"/>
      <c r="AF903" s="72"/>
      <c r="AG903" s="73"/>
      <c r="AH903" s="72"/>
      <c r="AI903" s="72"/>
      <c r="AJ903" s="72"/>
      <c r="AK903" s="72"/>
      <c r="AL903" s="72"/>
      <c r="AM903" s="73"/>
      <c r="AN903" s="74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</row>
    <row r="904">
      <c r="A904" s="70"/>
      <c r="D904" s="70"/>
      <c r="N904" s="70"/>
      <c r="W904" s="71"/>
      <c r="X904" s="70"/>
      <c r="AF904" s="72"/>
      <c r="AG904" s="73"/>
      <c r="AH904" s="72"/>
      <c r="AI904" s="72"/>
      <c r="AJ904" s="72"/>
      <c r="AK904" s="72"/>
      <c r="AL904" s="72"/>
      <c r="AM904" s="73"/>
      <c r="AN904" s="74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</row>
    <row r="905">
      <c r="A905" s="70"/>
      <c r="D905" s="70"/>
      <c r="N905" s="70"/>
      <c r="W905" s="71"/>
      <c r="X905" s="70"/>
      <c r="AF905" s="72"/>
      <c r="AG905" s="73"/>
      <c r="AH905" s="72"/>
      <c r="AI905" s="72"/>
      <c r="AJ905" s="72"/>
      <c r="AK905" s="72"/>
      <c r="AL905" s="72"/>
      <c r="AM905" s="73"/>
      <c r="AN905" s="74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</row>
    <row r="906">
      <c r="A906" s="70"/>
      <c r="D906" s="70"/>
      <c r="N906" s="70"/>
      <c r="W906" s="71"/>
      <c r="X906" s="70"/>
      <c r="AF906" s="72"/>
      <c r="AG906" s="73"/>
      <c r="AH906" s="72"/>
      <c r="AI906" s="72"/>
      <c r="AJ906" s="72"/>
      <c r="AK906" s="72"/>
      <c r="AL906" s="72"/>
      <c r="AM906" s="73"/>
      <c r="AN906" s="74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</row>
    <row r="907">
      <c r="A907" s="70"/>
      <c r="D907" s="70"/>
      <c r="N907" s="70"/>
      <c r="W907" s="71"/>
      <c r="X907" s="70"/>
      <c r="AF907" s="72"/>
      <c r="AG907" s="73"/>
      <c r="AH907" s="72"/>
      <c r="AI907" s="72"/>
      <c r="AJ907" s="72"/>
      <c r="AK907" s="72"/>
      <c r="AL907" s="72"/>
      <c r="AM907" s="73"/>
      <c r="AN907" s="74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</row>
    <row r="908">
      <c r="A908" s="70"/>
      <c r="D908" s="70"/>
      <c r="N908" s="70"/>
      <c r="W908" s="71"/>
      <c r="X908" s="70"/>
      <c r="AF908" s="72"/>
      <c r="AG908" s="73"/>
      <c r="AH908" s="72"/>
      <c r="AI908" s="72"/>
      <c r="AJ908" s="72"/>
      <c r="AK908" s="72"/>
      <c r="AL908" s="72"/>
      <c r="AM908" s="73"/>
      <c r="AN908" s="74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</row>
    <row r="909">
      <c r="A909" s="70"/>
      <c r="D909" s="70"/>
      <c r="N909" s="70"/>
      <c r="W909" s="71"/>
      <c r="X909" s="70"/>
      <c r="AF909" s="72"/>
      <c r="AG909" s="73"/>
      <c r="AH909" s="72"/>
      <c r="AI909" s="72"/>
      <c r="AJ909" s="72"/>
      <c r="AK909" s="72"/>
      <c r="AL909" s="72"/>
      <c r="AM909" s="73"/>
      <c r="AN909" s="74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</row>
    <row r="910">
      <c r="A910" s="70"/>
      <c r="D910" s="70"/>
      <c r="N910" s="70"/>
      <c r="W910" s="71"/>
      <c r="X910" s="70"/>
      <c r="AF910" s="72"/>
      <c r="AG910" s="73"/>
      <c r="AH910" s="72"/>
      <c r="AI910" s="72"/>
      <c r="AJ910" s="72"/>
      <c r="AK910" s="72"/>
      <c r="AL910" s="72"/>
      <c r="AM910" s="73"/>
      <c r="AN910" s="74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</row>
    <row r="911">
      <c r="A911" s="70"/>
      <c r="D911" s="70"/>
      <c r="N911" s="70"/>
      <c r="W911" s="71"/>
      <c r="X911" s="70"/>
      <c r="AF911" s="72"/>
      <c r="AG911" s="73"/>
      <c r="AH911" s="72"/>
      <c r="AI911" s="72"/>
      <c r="AJ911" s="72"/>
      <c r="AK911" s="72"/>
      <c r="AL911" s="72"/>
      <c r="AM911" s="73"/>
      <c r="AN911" s="74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</row>
    <row r="912">
      <c r="A912" s="70"/>
      <c r="D912" s="70"/>
      <c r="N912" s="70"/>
      <c r="W912" s="71"/>
      <c r="X912" s="70"/>
      <c r="AF912" s="72"/>
      <c r="AG912" s="73"/>
      <c r="AH912" s="72"/>
      <c r="AI912" s="72"/>
      <c r="AJ912" s="72"/>
      <c r="AK912" s="72"/>
      <c r="AL912" s="72"/>
      <c r="AM912" s="73"/>
      <c r="AN912" s="74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</row>
    <row r="913">
      <c r="A913" s="70"/>
      <c r="D913" s="70"/>
      <c r="N913" s="70"/>
      <c r="W913" s="71"/>
      <c r="X913" s="70"/>
      <c r="AF913" s="72"/>
      <c r="AG913" s="73"/>
      <c r="AH913" s="72"/>
      <c r="AI913" s="72"/>
      <c r="AJ913" s="72"/>
      <c r="AK913" s="72"/>
      <c r="AL913" s="72"/>
      <c r="AM913" s="73"/>
      <c r="AN913" s="74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</row>
    <row r="914">
      <c r="A914" s="70"/>
      <c r="D914" s="70"/>
      <c r="N914" s="70"/>
      <c r="W914" s="71"/>
      <c r="X914" s="70"/>
      <c r="AF914" s="72"/>
      <c r="AG914" s="73"/>
      <c r="AH914" s="72"/>
      <c r="AI914" s="72"/>
      <c r="AJ914" s="72"/>
      <c r="AK914" s="72"/>
      <c r="AL914" s="72"/>
      <c r="AM914" s="73"/>
      <c r="AN914" s="74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</row>
    <row r="915">
      <c r="A915" s="70"/>
      <c r="D915" s="70"/>
      <c r="N915" s="70"/>
      <c r="W915" s="71"/>
      <c r="X915" s="70"/>
      <c r="AF915" s="72"/>
      <c r="AG915" s="73"/>
      <c r="AH915" s="72"/>
      <c r="AI915" s="72"/>
      <c r="AJ915" s="72"/>
      <c r="AK915" s="72"/>
      <c r="AL915" s="72"/>
      <c r="AM915" s="73"/>
      <c r="AN915" s="74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</row>
    <row r="916">
      <c r="A916" s="70"/>
      <c r="D916" s="70"/>
      <c r="N916" s="70"/>
      <c r="W916" s="71"/>
      <c r="X916" s="70"/>
      <c r="AF916" s="72"/>
      <c r="AG916" s="73"/>
      <c r="AH916" s="72"/>
      <c r="AI916" s="72"/>
      <c r="AJ916" s="72"/>
      <c r="AK916" s="72"/>
      <c r="AL916" s="72"/>
      <c r="AM916" s="73"/>
      <c r="AN916" s="74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</row>
    <row r="917">
      <c r="A917" s="70"/>
      <c r="D917" s="70"/>
      <c r="N917" s="70"/>
      <c r="W917" s="71"/>
      <c r="X917" s="70"/>
      <c r="AF917" s="72"/>
      <c r="AG917" s="73"/>
      <c r="AH917" s="72"/>
      <c r="AI917" s="72"/>
      <c r="AJ917" s="72"/>
      <c r="AK917" s="72"/>
      <c r="AL917" s="72"/>
      <c r="AM917" s="73"/>
      <c r="AN917" s="74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</row>
    <row r="918">
      <c r="A918" s="70"/>
      <c r="D918" s="70"/>
      <c r="N918" s="70"/>
      <c r="W918" s="71"/>
      <c r="X918" s="70"/>
      <c r="AF918" s="72"/>
      <c r="AG918" s="73"/>
      <c r="AH918" s="72"/>
      <c r="AI918" s="72"/>
      <c r="AJ918" s="72"/>
      <c r="AK918" s="72"/>
      <c r="AL918" s="72"/>
      <c r="AM918" s="73"/>
      <c r="AN918" s="74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</row>
    <row r="919">
      <c r="A919" s="70"/>
      <c r="D919" s="70"/>
      <c r="N919" s="70"/>
      <c r="W919" s="71"/>
      <c r="X919" s="70"/>
      <c r="AF919" s="72"/>
      <c r="AG919" s="73"/>
      <c r="AH919" s="72"/>
      <c r="AI919" s="72"/>
      <c r="AJ919" s="72"/>
      <c r="AK919" s="72"/>
      <c r="AL919" s="72"/>
      <c r="AM919" s="73"/>
      <c r="AN919" s="74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</row>
    <row r="920">
      <c r="A920" s="70"/>
      <c r="D920" s="70"/>
      <c r="N920" s="70"/>
      <c r="W920" s="71"/>
      <c r="X920" s="70"/>
      <c r="AF920" s="72"/>
      <c r="AG920" s="73"/>
      <c r="AH920" s="72"/>
      <c r="AI920" s="72"/>
      <c r="AJ920" s="72"/>
      <c r="AK920" s="72"/>
      <c r="AL920" s="72"/>
      <c r="AM920" s="73"/>
      <c r="AN920" s="74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</row>
    <row r="921">
      <c r="A921" s="70"/>
      <c r="D921" s="70"/>
      <c r="N921" s="70"/>
      <c r="W921" s="71"/>
      <c r="X921" s="70"/>
      <c r="AF921" s="72"/>
      <c r="AG921" s="73"/>
      <c r="AH921" s="72"/>
      <c r="AI921" s="72"/>
      <c r="AJ921" s="72"/>
      <c r="AK921" s="72"/>
      <c r="AL921" s="72"/>
      <c r="AM921" s="73"/>
      <c r="AN921" s="74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</row>
    <row r="922">
      <c r="A922" s="70"/>
      <c r="D922" s="70"/>
      <c r="N922" s="70"/>
      <c r="W922" s="71"/>
      <c r="X922" s="70"/>
      <c r="AF922" s="72"/>
      <c r="AG922" s="73"/>
      <c r="AH922" s="72"/>
      <c r="AI922" s="72"/>
      <c r="AJ922" s="72"/>
      <c r="AK922" s="72"/>
      <c r="AL922" s="72"/>
      <c r="AM922" s="73"/>
      <c r="AN922" s="74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</row>
    <row r="923">
      <c r="A923" s="70"/>
      <c r="D923" s="70"/>
      <c r="N923" s="70"/>
      <c r="W923" s="71"/>
      <c r="X923" s="70"/>
      <c r="AF923" s="72"/>
      <c r="AG923" s="73"/>
      <c r="AH923" s="72"/>
      <c r="AI923" s="72"/>
      <c r="AJ923" s="72"/>
      <c r="AK923" s="72"/>
      <c r="AL923" s="72"/>
      <c r="AM923" s="73"/>
      <c r="AN923" s="74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</row>
    <row r="924">
      <c r="A924" s="70"/>
      <c r="D924" s="70"/>
      <c r="N924" s="70"/>
      <c r="W924" s="71"/>
      <c r="X924" s="70"/>
      <c r="AF924" s="72"/>
      <c r="AG924" s="73"/>
      <c r="AH924" s="72"/>
      <c r="AI924" s="72"/>
      <c r="AJ924" s="72"/>
      <c r="AK924" s="72"/>
      <c r="AL924" s="72"/>
      <c r="AM924" s="73"/>
      <c r="AN924" s="74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</row>
    <row r="925">
      <c r="A925" s="70"/>
      <c r="D925" s="70"/>
      <c r="N925" s="70"/>
      <c r="W925" s="71"/>
      <c r="X925" s="70"/>
      <c r="AF925" s="72"/>
      <c r="AG925" s="73"/>
      <c r="AH925" s="72"/>
      <c r="AI925" s="72"/>
      <c r="AJ925" s="72"/>
      <c r="AK925" s="72"/>
      <c r="AL925" s="72"/>
      <c r="AM925" s="73"/>
      <c r="AN925" s="74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</row>
    <row r="926">
      <c r="A926" s="70"/>
      <c r="D926" s="70"/>
      <c r="N926" s="70"/>
      <c r="W926" s="71"/>
      <c r="X926" s="70"/>
      <c r="AF926" s="72"/>
      <c r="AG926" s="73"/>
      <c r="AH926" s="72"/>
      <c r="AI926" s="72"/>
      <c r="AJ926" s="72"/>
      <c r="AK926" s="72"/>
      <c r="AL926" s="72"/>
      <c r="AM926" s="73"/>
      <c r="AN926" s="74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</row>
    <row r="927">
      <c r="A927" s="70"/>
      <c r="D927" s="70"/>
      <c r="N927" s="70"/>
      <c r="W927" s="71"/>
      <c r="X927" s="70"/>
      <c r="AF927" s="72"/>
      <c r="AG927" s="73"/>
      <c r="AH927" s="72"/>
      <c r="AI927" s="72"/>
      <c r="AJ927" s="72"/>
      <c r="AK927" s="72"/>
      <c r="AL927" s="72"/>
      <c r="AM927" s="73"/>
      <c r="AN927" s="74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</row>
    <row r="928">
      <c r="A928" s="70"/>
      <c r="D928" s="70"/>
      <c r="N928" s="70"/>
      <c r="W928" s="71"/>
      <c r="X928" s="70"/>
      <c r="AF928" s="72"/>
      <c r="AG928" s="73"/>
      <c r="AH928" s="72"/>
      <c r="AI928" s="72"/>
      <c r="AJ928" s="72"/>
      <c r="AK928" s="72"/>
      <c r="AL928" s="72"/>
      <c r="AM928" s="73"/>
      <c r="AN928" s="74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</row>
    <row r="929">
      <c r="A929" s="70"/>
      <c r="D929" s="70"/>
      <c r="N929" s="70"/>
      <c r="W929" s="71"/>
      <c r="X929" s="70"/>
      <c r="AF929" s="72"/>
      <c r="AG929" s="73"/>
      <c r="AH929" s="72"/>
      <c r="AI929" s="72"/>
      <c r="AJ929" s="72"/>
      <c r="AK929" s="72"/>
      <c r="AL929" s="72"/>
      <c r="AM929" s="73"/>
      <c r="AN929" s="74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</row>
    <row r="930">
      <c r="A930" s="70"/>
      <c r="D930" s="70"/>
      <c r="N930" s="70"/>
      <c r="W930" s="71"/>
      <c r="X930" s="70"/>
      <c r="AF930" s="72"/>
      <c r="AG930" s="73"/>
      <c r="AH930" s="72"/>
      <c r="AI930" s="72"/>
      <c r="AJ930" s="72"/>
      <c r="AK930" s="72"/>
      <c r="AL930" s="72"/>
      <c r="AM930" s="73"/>
      <c r="AN930" s="74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</row>
    <row r="931">
      <c r="A931" s="70"/>
      <c r="D931" s="70"/>
      <c r="N931" s="70"/>
      <c r="W931" s="71"/>
      <c r="X931" s="70"/>
      <c r="AF931" s="72"/>
      <c r="AG931" s="73"/>
      <c r="AH931" s="72"/>
      <c r="AI931" s="72"/>
      <c r="AJ931" s="72"/>
      <c r="AK931" s="72"/>
      <c r="AL931" s="72"/>
      <c r="AM931" s="73"/>
      <c r="AN931" s="74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</row>
    <row r="932">
      <c r="A932" s="70"/>
      <c r="D932" s="70"/>
      <c r="N932" s="70"/>
      <c r="W932" s="71"/>
      <c r="X932" s="70"/>
      <c r="AF932" s="72"/>
      <c r="AG932" s="73"/>
      <c r="AH932" s="72"/>
      <c r="AI932" s="72"/>
      <c r="AJ932" s="72"/>
      <c r="AK932" s="72"/>
      <c r="AL932" s="72"/>
      <c r="AM932" s="73"/>
      <c r="AN932" s="74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</row>
    <row r="933">
      <c r="A933" s="70"/>
      <c r="D933" s="70"/>
      <c r="N933" s="70"/>
      <c r="W933" s="71"/>
      <c r="X933" s="70"/>
      <c r="AF933" s="72"/>
      <c r="AG933" s="73"/>
      <c r="AH933" s="72"/>
      <c r="AI933" s="72"/>
      <c r="AJ933" s="72"/>
      <c r="AK933" s="72"/>
      <c r="AL933" s="72"/>
      <c r="AM933" s="73"/>
      <c r="AN933" s="74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</row>
    <row r="934">
      <c r="A934" s="70"/>
      <c r="D934" s="70"/>
      <c r="N934" s="70"/>
      <c r="W934" s="71"/>
      <c r="X934" s="70"/>
      <c r="AF934" s="72"/>
      <c r="AG934" s="73"/>
      <c r="AH934" s="72"/>
      <c r="AI934" s="72"/>
      <c r="AJ934" s="72"/>
      <c r="AK934" s="72"/>
      <c r="AL934" s="72"/>
      <c r="AM934" s="73"/>
      <c r="AN934" s="74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</row>
    <row r="935">
      <c r="A935" s="70"/>
      <c r="D935" s="70"/>
      <c r="N935" s="70"/>
      <c r="W935" s="71"/>
      <c r="X935" s="70"/>
      <c r="AF935" s="72"/>
      <c r="AG935" s="73"/>
      <c r="AH935" s="72"/>
      <c r="AI935" s="72"/>
      <c r="AJ935" s="72"/>
      <c r="AK935" s="72"/>
      <c r="AL935" s="72"/>
      <c r="AM935" s="73"/>
      <c r="AN935" s="74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</row>
    <row r="936">
      <c r="A936" s="70"/>
      <c r="D936" s="70"/>
      <c r="N936" s="70"/>
      <c r="W936" s="71"/>
      <c r="X936" s="70"/>
      <c r="AF936" s="72"/>
      <c r="AG936" s="73"/>
      <c r="AH936" s="72"/>
      <c r="AI936" s="72"/>
      <c r="AJ936" s="72"/>
      <c r="AK936" s="72"/>
      <c r="AL936" s="72"/>
      <c r="AM936" s="73"/>
      <c r="AN936" s="74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</row>
    <row r="937">
      <c r="A937" s="70"/>
      <c r="D937" s="70"/>
      <c r="N937" s="70"/>
      <c r="W937" s="71"/>
      <c r="X937" s="70"/>
      <c r="AF937" s="72"/>
      <c r="AG937" s="73"/>
      <c r="AH937" s="72"/>
      <c r="AI937" s="72"/>
      <c r="AJ937" s="72"/>
      <c r="AK937" s="72"/>
      <c r="AL937" s="72"/>
      <c r="AM937" s="73"/>
      <c r="AN937" s="74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</row>
    <row r="938">
      <c r="A938" s="70"/>
      <c r="D938" s="70"/>
      <c r="N938" s="70"/>
      <c r="W938" s="71"/>
      <c r="X938" s="70"/>
      <c r="AF938" s="72"/>
      <c r="AG938" s="73"/>
      <c r="AH938" s="72"/>
      <c r="AI938" s="72"/>
      <c r="AJ938" s="72"/>
      <c r="AK938" s="72"/>
      <c r="AL938" s="72"/>
      <c r="AM938" s="73"/>
      <c r="AN938" s="74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</row>
    <row r="939">
      <c r="A939" s="70"/>
      <c r="D939" s="70"/>
      <c r="N939" s="70"/>
      <c r="W939" s="71"/>
      <c r="X939" s="70"/>
      <c r="AF939" s="72"/>
      <c r="AG939" s="73"/>
      <c r="AH939" s="72"/>
      <c r="AI939" s="72"/>
      <c r="AJ939" s="72"/>
      <c r="AK939" s="72"/>
      <c r="AL939" s="72"/>
      <c r="AM939" s="73"/>
      <c r="AN939" s="74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</row>
    <row r="940">
      <c r="A940" s="70"/>
      <c r="D940" s="70"/>
      <c r="N940" s="70"/>
      <c r="W940" s="71"/>
      <c r="X940" s="70"/>
      <c r="AF940" s="72"/>
      <c r="AG940" s="73"/>
      <c r="AH940" s="72"/>
      <c r="AI940" s="72"/>
      <c r="AJ940" s="72"/>
      <c r="AK940" s="72"/>
      <c r="AL940" s="72"/>
      <c r="AM940" s="73"/>
      <c r="AN940" s="74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</row>
    <row r="941">
      <c r="A941" s="70"/>
      <c r="D941" s="70"/>
      <c r="N941" s="70"/>
      <c r="W941" s="71"/>
      <c r="X941" s="70"/>
      <c r="AF941" s="72"/>
      <c r="AG941" s="73"/>
      <c r="AH941" s="72"/>
      <c r="AI941" s="72"/>
      <c r="AJ941" s="72"/>
      <c r="AK941" s="72"/>
      <c r="AL941" s="72"/>
      <c r="AM941" s="73"/>
      <c r="AN941" s="74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</row>
    <row r="942">
      <c r="A942" s="70"/>
      <c r="D942" s="70"/>
      <c r="N942" s="70"/>
      <c r="W942" s="71"/>
      <c r="X942" s="70"/>
      <c r="AF942" s="72"/>
      <c r="AG942" s="73"/>
      <c r="AH942" s="72"/>
      <c r="AI942" s="72"/>
      <c r="AJ942" s="72"/>
      <c r="AK942" s="72"/>
      <c r="AL942" s="72"/>
      <c r="AM942" s="73"/>
      <c r="AN942" s="74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</row>
    <row r="943">
      <c r="A943" s="70"/>
      <c r="D943" s="70"/>
      <c r="N943" s="70"/>
      <c r="W943" s="71"/>
      <c r="X943" s="70"/>
      <c r="AF943" s="72"/>
      <c r="AG943" s="73"/>
      <c r="AH943" s="72"/>
      <c r="AI943" s="72"/>
      <c r="AJ943" s="72"/>
      <c r="AK943" s="72"/>
      <c r="AL943" s="72"/>
      <c r="AM943" s="73"/>
      <c r="AN943" s="74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</row>
    <row r="944">
      <c r="A944" s="70"/>
      <c r="D944" s="70"/>
      <c r="N944" s="70"/>
      <c r="W944" s="71"/>
      <c r="X944" s="70"/>
      <c r="AF944" s="72"/>
      <c r="AG944" s="73"/>
      <c r="AH944" s="72"/>
      <c r="AI944" s="72"/>
      <c r="AJ944" s="72"/>
      <c r="AK944" s="72"/>
      <c r="AL944" s="72"/>
      <c r="AM944" s="73"/>
      <c r="AN944" s="74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</row>
    <row r="945">
      <c r="A945" s="70"/>
      <c r="D945" s="70"/>
      <c r="N945" s="70"/>
      <c r="W945" s="71"/>
      <c r="X945" s="70"/>
      <c r="AF945" s="72"/>
      <c r="AG945" s="73"/>
      <c r="AH945" s="72"/>
      <c r="AI945" s="72"/>
      <c r="AJ945" s="72"/>
      <c r="AK945" s="72"/>
      <c r="AL945" s="72"/>
      <c r="AM945" s="73"/>
      <c r="AN945" s="74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</row>
    <row r="946">
      <c r="A946" s="70"/>
      <c r="D946" s="70"/>
      <c r="N946" s="70"/>
      <c r="W946" s="71"/>
      <c r="X946" s="70"/>
      <c r="AF946" s="72"/>
      <c r="AG946" s="73"/>
      <c r="AH946" s="72"/>
      <c r="AI946" s="72"/>
      <c r="AJ946" s="72"/>
      <c r="AK946" s="72"/>
      <c r="AL946" s="72"/>
      <c r="AM946" s="73"/>
      <c r="AN946" s="74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</row>
    <row r="947">
      <c r="A947" s="70"/>
      <c r="D947" s="70"/>
      <c r="N947" s="70"/>
      <c r="W947" s="71"/>
      <c r="X947" s="70"/>
      <c r="AF947" s="72"/>
      <c r="AG947" s="73"/>
      <c r="AH947" s="72"/>
      <c r="AI947" s="72"/>
      <c r="AJ947" s="72"/>
      <c r="AK947" s="72"/>
      <c r="AL947" s="72"/>
      <c r="AM947" s="73"/>
      <c r="AN947" s="74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</row>
    <row r="948">
      <c r="A948" s="70"/>
      <c r="D948" s="70"/>
      <c r="N948" s="70"/>
      <c r="W948" s="71"/>
      <c r="X948" s="70"/>
      <c r="AF948" s="72"/>
      <c r="AG948" s="73"/>
      <c r="AH948" s="72"/>
      <c r="AI948" s="72"/>
      <c r="AJ948" s="72"/>
      <c r="AK948" s="72"/>
      <c r="AL948" s="72"/>
      <c r="AM948" s="73"/>
      <c r="AN948" s="74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</row>
    <row r="949">
      <c r="A949" s="70"/>
      <c r="D949" s="70"/>
      <c r="N949" s="70"/>
      <c r="W949" s="71"/>
      <c r="X949" s="70"/>
      <c r="AF949" s="72"/>
      <c r="AG949" s="73"/>
      <c r="AH949" s="72"/>
      <c r="AI949" s="72"/>
      <c r="AJ949" s="72"/>
      <c r="AK949" s="72"/>
      <c r="AL949" s="72"/>
      <c r="AM949" s="73"/>
      <c r="AN949" s="74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</row>
    <row r="950">
      <c r="A950" s="70"/>
      <c r="D950" s="70"/>
      <c r="N950" s="70"/>
      <c r="W950" s="71"/>
      <c r="X950" s="70"/>
      <c r="AF950" s="72"/>
      <c r="AG950" s="73"/>
      <c r="AH950" s="72"/>
      <c r="AI950" s="72"/>
      <c r="AJ950" s="72"/>
      <c r="AK950" s="72"/>
      <c r="AL950" s="72"/>
      <c r="AM950" s="73"/>
      <c r="AN950" s="74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</row>
    <row r="951">
      <c r="A951" s="70"/>
      <c r="D951" s="70"/>
      <c r="N951" s="70"/>
      <c r="W951" s="71"/>
      <c r="X951" s="70"/>
      <c r="AF951" s="72"/>
      <c r="AG951" s="73"/>
      <c r="AH951" s="72"/>
      <c r="AI951" s="72"/>
      <c r="AJ951" s="72"/>
      <c r="AK951" s="72"/>
      <c r="AL951" s="72"/>
      <c r="AM951" s="73"/>
      <c r="AN951" s="74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</row>
    <row r="952">
      <c r="A952" s="70"/>
      <c r="D952" s="70"/>
      <c r="N952" s="70"/>
      <c r="W952" s="71"/>
      <c r="X952" s="70"/>
      <c r="AF952" s="72"/>
      <c r="AG952" s="73"/>
      <c r="AH952" s="72"/>
      <c r="AI952" s="72"/>
      <c r="AJ952" s="72"/>
      <c r="AK952" s="72"/>
      <c r="AL952" s="72"/>
      <c r="AM952" s="73"/>
      <c r="AN952" s="74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</row>
    <row r="953">
      <c r="A953" s="70"/>
      <c r="D953" s="70"/>
      <c r="N953" s="70"/>
      <c r="W953" s="71"/>
      <c r="X953" s="70"/>
      <c r="AF953" s="72"/>
      <c r="AG953" s="73"/>
      <c r="AH953" s="72"/>
      <c r="AI953" s="72"/>
      <c r="AJ953" s="72"/>
      <c r="AK953" s="72"/>
      <c r="AL953" s="72"/>
      <c r="AM953" s="73"/>
      <c r="AN953" s="74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</row>
    <row r="954">
      <c r="A954" s="70"/>
      <c r="D954" s="70"/>
      <c r="N954" s="70"/>
      <c r="W954" s="71"/>
      <c r="X954" s="70"/>
      <c r="AF954" s="72"/>
      <c r="AG954" s="73"/>
      <c r="AH954" s="72"/>
      <c r="AI954" s="72"/>
      <c r="AJ954" s="72"/>
      <c r="AK954" s="72"/>
      <c r="AL954" s="72"/>
      <c r="AM954" s="73"/>
      <c r="AN954" s="74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</row>
    <row r="955">
      <c r="A955" s="70"/>
      <c r="D955" s="70"/>
      <c r="N955" s="70"/>
      <c r="W955" s="71"/>
      <c r="X955" s="70"/>
      <c r="AF955" s="72"/>
      <c r="AG955" s="73"/>
      <c r="AH955" s="72"/>
      <c r="AI955" s="72"/>
      <c r="AJ955" s="72"/>
      <c r="AK955" s="72"/>
      <c r="AL955" s="72"/>
      <c r="AM955" s="73"/>
      <c r="AN955" s="74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</row>
    <row r="956">
      <c r="A956" s="70"/>
      <c r="D956" s="70"/>
      <c r="N956" s="70"/>
      <c r="W956" s="71"/>
      <c r="X956" s="70"/>
      <c r="AF956" s="72"/>
      <c r="AG956" s="73"/>
      <c r="AH956" s="72"/>
      <c r="AI956" s="72"/>
      <c r="AJ956" s="72"/>
      <c r="AK956" s="72"/>
      <c r="AL956" s="72"/>
      <c r="AM956" s="73"/>
      <c r="AN956" s="74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</row>
    <row r="957">
      <c r="A957" s="70"/>
      <c r="D957" s="70"/>
      <c r="N957" s="70"/>
      <c r="W957" s="71"/>
      <c r="X957" s="70"/>
      <c r="AF957" s="72"/>
      <c r="AG957" s="73"/>
      <c r="AH957" s="72"/>
      <c r="AI957" s="72"/>
      <c r="AJ957" s="72"/>
      <c r="AK957" s="72"/>
      <c r="AL957" s="72"/>
      <c r="AM957" s="73"/>
      <c r="AN957" s="74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</row>
    <row r="958">
      <c r="A958" s="70"/>
      <c r="D958" s="70"/>
      <c r="N958" s="70"/>
      <c r="W958" s="71"/>
      <c r="X958" s="70"/>
      <c r="AF958" s="72"/>
      <c r="AG958" s="73"/>
      <c r="AH958" s="72"/>
      <c r="AI958" s="72"/>
      <c r="AJ958" s="72"/>
      <c r="AK958" s="72"/>
      <c r="AL958" s="72"/>
      <c r="AM958" s="73"/>
      <c r="AN958" s="74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</row>
    <row r="959">
      <c r="A959" s="70"/>
      <c r="D959" s="70"/>
      <c r="N959" s="70"/>
      <c r="W959" s="71"/>
      <c r="X959" s="70"/>
      <c r="AF959" s="72"/>
      <c r="AG959" s="73"/>
      <c r="AH959" s="72"/>
      <c r="AI959" s="72"/>
      <c r="AJ959" s="72"/>
      <c r="AK959" s="72"/>
      <c r="AL959" s="72"/>
      <c r="AM959" s="73"/>
      <c r="AN959" s="74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</row>
    <row r="960">
      <c r="A960" s="70"/>
      <c r="D960" s="70"/>
      <c r="N960" s="70"/>
      <c r="W960" s="71"/>
      <c r="X960" s="70"/>
      <c r="AF960" s="72"/>
      <c r="AG960" s="73"/>
      <c r="AH960" s="72"/>
      <c r="AI960" s="72"/>
      <c r="AJ960" s="72"/>
      <c r="AK960" s="72"/>
      <c r="AL960" s="72"/>
      <c r="AM960" s="73"/>
      <c r="AN960" s="74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</row>
    <row r="961">
      <c r="A961" s="70"/>
      <c r="D961" s="70"/>
      <c r="N961" s="70"/>
      <c r="W961" s="71"/>
      <c r="X961" s="70"/>
      <c r="AF961" s="72"/>
      <c r="AG961" s="73"/>
      <c r="AH961" s="72"/>
      <c r="AI961" s="72"/>
      <c r="AJ961" s="72"/>
      <c r="AK961" s="72"/>
      <c r="AL961" s="72"/>
      <c r="AM961" s="73"/>
      <c r="AN961" s="74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</row>
    <row r="962">
      <c r="A962" s="70"/>
      <c r="D962" s="70"/>
      <c r="N962" s="70"/>
      <c r="W962" s="71"/>
      <c r="X962" s="70"/>
      <c r="AF962" s="72"/>
      <c r="AG962" s="73"/>
      <c r="AH962" s="72"/>
      <c r="AI962" s="72"/>
      <c r="AJ962" s="72"/>
      <c r="AK962" s="72"/>
      <c r="AL962" s="72"/>
      <c r="AM962" s="73"/>
      <c r="AN962" s="74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</row>
    <row r="963">
      <c r="A963" s="70"/>
      <c r="D963" s="70"/>
      <c r="N963" s="70"/>
      <c r="W963" s="71"/>
      <c r="X963" s="70"/>
      <c r="AF963" s="72"/>
      <c r="AG963" s="73"/>
      <c r="AH963" s="72"/>
      <c r="AI963" s="72"/>
      <c r="AJ963" s="72"/>
      <c r="AK963" s="72"/>
      <c r="AL963" s="72"/>
      <c r="AM963" s="73"/>
      <c r="AN963" s="74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</row>
    <row r="964">
      <c r="A964" s="70"/>
      <c r="D964" s="70"/>
      <c r="N964" s="70"/>
      <c r="W964" s="71"/>
      <c r="X964" s="70"/>
      <c r="AF964" s="72"/>
      <c r="AG964" s="73"/>
      <c r="AH964" s="72"/>
      <c r="AI964" s="72"/>
      <c r="AJ964" s="72"/>
      <c r="AK964" s="72"/>
      <c r="AL964" s="72"/>
      <c r="AM964" s="73"/>
      <c r="AN964" s="74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</row>
    <row r="965">
      <c r="A965" s="70"/>
      <c r="D965" s="70"/>
      <c r="N965" s="70"/>
      <c r="W965" s="71"/>
      <c r="X965" s="70"/>
      <c r="AF965" s="72"/>
      <c r="AG965" s="73"/>
      <c r="AH965" s="72"/>
      <c r="AI965" s="72"/>
      <c r="AJ965" s="72"/>
      <c r="AK965" s="72"/>
      <c r="AL965" s="72"/>
      <c r="AM965" s="73"/>
      <c r="AN965" s="74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</row>
    <row r="966">
      <c r="A966" s="70"/>
      <c r="D966" s="70"/>
      <c r="N966" s="70"/>
      <c r="W966" s="71"/>
      <c r="X966" s="70"/>
      <c r="AF966" s="72"/>
      <c r="AG966" s="73"/>
      <c r="AH966" s="72"/>
      <c r="AI966" s="72"/>
      <c r="AJ966" s="72"/>
      <c r="AK966" s="72"/>
      <c r="AL966" s="72"/>
      <c r="AM966" s="73"/>
      <c r="AN966" s="74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</row>
    <row r="967">
      <c r="A967" s="70"/>
      <c r="D967" s="70"/>
      <c r="N967" s="70"/>
      <c r="W967" s="71"/>
      <c r="X967" s="70"/>
      <c r="AF967" s="72"/>
      <c r="AG967" s="73"/>
      <c r="AH967" s="72"/>
      <c r="AI967" s="72"/>
      <c r="AJ967" s="72"/>
      <c r="AK967" s="72"/>
      <c r="AL967" s="72"/>
      <c r="AM967" s="73"/>
      <c r="AN967" s="74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</row>
    <row r="968">
      <c r="A968" s="70"/>
      <c r="D968" s="70"/>
      <c r="N968" s="70"/>
      <c r="W968" s="71"/>
      <c r="X968" s="70"/>
      <c r="AF968" s="72"/>
      <c r="AG968" s="73"/>
      <c r="AH968" s="72"/>
      <c r="AI968" s="72"/>
      <c r="AJ968" s="72"/>
      <c r="AK968" s="72"/>
      <c r="AL968" s="72"/>
      <c r="AM968" s="73"/>
      <c r="AN968" s="74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</row>
    <row r="969">
      <c r="A969" s="70"/>
      <c r="D969" s="70"/>
      <c r="N969" s="70"/>
      <c r="W969" s="71"/>
      <c r="X969" s="70"/>
      <c r="AF969" s="72"/>
      <c r="AG969" s="73"/>
      <c r="AH969" s="72"/>
      <c r="AI969" s="72"/>
      <c r="AJ969" s="72"/>
      <c r="AK969" s="72"/>
      <c r="AL969" s="72"/>
      <c r="AM969" s="73"/>
      <c r="AN969" s="74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</row>
    <row r="970">
      <c r="A970" s="70"/>
      <c r="D970" s="70"/>
      <c r="N970" s="70"/>
      <c r="W970" s="71"/>
      <c r="X970" s="70"/>
      <c r="AF970" s="72"/>
      <c r="AG970" s="73"/>
      <c r="AH970" s="72"/>
      <c r="AI970" s="72"/>
      <c r="AJ970" s="72"/>
      <c r="AK970" s="72"/>
      <c r="AL970" s="72"/>
      <c r="AM970" s="73"/>
      <c r="AN970" s="74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</row>
    <row r="971">
      <c r="A971" s="70"/>
      <c r="D971" s="70"/>
      <c r="N971" s="70"/>
      <c r="W971" s="71"/>
      <c r="X971" s="70"/>
      <c r="AF971" s="72"/>
      <c r="AG971" s="73"/>
      <c r="AH971" s="72"/>
      <c r="AI971" s="72"/>
      <c r="AJ971" s="72"/>
      <c r="AK971" s="72"/>
      <c r="AL971" s="72"/>
      <c r="AM971" s="73"/>
      <c r="AN971" s="74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</row>
    <row r="972">
      <c r="A972" s="70"/>
      <c r="D972" s="70"/>
      <c r="N972" s="70"/>
      <c r="W972" s="71"/>
      <c r="X972" s="70"/>
      <c r="AF972" s="72"/>
      <c r="AG972" s="73"/>
      <c r="AH972" s="72"/>
      <c r="AI972" s="72"/>
      <c r="AJ972" s="72"/>
      <c r="AK972" s="72"/>
      <c r="AL972" s="72"/>
      <c r="AM972" s="73"/>
      <c r="AN972" s="74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</row>
    <row r="973">
      <c r="A973" s="70"/>
      <c r="D973" s="70"/>
      <c r="N973" s="70"/>
      <c r="W973" s="71"/>
      <c r="X973" s="70"/>
      <c r="AF973" s="72"/>
      <c r="AG973" s="73"/>
      <c r="AH973" s="72"/>
      <c r="AI973" s="72"/>
      <c r="AJ973" s="72"/>
      <c r="AK973" s="72"/>
      <c r="AL973" s="72"/>
      <c r="AM973" s="73"/>
      <c r="AN973" s="74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</row>
    <row r="974">
      <c r="A974" s="70"/>
      <c r="D974" s="70"/>
      <c r="N974" s="70"/>
      <c r="W974" s="71"/>
      <c r="X974" s="70"/>
      <c r="AF974" s="72"/>
      <c r="AG974" s="73"/>
      <c r="AH974" s="72"/>
      <c r="AI974" s="72"/>
      <c r="AJ974" s="72"/>
      <c r="AK974" s="72"/>
      <c r="AL974" s="72"/>
      <c r="AM974" s="73"/>
      <c r="AN974" s="74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</row>
    <row r="975">
      <c r="A975" s="70"/>
      <c r="D975" s="70"/>
      <c r="N975" s="70"/>
      <c r="W975" s="71"/>
      <c r="X975" s="70"/>
      <c r="AF975" s="72"/>
      <c r="AG975" s="73"/>
      <c r="AH975" s="72"/>
      <c r="AI975" s="72"/>
      <c r="AJ975" s="72"/>
      <c r="AK975" s="72"/>
      <c r="AL975" s="72"/>
      <c r="AM975" s="73"/>
      <c r="AN975" s="74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</row>
    <row r="976">
      <c r="A976" s="70"/>
      <c r="D976" s="70"/>
      <c r="N976" s="70"/>
      <c r="W976" s="71"/>
      <c r="X976" s="70"/>
      <c r="AF976" s="72"/>
      <c r="AG976" s="73"/>
      <c r="AH976" s="72"/>
      <c r="AI976" s="72"/>
      <c r="AJ976" s="72"/>
      <c r="AK976" s="72"/>
      <c r="AL976" s="72"/>
      <c r="AM976" s="73"/>
      <c r="AN976" s="74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</row>
    <row r="977">
      <c r="A977" s="70"/>
      <c r="D977" s="70"/>
      <c r="N977" s="70"/>
      <c r="W977" s="71"/>
      <c r="X977" s="70"/>
      <c r="AF977" s="72"/>
      <c r="AG977" s="73"/>
      <c r="AH977" s="72"/>
      <c r="AI977" s="72"/>
      <c r="AJ977" s="72"/>
      <c r="AK977" s="72"/>
      <c r="AL977" s="72"/>
      <c r="AM977" s="73"/>
      <c r="AN977" s="74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</row>
    <row r="978">
      <c r="A978" s="70"/>
      <c r="D978" s="70"/>
      <c r="N978" s="70"/>
      <c r="W978" s="71"/>
      <c r="X978" s="70"/>
      <c r="AF978" s="72"/>
      <c r="AG978" s="73"/>
      <c r="AH978" s="72"/>
      <c r="AI978" s="72"/>
      <c r="AJ978" s="72"/>
      <c r="AK978" s="72"/>
      <c r="AL978" s="72"/>
      <c r="AM978" s="73"/>
      <c r="AN978" s="74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</row>
    <row r="979">
      <c r="A979" s="70"/>
      <c r="D979" s="70"/>
      <c r="N979" s="70"/>
      <c r="W979" s="71"/>
      <c r="X979" s="70"/>
      <c r="AF979" s="72"/>
      <c r="AG979" s="73"/>
      <c r="AH979" s="72"/>
      <c r="AI979" s="72"/>
      <c r="AJ979" s="72"/>
      <c r="AK979" s="72"/>
      <c r="AL979" s="72"/>
      <c r="AM979" s="73"/>
      <c r="AN979" s="74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</row>
    <row r="980">
      <c r="A980" s="70"/>
      <c r="D980" s="70"/>
      <c r="N980" s="70"/>
      <c r="W980" s="71"/>
      <c r="X980" s="70"/>
      <c r="AF980" s="72"/>
      <c r="AG980" s="73"/>
      <c r="AH980" s="72"/>
      <c r="AI980" s="72"/>
      <c r="AJ980" s="72"/>
      <c r="AK980" s="72"/>
      <c r="AL980" s="72"/>
      <c r="AM980" s="73"/>
      <c r="AN980" s="74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</row>
    <row r="981">
      <c r="A981" s="70"/>
      <c r="D981" s="70"/>
      <c r="N981" s="70"/>
      <c r="W981" s="71"/>
      <c r="X981" s="70"/>
      <c r="AF981" s="72"/>
      <c r="AG981" s="73"/>
      <c r="AH981" s="72"/>
      <c r="AI981" s="72"/>
      <c r="AJ981" s="72"/>
      <c r="AK981" s="72"/>
      <c r="AL981" s="72"/>
      <c r="AM981" s="73"/>
      <c r="AN981" s="74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</row>
    <row r="982">
      <c r="A982" s="70"/>
      <c r="D982" s="70"/>
      <c r="N982" s="70"/>
      <c r="W982" s="71"/>
      <c r="X982" s="70"/>
      <c r="AF982" s="72"/>
      <c r="AG982" s="73"/>
      <c r="AH982" s="72"/>
      <c r="AI982" s="72"/>
      <c r="AJ982" s="72"/>
      <c r="AK982" s="72"/>
      <c r="AL982" s="72"/>
      <c r="AM982" s="73"/>
      <c r="AN982" s="74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</row>
    <row r="983">
      <c r="A983" s="70"/>
      <c r="D983" s="70"/>
      <c r="N983" s="70"/>
      <c r="W983" s="71"/>
      <c r="X983" s="70"/>
      <c r="AF983" s="72"/>
      <c r="AG983" s="73"/>
      <c r="AH983" s="72"/>
      <c r="AI983" s="72"/>
      <c r="AJ983" s="72"/>
      <c r="AK983" s="72"/>
      <c r="AL983" s="72"/>
      <c r="AM983" s="73"/>
      <c r="AN983" s="74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</row>
    <row r="984">
      <c r="A984" s="70"/>
      <c r="D984" s="70"/>
      <c r="N984" s="70"/>
      <c r="W984" s="71"/>
      <c r="X984" s="70"/>
      <c r="AF984" s="72"/>
      <c r="AG984" s="73"/>
      <c r="AH984" s="72"/>
      <c r="AI984" s="72"/>
      <c r="AJ984" s="72"/>
      <c r="AK984" s="72"/>
      <c r="AL984" s="72"/>
      <c r="AM984" s="73"/>
      <c r="AN984" s="74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</row>
    <row r="985">
      <c r="A985" s="70"/>
      <c r="D985" s="70"/>
      <c r="N985" s="70"/>
      <c r="W985" s="71"/>
      <c r="X985" s="70"/>
      <c r="AF985" s="72"/>
      <c r="AG985" s="73"/>
      <c r="AH985" s="72"/>
      <c r="AI985" s="72"/>
      <c r="AJ985" s="72"/>
      <c r="AK985" s="72"/>
      <c r="AL985" s="72"/>
      <c r="AM985" s="73"/>
      <c r="AN985" s="74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</row>
    <row r="986">
      <c r="A986" s="70"/>
      <c r="D986" s="70"/>
      <c r="N986" s="70"/>
      <c r="W986" s="71"/>
      <c r="X986" s="70"/>
      <c r="AF986" s="72"/>
      <c r="AG986" s="73"/>
      <c r="AH986" s="72"/>
      <c r="AI986" s="72"/>
      <c r="AJ986" s="72"/>
      <c r="AK986" s="72"/>
      <c r="AL986" s="72"/>
      <c r="AM986" s="73"/>
      <c r="AN986" s="74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</row>
    <row r="987">
      <c r="A987" s="70"/>
      <c r="D987" s="70"/>
      <c r="N987" s="70"/>
      <c r="W987" s="71"/>
      <c r="X987" s="70"/>
      <c r="AF987" s="72"/>
      <c r="AG987" s="73"/>
      <c r="AH987" s="72"/>
      <c r="AI987" s="72"/>
      <c r="AJ987" s="72"/>
      <c r="AK987" s="72"/>
      <c r="AL987" s="72"/>
      <c r="AM987" s="73"/>
      <c r="AN987" s="74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</row>
    <row r="988">
      <c r="A988" s="70"/>
      <c r="D988" s="70"/>
      <c r="N988" s="70"/>
      <c r="W988" s="71"/>
      <c r="X988" s="70"/>
      <c r="AF988" s="72"/>
      <c r="AG988" s="73"/>
      <c r="AH988" s="72"/>
      <c r="AI988" s="72"/>
      <c r="AJ988" s="72"/>
      <c r="AK988" s="72"/>
      <c r="AL988" s="72"/>
      <c r="AM988" s="73"/>
      <c r="AN988" s="74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</row>
    <row r="989">
      <c r="A989" s="70"/>
      <c r="D989" s="70"/>
      <c r="N989" s="70"/>
      <c r="W989" s="71"/>
      <c r="X989" s="70"/>
      <c r="AF989" s="72"/>
      <c r="AG989" s="73"/>
      <c r="AH989" s="72"/>
      <c r="AI989" s="72"/>
      <c r="AJ989" s="72"/>
      <c r="AK989" s="72"/>
      <c r="AL989" s="72"/>
      <c r="AM989" s="73"/>
      <c r="AN989" s="74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</row>
    <row r="990">
      <c r="A990" s="70"/>
      <c r="D990" s="70"/>
      <c r="N990" s="70"/>
      <c r="W990" s="71"/>
      <c r="X990" s="70"/>
      <c r="AF990" s="72"/>
      <c r="AG990" s="73"/>
      <c r="AH990" s="72"/>
      <c r="AI990" s="72"/>
      <c r="AJ990" s="72"/>
      <c r="AK990" s="72"/>
      <c r="AL990" s="72"/>
      <c r="AM990" s="73"/>
      <c r="AN990" s="74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</row>
    <row r="991">
      <c r="A991" s="70"/>
      <c r="D991" s="70"/>
      <c r="N991" s="70"/>
      <c r="W991" s="71"/>
      <c r="X991" s="70"/>
      <c r="AF991" s="72"/>
      <c r="AG991" s="73"/>
      <c r="AH991" s="72"/>
      <c r="AI991" s="72"/>
      <c r="AJ991" s="72"/>
      <c r="AK991" s="72"/>
      <c r="AL991" s="72"/>
      <c r="AM991" s="73"/>
      <c r="AN991" s="74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</row>
    <row r="992">
      <c r="A992" s="70"/>
      <c r="D992" s="70"/>
      <c r="N992" s="70"/>
      <c r="W992" s="71"/>
      <c r="X992" s="70"/>
      <c r="AF992" s="72"/>
      <c r="AG992" s="73"/>
      <c r="AH992" s="72"/>
      <c r="AI992" s="72"/>
      <c r="AJ992" s="72"/>
      <c r="AK992" s="72"/>
      <c r="AL992" s="72"/>
      <c r="AM992" s="73"/>
      <c r="AN992" s="74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</row>
    <row r="993">
      <c r="A993" s="70"/>
      <c r="D993" s="70"/>
      <c r="N993" s="70"/>
      <c r="W993" s="71"/>
      <c r="X993" s="70"/>
      <c r="AF993" s="72"/>
      <c r="AG993" s="73"/>
      <c r="AH993" s="72"/>
      <c r="AI993" s="72"/>
      <c r="AJ993" s="72"/>
      <c r="AK993" s="72"/>
      <c r="AL993" s="72"/>
      <c r="AM993" s="73"/>
      <c r="AN993" s="74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</row>
    <row r="994">
      <c r="A994" s="70"/>
      <c r="D994" s="70"/>
      <c r="N994" s="70"/>
      <c r="W994" s="71"/>
      <c r="X994" s="70"/>
      <c r="AF994" s="72"/>
      <c r="AG994" s="73"/>
      <c r="AH994" s="72"/>
      <c r="AI994" s="72"/>
      <c r="AJ994" s="72"/>
      <c r="AK994" s="72"/>
      <c r="AL994" s="72"/>
      <c r="AM994" s="73"/>
      <c r="AN994" s="74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</row>
    <row r="995">
      <c r="A995" s="70"/>
      <c r="D995" s="70"/>
      <c r="N995" s="70"/>
      <c r="W995" s="71"/>
      <c r="X995" s="70"/>
      <c r="AF995" s="72"/>
      <c r="AG995" s="73"/>
      <c r="AH995" s="72"/>
      <c r="AI995" s="72"/>
      <c r="AJ995" s="72"/>
      <c r="AK995" s="72"/>
      <c r="AL995" s="72"/>
      <c r="AM995" s="73"/>
      <c r="AN995" s="74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</row>
    <row r="996">
      <c r="A996" s="70"/>
      <c r="D996" s="70"/>
      <c r="N996" s="70"/>
      <c r="W996" s="71"/>
      <c r="X996" s="70"/>
      <c r="AF996" s="72"/>
      <c r="AG996" s="73"/>
      <c r="AH996" s="72"/>
      <c r="AI996" s="72"/>
      <c r="AJ996" s="72"/>
      <c r="AK996" s="72"/>
      <c r="AL996" s="72"/>
      <c r="AM996" s="73"/>
      <c r="AN996" s="74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</row>
    <row r="997">
      <c r="A997" s="70"/>
      <c r="D997" s="70"/>
      <c r="N997" s="70"/>
      <c r="W997" s="71"/>
      <c r="X997" s="70"/>
      <c r="AF997" s="72"/>
      <c r="AG997" s="73"/>
      <c r="AH997" s="72"/>
      <c r="AI997" s="72"/>
      <c r="AJ997" s="72"/>
      <c r="AK997" s="72"/>
      <c r="AL997" s="72"/>
      <c r="AM997" s="73"/>
      <c r="AN997" s="74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</row>
    <row r="998">
      <c r="A998" s="70"/>
      <c r="D998" s="70"/>
      <c r="N998" s="70"/>
      <c r="W998" s="71"/>
      <c r="X998" s="70"/>
      <c r="AF998" s="72"/>
      <c r="AG998" s="73"/>
      <c r="AH998" s="72"/>
      <c r="AI998" s="72"/>
      <c r="AJ998" s="72"/>
      <c r="AK998" s="72"/>
      <c r="AL998" s="72"/>
      <c r="AM998" s="73"/>
      <c r="AN998" s="74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</row>
    <row r="999">
      <c r="A999" s="70"/>
      <c r="D999" s="70"/>
      <c r="N999" s="70"/>
      <c r="W999" s="71"/>
      <c r="X999" s="70"/>
      <c r="AF999" s="72"/>
      <c r="AG999" s="73"/>
      <c r="AH999" s="72"/>
      <c r="AI999" s="72"/>
      <c r="AJ999" s="72"/>
      <c r="AK999" s="72"/>
      <c r="AL999" s="72"/>
      <c r="AM999" s="73"/>
      <c r="AN999" s="74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</row>
    <row r="1000">
      <c r="A1000" s="70"/>
      <c r="D1000" s="70"/>
      <c r="N1000" s="70"/>
      <c r="W1000" s="71"/>
      <c r="X1000" s="70"/>
      <c r="AF1000" s="72"/>
      <c r="AG1000" s="73"/>
      <c r="AH1000" s="72"/>
      <c r="AI1000" s="72"/>
      <c r="AJ1000" s="72"/>
      <c r="AK1000" s="72"/>
      <c r="AL1000" s="72"/>
      <c r="AM1000" s="73"/>
      <c r="AN1000" s="74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</row>
    <row r="1001">
      <c r="A1001" s="70"/>
      <c r="D1001" s="70"/>
      <c r="N1001" s="70"/>
      <c r="W1001" s="71"/>
      <c r="X1001" s="70"/>
      <c r="AF1001" s="72"/>
      <c r="AG1001" s="73"/>
      <c r="AH1001" s="72"/>
      <c r="AI1001" s="72"/>
      <c r="AJ1001" s="72"/>
      <c r="AK1001" s="72"/>
      <c r="AL1001" s="72"/>
      <c r="AM1001" s="73"/>
      <c r="AN1001" s="74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</row>
    <row r="1002">
      <c r="A1002" s="70"/>
      <c r="D1002" s="70"/>
      <c r="N1002" s="70"/>
      <c r="W1002" s="71"/>
      <c r="X1002" s="70"/>
      <c r="AF1002" s="72"/>
      <c r="AG1002" s="73"/>
      <c r="AH1002" s="72"/>
      <c r="AI1002" s="72"/>
      <c r="AJ1002" s="72"/>
      <c r="AK1002" s="72"/>
      <c r="AL1002" s="72"/>
      <c r="AM1002" s="73"/>
      <c r="AN1002" s="74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15" width="6.13"/>
  </cols>
  <sheetData>
    <row r="1">
      <c r="A1" s="72"/>
      <c r="B1" s="72"/>
      <c r="C1" s="75" t="s">
        <v>45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>
      <c r="A2" s="72"/>
      <c r="B2" s="72"/>
      <c r="C2" s="78" t="s">
        <v>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>
      <c r="A3" s="67" t="s">
        <v>47</v>
      </c>
      <c r="B3" s="67" t="s">
        <v>48</v>
      </c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</row>
    <row r="4">
      <c r="A4" s="72"/>
      <c r="B4" s="72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</row>
    <row r="5" hidden="1">
      <c r="A5" s="87" t="s">
        <v>49</v>
      </c>
      <c r="B5" s="88">
        <v>329.0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</row>
    <row r="6" hidden="1">
      <c r="A6" s="87" t="s">
        <v>50</v>
      </c>
      <c r="B6" s="88">
        <v>329.0</v>
      </c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</row>
    <row r="7" hidden="1">
      <c r="A7" s="87" t="s">
        <v>51</v>
      </c>
      <c r="B7" s="88">
        <v>329.0</v>
      </c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1"/>
    </row>
    <row r="8">
      <c r="A8" s="92" t="s">
        <v>52</v>
      </c>
      <c r="B8" s="93">
        <v>329.0</v>
      </c>
      <c r="C8" s="94">
        <f>LAZADA!U8+SHOPEE!CE8+SHOPIFY!F8+TIKTOK!G8+PICKAROO!N8</f>
        <v>16</v>
      </c>
      <c r="D8" s="95"/>
      <c r="E8" s="96"/>
      <c r="F8" s="96"/>
      <c r="G8" s="97"/>
      <c r="H8" s="97"/>
      <c r="I8" s="97"/>
      <c r="J8" s="97"/>
      <c r="K8" s="97"/>
      <c r="L8" s="97"/>
      <c r="M8" s="97"/>
      <c r="N8" s="97"/>
      <c r="O8" s="91"/>
    </row>
    <row r="9" hidden="1">
      <c r="A9" s="98" t="s">
        <v>53</v>
      </c>
      <c r="B9" s="93">
        <v>329.0</v>
      </c>
      <c r="C9" s="94">
        <f>LAZADA!U9+SHOPEE!CE9+SHOPIFY!F9+TIKTOK!G9+PICKAROO!N9</f>
        <v>0</v>
      </c>
      <c r="D9" s="90"/>
      <c r="E9" s="96"/>
      <c r="F9" s="96"/>
      <c r="G9" s="97"/>
      <c r="H9" s="97"/>
      <c r="I9" s="97"/>
      <c r="J9" s="97"/>
      <c r="K9" s="97"/>
      <c r="L9" s="97"/>
      <c r="M9" s="97"/>
      <c r="N9" s="97"/>
      <c r="O9" s="91"/>
    </row>
    <row r="10">
      <c r="A10" s="98" t="s">
        <v>54</v>
      </c>
      <c r="B10" s="93">
        <v>329.0</v>
      </c>
      <c r="C10" s="94">
        <f>LAZADA!U10+SHOPEE!CE10+SHOPIFY!F10+TIKTOK!G10+PICKAROO!N10</f>
        <v>30</v>
      </c>
      <c r="D10" s="95"/>
      <c r="E10" s="96"/>
      <c r="F10" s="96"/>
      <c r="G10" s="97"/>
      <c r="H10" s="97"/>
      <c r="I10" s="97"/>
      <c r="J10" s="97"/>
      <c r="K10" s="97"/>
      <c r="L10" s="97"/>
      <c r="M10" s="97"/>
      <c r="N10" s="97"/>
      <c r="O10" s="91"/>
    </row>
    <row r="11">
      <c r="A11" s="98" t="s">
        <v>55</v>
      </c>
      <c r="B11" s="93">
        <v>329.0</v>
      </c>
      <c r="C11" s="94">
        <f>LAZADA!U11+SHOPEE!CE11+SHOPIFY!F11+TIKTOK!G11+PICKAROO!N11</f>
        <v>5</v>
      </c>
      <c r="D11" s="95"/>
      <c r="E11" s="96"/>
      <c r="F11" s="96"/>
      <c r="G11" s="97"/>
      <c r="H11" s="97"/>
      <c r="I11" s="97"/>
      <c r="J11" s="97"/>
      <c r="K11" s="97"/>
      <c r="L11" s="97"/>
      <c r="M11" s="97"/>
      <c r="N11" s="97"/>
      <c r="O11" s="91"/>
    </row>
    <row r="12">
      <c r="A12" s="98" t="s">
        <v>56</v>
      </c>
      <c r="B12" s="93">
        <v>329.0</v>
      </c>
      <c r="C12" s="94">
        <f>LAZADA!U12+SHOPEE!CE12+SHOPIFY!F12+TIKTOK!G12+PICKAROO!N12</f>
        <v>14</v>
      </c>
      <c r="D12" s="95"/>
      <c r="E12" s="96"/>
      <c r="F12" s="96"/>
      <c r="G12" s="97"/>
      <c r="H12" s="97"/>
      <c r="I12" s="97"/>
      <c r="J12" s="97"/>
      <c r="K12" s="97"/>
      <c r="L12" s="97"/>
      <c r="M12" s="97"/>
      <c r="N12" s="97"/>
      <c r="O12" s="91"/>
    </row>
    <row r="13">
      <c r="A13" s="98" t="s">
        <v>57</v>
      </c>
      <c r="B13" s="93">
        <v>329.0</v>
      </c>
      <c r="C13" s="94">
        <f>LAZADA!U13+SHOPEE!CE13+SHOPIFY!F13+TIKTOK!G13+PICKAROO!N13</f>
        <v>3</v>
      </c>
      <c r="D13" s="95"/>
      <c r="E13" s="96"/>
      <c r="F13" s="96"/>
      <c r="G13" s="97"/>
      <c r="H13" s="97"/>
      <c r="I13" s="97"/>
      <c r="J13" s="97"/>
      <c r="K13" s="97"/>
      <c r="L13" s="97"/>
      <c r="M13" s="97"/>
      <c r="N13" s="97"/>
      <c r="O13" s="91"/>
    </row>
    <row r="14">
      <c r="A14" s="98" t="s">
        <v>58</v>
      </c>
      <c r="B14" s="93">
        <v>329.0</v>
      </c>
      <c r="C14" s="94">
        <f>LAZADA!U14+SHOPEE!CE14+SHOPIFY!F14+TIKTOK!G14+PICKAROO!N14</f>
        <v>9</v>
      </c>
      <c r="D14" s="95"/>
      <c r="E14" s="96"/>
      <c r="F14" s="96"/>
      <c r="G14" s="97"/>
      <c r="H14" s="97"/>
      <c r="I14" s="97"/>
      <c r="J14" s="97"/>
      <c r="K14" s="97"/>
      <c r="L14" s="97"/>
      <c r="M14" s="97"/>
      <c r="N14" s="97"/>
      <c r="O14" s="91"/>
    </row>
    <row r="15">
      <c r="A15" s="98" t="s">
        <v>59</v>
      </c>
      <c r="B15" s="93">
        <v>219.0</v>
      </c>
      <c r="C15" s="94">
        <f>LAZADA!U15+SHOPEE!CE15+SHOPIFY!F15+TIKTOK!G15+PICKAROO!N15</f>
        <v>1</v>
      </c>
      <c r="D15" s="95"/>
      <c r="E15" s="96"/>
      <c r="F15" s="96"/>
      <c r="G15" s="97"/>
      <c r="H15" s="97"/>
      <c r="I15" s="97"/>
      <c r="J15" s="97"/>
      <c r="K15" s="97"/>
      <c r="L15" s="97"/>
      <c r="M15" s="97"/>
      <c r="N15" s="97"/>
      <c r="O15" s="91"/>
    </row>
    <row r="16" hidden="1">
      <c r="A16" s="98" t="s">
        <v>60</v>
      </c>
      <c r="B16" s="99"/>
      <c r="C16" s="94">
        <f>LAZADA!U16+SHOPEE!CE16+SHOPIFY!F16+TIKTOK!G16+PICKAROO!N16</f>
        <v>0</v>
      </c>
      <c r="D16" s="95"/>
      <c r="E16" s="96"/>
      <c r="F16" s="96"/>
      <c r="G16" s="97"/>
      <c r="H16" s="97"/>
      <c r="I16" s="97"/>
      <c r="J16" s="97"/>
      <c r="K16" s="97"/>
      <c r="L16" s="97"/>
      <c r="M16" s="97"/>
      <c r="N16" s="97"/>
      <c r="O16" s="91"/>
    </row>
    <row r="17" hidden="1">
      <c r="A17" s="98" t="s">
        <v>61</v>
      </c>
      <c r="B17" s="99"/>
      <c r="C17" s="94">
        <f>LAZADA!U17+SHOPEE!CE17+SHOPIFY!F17+TIKTOK!G17+PICKAROO!N17</f>
        <v>0</v>
      </c>
      <c r="D17" s="95"/>
      <c r="E17" s="96"/>
      <c r="F17" s="96"/>
      <c r="G17" s="97"/>
      <c r="H17" s="97"/>
      <c r="I17" s="97"/>
      <c r="J17" s="97"/>
      <c r="K17" s="97"/>
      <c r="L17" s="97"/>
      <c r="M17" s="97"/>
      <c r="N17" s="97"/>
      <c r="O17" s="91"/>
    </row>
    <row r="18">
      <c r="A18" s="100"/>
      <c r="B18" s="99"/>
      <c r="C18" s="94">
        <f>LAZADA!U18+SHOPEE!CE18+SHOPIFY!F18+TIKTOK!G18+PICKAROO!N18</f>
        <v>0</v>
      </c>
      <c r="D18" s="95"/>
      <c r="E18" s="96"/>
      <c r="F18" s="96"/>
      <c r="G18" s="97"/>
      <c r="H18" s="97"/>
      <c r="I18" s="97"/>
      <c r="J18" s="97"/>
      <c r="K18" s="97"/>
      <c r="L18" s="97"/>
      <c r="M18" s="97"/>
      <c r="N18" s="97"/>
      <c r="O18" s="91"/>
    </row>
    <row r="19">
      <c r="A19" s="98" t="s">
        <v>62</v>
      </c>
      <c r="B19" s="93">
        <v>239.0</v>
      </c>
      <c r="C19" s="94">
        <f>LAZADA!U19+SHOPEE!CE19+SHOPIFY!F19+TIKTOK!G19+PICKAROO!N19</f>
        <v>2</v>
      </c>
      <c r="D19" s="95"/>
      <c r="E19" s="96"/>
      <c r="F19" s="96"/>
      <c r="G19" s="97"/>
      <c r="H19" s="97"/>
      <c r="I19" s="97"/>
      <c r="J19" s="97"/>
      <c r="K19" s="97"/>
      <c r="L19" s="97"/>
      <c r="M19" s="97"/>
      <c r="N19" s="97"/>
      <c r="O19" s="91"/>
    </row>
    <row r="20">
      <c r="A20" s="98" t="s">
        <v>63</v>
      </c>
      <c r="B20" s="93">
        <v>239.0</v>
      </c>
      <c r="C20" s="94">
        <f>LAZADA!U20+SHOPEE!CE20+SHOPIFY!F20+TIKTOK!G20+PICKAROO!N20</f>
        <v>3</v>
      </c>
      <c r="D20" s="95"/>
      <c r="E20" s="96"/>
      <c r="F20" s="96"/>
      <c r="G20" s="97"/>
      <c r="H20" s="97"/>
      <c r="I20" s="97"/>
      <c r="J20" s="97"/>
      <c r="K20" s="97"/>
      <c r="L20" s="97"/>
      <c r="M20" s="97"/>
      <c r="N20" s="97"/>
      <c r="O20" s="91"/>
    </row>
    <row r="21">
      <c r="A21" s="98" t="s">
        <v>64</v>
      </c>
      <c r="B21" s="93">
        <v>239.0</v>
      </c>
      <c r="C21" s="94">
        <f>LAZADA!U21+SHOPEE!CE21+SHOPIFY!F21+TIKTOK!G21+PICKAROO!N21</f>
        <v>1</v>
      </c>
      <c r="D21" s="95"/>
      <c r="E21" s="96"/>
      <c r="F21" s="96"/>
      <c r="G21" s="97"/>
      <c r="H21" s="97"/>
      <c r="I21" s="97"/>
      <c r="J21" s="97"/>
      <c r="K21" s="97"/>
      <c r="L21" s="97"/>
      <c r="M21" s="97"/>
      <c r="N21" s="97"/>
      <c r="O21" s="91"/>
    </row>
    <row r="22">
      <c r="A22" s="98" t="s">
        <v>65</v>
      </c>
      <c r="B22" s="93">
        <v>219.0</v>
      </c>
      <c r="C22" s="94">
        <f>LAZADA!U22+SHOPEE!CE22+SHOPIFY!F22+TIKTOK!G22+PICKAROO!N22</f>
        <v>3</v>
      </c>
      <c r="D22" s="95"/>
      <c r="E22" s="96"/>
      <c r="F22" s="96"/>
      <c r="G22" s="97"/>
      <c r="H22" s="97"/>
      <c r="I22" s="97"/>
      <c r="J22" s="97"/>
      <c r="K22" s="97"/>
      <c r="L22" s="97"/>
      <c r="M22" s="97"/>
      <c r="N22" s="97"/>
      <c r="O22" s="91"/>
    </row>
    <row r="23">
      <c r="A23" s="98" t="s">
        <v>66</v>
      </c>
      <c r="B23" s="93">
        <v>219.0</v>
      </c>
      <c r="C23" s="94">
        <f>LAZADA!U23+SHOPEE!CE23+SHOPIFY!F23+TIKTOK!G23+PICKAROO!N23</f>
        <v>1</v>
      </c>
      <c r="D23" s="95"/>
      <c r="E23" s="96"/>
      <c r="F23" s="96"/>
      <c r="G23" s="97"/>
      <c r="H23" s="97"/>
      <c r="I23" s="97"/>
      <c r="J23" s="97"/>
      <c r="K23" s="97"/>
      <c r="L23" s="97"/>
      <c r="M23" s="97"/>
      <c r="N23" s="97"/>
      <c r="O23" s="91"/>
    </row>
    <row r="24">
      <c r="A24" s="98" t="s">
        <v>67</v>
      </c>
      <c r="B24" s="93">
        <v>219.0</v>
      </c>
      <c r="C24" s="94">
        <f>LAZADA!U24+SHOPEE!CE24+SHOPIFY!F24+TIKTOK!G24+PICKAROO!N24</f>
        <v>0</v>
      </c>
      <c r="D24" s="95"/>
      <c r="E24" s="96"/>
      <c r="F24" s="96"/>
      <c r="G24" s="97"/>
      <c r="H24" s="97"/>
      <c r="I24" s="97"/>
      <c r="J24" s="97"/>
      <c r="K24" s="97"/>
      <c r="L24" s="97"/>
      <c r="M24" s="97"/>
      <c r="N24" s="97"/>
      <c r="O24" s="91"/>
    </row>
    <row r="25" hidden="1">
      <c r="A25" s="98" t="s">
        <v>68</v>
      </c>
      <c r="B25" s="93">
        <v>219.0</v>
      </c>
      <c r="C25" s="94">
        <f>LAZADA!U25+SHOPEE!CE25+SHOPIFY!F25+TIKTOK!G25+PICKAROO!N25</f>
        <v>0</v>
      </c>
      <c r="D25" s="95"/>
      <c r="E25" s="96"/>
      <c r="F25" s="96"/>
      <c r="G25" s="97"/>
      <c r="H25" s="97"/>
      <c r="I25" s="97"/>
      <c r="J25" s="97"/>
      <c r="K25" s="97"/>
      <c r="L25" s="97"/>
      <c r="M25" s="97"/>
      <c r="N25" s="97"/>
      <c r="O25" s="91"/>
    </row>
    <row r="26" hidden="1">
      <c r="A26" s="98" t="s">
        <v>69</v>
      </c>
      <c r="B26" s="93">
        <v>219.0</v>
      </c>
      <c r="C26" s="94">
        <f>LAZADA!U26+SHOPEE!CE26+SHOPIFY!F26+TIKTOK!G26+PICKAROO!N26</f>
        <v>0</v>
      </c>
      <c r="D26" s="95"/>
      <c r="E26" s="96"/>
      <c r="F26" s="96"/>
      <c r="G26" s="97"/>
      <c r="H26" s="97"/>
      <c r="I26" s="97"/>
      <c r="J26" s="97"/>
      <c r="K26" s="97"/>
      <c r="L26" s="97"/>
      <c r="M26" s="97"/>
      <c r="N26" s="97"/>
      <c r="O26" s="91"/>
    </row>
    <row r="27">
      <c r="A27" s="101" t="s">
        <v>70</v>
      </c>
      <c r="B27" s="93">
        <v>799.0</v>
      </c>
      <c r="C27" s="94">
        <f>LAZADA!U27+SHOPEE!CE27+SHOPIFY!F27+TIKTOK!G27+PICKAROO!N27</f>
        <v>2</v>
      </c>
      <c r="D27" s="95"/>
      <c r="E27" s="96"/>
      <c r="F27" s="96"/>
      <c r="G27" s="97"/>
      <c r="H27" s="97"/>
      <c r="I27" s="97"/>
      <c r="J27" s="97"/>
      <c r="K27" s="97"/>
      <c r="L27" s="97"/>
      <c r="M27" s="97"/>
      <c r="N27" s="97"/>
      <c r="O27" s="91"/>
    </row>
    <row r="28">
      <c r="A28" s="102" t="s">
        <v>71</v>
      </c>
      <c r="B28" s="93">
        <v>609.0</v>
      </c>
      <c r="C28" s="94">
        <f>LAZADA!U28+SHOPEE!CE28+SHOPIFY!F28+TIKTOK!G28+PICKAROO!N28</f>
        <v>6</v>
      </c>
      <c r="D28" s="95"/>
      <c r="E28" s="96"/>
      <c r="F28" s="96"/>
      <c r="G28" s="97"/>
      <c r="H28" s="97"/>
      <c r="I28" s="97"/>
      <c r="J28" s="97"/>
      <c r="K28" s="97"/>
      <c r="L28" s="97"/>
      <c r="M28" s="97"/>
      <c r="N28" s="97"/>
      <c r="O28" s="91"/>
    </row>
    <row r="29">
      <c r="A29" s="101" t="s">
        <v>72</v>
      </c>
      <c r="B29" s="93">
        <v>329.0</v>
      </c>
      <c r="C29" s="94">
        <f>LAZADA!U29+SHOPEE!CE29+SHOPIFY!F29+TIKTOK!G29+PICKAROO!N29</f>
        <v>24</v>
      </c>
      <c r="D29" s="95"/>
      <c r="E29" s="96"/>
      <c r="F29" s="96"/>
      <c r="G29" s="97"/>
      <c r="H29" s="97"/>
      <c r="I29" s="97"/>
      <c r="J29" s="97"/>
      <c r="K29" s="97"/>
      <c r="L29" s="97"/>
      <c r="M29" s="97"/>
      <c r="N29" s="97"/>
      <c r="O29" s="91"/>
    </row>
    <row r="30">
      <c r="A30" s="101" t="s">
        <v>73</v>
      </c>
      <c r="B30" s="93">
        <v>329.0</v>
      </c>
      <c r="C30" s="94">
        <f>LAZADA!U30+SHOPEE!CE30+SHOPIFY!F30+TIKTOK!G30+PICKAROO!N30</f>
        <v>0</v>
      </c>
      <c r="D30" s="95"/>
      <c r="E30" s="96"/>
      <c r="F30" s="96"/>
      <c r="G30" s="97"/>
      <c r="H30" s="97"/>
      <c r="I30" s="97"/>
      <c r="J30" s="97"/>
      <c r="K30" s="97"/>
      <c r="L30" s="97"/>
      <c r="M30" s="97"/>
      <c r="N30" s="97"/>
      <c r="O30" s="91"/>
    </row>
    <row r="31">
      <c r="A31" s="101" t="s">
        <v>74</v>
      </c>
      <c r="B31" s="93">
        <v>219.0</v>
      </c>
      <c r="C31" s="94">
        <f>LAZADA!U31+SHOPEE!CE31+SHOPIFY!F31+TIKTOK!G31+PICKAROO!N31</f>
        <v>0</v>
      </c>
      <c r="D31" s="95"/>
      <c r="E31" s="96"/>
      <c r="F31" s="96"/>
      <c r="G31" s="97"/>
      <c r="H31" s="97"/>
      <c r="I31" s="97"/>
      <c r="J31" s="97"/>
      <c r="K31" s="97"/>
      <c r="L31" s="97"/>
      <c r="M31" s="97"/>
      <c r="N31" s="97"/>
      <c r="O31" s="91"/>
    </row>
    <row r="32">
      <c r="A32" s="101" t="s">
        <v>75</v>
      </c>
      <c r="B32" s="93">
        <v>219.0</v>
      </c>
      <c r="C32" s="94">
        <f>LAZADA!U32+SHOPEE!CE32+SHOPIFY!F32+TIKTOK!G32+PICKAROO!N32</f>
        <v>0</v>
      </c>
      <c r="D32" s="95"/>
      <c r="E32" s="96"/>
      <c r="F32" s="96"/>
      <c r="G32" s="97"/>
      <c r="H32" s="97"/>
      <c r="I32" s="97"/>
      <c r="J32" s="97"/>
      <c r="K32" s="97"/>
      <c r="L32" s="97"/>
      <c r="M32" s="97"/>
      <c r="N32" s="97"/>
      <c r="O32" s="91"/>
    </row>
    <row r="33">
      <c r="A33" s="101" t="s">
        <v>76</v>
      </c>
      <c r="B33" s="93">
        <v>439.0</v>
      </c>
      <c r="C33" s="94">
        <f>LAZADA!U33+SHOPEE!CE33+SHOPIFY!F33+TIKTOK!G33+PICKAROO!N33</f>
        <v>3</v>
      </c>
      <c r="D33" s="95"/>
      <c r="E33" s="96"/>
      <c r="F33" s="96"/>
      <c r="G33" s="97"/>
      <c r="H33" s="97"/>
      <c r="I33" s="97"/>
      <c r="J33" s="97"/>
      <c r="K33" s="97"/>
      <c r="L33" s="97"/>
      <c r="M33" s="97"/>
      <c r="N33" s="97"/>
      <c r="O33" s="91"/>
    </row>
    <row r="34">
      <c r="A34" s="101" t="s">
        <v>77</v>
      </c>
      <c r="B34" s="93">
        <v>899.0</v>
      </c>
      <c r="C34" s="94">
        <f>LAZADA!U34+SHOPEE!CE34+SHOPIFY!F34+TIKTOK!G34+PICKAROO!N34</f>
        <v>0</v>
      </c>
      <c r="D34" s="95"/>
      <c r="E34" s="96"/>
      <c r="F34" s="96"/>
      <c r="G34" s="97"/>
      <c r="H34" s="97"/>
      <c r="I34" s="97"/>
      <c r="J34" s="97"/>
      <c r="K34" s="97"/>
      <c r="L34" s="97"/>
      <c r="M34" s="97"/>
      <c r="N34" s="97"/>
      <c r="O34" s="91"/>
    </row>
    <row r="35">
      <c r="A35" s="101" t="s">
        <v>78</v>
      </c>
      <c r="B35" s="93">
        <v>549.0</v>
      </c>
      <c r="C35" s="94">
        <f>LAZADA!U35+SHOPEE!CE35+SHOPIFY!F35+TIKTOK!G35+PICKAROO!N35</f>
        <v>1</v>
      </c>
      <c r="D35" s="95"/>
      <c r="E35" s="96"/>
      <c r="F35" s="96"/>
      <c r="G35" s="97"/>
      <c r="H35" s="97"/>
      <c r="I35" s="97"/>
      <c r="J35" s="97"/>
      <c r="K35" s="97"/>
      <c r="L35" s="97"/>
      <c r="M35" s="97"/>
      <c r="N35" s="97"/>
      <c r="O35" s="91"/>
    </row>
    <row r="36">
      <c r="A36" s="101" t="s">
        <v>79</v>
      </c>
      <c r="B36" s="93">
        <v>549.0</v>
      </c>
      <c r="C36" s="94">
        <f>LAZADA!U36+SHOPEE!CE36+SHOPIFY!F36+TIKTOK!G36+PICKAROO!N36</f>
        <v>0</v>
      </c>
      <c r="D36" s="95"/>
      <c r="E36" s="96"/>
      <c r="F36" s="96"/>
      <c r="G36" s="97"/>
      <c r="H36" s="97"/>
      <c r="I36" s="97"/>
      <c r="J36" s="97"/>
      <c r="K36" s="97"/>
      <c r="L36" s="97"/>
      <c r="M36" s="97"/>
      <c r="N36" s="97"/>
      <c r="O36" s="91"/>
    </row>
    <row r="37">
      <c r="A37" s="101" t="s">
        <v>80</v>
      </c>
      <c r="B37" s="93">
        <v>549.0</v>
      </c>
      <c r="C37" s="94">
        <f>LAZADA!U37+SHOPEE!CE37+SHOPIFY!F37+TIKTOK!G37+PICKAROO!N37</f>
        <v>2</v>
      </c>
      <c r="D37" s="95"/>
      <c r="E37" s="96"/>
      <c r="F37" s="96"/>
      <c r="G37" s="97"/>
      <c r="H37" s="97"/>
      <c r="I37" s="97"/>
      <c r="J37" s="97"/>
      <c r="K37" s="97"/>
      <c r="L37" s="97"/>
      <c r="M37" s="97"/>
      <c r="N37" s="97"/>
      <c r="O37" s="91"/>
    </row>
    <row r="38">
      <c r="A38" s="102" t="s">
        <v>81</v>
      </c>
      <c r="B38" s="93">
        <v>799.0</v>
      </c>
      <c r="C38" s="94">
        <f>LAZADA!U38+SHOPEE!CE38+SHOPIFY!F38+TIKTOK!G38+PICKAROO!N38</f>
        <v>0</v>
      </c>
      <c r="D38" s="95"/>
      <c r="E38" s="96"/>
      <c r="F38" s="96"/>
      <c r="G38" s="97"/>
      <c r="H38" s="97"/>
      <c r="I38" s="97"/>
      <c r="J38" s="97"/>
      <c r="K38" s="97"/>
      <c r="L38" s="97"/>
      <c r="M38" s="97"/>
      <c r="N38" s="97"/>
      <c r="O38" s="91"/>
    </row>
    <row r="39">
      <c r="A39" s="102" t="s">
        <v>82</v>
      </c>
      <c r="B39" s="93">
        <v>799.0</v>
      </c>
      <c r="C39" s="94">
        <f>LAZADA!U39+SHOPEE!CE39+SHOPIFY!F39+TIKTOK!G39+PICKAROO!N39</f>
        <v>0</v>
      </c>
      <c r="D39" s="95"/>
      <c r="E39" s="96"/>
      <c r="F39" s="96"/>
      <c r="G39" s="97"/>
      <c r="H39" s="97"/>
      <c r="I39" s="97"/>
      <c r="J39" s="97"/>
      <c r="K39" s="97"/>
      <c r="L39" s="97"/>
      <c r="M39" s="97"/>
      <c r="N39" s="97"/>
      <c r="O39" s="91"/>
    </row>
    <row r="40">
      <c r="A40" s="101" t="s">
        <v>83</v>
      </c>
      <c r="B40" s="93">
        <v>439.0</v>
      </c>
      <c r="C40" s="94">
        <f>LAZADA!U40+SHOPEE!CE40+SHOPIFY!F40+TIKTOK!G40+PICKAROO!N40</f>
        <v>3</v>
      </c>
      <c r="D40" s="95"/>
      <c r="E40" s="96"/>
      <c r="F40" s="96"/>
      <c r="G40" s="97"/>
      <c r="H40" s="97"/>
      <c r="I40" s="97"/>
      <c r="J40" s="97"/>
      <c r="K40" s="97"/>
      <c r="L40" s="97"/>
      <c r="M40" s="97"/>
      <c r="N40" s="97"/>
      <c r="O40" s="91"/>
    </row>
    <row r="41">
      <c r="A41" s="101" t="s">
        <v>84</v>
      </c>
      <c r="B41" s="93">
        <v>439.0</v>
      </c>
      <c r="C41" s="94">
        <f>LAZADA!U41+SHOPEE!CE41+SHOPIFY!F41+TIKTOK!G41+PICKAROO!N41</f>
        <v>3</v>
      </c>
      <c r="D41" s="95"/>
      <c r="E41" s="96"/>
      <c r="F41" s="96"/>
      <c r="G41" s="97"/>
      <c r="H41" s="97"/>
      <c r="I41" s="97"/>
      <c r="J41" s="97"/>
      <c r="K41" s="97"/>
      <c r="L41" s="97"/>
      <c r="M41" s="97"/>
      <c r="N41" s="97"/>
      <c r="O41" s="91"/>
    </row>
    <row r="42">
      <c r="A42" s="101" t="s">
        <v>85</v>
      </c>
      <c r="B42" s="93">
        <v>60.0</v>
      </c>
      <c r="C42" s="94">
        <f>LAZADA!U42+SHOPEE!CE42+SHOPIFY!F42+TIKTOK!G42+PICKAROO!N42</f>
        <v>6</v>
      </c>
      <c r="D42" s="95"/>
      <c r="E42" s="96"/>
      <c r="F42" s="96"/>
      <c r="G42" s="97"/>
      <c r="H42" s="97"/>
      <c r="I42" s="97"/>
      <c r="J42" s="97"/>
      <c r="K42" s="97"/>
      <c r="L42" s="97"/>
      <c r="M42" s="97"/>
      <c r="N42" s="97"/>
      <c r="O42" s="91"/>
    </row>
    <row r="43">
      <c r="A43" s="101" t="s">
        <v>86</v>
      </c>
      <c r="B43" s="93">
        <v>609.0</v>
      </c>
      <c r="C43" s="94">
        <f>LAZADA!U43+SHOPEE!CE43+SHOPIFY!F43+TIKTOK!G43+PICKAROO!N43</f>
        <v>4</v>
      </c>
      <c r="D43" s="96"/>
      <c r="E43" s="96"/>
      <c r="F43" s="96"/>
      <c r="G43" s="97"/>
      <c r="H43" s="97"/>
      <c r="I43" s="97"/>
      <c r="J43" s="97"/>
      <c r="K43" s="97"/>
      <c r="L43" s="97"/>
      <c r="M43" s="97"/>
      <c r="N43" s="97"/>
      <c r="O43" s="91"/>
    </row>
    <row r="44">
      <c r="A44" s="101" t="s">
        <v>87</v>
      </c>
      <c r="B44" s="93">
        <v>379.0</v>
      </c>
      <c r="C44" s="94">
        <f>LAZADA!U44+SHOPEE!CE44+SHOPIFY!F44+TIKTOK!G44+PICKAROO!N44</f>
        <v>2</v>
      </c>
      <c r="D44" s="96"/>
      <c r="E44" s="96"/>
      <c r="F44" s="96"/>
      <c r="G44" s="97"/>
      <c r="H44" s="97"/>
      <c r="I44" s="97"/>
      <c r="J44" s="97"/>
      <c r="K44" s="97"/>
      <c r="L44" s="97"/>
      <c r="M44" s="97"/>
      <c r="N44" s="97"/>
      <c r="O44" s="91"/>
    </row>
    <row r="45">
      <c r="A45" s="101" t="s">
        <v>88</v>
      </c>
      <c r="B45" s="93">
        <v>379.0</v>
      </c>
      <c r="C45" s="94">
        <f>LAZADA!U45+SHOPEE!CE45+SHOPIFY!F45+TIKTOK!G45+PICKAROO!N45</f>
        <v>0</v>
      </c>
      <c r="D45" s="96"/>
      <c r="E45" s="96"/>
      <c r="F45" s="96"/>
      <c r="G45" s="97"/>
      <c r="H45" s="97"/>
      <c r="I45" s="97"/>
      <c r="J45" s="97"/>
      <c r="K45" s="97"/>
      <c r="L45" s="97"/>
      <c r="M45" s="97"/>
      <c r="N45" s="97"/>
      <c r="O45" s="91"/>
    </row>
    <row r="46">
      <c r="A46" s="101" t="s">
        <v>89</v>
      </c>
      <c r="B46" s="93">
        <v>1299.0</v>
      </c>
      <c r="C46" s="94">
        <f>LAZADA!U46+SHOPEE!CE46+SHOPIFY!F46+TIKTOK!G46+PICKAROO!N46</f>
        <v>1</v>
      </c>
      <c r="D46" s="96"/>
      <c r="E46" s="96"/>
      <c r="F46" s="96"/>
      <c r="G46" s="97"/>
      <c r="H46" s="97"/>
      <c r="I46" s="97"/>
      <c r="J46" s="97"/>
      <c r="K46" s="97"/>
      <c r="L46" s="97"/>
      <c r="M46" s="97"/>
      <c r="N46" s="97"/>
      <c r="O46" s="91"/>
    </row>
    <row r="47">
      <c r="A47" s="67" t="s">
        <v>90</v>
      </c>
      <c r="B47" s="93">
        <v>1299.0</v>
      </c>
      <c r="C47" s="94">
        <f>LAZADA!U47+SHOPEE!CE47+SHOPIFY!F47+TIKTOK!G47+PICKAROO!N47</f>
        <v>0</v>
      </c>
      <c r="D47" s="96"/>
      <c r="E47" s="96"/>
      <c r="F47" s="96"/>
      <c r="G47" s="97"/>
      <c r="H47" s="97"/>
      <c r="I47" s="97"/>
      <c r="J47" s="97"/>
      <c r="K47" s="97"/>
      <c r="L47" s="97"/>
      <c r="M47" s="97"/>
      <c r="N47" s="97"/>
      <c r="O47" s="91"/>
    </row>
    <row r="48">
      <c r="A48" s="101" t="s">
        <v>91</v>
      </c>
      <c r="B48" s="103">
        <v>0.0</v>
      </c>
      <c r="C48" s="94">
        <f>LAZADA!U48+SHOPEE!CE48+SHOPIFY!F48+TIKTOK!G48+PICKAROO!N48</f>
        <v>0</v>
      </c>
      <c r="D48" s="96"/>
      <c r="E48" s="96"/>
      <c r="F48" s="96"/>
      <c r="G48" s="97"/>
      <c r="H48" s="97"/>
      <c r="I48" s="97"/>
      <c r="J48" s="97"/>
      <c r="K48" s="97"/>
      <c r="L48" s="97"/>
      <c r="M48" s="97"/>
      <c r="N48" s="97"/>
      <c r="O48" s="91"/>
    </row>
    <row r="49">
      <c r="A49" s="104"/>
      <c r="B49" s="105"/>
      <c r="C49" s="94">
        <f>LAZADA!U49+SHOPEE!CE49+SHOPIFY!F49+TIKTOK!G49+PICKAROO!N49</f>
        <v>0</v>
      </c>
      <c r="D49" s="96"/>
      <c r="E49" s="96"/>
      <c r="F49" s="96"/>
      <c r="G49" s="97"/>
      <c r="H49" s="97"/>
      <c r="I49" s="97"/>
      <c r="J49" s="97"/>
      <c r="K49" s="97"/>
      <c r="L49" s="97"/>
      <c r="M49" s="97"/>
      <c r="N49" s="97"/>
      <c r="O49" s="91"/>
    </row>
    <row r="50">
      <c r="A50" s="102" t="s">
        <v>92</v>
      </c>
      <c r="B50" s="106">
        <v>609.0</v>
      </c>
      <c r="C50" s="94">
        <f>LAZADA!U50+SHOPEE!CE50+SHOPIFY!F50+TIKTOK!G50+PICKAROO!N50</f>
        <v>13</v>
      </c>
      <c r="D50" s="96"/>
      <c r="E50" s="96"/>
      <c r="F50" s="96"/>
      <c r="G50" s="97"/>
      <c r="H50" s="97"/>
      <c r="I50" s="97"/>
      <c r="J50" s="97"/>
      <c r="K50" s="97"/>
      <c r="L50" s="97"/>
      <c r="M50" s="97"/>
      <c r="N50" s="97"/>
      <c r="O50" s="91"/>
    </row>
    <row r="51">
      <c r="A51" s="102" t="s">
        <v>93</v>
      </c>
      <c r="B51" s="93">
        <v>609.0</v>
      </c>
      <c r="C51" s="94">
        <f>LAZADA!U51+SHOPEE!CE51+SHOPIFY!F51+TIKTOK!G51+PICKAROO!N51</f>
        <v>3</v>
      </c>
      <c r="D51" s="96"/>
      <c r="E51" s="96"/>
      <c r="F51" s="96"/>
      <c r="G51" s="97"/>
      <c r="H51" s="97"/>
      <c r="I51" s="97"/>
      <c r="J51" s="97"/>
      <c r="K51" s="97"/>
      <c r="L51" s="97"/>
      <c r="M51" s="97"/>
      <c r="N51" s="97"/>
      <c r="O51" s="91"/>
    </row>
    <row r="52">
      <c r="A52" s="102" t="s">
        <v>94</v>
      </c>
      <c r="B52" s="93">
        <v>329.0</v>
      </c>
      <c r="C52" s="94">
        <f>LAZADA!U52+SHOPEE!CE52+SHOPIFY!F52+TIKTOK!G52+PICKAROO!N52</f>
        <v>2</v>
      </c>
      <c r="D52" s="96"/>
      <c r="E52" s="96"/>
      <c r="F52" s="96"/>
      <c r="G52" s="97"/>
      <c r="H52" s="97"/>
      <c r="I52" s="97"/>
      <c r="J52" s="97"/>
      <c r="K52" s="97"/>
      <c r="L52" s="97"/>
      <c r="M52" s="97"/>
      <c r="N52" s="97"/>
      <c r="O52" s="91"/>
    </row>
    <row r="53">
      <c r="A53" s="102" t="s">
        <v>95</v>
      </c>
      <c r="B53" s="93">
        <v>199.0</v>
      </c>
      <c r="C53" s="94">
        <f>LAZADA!U53+SHOPEE!CE53+SHOPIFY!F53+TIKTOK!G53+PICKAROO!N53</f>
        <v>0</v>
      </c>
      <c r="D53" s="96"/>
      <c r="E53" s="96"/>
      <c r="F53" s="96"/>
      <c r="G53" s="97"/>
      <c r="H53" s="97"/>
      <c r="I53" s="97"/>
      <c r="J53" s="97"/>
      <c r="K53" s="97"/>
      <c r="L53" s="97"/>
      <c r="M53" s="97"/>
      <c r="N53" s="97"/>
      <c r="O53" s="91"/>
    </row>
    <row r="54">
      <c r="A54" s="102" t="s">
        <v>96</v>
      </c>
      <c r="B54" s="93">
        <v>199.0</v>
      </c>
      <c r="C54" s="94">
        <f>LAZADA!U54+SHOPEE!CE54+SHOPIFY!F54+TIKTOK!G54+PICKAROO!N54</f>
        <v>0</v>
      </c>
      <c r="D54" s="96"/>
      <c r="E54" s="96"/>
      <c r="F54" s="96"/>
      <c r="G54" s="97"/>
      <c r="H54" s="97"/>
      <c r="I54" s="97"/>
      <c r="J54" s="97"/>
      <c r="K54" s="97"/>
      <c r="L54" s="97"/>
      <c r="M54" s="97"/>
      <c r="N54" s="97"/>
      <c r="O54" s="91"/>
    </row>
    <row r="55">
      <c r="A55" s="67" t="s">
        <v>97</v>
      </c>
      <c r="B55" s="93">
        <v>599.0</v>
      </c>
      <c r="C55" s="94">
        <f>LAZADA!U55+SHOPEE!CE55+SHOPIFY!F55+TIKTOK!G55+PICKAROO!N55</f>
        <v>0</v>
      </c>
      <c r="D55" s="96"/>
      <c r="E55" s="96"/>
      <c r="F55" s="96"/>
      <c r="G55" s="97"/>
      <c r="H55" s="97"/>
      <c r="I55" s="97"/>
      <c r="J55" s="97"/>
      <c r="K55" s="97"/>
      <c r="L55" s="97"/>
      <c r="M55" s="97"/>
      <c r="N55" s="97"/>
      <c r="O55" s="91"/>
    </row>
    <row r="56">
      <c r="A56" s="102" t="s">
        <v>98</v>
      </c>
      <c r="B56" s="93">
        <v>1499.0</v>
      </c>
      <c r="C56" s="94">
        <f>LAZADA!U56+SHOPEE!CE56+SHOPIFY!F56+TIKTOK!G56+PICKAROO!N56</f>
        <v>0</v>
      </c>
      <c r="D56" s="96"/>
      <c r="E56" s="96"/>
      <c r="F56" s="96"/>
      <c r="G56" s="97"/>
      <c r="H56" s="97"/>
      <c r="I56" s="97"/>
      <c r="J56" s="97"/>
      <c r="K56" s="97"/>
      <c r="L56" s="97"/>
      <c r="M56" s="97"/>
      <c r="N56" s="97"/>
      <c r="O56" s="91"/>
    </row>
    <row r="57">
      <c r="A57" s="104"/>
      <c r="B57" s="99"/>
      <c r="C57" s="94">
        <f>LAZADA!U57+SHOPEE!CE57+SHOPIFY!F57+TIKTOK!G57+PICKAROO!N57</f>
        <v>0</v>
      </c>
      <c r="D57" s="96"/>
      <c r="E57" s="96"/>
      <c r="F57" s="96"/>
      <c r="G57" s="97"/>
      <c r="H57" s="97"/>
      <c r="I57" s="97"/>
      <c r="J57" s="97"/>
      <c r="K57" s="97"/>
      <c r="L57" s="97"/>
      <c r="M57" s="97"/>
      <c r="N57" s="97"/>
      <c r="O57" s="91"/>
    </row>
    <row r="58">
      <c r="A58" s="102" t="s">
        <v>99</v>
      </c>
      <c r="B58" s="93">
        <v>329.0</v>
      </c>
      <c r="C58" s="94">
        <f>LAZADA!U58+SHOPEE!CE58+SHOPIFY!F58+TIKTOK!G58+PICKAROO!N58</f>
        <v>8</v>
      </c>
      <c r="D58" s="96"/>
      <c r="E58" s="96"/>
      <c r="F58" s="96"/>
      <c r="G58" s="97"/>
      <c r="H58" s="97"/>
      <c r="I58" s="97"/>
      <c r="J58" s="97"/>
      <c r="K58" s="97"/>
      <c r="L58" s="97"/>
      <c r="M58" s="97"/>
      <c r="N58" s="97"/>
      <c r="O58" s="91"/>
    </row>
    <row r="59">
      <c r="A59" s="102" t="s">
        <v>100</v>
      </c>
      <c r="B59" s="93">
        <v>329.0</v>
      </c>
      <c r="C59" s="94">
        <f>LAZADA!U59+SHOPEE!CE59+SHOPIFY!F59+TIKTOK!G59+PICKAROO!N59</f>
        <v>3</v>
      </c>
      <c r="D59" s="96"/>
      <c r="E59" s="96"/>
      <c r="F59" s="96"/>
      <c r="G59" s="97"/>
      <c r="H59" s="97"/>
      <c r="I59" s="97"/>
      <c r="J59" s="97"/>
      <c r="K59" s="97"/>
      <c r="L59" s="97"/>
      <c r="M59" s="97"/>
      <c r="N59" s="97"/>
      <c r="O59" s="91"/>
    </row>
    <row r="60">
      <c r="A60" s="102" t="s">
        <v>101</v>
      </c>
      <c r="B60" s="93">
        <v>329.0</v>
      </c>
      <c r="C60" s="94">
        <f>LAZADA!U60+SHOPEE!CE60+SHOPIFY!F60+TIKTOK!G60+PICKAROO!N60</f>
        <v>8</v>
      </c>
      <c r="D60" s="96"/>
      <c r="E60" s="96"/>
      <c r="F60" s="96"/>
      <c r="G60" s="97"/>
      <c r="H60" s="97"/>
      <c r="I60" s="97"/>
      <c r="J60" s="97"/>
      <c r="K60" s="97"/>
      <c r="L60" s="97"/>
      <c r="M60" s="97"/>
      <c r="N60" s="97"/>
      <c r="O60" s="91"/>
    </row>
    <row r="61">
      <c r="A61" s="102" t="s">
        <v>102</v>
      </c>
      <c r="B61" s="93">
        <v>249.0</v>
      </c>
      <c r="C61" s="94">
        <f>LAZADA!U61+SHOPEE!CE61+SHOPIFY!F61+TIKTOK!G61+PICKAROO!N61</f>
        <v>1</v>
      </c>
      <c r="D61" s="96"/>
      <c r="E61" s="96"/>
      <c r="F61" s="96"/>
      <c r="G61" s="97"/>
      <c r="H61" s="97"/>
      <c r="I61" s="97"/>
      <c r="J61" s="97"/>
      <c r="K61" s="97"/>
      <c r="L61" s="97"/>
      <c r="M61" s="97"/>
      <c r="N61" s="97"/>
      <c r="O61" s="91"/>
    </row>
    <row r="62">
      <c r="A62" s="102" t="s">
        <v>103</v>
      </c>
      <c r="B62" s="93">
        <v>439.0</v>
      </c>
      <c r="C62" s="94">
        <f>LAZADA!U62+SHOPEE!CE62+SHOPIFY!F62+TIKTOK!G62+PICKAROO!N62</f>
        <v>0</v>
      </c>
      <c r="D62" s="96"/>
      <c r="E62" s="96"/>
      <c r="F62" s="96"/>
      <c r="G62" s="97"/>
      <c r="H62" s="97"/>
      <c r="I62" s="97"/>
      <c r="J62" s="97"/>
      <c r="K62" s="97"/>
      <c r="L62" s="97"/>
      <c r="M62" s="97"/>
      <c r="N62" s="97"/>
      <c r="O62" s="91"/>
    </row>
    <row r="63">
      <c r="A63" s="102" t="s">
        <v>104</v>
      </c>
      <c r="B63" s="93">
        <v>439.0</v>
      </c>
      <c r="C63" s="94">
        <f>LAZADA!U63+SHOPEE!CE63+SHOPIFY!F63+TIKTOK!G63+PICKAROO!N63</f>
        <v>7</v>
      </c>
      <c r="D63" s="96"/>
      <c r="E63" s="96"/>
      <c r="F63" s="96"/>
      <c r="G63" s="97"/>
      <c r="H63" s="97"/>
      <c r="I63" s="97"/>
      <c r="J63" s="97"/>
      <c r="K63" s="97"/>
      <c r="L63" s="97"/>
      <c r="M63" s="97"/>
      <c r="N63" s="97"/>
      <c r="O63" s="91"/>
    </row>
    <row r="64">
      <c r="A64" s="102" t="s">
        <v>105</v>
      </c>
      <c r="B64" s="93">
        <v>439.0</v>
      </c>
      <c r="C64" s="94">
        <f>LAZADA!U64+SHOPEE!CE64+SHOPIFY!F64+TIKTOK!G64+PICKAROO!N64</f>
        <v>1</v>
      </c>
      <c r="D64" s="96"/>
      <c r="E64" s="96"/>
      <c r="F64" s="96"/>
      <c r="G64" s="97"/>
      <c r="H64" s="97"/>
      <c r="I64" s="97"/>
      <c r="J64" s="97"/>
      <c r="K64" s="97"/>
      <c r="L64" s="97"/>
      <c r="M64" s="97"/>
      <c r="N64" s="97"/>
      <c r="O64" s="91"/>
    </row>
    <row r="65">
      <c r="A65" s="102" t="s">
        <v>106</v>
      </c>
      <c r="B65" s="93">
        <v>799.0</v>
      </c>
      <c r="C65" s="94">
        <f>LAZADA!U65+SHOPEE!CE65+SHOPIFY!F65+TIKTOK!G65+PICKAROO!N65</f>
        <v>0</v>
      </c>
      <c r="D65" s="96"/>
      <c r="E65" s="96"/>
      <c r="F65" s="96"/>
      <c r="G65" s="97"/>
      <c r="H65" s="97"/>
      <c r="I65" s="97"/>
      <c r="J65" s="97"/>
      <c r="K65" s="97"/>
      <c r="L65" s="97"/>
      <c r="M65" s="97"/>
      <c r="N65" s="97"/>
      <c r="O65" s="91"/>
    </row>
    <row r="66">
      <c r="A66" s="102" t="s">
        <v>107</v>
      </c>
      <c r="B66" s="93">
        <v>799.0</v>
      </c>
      <c r="C66" s="94">
        <f>LAZADA!U66+SHOPEE!CE66+SHOPIFY!F66+TIKTOK!G66+PICKAROO!N66</f>
        <v>1</v>
      </c>
      <c r="D66" s="96"/>
      <c r="E66" s="96"/>
      <c r="F66" s="96"/>
      <c r="G66" s="97"/>
      <c r="H66" s="97"/>
      <c r="I66" s="97"/>
      <c r="J66" s="97"/>
      <c r="K66" s="97"/>
      <c r="L66" s="97"/>
      <c r="M66" s="97"/>
      <c r="N66" s="97"/>
      <c r="O66" s="91"/>
    </row>
    <row r="67">
      <c r="A67" s="102" t="s">
        <v>108</v>
      </c>
      <c r="B67" s="93">
        <v>799.0</v>
      </c>
      <c r="C67" s="94">
        <f>LAZADA!U67+SHOPEE!CE67+SHOPIFY!F67+TIKTOK!G67+PICKAROO!N67</f>
        <v>0</v>
      </c>
      <c r="D67" s="96"/>
      <c r="E67" s="96"/>
      <c r="F67" s="96"/>
      <c r="G67" s="97"/>
      <c r="H67" s="97"/>
      <c r="I67" s="97"/>
      <c r="J67" s="97"/>
      <c r="K67" s="97"/>
      <c r="L67" s="97"/>
      <c r="M67" s="97"/>
      <c r="N67" s="97"/>
      <c r="O67" s="91"/>
    </row>
    <row r="68">
      <c r="A68" s="102" t="s">
        <v>109</v>
      </c>
      <c r="B68" s="96">
        <v>1299.0</v>
      </c>
      <c r="C68" s="94">
        <f>LAZADA!U68+SHOPEE!CE68+SHOPIFY!F68+TIKTOK!G68+PICKAROO!N68</f>
        <v>0</v>
      </c>
      <c r="D68" s="96"/>
      <c r="E68" s="96"/>
      <c r="F68" s="96"/>
      <c r="G68" s="97"/>
      <c r="H68" s="97"/>
      <c r="I68" s="97"/>
      <c r="J68" s="97"/>
      <c r="K68" s="97"/>
      <c r="L68" s="97"/>
      <c r="M68" s="97"/>
      <c r="N68" s="97"/>
      <c r="O68" s="91"/>
    </row>
    <row r="69">
      <c r="A69" s="102" t="s">
        <v>110</v>
      </c>
      <c r="B69" s="96">
        <v>1299.0</v>
      </c>
      <c r="C69" s="94">
        <f>LAZADA!U69+SHOPEE!CE69+SHOPIFY!F69+TIKTOK!G69+PICKAROO!N69</f>
        <v>0</v>
      </c>
      <c r="D69" s="96"/>
      <c r="E69" s="96"/>
      <c r="F69" s="96"/>
      <c r="G69" s="97"/>
      <c r="H69" s="97"/>
      <c r="I69" s="97"/>
      <c r="J69" s="97"/>
      <c r="K69" s="97"/>
      <c r="L69" s="97"/>
      <c r="M69" s="97"/>
      <c r="N69" s="97"/>
      <c r="O69" s="91"/>
    </row>
    <row r="70">
      <c r="A70" s="101" t="s">
        <v>111</v>
      </c>
      <c r="B70" s="96">
        <v>1299.0</v>
      </c>
      <c r="C70" s="94">
        <f>LAZADA!U70+SHOPEE!CE70+SHOPIFY!F70+TIKTOK!G70+PICKAROO!N70</f>
        <v>0</v>
      </c>
      <c r="D70" s="96"/>
      <c r="E70" s="96"/>
      <c r="F70" s="96"/>
      <c r="G70" s="97"/>
      <c r="H70" s="97"/>
      <c r="I70" s="97"/>
      <c r="J70" s="97"/>
      <c r="K70" s="97"/>
      <c r="L70" s="97"/>
      <c r="M70" s="97"/>
      <c r="N70" s="97"/>
      <c r="O70" s="91"/>
    </row>
    <row r="71">
      <c r="A71" s="101" t="s">
        <v>112</v>
      </c>
      <c r="B71" s="93">
        <v>609.0</v>
      </c>
      <c r="C71" s="94">
        <f>LAZADA!U71+SHOPEE!CE71+SHOPIFY!F71+TIKTOK!G71+PICKAROO!N71</f>
        <v>1</v>
      </c>
      <c r="D71" s="96"/>
      <c r="E71" s="96"/>
      <c r="F71" s="96"/>
      <c r="G71" s="97"/>
      <c r="H71" s="97"/>
      <c r="I71" s="97"/>
      <c r="J71" s="97"/>
      <c r="K71" s="97"/>
      <c r="L71" s="97"/>
      <c r="M71" s="97"/>
      <c r="N71" s="97"/>
      <c r="O71" s="91"/>
    </row>
    <row r="72">
      <c r="A72" s="101" t="s">
        <v>113</v>
      </c>
      <c r="B72" s="107">
        <v>999.0</v>
      </c>
      <c r="C72" s="94">
        <f>LAZADA!U72+SHOPEE!CE72+SHOPIFY!F72+TIKTOK!G72+PICKAROO!N72</f>
        <v>2</v>
      </c>
      <c r="D72" s="96"/>
      <c r="E72" s="96"/>
      <c r="F72" s="96"/>
      <c r="G72" s="97"/>
      <c r="H72" s="97"/>
      <c r="I72" s="97"/>
      <c r="J72" s="97"/>
      <c r="K72" s="97"/>
      <c r="L72" s="97"/>
      <c r="M72" s="97"/>
      <c r="N72" s="97"/>
      <c r="O72" s="91"/>
    </row>
    <row r="73">
      <c r="A73" s="101" t="s">
        <v>114</v>
      </c>
      <c r="B73" s="107">
        <v>999.0</v>
      </c>
      <c r="C73" s="94">
        <f>LAZADA!U73+SHOPEE!CE73+SHOPIFY!F73+TIKTOK!G73+PICKAROO!N73</f>
        <v>1</v>
      </c>
      <c r="D73" s="96"/>
      <c r="E73" s="96"/>
      <c r="F73" s="96"/>
      <c r="G73" s="97"/>
      <c r="H73" s="97"/>
      <c r="I73" s="97"/>
      <c r="J73" s="97"/>
      <c r="K73" s="97"/>
      <c r="L73" s="97"/>
      <c r="M73" s="97"/>
      <c r="N73" s="97"/>
      <c r="O73" s="91"/>
    </row>
    <row r="74">
      <c r="A74" s="101" t="s">
        <v>115</v>
      </c>
      <c r="B74" s="107">
        <v>999.0</v>
      </c>
      <c r="C74" s="94">
        <f>LAZADA!U74+SHOPEE!CE74+SHOPIFY!F74+TIKTOK!G74+PICKAROO!N74</f>
        <v>0</v>
      </c>
      <c r="D74" s="96"/>
      <c r="E74" s="96"/>
      <c r="F74" s="96"/>
      <c r="G74" s="97"/>
      <c r="H74" s="97"/>
      <c r="I74" s="97"/>
      <c r="J74" s="97"/>
      <c r="K74" s="97"/>
      <c r="L74" s="97"/>
      <c r="M74" s="97"/>
      <c r="N74" s="97"/>
      <c r="O74" s="91"/>
    </row>
    <row r="75">
      <c r="A75" s="101" t="s">
        <v>116</v>
      </c>
      <c r="B75" s="108"/>
      <c r="C75" s="94">
        <f>LAZADA!U75+SHOPEE!CE75+SHOPIFY!F75+TIKTOK!G75+PICKAROO!N75</f>
        <v>1</v>
      </c>
      <c r="D75" s="96"/>
      <c r="E75" s="96"/>
      <c r="F75" s="96"/>
      <c r="G75" s="97"/>
      <c r="H75" s="97"/>
      <c r="I75" s="97"/>
      <c r="J75" s="97"/>
      <c r="K75" s="97"/>
      <c r="L75" s="97"/>
      <c r="M75" s="97"/>
      <c r="N75" s="97"/>
      <c r="O75" s="91"/>
    </row>
    <row r="76">
      <c r="A76" s="109"/>
      <c r="B76" s="108"/>
      <c r="C76" s="94">
        <f>LAZADA!U76+SHOPEE!CE76+SHOPIFY!F76+TIKTOK!G76+PICKAROO!N76</f>
        <v>0</v>
      </c>
      <c r="D76" s="96"/>
      <c r="E76" s="96"/>
      <c r="F76" s="96"/>
      <c r="G76" s="97"/>
      <c r="H76" s="97"/>
      <c r="I76" s="97"/>
      <c r="J76" s="97"/>
      <c r="K76" s="97"/>
      <c r="L76" s="97"/>
      <c r="M76" s="97"/>
      <c r="N76" s="97"/>
      <c r="O76" s="91"/>
    </row>
    <row r="77">
      <c r="A77" s="110" t="s">
        <v>117</v>
      </c>
      <c r="B77" s="96">
        <v>379.0</v>
      </c>
      <c r="C77" s="94">
        <f>LAZADA!U77+SHOPEE!CE77+SHOPIFY!F77+TIKTOK!G77+PICKAROO!N77</f>
        <v>6</v>
      </c>
      <c r="D77" s="96"/>
      <c r="E77" s="96"/>
      <c r="F77" s="96"/>
      <c r="G77" s="97"/>
      <c r="H77" s="97"/>
      <c r="I77" s="97"/>
      <c r="J77" s="97"/>
      <c r="K77" s="97"/>
      <c r="L77" s="97"/>
      <c r="M77" s="97"/>
      <c r="N77" s="97"/>
      <c r="O77" s="91"/>
    </row>
    <row r="78">
      <c r="A78" s="110" t="s">
        <v>118</v>
      </c>
      <c r="B78" s="96">
        <v>799.0</v>
      </c>
      <c r="C78" s="94">
        <f>LAZADA!U78+SHOPEE!CE78+SHOPIFY!F78+TIKTOK!G78+PICKAROO!N78</f>
        <v>0</v>
      </c>
      <c r="D78" s="96"/>
      <c r="E78" s="96"/>
      <c r="F78" s="96"/>
      <c r="G78" s="97"/>
      <c r="H78" s="97"/>
      <c r="I78" s="97"/>
      <c r="J78" s="97"/>
      <c r="K78" s="97"/>
      <c r="L78" s="97"/>
      <c r="M78" s="97"/>
      <c r="N78" s="97"/>
      <c r="O78" s="91"/>
    </row>
    <row r="79">
      <c r="A79" s="110" t="s">
        <v>119</v>
      </c>
      <c r="B79" s="96">
        <v>439.0</v>
      </c>
      <c r="C79" s="94">
        <f>LAZADA!U79+SHOPEE!CE79+SHOPIFY!F79+TIKTOK!G79+PICKAROO!N79</f>
        <v>0</v>
      </c>
      <c r="D79" s="96"/>
      <c r="E79" s="96"/>
      <c r="F79" s="96"/>
      <c r="G79" s="97"/>
      <c r="H79" s="97"/>
      <c r="I79" s="97"/>
      <c r="J79" s="97"/>
      <c r="K79" s="97"/>
      <c r="L79" s="97"/>
      <c r="M79" s="97"/>
      <c r="N79" s="97"/>
      <c r="O79" s="91"/>
    </row>
    <row r="80">
      <c r="A80" s="110" t="s">
        <v>120</v>
      </c>
      <c r="B80" s="96">
        <v>599.0</v>
      </c>
      <c r="C80" s="94">
        <f>LAZADA!U80+SHOPEE!CE80+SHOPIFY!F80+TIKTOK!G80+PICKAROO!N80</f>
        <v>0</v>
      </c>
      <c r="D80" s="96"/>
      <c r="E80" s="96"/>
      <c r="F80" s="96"/>
      <c r="G80" s="97"/>
      <c r="H80" s="97"/>
      <c r="I80" s="97"/>
      <c r="J80" s="97"/>
      <c r="K80" s="97"/>
      <c r="L80" s="97"/>
      <c r="M80" s="97"/>
      <c r="N80" s="97"/>
      <c r="O80" s="91"/>
    </row>
    <row r="81">
      <c r="A81" s="110" t="s">
        <v>121</v>
      </c>
      <c r="B81" s="96">
        <v>229.0</v>
      </c>
      <c r="C81" s="94">
        <f>LAZADA!U81+SHOPEE!CE81+SHOPIFY!F81+TIKTOK!G81+PICKAROO!N81</f>
        <v>3</v>
      </c>
      <c r="D81" s="96"/>
      <c r="E81" s="96"/>
      <c r="F81" s="96"/>
      <c r="G81" s="97"/>
      <c r="H81" s="97"/>
      <c r="I81" s="97"/>
      <c r="J81" s="97"/>
      <c r="K81" s="97"/>
      <c r="L81" s="97"/>
      <c r="M81" s="97"/>
      <c r="N81" s="97"/>
      <c r="O81" s="91"/>
    </row>
    <row r="82">
      <c r="A82" s="110" t="s">
        <v>122</v>
      </c>
      <c r="B82" s="96">
        <v>219.0</v>
      </c>
      <c r="C82" s="94">
        <f>LAZADA!U82+SHOPEE!CE82+SHOPIFY!F82+TIKTOK!G82+PICKAROO!N82</f>
        <v>1</v>
      </c>
      <c r="D82" s="96"/>
      <c r="E82" s="96"/>
      <c r="F82" s="96"/>
      <c r="G82" s="97"/>
      <c r="H82" s="97"/>
      <c r="I82" s="97"/>
      <c r="J82" s="97"/>
      <c r="K82" s="97"/>
      <c r="L82" s="97"/>
      <c r="M82" s="97"/>
      <c r="N82" s="97"/>
      <c r="O82" s="91"/>
    </row>
    <row r="83">
      <c r="A83" s="110" t="s">
        <v>123</v>
      </c>
      <c r="B83" s="96">
        <v>1299.0</v>
      </c>
      <c r="C83" s="94">
        <f>LAZADA!U83+SHOPEE!CE83+SHOPIFY!F83+TIKTOK!G83+PICKAROO!N83</f>
        <v>1</v>
      </c>
      <c r="D83" s="96"/>
      <c r="E83" s="96"/>
      <c r="F83" s="96"/>
      <c r="G83" s="97"/>
      <c r="H83" s="97"/>
      <c r="I83" s="97"/>
      <c r="J83" s="97"/>
      <c r="K83" s="97"/>
      <c r="L83" s="97"/>
      <c r="M83" s="97"/>
      <c r="N83" s="97"/>
      <c r="O83" s="91"/>
    </row>
    <row r="84">
      <c r="A84" s="102" t="s">
        <v>124</v>
      </c>
      <c r="B84" s="96">
        <v>1299.0</v>
      </c>
      <c r="C84" s="94">
        <f>LAZADA!U84+SHOPEE!CE84+SHOPIFY!F84+TIKTOK!G84+PICKAROO!N84</f>
        <v>0</v>
      </c>
      <c r="D84" s="96"/>
      <c r="E84" s="96"/>
      <c r="F84" s="96"/>
      <c r="G84" s="97"/>
      <c r="H84" s="97"/>
      <c r="I84" s="97"/>
      <c r="J84" s="97"/>
      <c r="K84" s="97"/>
      <c r="L84" s="97"/>
      <c r="M84" s="97"/>
      <c r="N84" s="97"/>
      <c r="O84" s="91"/>
    </row>
    <row r="85">
      <c r="A85" s="111" t="s">
        <v>125</v>
      </c>
      <c r="B85" s="96">
        <v>1299.0</v>
      </c>
      <c r="C85" s="94">
        <f>LAZADA!U85+SHOPEE!CE85+SHOPIFY!F85+TIKTOK!G85+PICKAROO!N85</f>
        <v>0</v>
      </c>
      <c r="D85" s="96"/>
      <c r="E85" s="96"/>
      <c r="F85" s="96"/>
      <c r="G85" s="97"/>
      <c r="H85" s="97"/>
      <c r="I85" s="97"/>
      <c r="J85" s="97"/>
      <c r="K85" s="97"/>
      <c r="L85" s="97"/>
      <c r="M85" s="97"/>
      <c r="N85" s="97"/>
      <c r="O85" s="91"/>
    </row>
    <row r="86">
      <c r="A86" s="112" t="s">
        <v>126</v>
      </c>
      <c r="B86" s="96">
        <v>1299.0</v>
      </c>
      <c r="C86" s="94">
        <f>LAZADA!U86+SHOPEE!CE86+SHOPIFY!F86+TIKTOK!G86+PICKAROO!N86</f>
        <v>0</v>
      </c>
      <c r="D86" s="96"/>
      <c r="E86" s="96"/>
      <c r="F86" s="96"/>
      <c r="G86" s="97"/>
      <c r="H86" s="97"/>
      <c r="I86" s="97"/>
      <c r="J86" s="97"/>
      <c r="K86" s="97"/>
      <c r="L86" s="97"/>
      <c r="M86" s="97"/>
      <c r="N86" s="97"/>
      <c r="O86" s="91"/>
    </row>
    <row r="87">
      <c r="A87" s="113"/>
      <c r="B87" s="114"/>
      <c r="C87" s="94">
        <f>LAZADA!U87+SHOPEE!CE87+SHOPIFY!F87+TIKTOK!G87+PICKAROO!N87</f>
        <v>0</v>
      </c>
      <c r="D87" s="96"/>
      <c r="E87" s="96"/>
      <c r="F87" s="96"/>
      <c r="G87" s="97"/>
      <c r="H87" s="97"/>
      <c r="I87" s="97"/>
      <c r="J87" s="97"/>
      <c r="K87" s="97"/>
      <c r="L87" s="97"/>
      <c r="M87" s="97"/>
      <c r="N87" s="97"/>
      <c r="O87" s="91"/>
    </row>
    <row r="88">
      <c r="A88" s="94" t="s">
        <v>127</v>
      </c>
      <c r="B88" s="96">
        <v>679.0</v>
      </c>
      <c r="C88" s="94">
        <f>LAZADA!U88+SHOPEE!CE88+SHOPIFY!F88+TIKTOK!G88+PICKAROO!N88</f>
        <v>0</v>
      </c>
      <c r="D88" s="96"/>
      <c r="E88" s="96"/>
      <c r="F88" s="96"/>
      <c r="G88" s="97"/>
      <c r="H88" s="97"/>
      <c r="I88" s="97"/>
      <c r="J88" s="97"/>
      <c r="K88" s="97"/>
      <c r="L88" s="97"/>
      <c r="M88" s="97"/>
      <c r="N88" s="97"/>
      <c r="O88" s="91"/>
    </row>
    <row r="89">
      <c r="A89" s="94" t="s">
        <v>128</v>
      </c>
      <c r="B89" s="96">
        <v>679.0</v>
      </c>
      <c r="C89" s="94">
        <f>LAZADA!U89+SHOPEE!CE89+SHOPIFY!F89+TIKTOK!G89+PICKAROO!N89</f>
        <v>0</v>
      </c>
      <c r="D89" s="96"/>
      <c r="E89" s="96"/>
      <c r="F89" s="96"/>
      <c r="G89" s="97"/>
      <c r="H89" s="97"/>
      <c r="I89" s="97"/>
      <c r="J89" s="97"/>
      <c r="K89" s="97"/>
      <c r="L89" s="97"/>
      <c r="M89" s="97"/>
      <c r="N89" s="97"/>
      <c r="O89" s="91"/>
    </row>
    <row r="90">
      <c r="A90" s="94" t="s">
        <v>129</v>
      </c>
      <c r="B90" s="96">
        <v>679.0</v>
      </c>
      <c r="C90" s="94">
        <f>LAZADA!U90+SHOPEE!CE90+SHOPIFY!F90+TIKTOK!G90+PICKAROO!N90</f>
        <v>0</v>
      </c>
      <c r="D90" s="96"/>
      <c r="E90" s="96"/>
      <c r="F90" s="96"/>
      <c r="G90" s="97"/>
      <c r="H90" s="97"/>
      <c r="I90" s="97"/>
      <c r="J90" s="97"/>
      <c r="K90" s="97"/>
      <c r="L90" s="97"/>
      <c r="M90" s="97"/>
      <c r="N90" s="97"/>
      <c r="O90" s="91"/>
    </row>
    <row r="91">
      <c r="A91" s="115"/>
      <c r="B91" s="116"/>
      <c r="C91" s="94">
        <f>LAZADA!U91+SHOPEE!CE91+SHOPIFY!F91+TIKTOK!G91+PICKAROO!N91</f>
        <v>0</v>
      </c>
      <c r="D91" s="96"/>
      <c r="E91" s="96"/>
      <c r="F91" s="96"/>
      <c r="G91" s="97"/>
      <c r="H91" s="97"/>
      <c r="I91" s="97"/>
      <c r="J91" s="97"/>
      <c r="K91" s="97"/>
      <c r="L91" s="97"/>
      <c r="M91" s="97"/>
      <c r="N91" s="97"/>
      <c r="O91" s="91"/>
    </row>
    <row r="92">
      <c r="A92" s="94" t="s">
        <v>130</v>
      </c>
      <c r="B92" s="96">
        <v>490.0</v>
      </c>
      <c r="C92" s="94">
        <f>LAZADA!U92+SHOPEE!CE92+SHOPIFY!F92+TIKTOK!G92+PICKAROO!N92</f>
        <v>0</v>
      </c>
      <c r="D92" s="96"/>
      <c r="E92" s="96"/>
      <c r="F92" s="96"/>
      <c r="G92" s="97"/>
      <c r="H92" s="97"/>
      <c r="I92" s="97"/>
      <c r="J92" s="97"/>
      <c r="K92" s="97"/>
      <c r="L92" s="97"/>
      <c r="M92" s="97"/>
      <c r="N92" s="97"/>
      <c r="O92" s="91"/>
    </row>
    <row r="93">
      <c r="A93" s="94" t="s">
        <v>131</v>
      </c>
      <c r="B93" s="96">
        <v>490.0</v>
      </c>
      <c r="C93" s="94">
        <f>LAZADA!U93+SHOPEE!CE93+SHOPIFY!F93+TIKTOK!G93+PICKAROO!N93</f>
        <v>0</v>
      </c>
      <c r="D93" s="96"/>
      <c r="E93" s="96"/>
      <c r="F93" s="96"/>
      <c r="G93" s="97"/>
      <c r="H93" s="97"/>
      <c r="I93" s="97"/>
      <c r="J93" s="97"/>
      <c r="K93" s="97"/>
      <c r="L93" s="97"/>
      <c r="M93" s="97"/>
      <c r="N93" s="97"/>
      <c r="O93" s="91"/>
    </row>
    <row r="94">
      <c r="A94" s="94" t="s">
        <v>132</v>
      </c>
      <c r="B94" s="96">
        <v>450.0</v>
      </c>
      <c r="C94" s="94">
        <f>LAZADA!U94+SHOPEE!CE94+SHOPIFY!F94+TIKTOK!G94+PICKAROO!N94</f>
        <v>0</v>
      </c>
      <c r="D94" s="96"/>
      <c r="E94" s="96"/>
      <c r="F94" s="96"/>
      <c r="G94" s="97"/>
      <c r="H94" s="97"/>
      <c r="I94" s="97"/>
      <c r="J94" s="97"/>
      <c r="K94" s="97"/>
      <c r="L94" s="97"/>
      <c r="M94" s="97"/>
      <c r="N94" s="97"/>
      <c r="O94" s="91"/>
    </row>
    <row r="95">
      <c r="A95" s="117" t="s">
        <v>133</v>
      </c>
      <c r="B95" s="118">
        <v>450.0</v>
      </c>
      <c r="C95" s="94">
        <f>LAZADA!U95+SHOPEE!CE95+SHOPIFY!F95+TIKTOK!G95+PICKAROO!N95</f>
        <v>0</v>
      </c>
      <c r="D95" s="96"/>
      <c r="E95" s="96"/>
      <c r="F95" s="96"/>
      <c r="G95" s="97"/>
      <c r="H95" s="97"/>
      <c r="I95" s="97"/>
      <c r="J95" s="97"/>
      <c r="K95" s="97"/>
      <c r="L95" s="97"/>
      <c r="M95" s="97"/>
      <c r="N95" s="97"/>
      <c r="O95" s="91"/>
    </row>
    <row r="96">
      <c r="A96" s="119"/>
      <c r="B96" s="120"/>
      <c r="C96" s="94">
        <f>LAZADA!U96+SHOPEE!CE96+SHOPIFY!F96+TIKTOK!G96+PICKAROO!N96</f>
        <v>0</v>
      </c>
      <c r="D96" s="96"/>
      <c r="E96" s="96"/>
      <c r="F96" s="96"/>
      <c r="G96" s="97"/>
      <c r="H96" s="97"/>
      <c r="I96" s="97"/>
      <c r="J96" s="97"/>
      <c r="K96" s="97"/>
      <c r="L96" s="97"/>
      <c r="M96" s="97"/>
      <c r="N96" s="97"/>
      <c r="O96" s="91"/>
    </row>
    <row r="97">
      <c r="A97" s="121" t="s">
        <v>134</v>
      </c>
      <c r="B97" s="118">
        <v>1054.0</v>
      </c>
      <c r="C97" s="94">
        <f>LAZADA!U97+SHOPEE!CE97+SHOPIFY!F97+TIKTOK!G97+PICKAROO!N97</f>
        <v>0</v>
      </c>
      <c r="D97" s="96"/>
      <c r="E97" s="96"/>
      <c r="F97" s="96"/>
      <c r="G97" s="122"/>
      <c r="H97" s="97"/>
      <c r="I97" s="97"/>
      <c r="J97" s="97"/>
      <c r="K97" s="97"/>
      <c r="L97" s="97"/>
      <c r="M97" s="97"/>
      <c r="N97" s="97"/>
      <c r="O97" s="91"/>
    </row>
    <row r="98">
      <c r="A98" s="123" t="s">
        <v>135</v>
      </c>
      <c r="B98" s="124"/>
      <c r="C98" s="125"/>
      <c r="D98" s="125"/>
      <c r="E98" s="125"/>
      <c r="F98" s="126"/>
      <c r="G98" s="124"/>
      <c r="H98" s="127"/>
      <c r="I98" s="127"/>
      <c r="J98" s="125"/>
      <c r="K98" s="125"/>
      <c r="L98" s="125"/>
      <c r="M98" s="125"/>
      <c r="N98" s="125"/>
      <c r="O98" s="128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</row>
  </sheetData>
  <mergeCells count="15">
    <mergeCell ref="H3:H4"/>
    <mergeCell ref="I3:I4"/>
    <mergeCell ref="J3:J4"/>
    <mergeCell ref="K3:K4"/>
    <mergeCell ref="L3:L4"/>
    <mergeCell ref="M3:M4"/>
    <mergeCell ref="N3:N4"/>
    <mergeCell ref="O3:O4"/>
    <mergeCell ref="C1:O1"/>
    <mergeCell ref="C2:O2"/>
    <mergeCell ref="C3:C4"/>
    <mergeCell ref="D3:D4"/>
    <mergeCell ref="E3:E4"/>
    <mergeCell ref="F3:F4"/>
    <mergeCell ref="G3:G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38"/>
    <col customWidth="1" min="3" max="21" width="6.5"/>
    <col customWidth="1" min="22" max="22" width="8.0"/>
    <col customWidth="1" min="24" max="50" width="6.0"/>
    <col customWidth="1" min="51" max="52" width="8.0"/>
    <col customWidth="1" min="53" max="79" width="6.25"/>
    <col customWidth="1" min="80" max="80" width="7.38"/>
    <col customWidth="1" min="81" max="113" width="6.25"/>
    <col customWidth="1" min="114" max="114" width="7.25"/>
    <col customWidth="1" min="115" max="144" width="6.25"/>
    <col customWidth="1" min="145" max="145" width="7.38"/>
    <col customWidth="1" min="146" max="150" width="6.25"/>
  </cols>
  <sheetData>
    <row r="1"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  <c r="ED1" s="72"/>
      <c r="EE1" s="72"/>
      <c r="EF1" s="72"/>
      <c r="EG1" s="72"/>
      <c r="EH1" s="72"/>
      <c r="EI1" s="129"/>
      <c r="EJ1" s="129"/>
      <c r="EK1" s="129"/>
      <c r="EL1" s="129"/>
      <c r="EM1" s="72"/>
      <c r="EN1" s="72"/>
      <c r="EO1" s="72"/>
      <c r="EP1" s="72"/>
      <c r="EQ1" s="72"/>
      <c r="ER1" s="72"/>
      <c r="ES1" s="72"/>
      <c r="ET1" s="72"/>
    </row>
    <row r="2">
      <c r="A2" s="130"/>
      <c r="B2" s="131"/>
      <c r="C2" s="132" t="s">
        <v>136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4"/>
      <c r="U2" s="135"/>
      <c r="V2" s="136"/>
      <c r="X2" s="132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4"/>
      <c r="AX2" s="135"/>
      <c r="AY2" s="136"/>
      <c r="AZ2" s="137"/>
      <c r="BA2" s="138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4"/>
      <c r="CA2" s="135"/>
      <c r="CB2" s="136"/>
      <c r="CC2" s="137"/>
      <c r="CD2" s="139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4"/>
      <c r="DI2" s="140"/>
      <c r="DJ2" s="141"/>
      <c r="DK2" s="72"/>
      <c r="DL2" s="142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  <c r="EP2" s="133"/>
      <c r="EQ2" s="133"/>
      <c r="ER2" s="134"/>
      <c r="ES2" s="135"/>
      <c r="ET2" s="136"/>
    </row>
    <row r="3" ht="33.75" customHeight="1">
      <c r="A3" s="143" t="s">
        <v>47</v>
      </c>
      <c r="B3" s="144" t="s">
        <v>48</v>
      </c>
      <c r="C3" s="145" t="s">
        <v>137</v>
      </c>
      <c r="D3" s="145" t="s">
        <v>138</v>
      </c>
      <c r="E3" s="145" t="s">
        <v>139</v>
      </c>
      <c r="F3" s="145" t="s">
        <v>140</v>
      </c>
      <c r="G3" s="145" t="s">
        <v>141</v>
      </c>
      <c r="H3" s="145" t="s">
        <v>142</v>
      </c>
      <c r="I3" s="145" t="s">
        <v>143</v>
      </c>
      <c r="J3" s="145" t="s">
        <v>144</v>
      </c>
      <c r="K3" s="145" t="s">
        <v>145</v>
      </c>
      <c r="L3" s="145" t="s">
        <v>146</v>
      </c>
      <c r="M3" s="145" t="s">
        <v>147</v>
      </c>
      <c r="N3" s="145" t="s">
        <v>148</v>
      </c>
      <c r="O3" s="145" t="s">
        <v>149</v>
      </c>
      <c r="P3" s="145" t="s">
        <v>150</v>
      </c>
      <c r="Q3" s="145" t="s">
        <v>151</v>
      </c>
      <c r="R3" s="145" t="s">
        <v>152</v>
      </c>
      <c r="S3" s="145" t="s">
        <v>153</v>
      </c>
      <c r="T3" s="146" t="s">
        <v>154</v>
      </c>
      <c r="U3" s="147"/>
      <c r="V3" s="148"/>
      <c r="W3" s="149"/>
      <c r="X3" s="145" t="s">
        <v>155</v>
      </c>
      <c r="Y3" s="145" t="s">
        <v>156</v>
      </c>
      <c r="Z3" s="145" t="s">
        <v>157</v>
      </c>
      <c r="AA3" s="145" t="s">
        <v>158</v>
      </c>
      <c r="AB3" s="145" t="s">
        <v>159</v>
      </c>
      <c r="AC3" s="145" t="s">
        <v>160</v>
      </c>
      <c r="AD3" s="145" t="s">
        <v>161</v>
      </c>
      <c r="AE3" s="145" t="s">
        <v>162</v>
      </c>
      <c r="AF3" s="145" t="s">
        <v>163</v>
      </c>
      <c r="AG3" s="145" t="s">
        <v>164</v>
      </c>
      <c r="AH3" s="145" t="s">
        <v>165</v>
      </c>
      <c r="AI3" s="145" t="s">
        <v>166</v>
      </c>
      <c r="AJ3" s="145" t="s">
        <v>167</v>
      </c>
      <c r="AK3" s="145" t="s">
        <v>168</v>
      </c>
      <c r="AL3" s="145" t="s">
        <v>169</v>
      </c>
      <c r="AM3" s="145" t="s">
        <v>162</v>
      </c>
      <c r="AN3" s="145" t="s">
        <v>170</v>
      </c>
      <c r="AO3" s="145" t="s">
        <v>171</v>
      </c>
      <c r="AP3" s="145" t="s">
        <v>172</v>
      </c>
      <c r="AQ3" s="145" t="s">
        <v>173</v>
      </c>
      <c r="AR3" s="145" t="s">
        <v>174</v>
      </c>
      <c r="AS3" s="145" t="s">
        <v>175</v>
      </c>
      <c r="AT3" s="145" t="s">
        <v>176</v>
      </c>
      <c r="AU3" s="145" t="s">
        <v>177</v>
      </c>
      <c r="AV3" s="145" t="s">
        <v>178</v>
      </c>
      <c r="AW3" s="146" t="s">
        <v>179</v>
      </c>
      <c r="AX3" s="147"/>
      <c r="AY3" s="148"/>
      <c r="AZ3" s="137"/>
      <c r="BA3" s="150" t="s">
        <v>180</v>
      </c>
      <c r="BB3" s="151" t="s">
        <v>181</v>
      </c>
      <c r="BC3" s="151" t="s">
        <v>182</v>
      </c>
      <c r="BD3" s="151" t="s">
        <v>183</v>
      </c>
      <c r="BE3" s="151" t="s">
        <v>184</v>
      </c>
      <c r="BF3" s="151" t="s">
        <v>185</v>
      </c>
      <c r="BG3" s="151" t="s">
        <v>186</v>
      </c>
      <c r="BH3" s="151" t="s">
        <v>187</v>
      </c>
      <c r="BI3" s="151" t="s">
        <v>188</v>
      </c>
      <c r="BJ3" s="151" t="s">
        <v>189</v>
      </c>
      <c r="BK3" s="151" t="s">
        <v>190</v>
      </c>
      <c r="BL3" s="151" t="s">
        <v>191</v>
      </c>
      <c r="BM3" s="151" t="s">
        <v>144</v>
      </c>
      <c r="BN3" s="151" t="s">
        <v>192</v>
      </c>
      <c r="BO3" s="151" t="s">
        <v>193</v>
      </c>
      <c r="BP3" s="151" t="s">
        <v>194</v>
      </c>
      <c r="BQ3" s="152" t="s">
        <v>195</v>
      </c>
      <c r="BR3" s="152">
        <v>917.0</v>
      </c>
      <c r="BS3" s="152" t="s">
        <v>196</v>
      </c>
      <c r="BT3" s="152">
        <v>947.0</v>
      </c>
      <c r="BU3" s="152" t="s">
        <v>197</v>
      </c>
      <c r="BV3" s="152" t="s">
        <v>198</v>
      </c>
      <c r="BW3" s="152" t="s">
        <v>199</v>
      </c>
      <c r="BX3" s="152" t="s">
        <v>200</v>
      </c>
      <c r="BY3" s="152" t="s">
        <v>201</v>
      </c>
      <c r="BZ3" s="153"/>
      <c r="CA3" s="147"/>
      <c r="CB3" s="148"/>
      <c r="CC3" s="137"/>
      <c r="CD3" s="154" t="s">
        <v>202</v>
      </c>
      <c r="CE3" s="154" t="s">
        <v>203</v>
      </c>
      <c r="CF3" s="154" t="s">
        <v>204</v>
      </c>
      <c r="CG3" s="155" t="s">
        <v>205</v>
      </c>
      <c r="CH3" s="155" t="s">
        <v>206</v>
      </c>
      <c r="CI3" s="155" t="s">
        <v>207</v>
      </c>
      <c r="CJ3" s="155" t="s">
        <v>208</v>
      </c>
      <c r="CK3" s="155" t="s">
        <v>209</v>
      </c>
      <c r="CL3" s="155" t="s">
        <v>210</v>
      </c>
      <c r="CM3" s="155" t="s">
        <v>211</v>
      </c>
      <c r="CN3" s="155" t="s">
        <v>212</v>
      </c>
      <c r="CO3" s="155" t="s">
        <v>178</v>
      </c>
      <c r="CP3" s="155" t="s">
        <v>213</v>
      </c>
      <c r="CQ3" s="155" t="s">
        <v>214</v>
      </c>
      <c r="CR3" s="155" t="s">
        <v>215</v>
      </c>
      <c r="CS3" s="155" t="s">
        <v>216</v>
      </c>
      <c r="CT3" s="155" t="s">
        <v>217</v>
      </c>
      <c r="CU3" s="155" t="s">
        <v>218</v>
      </c>
      <c r="CV3" s="155" t="s">
        <v>219</v>
      </c>
      <c r="CW3" s="155" t="s">
        <v>220</v>
      </c>
      <c r="CX3" s="155" t="s">
        <v>221</v>
      </c>
      <c r="CY3" s="156" t="s">
        <v>222</v>
      </c>
      <c r="CZ3" s="156" t="s">
        <v>223</v>
      </c>
      <c r="DA3" s="156" t="s">
        <v>224</v>
      </c>
      <c r="DB3" s="156" t="s">
        <v>225</v>
      </c>
      <c r="DC3" s="156" t="s">
        <v>226</v>
      </c>
      <c r="DD3" s="156" t="s">
        <v>227</v>
      </c>
      <c r="DE3" s="74" t="s">
        <v>228</v>
      </c>
      <c r="DF3" s="157" t="s">
        <v>229</v>
      </c>
      <c r="DG3" s="156" t="s">
        <v>230</v>
      </c>
      <c r="DH3" s="156" t="s">
        <v>231</v>
      </c>
      <c r="DI3" s="147"/>
      <c r="DJ3" s="148"/>
      <c r="DK3" s="72"/>
      <c r="DL3" s="158" t="s">
        <v>232</v>
      </c>
      <c r="DM3" s="158" t="s">
        <v>233</v>
      </c>
      <c r="DN3" s="159" t="s">
        <v>234</v>
      </c>
      <c r="DO3" s="159" t="s">
        <v>235</v>
      </c>
      <c r="DP3" s="159" t="s">
        <v>236</v>
      </c>
      <c r="DQ3" s="159" t="s">
        <v>237</v>
      </c>
      <c r="DR3" s="159" t="s">
        <v>238</v>
      </c>
      <c r="DS3" s="159" t="s">
        <v>239</v>
      </c>
      <c r="DT3" s="159" t="s">
        <v>240</v>
      </c>
      <c r="DU3" s="159" t="s">
        <v>241</v>
      </c>
      <c r="DV3" s="159" t="s">
        <v>242</v>
      </c>
      <c r="DW3" s="159" t="s">
        <v>243</v>
      </c>
      <c r="DX3" s="159" t="s">
        <v>244</v>
      </c>
      <c r="DY3" s="158" t="s">
        <v>241</v>
      </c>
      <c r="DZ3" s="159" t="s">
        <v>245</v>
      </c>
      <c r="EA3" s="159" t="s">
        <v>246</v>
      </c>
      <c r="EB3" s="159" t="s">
        <v>247</v>
      </c>
      <c r="EC3" s="159" t="s">
        <v>248</v>
      </c>
      <c r="ED3" s="159" t="s">
        <v>249</v>
      </c>
      <c r="EE3" s="159" t="s">
        <v>250</v>
      </c>
      <c r="EF3" s="159" t="s">
        <v>251</v>
      </c>
      <c r="EG3" s="159" t="s">
        <v>252</v>
      </c>
      <c r="EH3" s="159" t="s">
        <v>253</v>
      </c>
      <c r="EI3" s="158" t="s">
        <v>254</v>
      </c>
      <c r="EJ3" s="159" t="s">
        <v>255</v>
      </c>
      <c r="EK3" s="159" t="s">
        <v>256</v>
      </c>
      <c r="EL3" s="159" t="s">
        <v>257</v>
      </c>
      <c r="EM3" s="159" t="s">
        <v>258</v>
      </c>
      <c r="EN3" s="159" t="s">
        <v>259</v>
      </c>
      <c r="EO3" s="159" t="s">
        <v>260</v>
      </c>
      <c r="EP3" s="159" t="s">
        <v>261</v>
      </c>
      <c r="EQ3" s="159" t="s">
        <v>262</v>
      </c>
      <c r="ER3" s="159"/>
      <c r="ES3" s="147"/>
      <c r="ET3" s="148"/>
    </row>
    <row r="4">
      <c r="A4" s="160"/>
      <c r="B4" s="160"/>
      <c r="C4" s="161">
        <v>45658.0</v>
      </c>
      <c r="D4" s="161">
        <v>45661.0</v>
      </c>
      <c r="E4" s="161">
        <v>45662.0</v>
      </c>
      <c r="F4" s="161">
        <v>45662.0</v>
      </c>
      <c r="G4" s="161">
        <v>45662.0</v>
      </c>
      <c r="H4" s="161">
        <v>45663.0</v>
      </c>
      <c r="I4" s="161">
        <v>45666.0</v>
      </c>
      <c r="J4" s="161">
        <v>45670.0</v>
      </c>
      <c r="K4" s="161">
        <v>45670.0</v>
      </c>
      <c r="L4" s="161">
        <v>45671.0</v>
      </c>
      <c r="M4" s="161">
        <v>45672.0</v>
      </c>
      <c r="N4" s="161">
        <v>45676.0</v>
      </c>
      <c r="O4" s="161">
        <v>45677.0</v>
      </c>
      <c r="P4" s="161">
        <v>45683.0</v>
      </c>
      <c r="Q4" s="161">
        <v>45685.0</v>
      </c>
      <c r="R4" s="161">
        <v>45687.0</v>
      </c>
      <c r="S4" s="161">
        <v>45687.0</v>
      </c>
      <c r="T4" s="162">
        <v>45687.0</v>
      </c>
      <c r="U4" s="84"/>
      <c r="V4" s="86"/>
      <c r="X4" s="161">
        <v>45689.0</v>
      </c>
      <c r="Y4" s="161">
        <v>45690.0</v>
      </c>
      <c r="Z4" s="161">
        <v>45691.0</v>
      </c>
      <c r="AA4" s="161">
        <v>45691.0</v>
      </c>
      <c r="AB4" s="161">
        <v>45691.0</v>
      </c>
      <c r="AC4" s="161">
        <v>45691.0</v>
      </c>
      <c r="AD4" s="161">
        <v>45692.0</v>
      </c>
      <c r="AE4" s="161">
        <v>45693.0</v>
      </c>
      <c r="AF4" s="161">
        <v>45694.0</v>
      </c>
      <c r="AG4" s="161">
        <v>45695.0</v>
      </c>
      <c r="AH4" s="161">
        <v>45696.0</v>
      </c>
      <c r="AI4" s="161">
        <v>45696.0</v>
      </c>
      <c r="AJ4" s="161">
        <v>45696.0</v>
      </c>
      <c r="AK4" s="161">
        <v>45697.0</v>
      </c>
      <c r="AL4" s="161">
        <v>45698.0</v>
      </c>
      <c r="AM4" s="161">
        <v>45706.0</v>
      </c>
      <c r="AN4" s="161">
        <v>45707.0</v>
      </c>
      <c r="AO4" s="161">
        <v>45708.0</v>
      </c>
      <c r="AP4" s="161">
        <v>45709.0</v>
      </c>
      <c r="AQ4" s="161">
        <v>45710.0</v>
      </c>
      <c r="AR4" s="161">
        <v>45710.0</v>
      </c>
      <c r="AS4" s="161">
        <v>45710.0</v>
      </c>
      <c r="AT4" s="161">
        <v>45713.0</v>
      </c>
      <c r="AU4" s="161">
        <v>45713.0</v>
      </c>
      <c r="AV4" s="161">
        <v>45714.0</v>
      </c>
      <c r="AW4" s="162">
        <v>45715.0</v>
      </c>
      <c r="AX4" s="84"/>
      <c r="AY4" s="86"/>
      <c r="AZ4" s="137"/>
      <c r="BA4" s="163">
        <v>45717.0</v>
      </c>
      <c r="BB4" s="164">
        <v>45718.0</v>
      </c>
      <c r="BC4" s="164">
        <v>45719.0</v>
      </c>
      <c r="BD4" s="164">
        <v>45719.0</v>
      </c>
      <c r="BE4" s="164">
        <v>45720.0</v>
      </c>
      <c r="BF4" s="164">
        <v>45724.0</v>
      </c>
      <c r="BG4" s="164">
        <v>45722.0</v>
      </c>
      <c r="BH4" s="164">
        <v>45723.0</v>
      </c>
      <c r="BI4" s="164">
        <v>45728.0</v>
      </c>
      <c r="BJ4" s="164">
        <v>45730.0</v>
      </c>
      <c r="BK4" s="164">
        <v>45731.0</v>
      </c>
      <c r="BL4" s="164">
        <v>45732.0</v>
      </c>
      <c r="BM4" s="164">
        <v>45733.0</v>
      </c>
      <c r="BN4" s="164">
        <v>45734.0</v>
      </c>
      <c r="BO4" s="164">
        <v>45736.0</v>
      </c>
      <c r="BP4" s="164">
        <v>45737.0</v>
      </c>
      <c r="BQ4" s="164">
        <v>45738.0</v>
      </c>
      <c r="BR4" s="164">
        <v>45739.0</v>
      </c>
      <c r="BS4" s="164">
        <v>45740.0</v>
      </c>
      <c r="BT4" s="164">
        <v>45741.0</v>
      </c>
      <c r="BU4" s="164">
        <v>45742.0</v>
      </c>
      <c r="BV4" s="164">
        <v>45743.0</v>
      </c>
      <c r="BW4" s="164">
        <v>45744.0</v>
      </c>
      <c r="BX4" s="164">
        <v>45745.0</v>
      </c>
      <c r="BY4" s="164">
        <v>45746.0</v>
      </c>
      <c r="BZ4" s="162"/>
      <c r="CA4" s="84"/>
      <c r="CB4" s="86"/>
      <c r="CC4" s="137"/>
      <c r="CD4" s="165">
        <v>45749.0</v>
      </c>
      <c r="CE4" s="165">
        <v>45750.0</v>
      </c>
      <c r="CF4" s="165">
        <v>45751.0</v>
      </c>
      <c r="CG4" s="165">
        <v>45751.0</v>
      </c>
      <c r="CH4" s="165">
        <v>45752.0</v>
      </c>
      <c r="CI4" s="165">
        <v>45754.0</v>
      </c>
      <c r="CJ4" s="165">
        <v>45754.0</v>
      </c>
      <c r="CK4" s="165">
        <v>45757.0</v>
      </c>
      <c r="CL4" s="165">
        <v>45757.0</v>
      </c>
      <c r="CM4" s="165">
        <v>45757.0</v>
      </c>
      <c r="CN4" s="165">
        <v>45758.0</v>
      </c>
      <c r="CO4" s="165">
        <v>45758.0</v>
      </c>
      <c r="CP4" s="165">
        <v>45758.0</v>
      </c>
      <c r="CQ4" s="165">
        <v>45759.0</v>
      </c>
      <c r="CR4" s="165">
        <v>45759.0</v>
      </c>
      <c r="CS4" s="165">
        <v>45760.0</v>
      </c>
      <c r="CT4" s="165">
        <v>45760.0</v>
      </c>
      <c r="CU4" s="165">
        <v>45761.0</v>
      </c>
      <c r="CV4" s="165">
        <v>45762.0</v>
      </c>
      <c r="CW4" s="165">
        <v>45763.0</v>
      </c>
      <c r="CX4" s="165">
        <v>45767.0</v>
      </c>
      <c r="CY4" s="166">
        <v>45769.0</v>
      </c>
      <c r="CZ4" s="166">
        <v>45770.0</v>
      </c>
      <c r="DA4" s="166">
        <v>45772.0</v>
      </c>
      <c r="DB4" s="166">
        <v>45773.0</v>
      </c>
      <c r="DC4" s="166">
        <v>45773.0</v>
      </c>
      <c r="DD4" s="166">
        <v>45774.0</v>
      </c>
      <c r="DE4" s="166">
        <v>45775.0</v>
      </c>
      <c r="DF4" s="166">
        <v>45776.0</v>
      </c>
      <c r="DG4" s="166">
        <v>45776.0</v>
      </c>
      <c r="DH4" s="166">
        <v>45777.0</v>
      </c>
      <c r="DI4" s="84"/>
      <c r="DJ4" s="86"/>
      <c r="DK4" s="72"/>
      <c r="DL4" s="161">
        <v>45778.0</v>
      </c>
      <c r="DM4" s="161">
        <v>45779.0</v>
      </c>
      <c r="DN4" s="161">
        <v>45780.0</v>
      </c>
      <c r="DO4" s="161">
        <v>45781.0</v>
      </c>
      <c r="DP4" s="161">
        <v>45782.0</v>
      </c>
      <c r="DQ4" s="161">
        <v>45783.0</v>
      </c>
      <c r="DR4" s="161">
        <v>45784.0</v>
      </c>
      <c r="DS4" s="161">
        <v>45785.0</v>
      </c>
      <c r="DT4" s="161">
        <v>45785.0</v>
      </c>
      <c r="DU4" s="161">
        <v>45786.0</v>
      </c>
      <c r="DV4" s="161">
        <v>45787.0</v>
      </c>
      <c r="DW4" s="161">
        <v>45788.0</v>
      </c>
      <c r="DX4" s="161">
        <v>45788.0</v>
      </c>
      <c r="DY4" s="161">
        <v>45791.0</v>
      </c>
      <c r="DZ4" s="161">
        <v>45793.0</v>
      </c>
      <c r="EA4" s="161">
        <v>45793.0</v>
      </c>
      <c r="EB4" s="161">
        <v>45793.0</v>
      </c>
      <c r="EC4" s="161">
        <v>45793.0</v>
      </c>
      <c r="ED4" s="161">
        <v>45794.0</v>
      </c>
      <c r="EE4" s="161">
        <v>45794.0</v>
      </c>
      <c r="EF4" s="161">
        <v>45795.0</v>
      </c>
      <c r="EG4" s="161">
        <v>45795.0</v>
      </c>
      <c r="EH4" s="161">
        <v>45796.0</v>
      </c>
      <c r="EI4" s="161">
        <v>45796.0</v>
      </c>
      <c r="EJ4" s="161">
        <v>45796.0</v>
      </c>
      <c r="EK4" s="161">
        <v>45796.0</v>
      </c>
      <c r="EL4" s="161">
        <v>45796.0</v>
      </c>
      <c r="EM4" s="161">
        <v>45797.0</v>
      </c>
      <c r="EN4" s="161">
        <v>45798.0</v>
      </c>
      <c r="EO4" s="161">
        <v>45799.0</v>
      </c>
      <c r="EP4" s="161">
        <v>45799.0</v>
      </c>
      <c r="EQ4" s="161">
        <v>45800.0</v>
      </c>
      <c r="ER4" s="161"/>
      <c r="ES4" s="84"/>
      <c r="ET4" s="86"/>
    </row>
    <row r="5" hidden="1">
      <c r="A5" s="167" t="s">
        <v>49</v>
      </c>
      <c r="B5" s="168">
        <v>329.0</v>
      </c>
      <c r="C5" s="169"/>
      <c r="D5" s="170"/>
      <c r="E5" s="170"/>
      <c r="F5" s="170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2"/>
      <c r="V5" s="173"/>
      <c r="X5" s="169"/>
      <c r="Y5" s="170"/>
      <c r="Z5" s="170"/>
      <c r="AA5" s="170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2"/>
      <c r="AY5" s="173"/>
      <c r="AZ5" s="174"/>
      <c r="BA5" s="175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76"/>
      <c r="BR5" s="176"/>
      <c r="BS5" s="176"/>
      <c r="BT5" s="176"/>
      <c r="BU5" s="176"/>
      <c r="BV5" s="176"/>
      <c r="BW5" s="176"/>
      <c r="BX5" s="176"/>
      <c r="BY5" s="176"/>
      <c r="BZ5" s="177"/>
      <c r="CA5" s="178"/>
      <c r="CB5" s="173"/>
      <c r="CC5" s="174"/>
      <c r="CD5" s="179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  <c r="CS5" s="180"/>
      <c r="CT5" s="180"/>
      <c r="CU5" s="180"/>
      <c r="CV5" s="180"/>
      <c r="CW5" s="180"/>
      <c r="CX5" s="180"/>
      <c r="CY5" s="180"/>
      <c r="CZ5" s="180"/>
      <c r="DA5" s="180"/>
      <c r="DB5" s="180"/>
      <c r="DC5" s="180"/>
      <c r="DD5" s="180"/>
      <c r="DE5" s="180"/>
      <c r="DF5" s="180"/>
      <c r="DG5" s="180"/>
      <c r="DH5" s="180"/>
      <c r="DI5" s="181"/>
      <c r="DJ5" s="182"/>
      <c r="DK5" s="183"/>
      <c r="DL5" s="169"/>
      <c r="DM5" s="170"/>
      <c r="DN5" s="170"/>
      <c r="DO5" s="184"/>
      <c r="DP5" s="184"/>
      <c r="DQ5" s="184"/>
      <c r="DR5" s="184"/>
      <c r="DS5" s="184"/>
      <c r="DT5" s="184"/>
      <c r="DU5" s="184"/>
      <c r="DV5" s="184"/>
      <c r="DW5" s="184"/>
      <c r="DX5" s="184"/>
      <c r="DY5" s="184"/>
      <c r="DZ5" s="184"/>
      <c r="EA5" s="184"/>
      <c r="EB5" s="184"/>
      <c r="EC5" s="184"/>
      <c r="ED5" s="184"/>
      <c r="EE5" s="184"/>
      <c r="EF5" s="184"/>
      <c r="EG5" s="184"/>
      <c r="EH5" s="184"/>
      <c r="EI5" s="185"/>
      <c r="EJ5" s="185"/>
      <c r="EK5" s="185"/>
      <c r="EL5" s="185"/>
      <c r="EM5" s="184"/>
      <c r="EN5" s="184"/>
      <c r="EO5" s="184"/>
      <c r="EP5" s="184"/>
      <c r="EQ5" s="184"/>
      <c r="ER5" s="186"/>
      <c r="ES5" s="172"/>
      <c r="ET5" s="173"/>
    </row>
    <row r="6" hidden="1">
      <c r="A6" s="101" t="s">
        <v>50</v>
      </c>
      <c r="B6" s="187">
        <v>329.0</v>
      </c>
      <c r="C6" s="89"/>
      <c r="D6" s="188"/>
      <c r="E6" s="188"/>
      <c r="F6" s="188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2"/>
      <c r="V6" s="173"/>
      <c r="X6" s="89"/>
      <c r="Y6" s="188"/>
      <c r="Z6" s="188"/>
      <c r="AA6" s="188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2"/>
      <c r="AY6" s="173"/>
      <c r="AZ6" s="174"/>
      <c r="BA6" s="109"/>
      <c r="BB6" s="189"/>
      <c r="BC6" s="189"/>
      <c r="BD6" s="189"/>
      <c r="BE6" s="189"/>
      <c r="BF6" s="189"/>
      <c r="BG6" s="189"/>
      <c r="BH6" s="189"/>
      <c r="BI6" s="189"/>
      <c r="BJ6" s="189"/>
      <c r="BK6" s="189"/>
      <c r="BL6" s="189"/>
      <c r="BM6" s="189"/>
      <c r="BN6" s="189"/>
      <c r="BO6" s="189"/>
      <c r="BP6" s="189"/>
      <c r="BQ6" s="190"/>
      <c r="BR6" s="190"/>
      <c r="BS6" s="190"/>
      <c r="BT6" s="190"/>
      <c r="BU6" s="190"/>
      <c r="BV6" s="190"/>
      <c r="BW6" s="190"/>
      <c r="BX6" s="190"/>
      <c r="BY6" s="190"/>
      <c r="BZ6" s="188"/>
      <c r="CA6" s="178"/>
      <c r="CB6" s="173"/>
      <c r="CC6" s="174"/>
      <c r="CD6" s="191"/>
      <c r="CE6" s="181"/>
      <c r="CF6" s="181"/>
      <c r="CG6" s="181"/>
      <c r="CH6" s="181"/>
      <c r="CI6" s="181"/>
      <c r="CJ6" s="181"/>
      <c r="CK6" s="181"/>
      <c r="CL6" s="181"/>
      <c r="CM6" s="181"/>
      <c r="CN6" s="181"/>
      <c r="CO6" s="181"/>
      <c r="CP6" s="181"/>
      <c r="CQ6" s="181"/>
      <c r="CR6" s="181"/>
      <c r="CS6" s="181"/>
      <c r="CT6" s="181"/>
      <c r="CU6" s="181"/>
      <c r="CV6" s="181"/>
      <c r="CW6" s="181"/>
      <c r="CX6" s="181"/>
      <c r="CY6" s="181"/>
      <c r="CZ6" s="181"/>
      <c r="DA6" s="181"/>
      <c r="DB6" s="181"/>
      <c r="DC6" s="181"/>
      <c r="DD6" s="181"/>
      <c r="DE6" s="181"/>
      <c r="DF6" s="181"/>
      <c r="DG6" s="181"/>
      <c r="DH6" s="181"/>
      <c r="DI6" s="181"/>
      <c r="DJ6" s="182"/>
      <c r="DK6" s="183"/>
      <c r="DL6" s="89"/>
      <c r="DM6" s="188"/>
      <c r="DN6" s="188"/>
      <c r="DO6" s="192"/>
      <c r="DP6" s="192"/>
      <c r="DQ6" s="192"/>
      <c r="DR6" s="192"/>
      <c r="DS6" s="192"/>
      <c r="DT6" s="192"/>
      <c r="DU6" s="192"/>
      <c r="DV6" s="192"/>
      <c r="DW6" s="192"/>
      <c r="DX6" s="192"/>
      <c r="DY6" s="192"/>
      <c r="DZ6" s="192"/>
      <c r="EA6" s="192"/>
      <c r="EB6" s="192"/>
      <c r="EC6" s="192"/>
      <c r="ED6" s="192"/>
      <c r="EE6" s="192"/>
      <c r="EF6" s="192"/>
      <c r="EG6" s="192"/>
      <c r="EH6" s="192"/>
      <c r="EI6" s="193"/>
      <c r="EJ6" s="193"/>
      <c r="EK6" s="193"/>
      <c r="EL6" s="193"/>
      <c r="EM6" s="192"/>
      <c r="EN6" s="192"/>
      <c r="EO6" s="192"/>
      <c r="EP6" s="192"/>
      <c r="EQ6" s="192"/>
      <c r="ER6" s="186"/>
      <c r="ES6" s="172"/>
      <c r="ET6" s="173"/>
    </row>
    <row r="7" hidden="1">
      <c r="A7" s="101" t="s">
        <v>51</v>
      </c>
      <c r="B7" s="187">
        <v>329.0</v>
      </c>
      <c r="C7" s="89"/>
      <c r="D7" s="188"/>
      <c r="E7" s="188"/>
      <c r="F7" s="188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2"/>
      <c r="V7" s="173"/>
      <c r="X7" s="89"/>
      <c r="Y7" s="188"/>
      <c r="Z7" s="188"/>
      <c r="AA7" s="188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2"/>
      <c r="AY7" s="173"/>
      <c r="AZ7" s="174"/>
      <c r="BA7" s="109"/>
      <c r="BB7" s="189"/>
      <c r="BC7" s="189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90"/>
      <c r="BR7" s="190"/>
      <c r="BS7" s="190"/>
      <c r="BT7" s="190"/>
      <c r="BU7" s="190"/>
      <c r="BV7" s="190"/>
      <c r="BW7" s="190"/>
      <c r="BX7" s="190"/>
      <c r="BY7" s="190"/>
      <c r="BZ7" s="188"/>
      <c r="CA7" s="178"/>
      <c r="CB7" s="173"/>
      <c r="CC7" s="174"/>
      <c r="CD7" s="19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  <c r="CU7" s="181"/>
      <c r="CV7" s="181"/>
      <c r="CW7" s="181"/>
      <c r="CX7" s="181"/>
      <c r="CY7" s="181"/>
      <c r="CZ7" s="181"/>
      <c r="DA7" s="181"/>
      <c r="DB7" s="181"/>
      <c r="DC7" s="181"/>
      <c r="DD7" s="181"/>
      <c r="DE7" s="181"/>
      <c r="DF7" s="181"/>
      <c r="DG7" s="181"/>
      <c r="DH7" s="181"/>
      <c r="DI7" s="181"/>
      <c r="DJ7" s="182"/>
      <c r="DK7" s="183"/>
      <c r="DL7" s="89"/>
      <c r="DM7" s="188"/>
      <c r="DN7" s="188"/>
      <c r="DO7" s="192"/>
      <c r="DP7" s="192"/>
      <c r="DQ7" s="192"/>
      <c r="DR7" s="192"/>
      <c r="DS7" s="192"/>
      <c r="DT7" s="192"/>
      <c r="DU7" s="192"/>
      <c r="DV7" s="192"/>
      <c r="DW7" s="192"/>
      <c r="DX7" s="192"/>
      <c r="DY7" s="192"/>
      <c r="DZ7" s="192"/>
      <c r="EA7" s="192"/>
      <c r="EB7" s="192"/>
      <c r="EC7" s="192"/>
      <c r="ED7" s="192"/>
      <c r="EE7" s="192"/>
      <c r="EF7" s="192"/>
      <c r="EG7" s="192"/>
      <c r="EH7" s="192"/>
      <c r="EI7" s="193"/>
      <c r="EJ7" s="193"/>
      <c r="EK7" s="193"/>
      <c r="EL7" s="193"/>
      <c r="EM7" s="192"/>
      <c r="EN7" s="192"/>
      <c r="EO7" s="192"/>
      <c r="EP7" s="192"/>
      <c r="EQ7" s="192"/>
      <c r="ER7" s="186"/>
      <c r="ES7" s="172"/>
      <c r="ET7" s="173"/>
    </row>
    <row r="8">
      <c r="A8" s="101" t="s">
        <v>52</v>
      </c>
      <c r="B8" s="93">
        <v>329.0</v>
      </c>
      <c r="C8" s="89"/>
      <c r="D8" s="188"/>
      <c r="E8" s="194">
        <v>1.0</v>
      </c>
      <c r="F8" s="188"/>
      <c r="G8" s="171"/>
      <c r="H8" s="171"/>
      <c r="I8" s="195"/>
      <c r="J8" s="171"/>
      <c r="K8" s="171"/>
      <c r="L8" s="171"/>
      <c r="M8" s="171"/>
      <c r="N8" s="196">
        <v>2.0</v>
      </c>
      <c r="O8" s="171"/>
      <c r="P8" s="171"/>
      <c r="Q8" s="171"/>
      <c r="R8" s="171"/>
      <c r="S8" s="171"/>
      <c r="T8" s="171"/>
      <c r="U8" s="172">
        <f t="shared" ref="U8:U97" si="1">sum(C8:T8)</f>
        <v>3</v>
      </c>
      <c r="V8" s="173">
        <f t="shared" ref="V8:V97" si="2">U8*B8</f>
        <v>987</v>
      </c>
      <c r="X8" s="89"/>
      <c r="Y8" s="188"/>
      <c r="Z8" s="188"/>
      <c r="AA8" s="188"/>
      <c r="AB8" s="196">
        <v>1.0</v>
      </c>
      <c r="AC8" s="171"/>
      <c r="AD8" s="171"/>
      <c r="AE8" s="171"/>
      <c r="AF8" s="171"/>
      <c r="AG8" s="171"/>
      <c r="AH8" s="171"/>
      <c r="AI8" s="171"/>
      <c r="AJ8" s="196">
        <v>1.0</v>
      </c>
      <c r="AK8" s="171"/>
      <c r="AL8" s="195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2">
        <f t="shared" ref="AX8:AX97" si="3">sum(X8:AW8)</f>
        <v>2</v>
      </c>
      <c r="AY8" s="173">
        <f t="shared" ref="AY8:AY97" si="4">AX8*B8</f>
        <v>658</v>
      </c>
      <c r="AZ8" s="174"/>
      <c r="BA8" s="104"/>
      <c r="BB8" s="108"/>
      <c r="BC8" s="108"/>
      <c r="BD8" s="108"/>
      <c r="BE8" s="197">
        <v>1.0</v>
      </c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98"/>
      <c r="BR8" s="198"/>
      <c r="BS8" s="198"/>
      <c r="BT8" s="198"/>
      <c r="BU8" s="198"/>
      <c r="BV8" s="199">
        <v>1.0</v>
      </c>
      <c r="BW8" s="198"/>
      <c r="BX8" s="199">
        <v>2.0</v>
      </c>
      <c r="BY8" s="198"/>
      <c r="BZ8" s="188"/>
      <c r="CA8" s="200">
        <f>sum(BA8:BY8)</f>
        <v>4</v>
      </c>
      <c r="CB8" s="173">
        <f>B8*CA8</f>
        <v>1316</v>
      </c>
      <c r="CC8" s="174"/>
      <c r="CD8" s="191"/>
      <c r="CE8" s="181"/>
      <c r="CF8" s="181"/>
      <c r="CG8" s="181"/>
      <c r="CH8" s="181"/>
      <c r="CI8" s="181"/>
      <c r="CJ8" s="181"/>
      <c r="CK8" s="181"/>
      <c r="CL8" s="181"/>
      <c r="CM8" s="181"/>
      <c r="CN8" s="181"/>
      <c r="CO8" s="181"/>
      <c r="CP8" s="181"/>
      <c r="CQ8" s="181"/>
      <c r="CR8" s="181"/>
      <c r="CS8" s="181"/>
      <c r="CT8" s="181"/>
      <c r="CU8" s="181"/>
      <c r="CV8" s="181"/>
      <c r="CW8" s="181"/>
      <c r="CX8" s="181"/>
      <c r="CY8" s="181"/>
      <c r="CZ8" s="181"/>
      <c r="DA8" s="181"/>
      <c r="DB8" s="181"/>
      <c r="DC8" s="181"/>
      <c r="DD8" s="181"/>
      <c r="DE8" s="181"/>
      <c r="DF8" s="181"/>
      <c r="DG8" s="181"/>
      <c r="DH8" s="181"/>
      <c r="DI8" s="201"/>
      <c r="DJ8" s="173"/>
      <c r="DK8" s="174"/>
      <c r="DL8" s="89"/>
      <c r="DM8" s="188"/>
      <c r="DN8" s="90"/>
      <c r="DO8" s="90"/>
      <c r="DP8" s="90"/>
      <c r="DQ8" s="90"/>
      <c r="DR8" s="90"/>
      <c r="DS8" s="90"/>
      <c r="DT8" s="90"/>
      <c r="DU8" s="90"/>
      <c r="DV8" s="90"/>
      <c r="DW8" s="90"/>
      <c r="DX8" s="90"/>
      <c r="DY8" s="90"/>
      <c r="DZ8" s="90"/>
      <c r="EA8" s="90"/>
      <c r="EB8" s="90"/>
      <c r="EC8" s="90"/>
      <c r="ED8" s="90"/>
      <c r="EE8" s="90"/>
      <c r="EF8" s="90"/>
      <c r="EG8" s="202">
        <v>1.0</v>
      </c>
      <c r="EH8" s="90"/>
      <c r="EI8" s="203"/>
      <c r="EJ8" s="203"/>
      <c r="EK8" s="203"/>
      <c r="EL8" s="203"/>
      <c r="EM8" s="90"/>
      <c r="EN8" s="90"/>
      <c r="EO8" s="90"/>
      <c r="EP8" s="90"/>
      <c r="EQ8" s="90"/>
      <c r="ER8" s="186"/>
      <c r="ES8" s="172"/>
      <c r="ET8" s="173"/>
    </row>
    <row r="9" hidden="1">
      <c r="A9" s="101" t="s">
        <v>53</v>
      </c>
      <c r="B9" s="93">
        <v>329.0</v>
      </c>
      <c r="C9" s="89"/>
      <c r="D9" s="188"/>
      <c r="E9" s="188"/>
      <c r="F9" s="188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2">
        <f t="shared" si="1"/>
        <v>0</v>
      </c>
      <c r="V9" s="173">
        <f t="shared" si="2"/>
        <v>0</v>
      </c>
      <c r="X9" s="89"/>
      <c r="Y9" s="188"/>
      <c r="Z9" s="188"/>
      <c r="AA9" s="188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2">
        <f t="shared" si="3"/>
        <v>0</v>
      </c>
      <c r="AY9" s="173">
        <f t="shared" si="4"/>
        <v>0</v>
      </c>
      <c r="AZ9" s="174"/>
      <c r="BA9" s="104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98"/>
      <c r="BR9" s="198"/>
      <c r="BS9" s="198"/>
      <c r="BT9" s="198"/>
      <c r="BU9" s="198"/>
      <c r="BV9" s="198"/>
      <c r="BW9" s="198"/>
      <c r="BX9" s="198"/>
      <c r="BY9" s="198"/>
      <c r="BZ9" s="188"/>
      <c r="CA9" s="200">
        <f>sum(BA9:BE9)</f>
        <v>0</v>
      </c>
      <c r="CB9" s="173">
        <f>CA9*AT9</f>
        <v>0</v>
      </c>
      <c r="CC9" s="174"/>
      <c r="CD9" s="19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1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201"/>
      <c r="DJ9" s="173"/>
      <c r="DK9" s="174"/>
      <c r="DL9" s="89"/>
      <c r="DM9" s="188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203"/>
      <c r="EJ9" s="203"/>
      <c r="EK9" s="203"/>
      <c r="EL9" s="203"/>
      <c r="EM9" s="90"/>
      <c r="EN9" s="90"/>
      <c r="EO9" s="90"/>
      <c r="EP9" s="90"/>
      <c r="EQ9" s="90"/>
      <c r="ER9" s="186"/>
      <c r="ES9" s="172"/>
      <c r="ET9" s="173"/>
    </row>
    <row r="10">
      <c r="A10" s="101" t="s">
        <v>54</v>
      </c>
      <c r="B10" s="93">
        <v>329.0</v>
      </c>
      <c r="C10" s="89"/>
      <c r="D10" s="188"/>
      <c r="E10" s="188"/>
      <c r="F10" s="188"/>
      <c r="G10" s="171"/>
      <c r="H10" s="171"/>
      <c r="I10" s="195"/>
      <c r="J10" s="171"/>
      <c r="K10" s="171"/>
      <c r="L10" s="195"/>
      <c r="M10" s="204">
        <v>1.0</v>
      </c>
      <c r="N10" s="204">
        <v>3.0</v>
      </c>
      <c r="O10" s="195"/>
      <c r="P10" s="204">
        <v>3.0</v>
      </c>
      <c r="Q10" s="195"/>
      <c r="R10" s="195"/>
      <c r="S10" s="195"/>
      <c r="T10" s="195"/>
      <c r="U10" s="172">
        <f t="shared" si="1"/>
        <v>7</v>
      </c>
      <c r="V10" s="173">
        <f t="shared" si="2"/>
        <v>2303</v>
      </c>
      <c r="X10" s="89"/>
      <c r="Y10" s="188"/>
      <c r="Z10" s="188"/>
      <c r="AA10" s="188"/>
      <c r="AB10" s="171"/>
      <c r="AC10" s="171"/>
      <c r="AD10" s="171"/>
      <c r="AE10" s="171"/>
      <c r="AF10" s="171"/>
      <c r="AG10" s="171"/>
      <c r="AH10" s="171"/>
      <c r="AI10" s="171"/>
      <c r="AJ10" s="196">
        <v>1.0</v>
      </c>
      <c r="AK10" s="171"/>
      <c r="AL10" s="195"/>
      <c r="AM10" s="171"/>
      <c r="AN10" s="171"/>
      <c r="AO10" s="204">
        <v>1.0</v>
      </c>
      <c r="AP10" s="195"/>
      <c r="AQ10" s="195"/>
      <c r="AR10" s="195"/>
      <c r="AS10" s="195"/>
      <c r="AT10" s="195"/>
      <c r="AU10" s="204">
        <v>1.0</v>
      </c>
      <c r="AV10" s="195"/>
      <c r="AW10" s="195"/>
      <c r="AX10" s="172">
        <f t="shared" si="3"/>
        <v>3</v>
      </c>
      <c r="AY10" s="173">
        <f t="shared" si="4"/>
        <v>987</v>
      </c>
      <c r="AZ10" s="174"/>
      <c r="BA10" s="104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98"/>
      <c r="BR10" s="198"/>
      <c r="BS10" s="198"/>
      <c r="BT10" s="198"/>
      <c r="BU10" s="198"/>
      <c r="BV10" s="198"/>
      <c r="BW10" s="198"/>
      <c r="BX10" s="198"/>
      <c r="BY10" s="198"/>
      <c r="BZ10" s="188"/>
      <c r="CA10" s="200">
        <f t="shared" ref="CA10:CA101" si="5">sum(BA10:BY10)</f>
        <v>0</v>
      </c>
      <c r="CB10" s="173">
        <f t="shared" ref="CB10:CB101" si="6">B10*CA10</f>
        <v>0</v>
      </c>
      <c r="CC10" s="174"/>
      <c r="CD10" s="191"/>
      <c r="CE10" s="181"/>
      <c r="CF10" s="181"/>
      <c r="CG10" s="181"/>
      <c r="CH10" s="181"/>
      <c r="CI10" s="181"/>
      <c r="CJ10" s="181"/>
      <c r="CK10" s="181"/>
      <c r="CL10" s="181"/>
      <c r="CM10" s="181"/>
      <c r="CN10" s="181"/>
      <c r="CO10" s="181"/>
      <c r="CP10" s="181"/>
      <c r="CQ10" s="181"/>
      <c r="CR10" s="181"/>
      <c r="CS10" s="181"/>
      <c r="CT10" s="181"/>
      <c r="CU10" s="181"/>
      <c r="CV10" s="181"/>
      <c r="CW10" s="181"/>
      <c r="CX10" s="181"/>
      <c r="CY10" s="181"/>
      <c r="CZ10" s="181"/>
      <c r="DA10" s="181"/>
      <c r="DB10" s="181"/>
      <c r="DC10" s="181"/>
      <c r="DD10" s="181"/>
      <c r="DE10" s="181"/>
      <c r="DF10" s="181"/>
      <c r="DG10" s="181"/>
      <c r="DH10" s="181"/>
      <c r="DI10" s="201"/>
      <c r="DJ10" s="173"/>
      <c r="DK10" s="174"/>
      <c r="DL10" s="89"/>
      <c r="DM10" s="188"/>
      <c r="DN10" s="90"/>
      <c r="DO10" s="205"/>
      <c r="DP10" s="205"/>
      <c r="DQ10" s="205"/>
      <c r="DR10" s="205"/>
      <c r="DS10" s="205"/>
      <c r="DT10" s="205"/>
      <c r="DU10" s="205"/>
      <c r="DV10" s="205"/>
      <c r="DW10" s="205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203"/>
      <c r="EJ10" s="203"/>
      <c r="EK10" s="203"/>
      <c r="EL10" s="203"/>
      <c r="EM10" s="90"/>
      <c r="EN10" s="90"/>
      <c r="EO10" s="90"/>
      <c r="EP10" s="90"/>
      <c r="EQ10" s="90"/>
      <c r="ER10" s="186"/>
      <c r="ES10" s="172"/>
      <c r="ET10" s="173"/>
    </row>
    <row r="11">
      <c r="A11" s="101" t="s">
        <v>55</v>
      </c>
      <c r="B11" s="93">
        <v>329.0</v>
      </c>
      <c r="C11" s="89"/>
      <c r="D11" s="188"/>
      <c r="E11" s="188"/>
      <c r="F11" s="188"/>
      <c r="G11" s="171"/>
      <c r="H11" s="171"/>
      <c r="I11" s="195"/>
      <c r="J11" s="171"/>
      <c r="K11" s="171"/>
      <c r="L11" s="171"/>
      <c r="M11" s="171"/>
      <c r="N11" s="196">
        <v>2.0</v>
      </c>
      <c r="O11" s="171"/>
      <c r="P11" s="171"/>
      <c r="Q11" s="171"/>
      <c r="R11" s="171"/>
      <c r="S11" s="171"/>
      <c r="T11" s="171"/>
      <c r="U11" s="172">
        <f t="shared" si="1"/>
        <v>2</v>
      </c>
      <c r="V11" s="173">
        <f t="shared" si="2"/>
        <v>658</v>
      </c>
      <c r="X11" s="89"/>
      <c r="Y11" s="188"/>
      <c r="Z11" s="188"/>
      <c r="AA11" s="188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95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2">
        <f t="shared" si="3"/>
        <v>0</v>
      </c>
      <c r="AY11" s="173">
        <f t="shared" si="4"/>
        <v>0</v>
      </c>
      <c r="AZ11" s="174"/>
      <c r="BA11" s="104"/>
      <c r="BB11" s="197">
        <v>1.0</v>
      </c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98"/>
      <c r="BR11" s="198"/>
      <c r="BS11" s="198"/>
      <c r="BT11" s="198"/>
      <c r="BU11" s="198"/>
      <c r="BV11" s="198"/>
      <c r="BW11" s="198"/>
      <c r="BX11" s="198"/>
      <c r="BY11" s="198"/>
      <c r="BZ11" s="188"/>
      <c r="CA11" s="200">
        <f t="shared" si="5"/>
        <v>1</v>
      </c>
      <c r="CB11" s="173">
        <f t="shared" si="6"/>
        <v>329</v>
      </c>
      <c r="CC11" s="174"/>
      <c r="CD11" s="191"/>
      <c r="CE11" s="206"/>
      <c r="CF11" s="181"/>
      <c r="CG11" s="181"/>
      <c r="CH11" s="181"/>
      <c r="CI11" s="181"/>
      <c r="CJ11" s="181"/>
      <c r="CK11" s="181"/>
      <c r="CL11" s="207">
        <v>1.0</v>
      </c>
      <c r="CM11" s="181"/>
      <c r="CN11" s="181"/>
      <c r="CO11" s="181"/>
      <c r="CP11" s="181"/>
      <c r="CQ11" s="181"/>
      <c r="CR11" s="181"/>
      <c r="CS11" s="181"/>
      <c r="CT11" s="181"/>
      <c r="CU11" s="181"/>
      <c r="CV11" s="181"/>
      <c r="CW11" s="181"/>
      <c r="CX11" s="181"/>
      <c r="CY11" s="207">
        <v>1.0</v>
      </c>
      <c r="CZ11" s="181"/>
      <c r="DA11" s="181"/>
      <c r="DB11" s="181"/>
      <c r="DC11" s="181"/>
      <c r="DD11" s="181"/>
      <c r="DE11" s="181"/>
      <c r="DF11" s="181"/>
      <c r="DG11" s="181"/>
      <c r="DH11" s="181"/>
      <c r="DI11" s="201"/>
      <c r="DJ11" s="173"/>
      <c r="DK11" s="174"/>
      <c r="DL11" s="89"/>
      <c r="DM11" s="188"/>
      <c r="DN11" s="90"/>
      <c r="DO11" s="90"/>
      <c r="DP11" s="90"/>
      <c r="DQ11" s="90"/>
      <c r="DR11" s="90"/>
      <c r="DS11" s="205">
        <v>1.0</v>
      </c>
      <c r="DT11" s="90"/>
      <c r="DU11" s="90"/>
      <c r="DV11" s="90"/>
      <c r="DW11" s="90"/>
      <c r="DX11" s="90"/>
      <c r="DY11" s="90"/>
      <c r="DZ11" s="90"/>
      <c r="EA11" s="90"/>
      <c r="EB11" s="90"/>
      <c r="EC11" s="90"/>
      <c r="ED11" s="90"/>
      <c r="EE11" s="90"/>
      <c r="EF11" s="90"/>
      <c r="EG11" s="90"/>
      <c r="EH11" s="90"/>
      <c r="EI11" s="203"/>
      <c r="EJ11" s="203"/>
      <c r="EK11" s="203"/>
      <c r="EL11" s="203"/>
      <c r="EM11" s="90"/>
      <c r="EN11" s="90"/>
      <c r="EO11" s="90"/>
      <c r="EP11" s="90"/>
      <c r="EQ11" s="90"/>
      <c r="ER11" s="186"/>
      <c r="ES11" s="172"/>
      <c r="ET11" s="173"/>
    </row>
    <row r="12">
      <c r="A12" s="101" t="s">
        <v>56</v>
      </c>
      <c r="B12" s="93">
        <v>329.0</v>
      </c>
      <c r="C12" s="89"/>
      <c r="D12" s="188"/>
      <c r="E12" s="188"/>
      <c r="F12" s="188"/>
      <c r="G12" s="171"/>
      <c r="H12" s="171"/>
      <c r="I12" s="195"/>
      <c r="J12" s="171"/>
      <c r="K12" s="171"/>
      <c r="L12" s="171"/>
      <c r="M12" s="171"/>
      <c r="N12" s="196">
        <v>2.0</v>
      </c>
      <c r="O12" s="171"/>
      <c r="P12" s="171"/>
      <c r="Q12" s="171"/>
      <c r="R12" s="171"/>
      <c r="S12" s="171"/>
      <c r="T12" s="171"/>
      <c r="U12" s="172">
        <f t="shared" si="1"/>
        <v>2</v>
      </c>
      <c r="V12" s="173">
        <f t="shared" si="2"/>
        <v>658</v>
      </c>
      <c r="X12" s="89"/>
      <c r="Y12" s="188"/>
      <c r="Z12" s="188"/>
      <c r="AA12" s="188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95"/>
      <c r="AM12" s="171"/>
      <c r="AN12" s="196">
        <v>1.0</v>
      </c>
      <c r="AO12" s="171"/>
      <c r="AP12" s="171"/>
      <c r="AQ12" s="171"/>
      <c r="AR12" s="171"/>
      <c r="AS12" s="171"/>
      <c r="AT12" s="171"/>
      <c r="AU12" s="171"/>
      <c r="AV12" s="171"/>
      <c r="AW12" s="171"/>
      <c r="AX12" s="172">
        <f t="shared" si="3"/>
        <v>1</v>
      </c>
      <c r="AY12" s="173">
        <f t="shared" si="4"/>
        <v>329</v>
      </c>
      <c r="AZ12" s="174"/>
      <c r="BA12" s="208">
        <v>1.0</v>
      </c>
      <c r="BB12" s="108"/>
      <c r="BC12" s="197">
        <v>1.0</v>
      </c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97">
        <v>1.0</v>
      </c>
      <c r="BQ12" s="209"/>
      <c r="BR12" s="209"/>
      <c r="BS12" s="209"/>
      <c r="BT12" s="209"/>
      <c r="BU12" s="209"/>
      <c r="BV12" s="209"/>
      <c r="BW12" s="209"/>
      <c r="BX12" s="209"/>
      <c r="BY12" s="209"/>
      <c r="BZ12" s="188"/>
      <c r="CA12" s="200">
        <f t="shared" si="5"/>
        <v>3</v>
      </c>
      <c r="CB12" s="173">
        <f t="shared" si="6"/>
        <v>987</v>
      </c>
      <c r="CC12" s="174"/>
      <c r="CD12" s="191"/>
      <c r="CE12" s="181"/>
      <c r="CF12" s="181"/>
      <c r="CG12" s="181"/>
      <c r="CH12" s="181"/>
      <c r="CI12" s="181"/>
      <c r="CJ12" s="181"/>
      <c r="CK12" s="181"/>
      <c r="CL12" s="181"/>
      <c r="CM12" s="181"/>
      <c r="CN12" s="181"/>
      <c r="CO12" s="181"/>
      <c r="CP12" s="181"/>
      <c r="CQ12" s="181"/>
      <c r="CR12" s="181"/>
      <c r="CS12" s="181"/>
      <c r="CT12" s="181"/>
      <c r="CU12" s="181"/>
      <c r="CV12" s="207">
        <v>1.0</v>
      </c>
      <c r="CW12" s="181"/>
      <c r="CX12" s="181"/>
      <c r="CY12" s="181"/>
      <c r="CZ12" s="181"/>
      <c r="DA12" s="181"/>
      <c r="DB12" s="181"/>
      <c r="DC12" s="181"/>
      <c r="DD12" s="181"/>
      <c r="DE12" s="181"/>
      <c r="DF12" s="181"/>
      <c r="DG12" s="181"/>
      <c r="DH12" s="181"/>
      <c r="DI12" s="201"/>
      <c r="DJ12" s="173"/>
      <c r="DK12" s="174"/>
      <c r="DL12" s="210">
        <v>1.0</v>
      </c>
      <c r="DM12" s="188"/>
      <c r="DN12" s="90"/>
      <c r="DO12" s="90"/>
      <c r="DP12" s="90"/>
      <c r="DQ12" s="90"/>
      <c r="DR12" s="90"/>
      <c r="DS12" s="90"/>
      <c r="DT12" s="90"/>
      <c r="DU12" s="205">
        <v>1.0</v>
      </c>
      <c r="DV12" s="90"/>
      <c r="DW12" s="90"/>
      <c r="DX12" s="90"/>
      <c r="DY12" s="90"/>
      <c r="DZ12" s="90"/>
      <c r="EA12" s="90"/>
      <c r="EB12" s="202">
        <v>1.0</v>
      </c>
      <c r="EC12" s="90"/>
      <c r="ED12" s="90"/>
      <c r="EE12" s="90"/>
      <c r="EF12" s="90"/>
      <c r="EG12" s="90"/>
      <c r="EH12" s="90"/>
      <c r="EI12" s="203"/>
      <c r="EJ12" s="203"/>
      <c r="EK12" s="203"/>
      <c r="EL12" s="203"/>
      <c r="EM12" s="90"/>
      <c r="EN12" s="90"/>
      <c r="EO12" s="90"/>
      <c r="EP12" s="90"/>
      <c r="EQ12" s="90"/>
      <c r="ER12" s="186"/>
      <c r="ES12" s="172"/>
      <c r="ET12" s="173"/>
    </row>
    <row r="13">
      <c r="A13" s="101" t="s">
        <v>57</v>
      </c>
      <c r="B13" s="93">
        <v>329.0</v>
      </c>
      <c r="C13" s="89"/>
      <c r="D13" s="188"/>
      <c r="E13" s="188"/>
      <c r="F13" s="188"/>
      <c r="G13" s="171"/>
      <c r="H13" s="171"/>
      <c r="I13" s="195"/>
      <c r="J13" s="171"/>
      <c r="K13" s="195"/>
      <c r="L13" s="171"/>
      <c r="M13" s="171"/>
      <c r="N13" s="171"/>
      <c r="O13" s="171"/>
      <c r="P13" s="171"/>
      <c r="Q13" s="171"/>
      <c r="R13" s="171"/>
      <c r="S13" s="171"/>
      <c r="T13" s="171"/>
      <c r="U13" s="172">
        <f t="shared" si="1"/>
        <v>0</v>
      </c>
      <c r="V13" s="173">
        <f t="shared" si="2"/>
        <v>0</v>
      </c>
      <c r="X13" s="89"/>
      <c r="Y13" s="188"/>
      <c r="Z13" s="188"/>
      <c r="AA13" s="188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95"/>
      <c r="AM13" s="171"/>
      <c r="AN13" s="195"/>
      <c r="AO13" s="171"/>
      <c r="AP13" s="171"/>
      <c r="AQ13" s="196">
        <v>3.0</v>
      </c>
      <c r="AR13" s="171"/>
      <c r="AS13" s="171"/>
      <c r="AT13" s="171"/>
      <c r="AU13" s="171"/>
      <c r="AV13" s="171"/>
      <c r="AW13" s="171"/>
      <c r="AX13" s="172">
        <f t="shared" si="3"/>
        <v>3</v>
      </c>
      <c r="AY13" s="173">
        <f t="shared" si="4"/>
        <v>987</v>
      </c>
      <c r="AZ13" s="174"/>
      <c r="BA13" s="104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98"/>
      <c r="BR13" s="198"/>
      <c r="BS13" s="199">
        <v>1.0</v>
      </c>
      <c r="BT13" s="199"/>
      <c r="BU13" s="198"/>
      <c r="BV13" s="198"/>
      <c r="BW13" s="198"/>
      <c r="BX13" s="198"/>
      <c r="BY13" s="198"/>
      <c r="BZ13" s="188"/>
      <c r="CA13" s="200">
        <f t="shared" si="5"/>
        <v>1</v>
      </c>
      <c r="CB13" s="173">
        <f t="shared" si="6"/>
        <v>329</v>
      </c>
      <c r="CC13" s="174"/>
      <c r="CD13" s="191"/>
      <c r="CE13" s="181"/>
      <c r="CF13" s="181"/>
      <c r="CG13" s="181"/>
      <c r="CH13" s="181"/>
      <c r="CI13" s="181"/>
      <c r="CJ13" s="181"/>
      <c r="CK13" s="181"/>
      <c r="CL13" s="181"/>
      <c r="CM13" s="181"/>
      <c r="CN13" s="181"/>
      <c r="CO13" s="181"/>
      <c r="CP13" s="181"/>
      <c r="CQ13" s="181"/>
      <c r="CR13" s="181"/>
      <c r="CS13" s="181"/>
      <c r="CT13" s="181"/>
      <c r="CU13" s="181"/>
      <c r="CV13" s="181"/>
      <c r="CW13" s="181"/>
      <c r="CX13" s="181"/>
      <c r="CY13" s="181"/>
      <c r="CZ13" s="181"/>
      <c r="DA13" s="181"/>
      <c r="DB13" s="181"/>
      <c r="DC13" s="181"/>
      <c r="DD13" s="181"/>
      <c r="DE13" s="181"/>
      <c r="DF13" s="181"/>
      <c r="DG13" s="181"/>
      <c r="DH13" s="181"/>
      <c r="DI13" s="201"/>
      <c r="DJ13" s="173"/>
      <c r="DK13" s="174"/>
      <c r="DL13" s="210">
        <v>1.0</v>
      </c>
      <c r="DM13" s="188"/>
      <c r="DN13" s="90"/>
      <c r="DO13" s="90"/>
      <c r="DP13" s="90"/>
      <c r="DQ13" s="90"/>
      <c r="DR13" s="90"/>
      <c r="DS13" s="90"/>
      <c r="DT13" s="90"/>
      <c r="DU13" s="90"/>
      <c r="DV13" s="90"/>
      <c r="DW13" s="205">
        <v>1.0</v>
      </c>
      <c r="DX13" s="90"/>
      <c r="DY13" s="90"/>
      <c r="DZ13" s="90"/>
      <c r="EA13" s="90"/>
      <c r="EB13" s="90"/>
      <c r="EC13" s="90"/>
      <c r="ED13" s="90"/>
      <c r="EE13" s="90"/>
      <c r="EF13" s="90"/>
      <c r="EG13" s="90"/>
      <c r="EH13" s="90"/>
      <c r="EI13" s="203"/>
      <c r="EJ13" s="203"/>
      <c r="EK13" s="203"/>
      <c r="EL13" s="203"/>
      <c r="EM13" s="90"/>
      <c r="EN13" s="90"/>
      <c r="EO13" s="90"/>
      <c r="EP13" s="90"/>
      <c r="EQ13" s="90"/>
      <c r="ER13" s="186"/>
      <c r="ES13" s="172"/>
      <c r="ET13" s="173"/>
    </row>
    <row r="14">
      <c r="A14" s="101" t="s">
        <v>58</v>
      </c>
      <c r="B14" s="93">
        <v>329.0</v>
      </c>
      <c r="C14" s="89"/>
      <c r="D14" s="188"/>
      <c r="E14" s="188"/>
      <c r="F14" s="188"/>
      <c r="G14" s="171"/>
      <c r="H14" s="171"/>
      <c r="I14" s="195"/>
      <c r="J14" s="171"/>
      <c r="K14" s="171"/>
      <c r="L14" s="171"/>
      <c r="M14" s="171"/>
      <c r="N14" s="171"/>
      <c r="O14" s="171"/>
      <c r="P14" s="171"/>
      <c r="Q14" s="196">
        <v>1.0</v>
      </c>
      <c r="R14" s="171"/>
      <c r="S14" s="171"/>
      <c r="T14" s="171"/>
      <c r="U14" s="172">
        <f t="shared" si="1"/>
        <v>1</v>
      </c>
      <c r="V14" s="173">
        <f t="shared" si="2"/>
        <v>329</v>
      </c>
      <c r="X14" s="89"/>
      <c r="Y14" s="188"/>
      <c r="Z14" s="188"/>
      <c r="AA14" s="188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95"/>
      <c r="AM14" s="171"/>
      <c r="AN14" s="171"/>
      <c r="AO14" s="171"/>
      <c r="AP14" s="196">
        <v>1.0</v>
      </c>
      <c r="AQ14" s="171"/>
      <c r="AR14" s="171"/>
      <c r="AS14" s="171"/>
      <c r="AT14" s="171"/>
      <c r="AU14" s="171"/>
      <c r="AV14" s="171"/>
      <c r="AW14" s="171"/>
      <c r="AX14" s="172">
        <f t="shared" si="3"/>
        <v>1</v>
      </c>
      <c r="AY14" s="173">
        <f t="shared" si="4"/>
        <v>329</v>
      </c>
      <c r="AZ14" s="174"/>
      <c r="BA14" s="104"/>
      <c r="BB14" s="108"/>
      <c r="BC14" s="108"/>
      <c r="BD14" s="108"/>
      <c r="BE14" s="108"/>
      <c r="BF14" s="108"/>
      <c r="BG14" s="108"/>
      <c r="BH14" s="108"/>
      <c r="BI14" s="197">
        <v>1.0</v>
      </c>
      <c r="BJ14" s="108"/>
      <c r="BK14" s="108"/>
      <c r="BL14" s="108"/>
      <c r="BM14" s="108"/>
      <c r="BN14" s="108"/>
      <c r="BO14" s="197">
        <v>1.0</v>
      </c>
      <c r="BP14" s="108"/>
      <c r="BQ14" s="198"/>
      <c r="BR14" s="198"/>
      <c r="BS14" s="199">
        <v>1.0</v>
      </c>
      <c r="BT14" s="199">
        <v>1.0</v>
      </c>
      <c r="BU14" s="198"/>
      <c r="BV14" s="198"/>
      <c r="BW14" s="198"/>
      <c r="BX14" s="198"/>
      <c r="BY14" s="198"/>
      <c r="BZ14" s="188"/>
      <c r="CA14" s="200">
        <f t="shared" si="5"/>
        <v>4</v>
      </c>
      <c r="CB14" s="173">
        <f t="shared" si="6"/>
        <v>1316</v>
      </c>
      <c r="CC14" s="174"/>
      <c r="CD14" s="191"/>
      <c r="CE14" s="181"/>
      <c r="CF14" s="181"/>
      <c r="CG14" s="181"/>
      <c r="CH14" s="181"/>
      <c r="CI14" s="181"/>
      <c r="CJ14" s="181"/>
      <c r="CK14" s="181"/>
      <c r="CL14" s="181"/>
      <c r="CM14" s="181"/>
      <c r="CN14" s="207">
        <v>2.0</v>
      </c>
      <c r="CO14" s="181"/>
      <c r="CP14" s="181"/>
      <c r="CQ14" s="181"/>
      <c r="CR14" s="181"/>
      <c r="CS14" s="181"/>
      <c r="CT14" s="181"/>
      <c r="CU14" s="181"/>
      <c r="CV14" s="207">
        <v>1.0</v>
      </c>
      <c r="CW14" s="181"/>
      <c r="CX14" s="181"/>
      <c r="CY14" s="181"/>
      <c r="CZ14" s="181"/>
      <c r="DA14" s="181"/>
      <c r="DB14" s="181"/>
      <c r="DC14" s="181"/>
      <c r="DD14" s="181"/>
      <c r="DE14" s="181"/>
      <c r="DF14" s="181"/>
      <c r="DG14" s="181"/>
      <c r="DH14" s="181"/>
      <c r="DI14" s="201"/>
      <c r="DJ14" s="173"/>
      <c r="DK14" s="174"/>
      <c r="DL14" s="89"/>
      <c r="DM14" s="188"/>
      <c r="DN14" s="90"/>
      <c r="DO14" s="90"/>
      <c r="DP14" s="90"/>
      <c r="DQ14" s="90"/>
      <c r="DR14" s="205">
        <v>1.0</v>
      </c>
      <c r="DS14" s="90"/>
      <c r="DT14" s="90"/>
      <c r="DU14" s="90"/>
      <c r="DV14" s="90"/>
      <c r="DW14" s="205">
        <v>1.0</v>
      </c>
      <c r="DX14" s="90"/>
      <c r="DY14" s="90"/>
      <c r="DZ14" s="90"/>
      <c r="EA14" s="90"/>
      <c r="EB14" s="90"/>
      <c r="EC14" s="202">
        <v>2.0</v>
      </c>
      <c r="ED14" s="202">
        <v>1.0</v>
      </c>
      <c r="EE14" s="202">
        <v>1.0</v>
      </c>
      <c r="EF14" s="90"/>
      <c r="EG14" s="90"/>
      <c r="EH14" s="90"/>
      <c r="EI14" s="203"/>
      <c r="EJ14" s="203"/>
      <c r="EK14" s="203"/>
      <c r="EL14" s="211">
        <v>2.0</v>
      </c>
      <c r="EM14" s="90"/>
      <c r="EN14" s="90"/>
      <c r="EO14" s="90"/>
      <c r="EP14" s="90"/>
      <c r="EQ14" s="211">
        <v>2.0</v>
      </c>
      <c r="ER14" s="186"/>
      <c r="ES14" s="172"/>
      <c r="ET14" s="173"/>
    </row>
    <row r="15">
      <c r="A15" s="101" t="s">
        <v>59</v>
      </c>
      <c r="B15" s="93">
        <v>219.0</v>
      </c>
      <c r="C15" s="89"/>
      <c r="D15" s="188"/>
      <c r="E15" s="188"/>
      <c r="F15" s="188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2">
        <f t="shared" si="1"/>
        <v>0</v>
      </c>
      <c r="V15" s="173">
        <f t="shared" si="2"/>
        <v>0</v>
      </c>
      <c r="X15" s="89"/>
      <c r="Y15" s="188"/>
      <c r="Z15" s="188"/>
      <c r="AA15" s="188"/>
      <c r="AB15" s="171"/>
      <c r="AC15" s="171"/>
      <c r="AD15" s="196">
        <v>1.0</v>
      </c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2">
        <f t="shared" si="3"/>
        <v>1</v>
      </c>
      <c r="AY15" s="173">
        <f t="shared" si="4"/>
        <v>219</v>
      </c>
      <c r="AZ15" s="174"/>
      <c r="BA15" s="104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98"/>
      <c r="BR15" s="198"/>
      <c r="BS15" s="198"/>
      <c r="BT15" s="198"/>
      <c r="BU15" s="198"/>
      <c r="BV15" s="198"/>
      <c r="BW15" s="198"/>
      <c r="BX15" s="198"/>
      <c r="BY15" s="198"/>
      <c r="BZ15" s="188"/>
      <c r="CA15" s="200">
        <f t="shared" si="5"/>
        <v>0</v>
      </c>
      <c r="CB15" s="173">
        <f t="shared" si="6"/>
        <v>0</v>
      </c>
      <c r="CC15" s="174"/>
      <c r="CD15" s="191"/>
      <c r="CE15" s="181"/>
      <c r="CF15" s="181"/>
      <c r="CG15" s="181"/>
      <c r="CH15" s="181"/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1"/>
      <c r="CT15" s="181"/>
      <c r="CU15" s="181"/>
      <c r="CV15" s="181"/>
      <c r="CW15" s="181"/>
      <c r="CX15" s="181"/>
      <c r="CY15" s="181"/>
      <c r="CZ15" s="181"/>
      <c r="DA15" s="181"/>
      <c r="DB15" s="181"/>
      <c r="DC15" s="181"/>
      <c r="DD15" s="181"/>
      <c r="DE15" s="181"/>
      <c r="DF15" s="181"/>
      <c r="DG15" s="181"/>
      <c r="DH15" s="181"/>
      <c r="DI15" s="201"/>
      <c r="DJ15" s="173"/>
      <c r="DK15" s="174"/>
      <c r="DL15" s="210"/>
      <c r="DM15" s="188"/>
      <c r="DN15" s="90"/>
      <c r="DO15" s="90"/>
      <c r="DP15" s="90"/>
      <c r="DQ15" s="90"/>
      <c r="DR15" s="90"/>
      <c r="DS15" s="90"/>
      <c r="DT15" s="90"/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203"/>
      <c r="EJ15" s="203"/>
      <c r="EK15" s="203"/>
      <c r="EL15" s="203"/>
      <c r="EM15" s="90"/>
      <c r="EN15" s="90"/>
      <c r="EO15" s="90"/>
      <c r="EP15" s="90"/>
      <c r="EQ15" s="90"/>
      <c r="ER15" s="186"/>
      <c r="ES15" s="172"/>
      <c r="ET15" s="173"/>
    </row>
    <row r="16">
      <c r="A16" s="101" t="s">
        <v>60</v>
      </c>
      <c r="B16" s="99"/>
      <c r="C16" s="89"/>
      <c r="D16" s="188"/>
      <c r="E16" s="188"/>
      <c r="F16" s="188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2">
        <f t="shared" si="1"/>
        <v>0</v>
      </c>
      <c r="V16" s="173">
        <f t="shared" si="2"/>
        <v>0</v>
      </c>
      <c r="X16" s="89"/>
      <c r="Y16" s="188"/>
      <c r="Z16" s="188"/>
      <c r="AA16" s="188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2">
        <f t="shared" si="3"/>
        <v>0</v>
      </c>
      <c r="AY16" s="173">
        <f t="shared" si="4"/>
        <v>0</v>
      </c>
      <c r="AZ16" s="174"/>
      <c r="BA16" s="104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98"/>
      <c r="BR16" s="198"/>
      <c r="BS16" s="198"/>
      <c r="BT16" s="198"/>
      <c r="BU16" s="198"/>
      <c r="BV16" s="198"/>
      <c r="BW16" s="198"/>
      <c r="BX16" s="198"/>
      <c r="BY16" s="198"/>
      <c r="BZ16" s="188"/>
      <c r="CA16" s="200">
        <f t="shared" si="5"/>
        <v>0</v>
      </c>
      <c r="CB16" s="173">
        <f t="shared" si="6"/>
        <v>0</v>
      </c>
      <c r="CC16" s="174"/>
      <c r="CD16" s="191"/>
      <c r="CE16" s="181"/>
      <c r="CF16" s="181"/>
      <c r="CG16" s="181"/>
      <c r="CH16" s="181"/>
      <c r="CI16" s="181"/>
      <c r="CJ16" s="181"/>
      <c r="CK16" s="181"/>
      <c r="CL16" s="181"/>
      <c r="CM16" s="181"/>
      <c r="CN16" s="181"/>
      <c r="CO16" s="181"/>
      <c r="CP16" s="181"/>
      <c r="CQ16" s="181"/>
      <c r="CR16" s="181"/>
      <c r="CS16" s="181"/>
      <c r="CT16" s="181"/>
      <c r="CU16" s="181"/>
      <c r="CV16" s="181"/>
      <c r="CW16" s="181"/>
      <c r="CX16" s="181"/>
      <c r="CY16" s="181"/>
      <c r="CZ16" s="181"/>
      <c r="DA16" s="181"/>
      <c r="DB16" s="181"/>
      <c r="DC16" s="181"/>
      <c r="DD16" s="181"/>
      <c r="DE16" s="181"/>
      <c r="DF16" s="181"/>
      <c r="DG16" s="181"/>
      <c r="DH16" s="181"/>
      <c r="DI16" s="201"/>
      <c r="DJ16" s="173"/>
      <c r="DK16" s="174"/>
      <c r="DL16" s="89"/>
      <c r="DM16" s="188"/>
      <c r="DN16" s="90"/>
      <c r="DO16" s="90"/>
      <c r="DP16" s="90"/>
      <c r="DQ16" s="90"/>
      <c r="DR16" s="90"/>
      <c r="DS16" s="90"/>
      <c r="DT16" s="90"/>
      <c r="DU16" s="90"/>
      <c r="DV16" s="90"/>
      <c r="DW16" s="90"/>
      <c r="DX16" s="90"/>
      <c r="DY16" s="90"/>
      <c r="DZ16" s="90"/>
      <c r="EA16" s="90"/>
      <c r="EB16" s="90"/>
      <c r="EC16" s="90"/>
      <c r="ED16" s="90"/>
      <c r="EE16" s="90"/>
      <c r="EF16" s="90"/>
      <c r="EG16" s="90"/>
      <c r="EH16" s="90"/>
      <c r="EI16" s="203"/>
      <c r="EJ16" s="203"/>
      <c r="EK16" s="203"/>
      <c r="EL16" s="203"/>
      <c r="EM16" s="90"/>
      <c r="EN16" s="90"/>
      <c r="EO16" s="90"/>
      <c r="EP16" s="90"/>
      <c r="EQ16" s="90"/>
      <c r="ER16" s="186"/>
      <c r="ES16" s="172"/>
      <c r="ET16" s="173"/>
    </row>
    <row r="17">
      <c r="A17" s="101" t="s">
        <v>61</v>
      </c>
      <c r="B17" s="99"/>
      <c r="C17" s="89"/>
      <c r="D17" s="188"/>
      <c r="E17" s="188"/>
      <c r="F17" s="188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2">
        <f t="shared" si="1"/>
        <v>0</v>
      </c>
      <c r="V17" s="173">
        <f t="shared" si="2"/>
        <v>0</v>
      </c>
      <c r="X17" s="89"/>
      <c r="Y17" s="188"/>
      <c r="Z17" s="188"/>
      <c r="AA17" s="188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2">
        <f t="shared" si="3"/>
        <v>0</v>
      </c>
      <c r="AY17" s="173">
        <f t="shared" si="4"/>
        <v>0</v>
      </c>
      <c r="AZ17" s="174"/>
      <c r="BA17" s="104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98"/>
      <c r="BR17" s="198"/>
      <c r="BS17" s="198"/>
      <c r="BT17" s="198"/>
      <c r="BU17" s="198"/>
      <c r="BV17" s="198"/>
      <c r="BW17" s="198"/>
      <c r="BX17" s="198"/>
      <c r="BY17" s="198"/>
      <c r="BZ17" s="188"/>
      <c r="CA17" s="200">
        <f t="shared" si="5"/>
        <v>0</v>
      </c>
      <c r="CB17" s="173">
        <f t="shared" si="6"/>
        <v>0</v>
      </c>
      <c r="CC17" s="174"/>
      <c r="CD17" s="191"/>
      <c r="CE17" s="181"/>
      <c r="CF17" s="181"/>
      <c r="CG17" s="181"/>
      <c r="CH17" s="181"/>
      <c r="CI17" s="181"/>
      <c r="CJ17" s="181"/>
      <c r="CK17" s="181"/>
      <c r="CL17" s="181"/>
      <c r="CM17" s="181"/>
      <c r="CN17" s="181"/>
      <c r="CO17" s="181"/>
      <c r="CP17" s="181"/>
      <c r="CQ17" s="181"/>
      <c r="CR17" s="181"/>
      <c r="CS17" s="181"/>
      <c r="CT17" s="181"/>
      <c r="CU17" s="181"/>
      <c r="CV17" s="181"/>
      <c r="CW17" s="181"/>
      <c r="CX17" s="181"/>
      <c r="CY17" s="181"/>
      <c r="CZ17" s="181"/>
      <c r="DA17" s="181"/>
      <c r="DB17" s="181"/>
      <c r="DC17" s="181"/>
      <c r="DD17" s="181"/>
      <c r="DE17" s="181"/>
      <c r="DF17" s="181"/>
      <c r="DG17" s="181"/>
      <c r="DH17" s="181"/>
      <c r="DI17" s="201"/>
      <c r="DJ17" s="173"/>
      <c r="DK17" s="174"/>
      <c r="DL17" s="89"/>
      <c r="DM17" s="188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90"/>
      <c r="EF17" s="90"/>
      <c r="EG17" s="90"/>
      <c r="EH17" s="90"/>
      <c r="EI17" s="203"/>
      <c r="EJ17" s="203"/>
      <c r="EK17" s="203"/>
      <c r="EL17" s="203"/>
      <c r="EM17" s="90"/>
      <c r="EN17" s="90"/>
      <c r="EO17" s="90"/>
      <c r="EP17" s="90"/>
      <c r="EQ17" s="90"/>
      <c r="ER17" s="186"/>
      <c r="ES17" s="172"/>
      <c r="ET17" s="173"/>
    </row>
    <row r="18">
      <c r="A18" s="109"/>
      <c r="B18" s="99"/>
      <c r="C18" s="89"/>
      <c r="D18" s="188"/>
      <c r="E18" s="188"/>
      <c r="F18" s="188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2">
        <f t="shared" si="1"/>
        <v>0</v>
      </c>
      <c r="V18" s="173">
        <f t="shared" si="2"/>
        <v>0</v>
      </c>
      <c r="X18" s="89"/>
      <c r="Y18" s="188"/>
      <c r="Z18" s="188"/>
      <c r="AA18" s="188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2">
        <f t="shared" si="3"/>
        <v>0</v>
      </c>
      <c r="AY18" s="173">
        <f t="shared" si="4"/>
        <v>0</v>
      </c>
      <c r="AZ18" s="174"/>
      <c r="BA18" s="104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98"/>
      <c r="BR18" s="198"/>
      <c r="BS18" s="198"/>
      <c r="BT18" s="198"/>
      <c r="BU18" s="198"/>
      <c r="BV18" s="198"/>
      <c r="BW18" s="198"/>
      <c r="BX18" s="198"/>
      <c r="BY18" s="198"/>
      <c r="BZ18" s="188"/>
      <c r="CA18" s="200">
        <f t="shared" si="5"/>
        <v>0</v>
      </c>
      <c r="CB18" s="173">
        <f t="shared" si="6"/>
        <v>0</v>
      </c>
      <c r="CC18" s="174"/>
      <c r="CD18" s="191"/>
      <c r="CE18" s="181"/>
      <c r="CF18" s="181"/>
      <c r="CG18" s="181"/>
      <c r="CH18" s="181"/>
      <c r="CI18" s="181"/>
      <c r="CJ18" s="181"/>
      <c r="CK18" s="181"/>
      <c r="CL18" s="181"/>
      <c r="CM18" s="181"/>
      <c r="CN18" s="181"/>
      <c r="CO18" s="181"/>
      <c r="CP18" s="181"/>
      <c r="CQ18" s="181"/>
      <c r="CR18" s="181"/>
      <c r="CS18" s="181"/>
      <c r="CT18" s="181"/>
      <c r="CU18" s="181"/>
      <c r="CV18" s="181"/>
      <c r="CW18" s="181"/>
      <c r="CX18" s="181"/>
      <c r="CY18" s="181"/>
      <c r="CZ18" s="181"/>
      <c r="DA18" s="181"/>
      <c r="DB18" s="181"/>
      <c r="DC18" s="181"/>
      <c r="DD18" s="181"/>
      <c r="DE18" s="181"/>
      <c r="DF18" s="181"/>
      <c r="DG18" s="181"/>
      <c r="DH18" s="181"/>
      <c r="DI18" s="201"/>
      <c r="DJ18" s="173"/>
      <c r="DK18" s="174"/>
      <c r="DL18" s="89"/>
      <c r="DM18" s="188"/>
      <c r="DN18" s="90"/>
      <c r="DO18" s="90"/>
      <c r="DP18" s="90"/>
      <c r="DQ18" s="90"/>
      <c r="DR18" s="90"/>
      <c r="DS18" s="90"/>
      <c r="DT18" s="90"/>
      <c r="DU18" s="90"/>
      <c r="DV18" s="90"/>
      <c r="DW18" s="90"/>
      <c r="DX18" s="90"/>
      <c r="DY18" s="90"/>
      <c r="DZ18" s="90"/>
      <c r="EA18" s="90"/>
      <c r="EB18" s="90"/>
      <c r="EC18" s="90"/>
      <c r="ED18" s="90"/>
      <c r="EE18" s="90"/>
      <c r="EF18" s="90"/>
      <c r="EG18" s="90"/>
      <c r="EH18" s="90"/>
      <c r="EI18" s="203"/>
      <c r="EJ18" s="203"/>
      <c r="EK18" s="203"/>
      <c r="EL18" s="203"/>
      <c r="EM18" s="90"/>
      <c r="EN18" s="90"/>
      <c r="EO18" s="90"/>
      <c r="EP18" s="90"/>
      <c r="EQ18" s="90"/>
      <c r="ER18" s="186"/>
      <c r="ES18" s="172"/>
      <c r="ET18" s="173"/>
    </row>
    <row r="19">
      <c r="A19" s="101" t="s">
        <v>62</v>
      </c>
      <c r="B19" s="93">
        <v>239.0</v>
      </c>
      <c r="C19" s="89"/>
      <c r="D19" s="188"/>
      <c r="E19" s="188"/>
      <c r="F19" s="188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2">
        <f t="shared" si="1"/>
        <v>0</v>
      </c>
      <c r="V19" s="173">
        <f t="shared" si="2"/>
        <v>0</v>
      </c>
      <c r="X19" s="89"/>
      <c r="Y19" s="188"/>
      <c r="Z19" s="188"/>
      <c r="AA19" s="188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96">
        <v>1.0</v>
      </c>
      <c r="AS19" s="171"/>
      <c r="AT19" s="171"/>
      <c r="AU19" s="171"/>
      <c r="AV19" s="171"/>
      <c r="AW19" s="171"/>
      <c r="AX19" s="172">
        <f t="shared" si="3"/>
        <v>1</v>
      </c>
      <c r="AY19" s="173">
        <f t="shared" si="4"/>
        <v>239</v>
      </c>
      <c r="AZ19" s="174"/>
      <c r="BA19" s="104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98"/>
      <c r="BR19" s="198"/>
      <c r="BS19" s="198"/>
      <c r="BT19" s="198"/>
      <c r="BU19" s="198"/>
      <c r="BV19" s="198"/>
      <c r="BW19" s="198"/>
      <c r="BX19" s="198"/>
      <c r="BY19" s="198"/>
      <c r="BZ19" s="188"/>
      <c r="CA19" s="200">
        <f t="shared" si="5"/>
        <v>0</v>
      </c>
      <c r="CB19" s="173">
        <f t="shared" si="6"/>
        <v>0</v>
      </c>
      <c r="CC19" s="174"/>
      <c r="CD19" s="191"/>
      <c r="CE19" s="181"/>
      <c r="CF19" s="181"/>
      <c r="CG19" s="181"/>
      <c r="CH19" s="181"/>
      <c r="CI19" s="181"/>
      <c r="CJ19" s="181"/>
      <c r="CK19" s="181"/>
      <c r="CL19" s="181"/>
      <c r="CM19" s="181"/>
      <c r="CN19" s="181"/>
      <c r="CO19" s="181"/>
      <c r="CP19" s="181"/>
      <c r="CQ19" s="181"/>
      <c r="CR19" s="181"/>
      <c r="CS19" s="181"/>
      <c r="CT19" s="181"/>
      <c r="CU19" s="181"/>
      <c r="CV19" s="181"/>
      <c r="CW19" s="181"/>
      <c r="CX19" s="181"/>
      <c r="CY19" s="181"/>
      <c r="CZ19" s="181"/>
      <c r="DA19" s="181"/>
      <c r="DB19" s="181"/>
      <c r="DC19" s="181"/>
      <c r="DD19" s="181"/>
      <c r="DE19" s="181"/>
      <c r="DF19" s="181"/>
      <c r="DG19" s="181"/>
      <c r="DH19" s="181"/>
      <c r="DI19" s="201"/>
      <c r="DJ19" s="173"/>
      <c r="DK19" s="174"/>
      <c r="DL19" s="89"/>
      <c r="DM19" s="188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0"/>
      <c r="EI19" s="203"/>
      <c r="EJ19" s="203"/>
      <c r="EK19" s="203"/>
      <c r="EL19" s="203"/>
      <c r="EM19" s="90"/>
      <c r="EN19" s="90"/>
      <c r="EO19" s="90"/>
      <c r="EP19" s="90"/>
      <c r="EQ19" s="90"/>
      <c r="ER19" s="186"/>
      <c r="ES19" s="172"/>
      <c r="ET19" s="173"/>
    </row>
    <row r="20">
      <c r="A20" s="101" t="s">
        <v>63</v>
      </c>
      <c r="B20" s="93">
        <v>239.0</v>
      </c>
      <c r="C20" s="210">
        <v>1.0</v>
      </c>
      <c r="D20" s="188"/>
      <c r="E20" s="194">
        <v>1.0</v>
      </c>
      <c r="F20" s="188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2">
        <f t="shared" si="1"/>
        <v>2</v>
      </c>
      <c r="V20" s="173">
        <f t="shared" si="2"/>
        <v>478</v>
      </c>
      <c r="X20" s="89"/>
      <c r="Y20" s="188"/>
      <c r="Z20" s="188"/>
      <c r="AA20" s="188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2">
        <f t="shared" si="3"/>
        <v>0</v>
      </c>
      <c r="AY20" s="173">
        <f t="shared" si="4"/>
        <v>0</v>
      </c>
      <c r="AZ20" s="174"/>
      <c r="BA20" s="104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98"/>
      <c r="BR20" s="198"/>
      <c r="BS20" s="198"/>
      <c r="BT20" s="198"/>
      <c r="BU20" s="198"/>
      <c r="BV20" s="198"/>
      <c r="BW20" s="198"/>
      <c r="BX20" s="198"/>
      <c r="BY20" s="198"/>
      <c r="BZ20" s="188"/>
      <c r="CA20" s="200">
        <f t="shared" si="5"/>
        <v>0</v>
      </c>
      <c r="CB20" s="173">
        <f t="shared" si="6"/>
        <v>0</v>
      </c>
      <c r="CC20" s="174"/>
      <c r="CD20" s="191"/>
      <c r="CE20" s="181"/>
      <c r="CF20" s="181"/>
      <c r="CG20" s="181"/>
      <c r="CH20" s="181"/>
      <c r="CI20" s="181"/>
      <c r="CJ20" s="181"/>
      <c r="CK20" s="181"/>
      <c r="CL20" s="181"/>
      <c r="CM20" s="181"/>
      <c r="CN20" s="181"/>
      <c r="CO20" s="181"/>
      <c r="CP20" s="181"/>
      <c r="CQ20" s="181"/>
      <c r="CR20" s="181"/>
      <c r="CS20" s="181"/>
      <c r="CT20" s="181"/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201"/>
      <c r="DJ20" s="173"/>
      <c r="DK20" s="174"/>
      <c r="DL20" s="89"/>
      <c r="DM20" s="188"/>
      <c r="DN20" s="90"/>
      <c r="DO20" s="90"/>
      <c r="DP20" s="90"/>
      <c r="DQ20" s="90"/>
      <c r="DR20" s="90"/>
      <c r="DS20" s="90"/>
      <c r="DT20" s="90"/>
      <c r="DU20" s="90"/>
      <c r="DV20" s="90"/>
      <c r="DW20" s="90"/>
      <c r="DX20" s="90"/>
      <c r="DY20" s="90"/>
      <c r="DZ20" s="90"/>
      <c r="EA20" s="90"/>
      <c r="EB20" s="90"/>
      <c r="EC20" s="90"/>
      <c r="ED20" s="90"/>
      <c r="EE20" s="90"/>
      <c r="EF20" s="90"/>
      <c r="EG20" s="90"/>
      <c r="EH20" s="90"/>
      <c r="EI20" s="203"/>
      <c r="EJ20" s="203"/>
      <c r="EK20" s="203"/>
      <c r="EL20" s="203"/>
      <c r="EM20" s="90"/>
      <c r="EN20" s="90"/>
      <c r="EO20" s="90"/>
      <c r="EP20" s="90"/>
      <c r="EQ20" s="90"/>
      <c r="ER20" s="186"/>
      <c r="ES20" s="172"/>
      <c r="ET20" s="173"/>
    </row>
    <row r="21">
      <c r="A21" s="101" t="s">
        <v>64</v>
      </c>
      <c r="B21" s="93">
        <v>239.0</v>
      </c>
      <c r="C21" s="89"/>
      <c r="D21" s="188"/>
      <c r="E21" s="188"/>
      <c r="F21" s="188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2">
        <f t="shared" si="1"/>
        <v>0</v>
      </c>
      <c r="V21" s="173">
        <f t="shared" si="2"/>
        <v>0</v>
      </c>
      <c r="X21" s="89"/>
      <c r="Y21" s="188"/>
      <c r="Z21" s="188"/>
      <c r="AA21" s="188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2">
        <f t="shared" si="3"/>
        <v>0</v>
      </c>
      <c r="AY21" s="173">
        <f t="shared" si="4"/>
        <v>0</v>
      </c>
      <c r="AZ21" s="174"/>
      <c r="BA21" s="104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98"/>
      <c r="BR21" s="198"/>
      <c r="BS21" s="198"/>
      <c r="BT21" s="198"/>
      <c r="BU21" s="198"/>
      <c r="BV21" s="198"/>
      <c r="BW21" s="198"/>
      <c r="BX21" s="198"/>
      <c r="BY21" s="198"/>
      <c r="BZ21" s="188"/>
      <c r="CA21" s="200">
        <f t="shared" si="5"/>
        <v>0</v>
      </c>
      <c r="CB21" s="173">
        <f t="shared" si="6"/>
        <v>0</v>
      </c>
      <c r="CC21" s="174"/>
      <c r="CD21" s="212">
        <v>2.0</v>
      </c>
      <c r="CE21" s="181"/>
      <c r="CF21" s="181"/>
      <c r="CG21" s="181"/>
      <c r="CH21" s="181"/>
      <c r="CI21" s="181"/>
      <c r="CJ21" s="181"/>
      <c r="CK21" s="181"/>
      <c r="CL21" s="181"/>
      <c r="CM21" s="181"/>
      <c r="CN21" s="181"/>
      <c r="CO21" s="181"/>
      <c r="CP21" s="181"/>
      <c r="CQ21" s="181"/>
      <c r="CR21" s="181"/>
      <c r="CS21" s="181"/>
      <c r="CT21" s="181"/>
      <c r="CU21" s="181"/>
      <c r="CV21" s="181"/>
      <c r="CW21" s="181"/>
      <c r="CX21" s="181"/>
      <c r="CY21" s="181"/>
      <c r="CZ21" s="181"/>
      <c r="DA21" s="181"/>
      <c r="DB21" s="181"/>
      <c r="DC21" s="181"/>
      <c r="DD21" s="181"/>
      <c r="DE21" s="181"/>
      <c r="DF21" s="181"/>
      <c r="DG21" s="181"/>
      <c r="DH21" s="181"/>
      <c r="DI21" s="201"/>
      <c r="DJ21" s="173"/>
      <c r="DK21" s="174"/>
      <c r="DL21" s="89"/>
      <c r="DM21" s="188"/>
      <c r="DN21" s="90"/>
      <c r="DO21" s="90"/>
      <c r="DP21" s="90"/>
      <c r="DQ21" s="90"/>
      <c r="DR21" s="90"/>
      <c r="DS21" s="90"/>
      <c r="DT21" s="90"/>
      <c r="DU21" s="90"/>
      <c r="DV21" s="90"/>
      <c r="DW21" s="90"/>
      <c r="DX21" s="90"/>
      <c r="DY21" s="90"/>
      <c r="DZ21" s="90"/>
      <c r="EA21" s="90"/>
      <c r="EB21" s="90"/>
      <c r="EC21" s="90"/>
      <c r="ED21" s="90"/>
      <c r="EE21" s="90"/>
      <c r="EF21" s="90"/>
      <c r="EG21" s="90"/>
      <c r="EH21" s="90"/>
      <c r="EI21" s="203"/>
      <c r="EJ21" s="203"/>
      <c r="EK21" s="203"/>
      <c r="EL21" s="203"/>
      <c r="EM21" s="90"/>
      <c r="EN21" s="90"/>
      <c r="EO21" s="90"/>
      <c r="EP21" s="211">
        <v>1.0</v>
      </c>
      <c r="EQ21" s="90"/>
      <c r="ER21" s="186"/>
      <c r="ES21" s="172"/>
      <c r="ET21" s="173"/>
    </row>
    <row r="22">
      <c r="A22" s="101" t="s">
        <v>65</v>
      </c>
      <c r="B22" s="93">
        <v>219.0</v>
      </c>
      <c r="C22" s="89"/>
      <c r="D22" s="188"/>
      <c r="E22" s="188"/>
      <c r="F22" s="188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2">
        <f t="shared" si="1"/>
        <v>0</v>
      </c>
      <c r="V22" s="173">
        <f t="shared" si="2"/>
        <v>0</v>
      </c>
      <c r="X22" s="89"/>
      <c r="Y22" s="188"/>
      <c r="Z22" s="188"/>
      <c r="AA22" s="188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2">
        <f t="shared" si="3"/>
        <v>0</v>
      </c>
      <c r="AY22" s="173">
        <f t="shared" si="4"/>
        <v>0</v>
      </c>
      <c r="AZ22" s="174"/>
      <c r="BA22" s="104"/>
      <c r="BB22" s="108"/>
      <c r="BC22" s="108"/>
      <c r="BD22" s="108"/>
      <c r="BE22" s="108"/>
      <c r="BF22" s="108"/>
      <c r="BG22" s="108"/>
      <c r="BH22" s="197">
        <v>1.0</v>
      </c>
      <c r="BI22" s="108"/>
      <c r="BJ22" s="108"/>
      <c r="BK22" s="108"/>
      <c r="BL22" s="108"/>
      <c r="BM22" s="108"/>
      <c r="BN22" s="108"/>
      <c r="BO22" s="108"/>
      <c r="BP22" s="108"/>
      <c r="BQ22" s="198"/>
      <c r="BR22" s="198"/>
      <c r="BS22" s="198"/>
      <c r="BT22" s="198"/>
      <c r="BU22" s="198"/>
      <c r="BV22" s="198"/>
      <c r="BW22" s="198"/>
      <c r="BX22" s="198"/>
      <c r="BY22" s="198"/>
      <c r="BZ22" s="188"/>
      <c r="CA22" s="200">
        <f t="shared" si="5"/>
        <v>1</v>
      </c>
      <c r="CB22" s="173">
        <f t="shared" si="6"/>
        <v>219</v>
      </c>
      <c r="CC22" s="174"/>
      <c r="CD22" s="191"/>
      <c r="CE22" s="181"/>
      <c r="CF22" s="181"/>
      <c r="CG22" s="181"/>
      <c r="CH22" s="181"/>
      <c r="CI22" s="181"/>
      <c r="CJ22" s="181"/>
      <c r="CK22" s="181"/>
      <c r="CL22" s="181"/>
      <c r="CM22" s="181"/>
      <c r="CN22" s="181"/>
      <c r="CO22" s="181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  <c r="DH22" s="181"/>
      <c r="DI22" s="201"/>
      <c r="DJ22" s="173"/>
      <c r="DK22" s="174"/>
      <c r="DL22" s="89"/>
      <c r="DM22" s="188"/>
      <c r="DN22" s="90"/>
      <c r="DO22" s="90"/>
      <c r="DP22" s="90"/>
      <c r="DQ22" s="90"/>
      <c r="DR22" s="90"/>
      <c r="DS22" s="90"/>
      <c r="DT22" s="90"/>
      <c r="DU22" s="90"/>
      <c r="DV22" s="90"/>
      <c r="DW22" s="90"/>
      <c r="DX22" s="90"/>
      <c r="DY22" s="90"/>
      <c r="DZ22" s="90"/>
      <c r="EA22" s="90"/>
      <c r="EB22" s="90"/>
      <c r="EC22" s="90"/>
      <c r="ED22" s="90"/>
      <c r="EE22" s="90"/>
      <c r="EF22" s="90"/>
      <c r="EG22" s="90"/>
      <c r="EH22" s="90"/>
      <c r="EI22" s="203"/>
      <c r="EJ22" s="203"/>
      <c r="EK22" s="203"/>
      <c r="EL22" s="203"/>
      <c r="EM22" s="90"/>
      <c r="EN22" s="90"/>
      <c r="EO22" s="90"/>
      <c r="EP22" s="90"/>
      <c r="EQ22" s="90"/>
      <c r="ER22" s="186"/>
      <c r="ES22" s="172"/>
      <c r="ET22" s="173"/>
    </row>
    <row r="23">
      <c r="A23" s="101" t="s">
        <v>66</v>
      </c>
      <c r="B23" s="93">
        <v>219.0</v>
      </c>
      <c r="C23" s="89"/>
      <c r="D23" s="188"/>
      <c r="E23" s="188"/>
      <c r="F23" s="188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2">
        <f t="shared" si="1"/>
        <v>0</v>
      </c>
      <c r="V23" s="173">
        <f t="shared" si="2"/>
        <v>0</v>
      </c>
      <c r="X23" s="89"/>
      <c r="Y23" s="188"/>
      <c r="Z23" s="188"/>
      <c r="AA23" s="188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2">
        <f t="shared" si="3"/>
        <v>0</v>
      </c>
      <c r="AY23" s="173">
        <f t="shared" si="4"/>
        <v>0</v>
      </c>
      <c r="AZ23" s="174"/>
      <c r="BA23" s="104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98"/>
      <c r="BR23" s="198"/>
      <c r="BS23" s="198"/>
      <c r="BT23" s="198"/>
      <c r="BU23" s="198"/>
      <c r="BV23" s="198"/>
      <c r="BW23" s="198"/>
      <c r="BX23" s="198"/>
      <c r="BY23" s="198"/>
      <c r="BZ23" s="188"/>
      <c r="CA23" s="200">
        <f t="shared" si="5"/>
        <v>0</v>
      </c>
      <c r="CB23" s="173">
        <f t="shared" si="6"/>
        <v>0</v>
      </c>
      <c r="CC23" s="174"/>
      <c r="CD23" s="191"/>
      <c r="CE23" s="181"/>
      <c r="CF23" s="181"/>
      <c r="CG23" s="181"/>
      <c r="CH23" s="181"/>
      <c r="CI23" s="181"/>
      <c r="CJ23" s="181"/>
      <c r="CK23" s="181"/>
      <c r="CL23" s="181"/>
      <c r="CM23" s="181"/>
      <c r="CN23" s="181"/>
      <c r="CO23" s="181"/>
      <c r="CP23" s="181"/>
      <c r="CQ23" s="181"/>
      <c r="CR23" s="181"/>
      <c r="CS23" s="181"/>
      <c r="CT23" s="181"/>
      <c r="CU23" s="181"/>
      <c r="CV23" s="181"/>
      <c r="CW23" s="181"/>
      <c r="CX23" s="181"/>
      <c r="CY23" s="181"/>
      <c r="CZ23" s="181"/>
      <c r="DA23" s="181"/>
      <c r="DB23" s="181"/>
      <c r="DC23" s="181"/>
      <c r="DD23" s="181"/>
      <c r="DE23" s="181"/>
      <c r="DF23" s="181"/>
      <c r="DG23" s="181"/>
      <c r="DH23" s="181"/>
      <c r="DI23" s="201"/>
      <c r="DJ23" s="173"/>
      <c r="DK23" s="174"/>
      <c r="DL23" s="89"/>
      <c r="DM23" s="188"/>
      <c r="DN23" s="90"/>
      <c r="DO23" s="90"/>
      <c r="DP23" s="90"/>
      <c r="DQ23" s="90"/>
      <c r="DR23" s="90"/>
      <c r="DS23" s="90"/>
      <c r="DT23" s="90"/>
      <c r="DU23" s="90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203"/>
      <c r="EJ23" s="203"/>
      <c r="EK23" s="203"/>
      <c r="EL23" s="203"/>
      <c r="EM23" s="90"/>
      <c r="EN23" s="90"/>
      <c r="EO23" s="90"/>
      <c r="EP23" s="90"/>
      <c r="EQ23" s="90"/>
      <c r="ER23" s="186"/>
      <c r="ES23" s="172"/>
      <c r="ET23" s="173"/>
    </row>
    <row r="24">
      <c r="A24" s="101" t="s">
        <v>67</v>
      </c>
      <c r="B24" s="93">
        <v>219.0</v>
      </c>
      <c r="C24" s="89"/>
      <c r="D24" s="188"/>
      <c r="E24" s="188"/>
      <c r="F24" s="188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2">
        <f t="shared" si="1"/>
        <v>0</v>
      </c>
      <c r="V24" s="173">
        <f t="shared" si="2"/>
        <v>0</v>
      </c>
      <c r="X24" s="89"/>
      <c r="Y24" s="188"/>
      <c r="Z24" s="188"/>
      <c r="AA24" s="188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2">
        <f t="shared" si="3"/>
        <v>0</v>
      </c>
      <c r="AY24" s="173">
        <f t="shared" si="4"/>
        <v>0</v>
      </c>
      <c r="AZ24" s="174"/>
      <c r="BA24" s="104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98"/>
      <c r="BR24" s="198"/>
      <c r="BS24" s="198"/>
      <c r="BT24" s="198"/>
      <c r="BU24" s="198"/>
      <c r="BV24" s="198"/>
      <c r="BW24" s="198"/>
      <c r="BX24" s="198"/>
      <c r="BY24" s="198"/>
      <c r="BZ24" s="188"/>
      <c r="CA24" s="200">
        <f t="shared" si="5"/>
        <v>0</v>
      </c>
      <c r="CB24" s="173">
        <f t="shared" si="6"/>
        <v>0</v>
      </c>
      <c r="CC24" s="174"/>
      <c r="CD24" s="191"/>
      <c r="CE24" s="181"/>
      <c r="CF24" s="181"/>
      <c r="CG24" s="181"/>
      <c r="CH24" s="181"/>
      <c r="CI24" s="181"/>
      <c r="CJ24" s="181"/>
      <c r="CK24" s="181"/>
      <c r="CL24" s="181"/>
      <c r="CM24" s="181"/>
      <c r="CN24" s="181"/>
      <c r="CO24" s="181"/>
      <c r="CP24" s="181"/>
      <c r="CQ24" s="181"/>
      <c r="CR24" s="181"/>
      <c r="CS24" s="181"/>
      <c r="CT24" s="181"/>
      <c r="CU24" s="181"/>
      <c r="CV24" s="181"/>
      <c r="CW24" s="181"/>
      <c r="CX24" s="181"/>
      <c r="CY24" s="181"/>
      <c r="CZ24" s="181"/>
      <c r="DA24" s="181"/>
      <c r="DB24" s="181"/>
      <c r="DC24" s="181"/>
      <c r="DD24" s="181"/>
      <c r="DE24" s="181"/>
      <c r="DF24" s="181"/>
      <c r="DG24" s="181"/>
      <c r="DH24" s="181"/>
      <c r="DI24" s="201"/>
      <c r="DJ24" s="173"/>
      <c r="DK24" s="174"/>
      <c r="DL24" s="89"/>
      <c r="DM24" s="188"/>
      <c r="DN24" s="90"/>
      <c r="DO24" s="90"/>
      <c r="DP24" s="90"/>
      <c r="DQ24" s="90"/>
      <c r="DR24" s="90"/>
      <c r="DS24" s="90"/>
      <c r="DT24" s="90"/>
      <c r="DU24" s="90"/>
      <c r="DV24" s="90"/>
      <c r="DW24" s="90"/>
      <c r="DX24" s="90"/>
      <c r="DY24" s="90"/>
      <c r="DZ24" s="90"/>
      <c r="EA24" s="90"/>
      <c r="EB24" s="90"/>
      <c r="EC24" s="90"/>
      <c r="ED24" s="90"/>
      <c r="EE24" s="90"/>
      <c r="EF24" s="90"/>
      <c r="EG24" s="90"/>
      <c r="EH24" s="90"/>
      <c r="EI24" s="203"/>
      <c r="EJ24" s="203"/>
      <c r="EK24" s="203"/>
      <c r="EL24" s="203"/>
      <c r="EM24" s="90"/>
      <c r="EN24" s="90"/>
      <c r="EO24" s="90"/>
      <c r="EP24" s="90"/>
      <c r="EQ24" s="90"/>
      <c r="ER24" s="186"/>
      <c r="ES24" s="172"/>
      <c r="ET24" s="173"/>
    </row>
    <row r="25">
      <c r="A25" s="101" t="s">
        <v>68</v>
      </c>
      <c r="B25" s="93">
        <v>219.0</v>
      </c>
      <c r="C25" s="89"/>
      <c r="D25" s="188"/>
      <c r="E25" s="188"/>
      <c r="F25" s="188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2">
        <f t="shared" si="1"/>
        <v>0</v>
      </c>
      <c r="V25" s="173">
        <f t="shared" si="2"/>
        <v>0</v>
      </c>
      <c r="X25" s="89"/>
      <c r="Y25" s="188"/>
      <c r="Z25" s="188"/>
      <c r="AA25" s="188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2">
        <f t="shared" si="3"/>
        <v>0</v>
      </c>
      <c r="AY25" s="173">
        <f t="shared" si="4"/>
        <v>0</v>
      </c>
      <c r="AZ25" s="174"/>
      <c r="BA25" s="104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98"/>
      <c r="BR25" s="198"/>
      <c r="BS25" s="198"/>
      <c r="BT25" s="198"/>
      <c r="BU25" s="198"/>
      <c r="BV25" s="198"/>
      <c r="BW25" s="198"/>
      <c r="BX25" s="198"/>
      <c r="BY25" s="198"/>
      <c r="BZ25" s="188"/>
      <c r="CA25" s="200">
        <f t="shared" si="5"/>
        <v>0</v>
      </c>
      <c r="CB25" s="173">
        <f t="shared" si="6"/>
        <v>0</v>
      </c>
      <c r="CC25" s="174"/>
      <c r="CD25" s="191"/>
      <c r="CE25" s="181"/>
      <c r="CF25" s="181"/>
      <c r="CG25" s="181"/>
      <c r="CH25" s="181"/>
      <c r="CI25" s="181"/>
      <c r="CJ25" s="181"/>
      <c r="CK25" s="181"/>
      <c r="CL25" s="181"/>
      <c r="CM25" s="181"/>
      <c r="CN25" s="181"/>
      <c r="CO25" s="181"/>
      <c r="CP25" s="181"/>
      <c r="CQ25" s="181"/>
      <c r="CR25" s="181"/>
      <c r="CS25" s="181"/>
      <c r="CT25" s="181"/>
      <c r="CU25" s="181"/>
      <c r="CV25" s="181"/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181"/>
      <c r="DH25" s="181"/>
      <c r="DI25" s="201"/>
      <c r="DJ25" s="173"/>
      <c r="DK25" s="174"/>
      <c r="DL25" s="89"/>
      <c r="DM25" s="188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203"/>
      <c r="EJ25" s="203"/>
      <c r="EK25" s="203"/>
      <c r="EL25" s="203"/>
      <c r="EM25" s="90"/>
      <c r="EN25" s="90"/>
      <c r="EO25" s="90"/>
      <c r="EP25" s="90"/>
      <c r="EQ25" s="90"/>
      <c r="ER25" s="186"/>
      <c r="ES25" s="172"/>
      <c r="ET25" s="173"/>
    </row>
    <row r="26">
      <c r="A26" s="101" t="s">
        <v>69</v>
      </c>
      <c r="B26" s="93">
        <v>219.0</v>
      </c>
      <c r="C26" s="89"/>
      <c r="D26" s="188"/>
      <c r="E26" s="188"/>
      <c r="F26" s="188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2">
        <f t="shared" si="1"/>
        <v>0</v>
      </c>
      <c r="V26" s="173">
        <f t="shared" si="2"/>
        <v>0</v>
      </c>
      <c r="X26" s="89"/>
      <c r="Y26" s="188"/>
      <c r="Z26" s="188"/>
      <c r="AA26" s="188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2">
        <f t="shared" si="3"/>
        <v>0</v>
      </c>
      <c r="AY26" s="173">
        <f t="shared" si="4"/>
        <v>0</v>
      </c>
      <c r="AZ26" s="174"/>
      <c r="BA26" s="104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98"/>
      <c r="BR26" s="198"/>
      <c r="BS26" s="198"/>
      <c r="BT26" s="198"/>
      <c r="BU26" s="198"/>
      <c r="BV26" s="198"/>
      <c r="BW26" s="198"/>
      <c r="BX26" s="198"/>
      <c r="BY26" s="198"/>
      <c r="BZ26" s="188"/>
      <c r="CA26" s="200">
        <f t="shared" si="5"/>
        <v>0</v>
      </c>
      <c r="CB26" s="173">
        <f t="shared" si="6"/>
        <v>0</v>
      </c>
      <c r="CC26" s="174"/>
      <c r="CD26" s="191"/>
      <c r="CE26" s="181"/>
      <c r="CF26" s="181"/>
      <c r="CG26" s="181"/>
      <c r="CH26" s="181"/>
      <c r="CI26" s="181"/>
      <c r="CJ26" s="181"/>
      <c r="CK26" s="181"/>
      <c r="CL26" s="181"/>
      <c r="CM26" s="181"/>
      <c r="CN26" s="181"/>
      <c r="CO26" s="181"/>
      <c r="CP26" s="181"/>
      <c r="CQ26" s="181"/>
      <c r="CR26" s="181"/>
      <c r="CS26" s="181"/>
      <c r="CT26" s="181"/>
      <c r="CU26" s="181"/>
      <c r="CV26" s="181"/>
      <c r="CW26" s="181"/>
      <c r="CX26" s="181"/>
      <c r="CY26" s="181"/>
      <c r="CZ26" s="181"/>
      <c r="DA26" s="181"/>
      <c r="DB26" s="181"/>
      <c r="DC26" s="181"/>
      <c r="DD26" s="181"/>
      <c r="DE26" s="181"/>
      <c r="DF26" s="181"/>
      <c r="DG26" s="181"/>
      <c r="DH26" s="181"/>
      <c r="DI26" s="201"/>
      <c r="DJ26" s="173"/>
      <c r="DK26" s="174"/>
      <c r="DL26" s="89"/>
      <c r="DM26" s="188"/>
      <c r="DN26" s="90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0"/>
      <c r="EB26" s="90"/>
      <c r="EC26" s="90"/>
      <c r="ED26" s="90"/>
      <c r="EE26" s="90"/>
      <c r="EF26" s="90"/>
      <c r="EG26" s="90"/>
      <c r="EH26" s="90"/>
      <c r="EI26" s="203"/>
      <c r="EJ26" s="203"/>
      <c r="EK26" s="203"/>
      <c r="EL26" s="203"/>
      <c r="EM26" s="90"/>
      <c r="EN26" s="90"/>
      <c r="EO26" s="90"/>
      <c r="EP26" s="90"/>
      <c r="EQ26" s="90"/>
      <c r="ER26" s="186"/>
      <c r="ES26" s="172"/>
      <c r="ET26" s="173"/>
    </row>
    <row r="27">
      <c r="A27" s="101" t="s">
        <v>70</v>
      </c>
      <c r="B27" s="93">
        <v>799.0</v>
      </c>
      <c r="C27" s="89"/>
      <c r="D27" s="188"/>
      <c r="E27" s="188"/>
      <c r="F27" s="188"/>
      <c r="G27" s="171"/>
      <c r="H27" s="171"/>
      <c r="I27" s="195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2">
        <f t="shared" si="1"/>
        <v>0</v>
      </c>
      <c r="V27" s="173">
        <f t="shared" si="2"/>
        <v>0</v>
      </c>
      <c r="X27" s="89"/>
      <c r="Y27" s="194">
        <v>1.0</v>
      </c>
      <c r="Z27" s="188"/>
      <c r="AA27" s="188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95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2">
        <f t="shared" si="3"/>
        <v>1</v>
      </c>
      <c r="AY27" s="173">
        <f t="shared" si="4"/>
        <v>799</v>
      </c>
      <c r="AZ27" s="174"/>
      <c r="BA27" s="104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98"/>
      <c r="BR27" s="198"/>
      <c r="BS27" s="198"/>
      <c r="BT27" s="198"/>
      <c r="BU27" s="198"/>
      <c r="BV27" s="198"/>
      <c r="BW27" s="198"/>
      <c r="BX27" s="198"/>
      <c r="BY27" s="198"/>
      <c r="BZ27" s="188"/>
      <c r="CA27" s="200">
        <f t="shared" si="5"/>
        <v>0</v>
      </c>
      <c r="CB27" s="173">
        <f t="shared" si="6"/>
        <v>0</v>
      </c>
      <c r="CC27" s="174"/>
      <c r="CD27" s="191"/>
      <c r="CE27" s="206"/>
      <c r="CF27" s="181"/>
      <c r="CG27" s="181"/>
      <c r="CH27" s="181"/>
      <c r="CI27" s="181"/>
      <c r="CJ27" s="181"/>
      <c r="CK27" s="181"/>
      <c r="CL27" s="181"/>
      <c r="CM27" s="181"/>
      <c r="CN27" s="181"/>
      <c r="CO27" s="181"/>
      <c r="CP27" s="181"/>
      <c r="CQ27" s="181"/>
      <c r="CR27" s="181"/>
      <c r="CS27" s="181"/>
      <c r="CT27" s="181"/>
      <c r="CU27" s="181"/>
      <c r="CV27" s="181"/>
      <c r="CW27" s="181"/>
      <c r="CX27" s="181"/>
      <c r="CY27" s="181"/>
      <c r="CZ27" s="181"/>
      <c r="DA27" s="181"/>
      <c r="DB27" s="181"/>
      <c r="DC27" s="181"/>
      <c r="DD27" s="181"/>
      <c r="DE27" s="181"/>
      <c r="DF27" s="181"/>
      <c r="DG27" s="181"/>
      <c r="DH27" s="181"/>
      <c r="DI27" s="201"/>
      <c r="DJ27" s="173"/>
      <c r="DK27" s="174"/>
      <c r="DL27" s="89"/>
      <c r="DM27" s="188"/>
      <c r="DN27" s="90"/>
      <c r="DO27" s="90"/>
      <c r="DP27" s="90"/>
      <c r="DQ27" s="90"/>
      <c r="DR27" s="90"/>
      <c r="DS27" s="90"/>
      <c r="DT27" s="90"/>
      <c r="DU27" s="90"/>
      <c r="DV27" s="90"/>
      <c r="DW27" s="90"/>
      <c r="DX27" s="90"/>
      <c r="DY27" s="90"/>
      <c r="DZ27" s="90"/>
      <c r="EA27" s="90"/>
      <c r="EB27" s="90"/>
      <c r="EC27" s="90"/>
      <c r="ED27" s="90"/>
      <c r="EE27" s="90"/>
      <c r="EF27" s="90"/>
      <c r="EG27" s="90"/>
      <c r="EH27" s="90"/>
      <c r="EI27" s="203"/>
      <c r="EJ27" s="203"/>
      <c r="EK27" s="203"/>
      <c r="EL27" s="203"/>
      <c r="EM27" s="90"/>
      <c r="EN27" s="90"/>
      <c r="EO27" s="90"/>
      <c r="EP27" s="90"/>
      <c r="EQ27" s="90"/>
      <c r="ER27" s="186"/>
      <c r="ES27" s="172"/>
      <c r="ET27" s="173"/>
    </row>
    <row r="28">
      <c r="A28" s="102" t="s">
        <v>71</v>
      </c>
      <c r="B28" s="93">
        <v>609.0</v>
      </c>
      <c r="C28" s="89"/>
      <c r="D28" s="188"/>
      <c r="E28" s="188"/>
      <c r="F28" s="188"/>
      <c r="G28" s="171"/>
      <c r="H28" s="171"/>
      <c r="I28" s="171"/>
      <c r="J28" s="171"/>
      <c r="K28" s="204">
        <v>1.0</v>
      </c>
      <c r="L28" s="171"/>
      <c r="M28" s="171"/>
      <c r="N28" s="196">
        <v>1.0</v>
      </c>
      <c r="O28" s="171"/>
      <c r="P28" s="171"/>
      <c r="Q28" s="171"/>
      <c r="R28" s="171"/>
      <c r="S28" s="171"/>
      <c r="T28" s="171"/>
      <c r="U28" s="172">
        <f t="shared" si="1"/>
        <v>2</v>
      </c>
      <c r="V28" s="173">
        <f t="shared" si="2"/>
        <v>1218</v>
      </c>
      <c r="X28" s="89"/>
      <c r="Y28" s="188"/>
      <c r="Z28" s="194">
        <v>1.0</v>
      </c>
      <c r="AA28" s="188"/>
      <c r="AB28" s="171"/>
      <c r="AC28" s="171"/>
      <c r="AD28" s="171"/>
      <c r="AE28" s="171"/>
      <c r="AF28" s="171"/>
      <c r="AG28" s="171"/>
      <c r="AH28" s="171"/>
      <c r="AI28" s="196">
        <v>3.0</v>
      </c>
      <c r="AJ28" s="171"/>
      <c r="AK28" s="171"/>
      <c r="AL28" s="171"/>
      <c r="AM28" s="171"/>
      <c r="AN28" s="195"/>
      <c r="AO28" s="171"/>
      <c r="AP28" s="171"/>
      <c r="AQ28" s="171"/>
      <c r="AR28" s="171"/>
      <c r="AS28" s="171"/>
      <c r="AT28" s="171"/>
      <c r="AU28" s="171"/>
      <c r="AV28" s="171"/>
      <c r="AW28" s="171"/>
      <c r="AX28" s="172">
        <f t="shared" si="3"/>
        <v>4</v>
      </c>
      <c r="AY28" s="173">
        <f t="shared" si="4"/>
        <v>2436</v>
      </c>
      <c r="AZ28" s="174"/>
      <c r="BA28" s="104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98"/>
      <c r="BR28" s="198"/>
      <c r="BS28" s="198"/>
      <c r="BT28" s="198"/>
      <c r="BU28" s="198"/>
      <c r="BV28" s="198"/>
      <c r="BW28" s="198"/>
      <c r="BX28" s="198"/>
      <c r="BY28" s="198"/>
      <c r="BZ28" s="188"/>
      <c r="CA28" s="200">
        <f t="shared" si="5"/>
        <v>0</v>
      </c>
      <c r="CB28" s="173">
        <f t="shared" si="6"/>
        <v>0</v>
      </c>
      <c r="CC28" s="174"/>
      <c r="CD28" s="191"/>
      <c r="CE28" s="181"/>
      <c r="CF28" s="181"/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  <c r="DH28" s="181"/>
      <c r="DI28" s="201"/>
      <c r="DJ28" s="173"/>
      <c r="DK28" s="174"/>
      <c r="DL28" s="89"/>
      <c r="DM28" s="188"/>
      <c r="DN28" s="90"/>
      <c r="DO28" s="90"/>
      <c r="DP28" s="90"/>
      <c r="DQ28" s="90"/>
      <c r="DR28" s="90"/>
      <c r="DS28" s="90"/>
      <c r="DT28" s="90"/>
      <c r="DU28" s="90"/>
      <c r="DV28" s="90"/>
      <c r="DW28" s="90"/>
      <c r="DX28" s="90"/>
      <c r="DY28" s="90"/>
      <c r="DZ28" s="90"/>
      <c r="EA28" s="90"/>
      <c r="EB28" s="90"/>
      <c r="EC28" s="90"/>
      <c r="ED28" s="90"/>
      <c r="EE28" s="90"/>
      <c r="EF28" s="90"/>
      <c r="EG28" s="90"/>
      <c r="EH28" s="90"/>
      <c r="EI28" s="203"/>
      <c r="EJ28" s="203"/>
      <c r="EK28" s="203"/>
      <c r="EL28" s="203"/>
      <c r="EM28" s="90"/>
      <c r="EN28" s="90"/>
      <c r="EO28" s="90"/>
      <c r="EP28" s="90"/>
      <c r="EQ28" s="90"/>
      <c r="ER28" s="213"/>
      <c r="ES28" s="172"/>
      <c r="ET28" s="173"/>
    </row>
    <row r="29">
      <c r="A29" s="101" t="s">
        <v>72</v>
      </c>
      <c r="B29" s="93">
        <v>329.0</v>
      </c>
      <c r="C29" s="89"/>
      <c r="D29" s="188"/>
      <c r="E29" s="188"/>
      <c r="F29" s="188"/>
      <c r="G29" s="196">
        <v>1.0</v>
      </c>
      <c r="H29" s="171"/>
      <c r="I29" s="195"/>
      <c r="J29" s="171"/>
      <c r="K29" s="196">
        <v>1.0</v>
      </c>
      <c r="L29" s="171"/>
      <c r="M29" s="171"/>
      <c r="N29" s="196">
        <v>3.0</v>
      </c>
      <c r="O29" s="171"/>
      <c r="P29" s="171"/>
      <c r="Q29" s="196">
        <v>1.0</v>
      </c>
      <c r="R29" s="171"/>
      <c r="S29" s="171"/>
      <c r="T29" s="196">
        <v>1.0</v>
      </c>
      <c r="U29" s="172">
        <f t="shared" si="1"/>
        <v>7</v>
      </c>
      <c r="V29" s="173">
        <f t="shared" si="2"/>
        <v>2303</v>
      </c>
      <c r="X29" s="89"/>
      <c r="Y29" s="188"/>
      <c r="Z29" s="188"/>
      <c r="AA29" s="188"/>
      <c r="AB29" s="171"/>
      <c r="AC29" s="171"/>
      <c r="AD29" s="171"/>
      <c r="AE29" s="171"/>
      <c r="AF29" s="171"/>
      <c r="AG29" s="171"/>
      <c r="AH29" s="196">
        <v>1.0</v>
      </c>
      <c r="AI29" s="171"/>
      <c r="AJ29" s="171"/>
      <c r="AK29" s="171"/>
      <c r="AL29" s="195"/>
      <c r="AM29" s="171"/>
      <c r="AN29" s="171"/>
      <c r="AO29" s="171"/>
      <c r="AP29" s="171"/>
      <c r="AQ29" s="171"/>
      <c r="AR29" s="171"/>
      <c r="AS29" s="196">
        <v>1.0</v>
      </c>
      <c r="AT29" s="171"/>
      <c r="AU29" s="196">
        <v>3.0</v>
      </c>
      <c r="AV29" s="171"/>
      <c r="AW29" s="171"/>
      <c r="AX29" s="172">
        <f t="shared" si="3"/>
        <v>5</v>
      </c>
      <c r="AY29" s="173">
        <f t="shared" si="4"/>
        <v>1645</v>
      </c>
      <c r="AZ29" s="174"/>
      <c r="BA29" s="104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97">
        <v>2.0</v>
      </c>
      <c r="BO29" s="108"/>
      <c r="BP29" s="108"/>
      <c r="BQ29" s="198"/>
      <c r="BR29" s="198"/>
      <c r="BS29" s="198"/>
      <c r="BT29" s="198"/>
      <c r="BU29" s="198"/>
      <c r="BV29" s="198"/>
      <c r="BW29" s="198"/>
      <c r="BX29" s="198"/>
      <c r="BY29" s="198"/>
      <c r="BZ29" s="188"/>
      <c r="CA29" s="200">
        <f t="shared" si="5"/>
        <v>2</v>
      </c>
      <c r="CB29" s="173">
        <f t="shared" si="6"/>
        <v>658</v>
      </c>
      <c r="CC29" s="174"/>
      <c r="CD29" s="191"/>
      <c r="CE29" s="206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181"/>
      <c r="DA29" s="181"/>
      <c r="DB29" s="181"/>
      <c r="DC29" s="181"/>
      <c r="DD29" s="181"/>
      <c r="DE29" s="181"/>
      <c r="DF29" s="181"/>
      <c r="DG29" s="181"/>
      <c r="DH29" s="181"/>
      <c r="DI29" s="201"/>
      <c r="DJ29" s="173"/>
      <c r="DK29" s="174"/>
      <c r="DL29" s="89"/>
      <c r="DM29" s="188"/>
      <c r="DN29" s="90"/>
      <c r="DO29" s="90"/>
      <c r="DP29" s="90"/>
      <c r="DQ29" s="90"/>
      <c r="DR29" s="90"/>
      <c r="DS29" s="205">
        <v>1.0</v>
      </c>
      <c r="DT29" s="205">
        <v>1.0</v>
      </c>
      <c r="DU29" s="90"/>
      <c r="DV29" s="90"/>
      <c r="DW29" s="90"/>
      <c r="DX29" s="205"/>
      <c r="DY29" s="205"/>
      <c r="DZ29" s="205"/>
      <c r="EA29" s="205"/>
      <c r="EB29" s="205"/>
      <c r="EC29" s="205"/>
      <c r="ED29" s="202">
        <v>1.0</v>
      </c>
      <c r="EE29" s="205"/>
      <c r="EF29" s="205"/>
      <c r="EG29" s="205"/>
      <c r="EH29" s="205"/>
      <c r="EI29" s="211"/>
      <c r="EJ29" s="211"/>
      <c r="EK29" s="211"/>
      <c r="EL29" s="211"/>
      <c r="EM29" s="205"/>
      <c r="EN29" s="205"/>
      <c r="EO29" s="205"/>
      <c r="EP29" s="205"/>
      <c r="EQ29" s="205"/>
      <c r="ER29" s="214"/>
      <c r="ES29" s="172"/>
      <c r="ET29" s="173"/>
    </row>
    <row r="30">
      <c r="A30" s="101" t="s">
        <v>73</v>
      </c>
      <c r="B30" s="93">
        <v>329.0</v>
      </c>
      <c r="C30" s="89"/>
      <c r="D30" s="188"/>
      <c r="E30" s="188"/>
      <c r="F30" s="188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2">
        <f t="shared" si="1"/>
        <v>0</v>
      </c>
      <c r="V30" s="173">
        <f t="shared" si="2"/>
        <v>0</v>
      </c>
      <c r="X30" s="89"/>
      <c r="Y30" s="188"/>
      <c r="Z30" s="188"/>
      <c r="AA30" s="188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2">
        <f t="shared" si="3"/>
        <v>0</v>
      </c>
      <c r="AY30" s="173">
        <f t="shared" si="4"/>
        <v>0</v>
      </c>
      <c r="AZ30" s="174"/>
      <c r="BA30" s="104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98"/>
      <c r="BR30" s="198"/>
      <c r="BS30" s="198"/>
      <c r="BT30" s="198"/>
      <c r="BU30" s="198"/>
      <c r="BV30" s="198"/>
      <c r="BW30" s="198"/>
      <c r="BX30" s="198"/>
      <c r="BY30" s="198"/>
      <c r="BZ30" s="188"/>
      <c r="CA30" s="200">
        <f t="shared" si="5"/>
        <v>0</v>
      </c>
      <c r="CB30" s="173">
        <f t="shared" si="6"/>
        <v>0</v>
      </c>
      <c r="CC30" s="174"/>
      <c r="CD30" s="191"/>
      <c r="CE30" s="181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181"/>
      <c r="DA30" s="181"/>
      <c r="DB30" s="181"/>
      <c r="DC30" s="181"/>
      <c r="DD30" s="181"/>
      <c r="DE30" s="181"/>
      <c r="DF30" s="181"/>
      <c r="DG30" s="181"/>
      <c r="DH30" s="181"/>
      <c r="DI30" s="201"/>
      <c r="DJ30" s="173"/>
      <c r="DK30" s="174"/>
      <c r="DL30" s="89"/>
      <c r="DM30" s="188"/>
      <c r="DN30" s="90"/>
      <c r="DO30" s="90"/>
      <c r="DP30" s="90"/>
      <c r="DQ30" s="90"/>
      <c r="DR30" s="90"/>
      <c r="DS30" s="90"/>
      <c r="DT30" s="90"/>
      <c r="DU30" s="90"/>
      <c r="DV30" s="90"/>
      <c r="DW30" s="90"/>
      <c r="DX30" s="90"/>
      <c r="DY30" s="90"/>
      <c r="DZ30" s="90"/>
      <c r="EA30" s="90"/>
      <c r="EB30" s="90"/>
      <c r="EC30" s="90"/>
      <c r="ED30" s="90"/>
      <c r="EE30" s="90"/>
      <c r="EF30" s="90"/>
      <c r="EG30" s="90"/>
      <c r="EH30" s="90"/>
      <c r="EI30" s="203"/>
      <c r="EJ30" s="203"/>
      <c r="EK30" s="203"/>
      <c r="EL30" s="203"/>
      <c r="EM30" s="90"/>
      <c r="EN30" s="90"/>
      <c r="EO30" s="90"/>
      <c r="EP30" s="90"/>
      <c r="EQ30" s="90"/>
      <c r="ER30" s="186"/>
      <c r="ES30" s="172"/>
      <c r="ET30" s="173"/>
    </row>
    <row r="31">
      <c r="A31" s="101" t="s">
        <v>74</v>
      </c>
      <c r="B31" s="93">
        <v>219.0</v>
      </c>
      <c r="C31" s="89"/>
      <c r="D31" s="188"/>
      <c r="E31" s="188"/>
      <c r="F31" s="188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2">
        <f t="shared" si="1"/>
        <v>0</v>
      </c>
      <c r="V31" s="173">
        <f t="shared" si="2"/>
        <v>0</v>
      </c>
      <c r="X31" s="89"/>
      <c r="Y31" s="188"/>
      <c r="Z31" s="188"/>
      <c r="AA31" s="188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2">
        <f t="shared" si="3"/>
        <v>0</v>
      </c>
      <c r="AY31" s="173">
        <f t="shared" si="4"/>
        <v>0</v>
      </c>
      <c r="AZ31" s="174"/>
      <c r="BA31" s="104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98"/>
      <c r="BR31" s="198"/>
      <c r="BS31" s="198"/>
      <c r="BT31" s="198"/>
      <c r="BU31" s="198"/>
      <c r="BV31" s="198"/>
      <c r="BW31" s="198"/>
      <c r="BX31" s="198"/>
      <c r="BY31" s="198"/>
      <c r="BZ31" s="188"/>
      <c r="CA31" s="200">
        <f t="shared" si="5"/>
        <v>0</v>
      </c>
      <c r="CB31" s="173">
        <f t="shared" si="6"/>
        <v>0</v>
      </c>
      <c r="CC31" s="174"/>
      <c r="CD31" s="191"/>
      <c r="CE31" s="181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181"/>
      <c r="DA31" s="181"/>
      <c r="DB31" s="181"/>
      <c r="DC31" s="181"/>
      <c r="DD31" s="181"/>
      <c r="DE31" s="181"/>
      <c r="DF31" s="181"/>
      <c r="DG31" s="181"/>
      <c r="DH31" s="181"/>
      <c r="DI31" s="201"/>
      <c r="DJ31" s="173"/>
      <c r="DK31" s="174"/>
      <c r="DL31" s="89"/>
      <c r="DM31" s="188"/>
      <c r="DN31" s="90"/>
      <c r="DO31" s="90"/>
      <c r="DP31" s="90"/>
      <c r="DQ31" s="90"/>
      <c r="DR31" s="90"/>
      <c r="DS31" s="90"/>
      <c r="DT31" s="90"/>
      <c r="DU31" s="90"/>
      <c r="DV31" s="90"/>
      <c r="DW31" s="90"/>
      <c r="DX31" s="90"/>
      <c r="DY31" s="90"/>
      <c r="DZ31" s="90"/>
      <c r="EA31" s="90"/>
      <c r="EB31" s="90"/>
      <c r="EC31" s="90"/>
      <c r="ED31" s="90"/>
      <c r="EE31" s="90"/>
      <c r="EF31" s="202">
        <v>1.0</v>
      </c>
      <c r="EG31" s="90"/>
      <c r="EH31" s="90"/>
      <c r="EI31" s="203"/>
      <c r="EJ31" s="203"/>
      <c r="EK31" s="203"/>
      <c r="EL31" s="203"/>
      <c r="EM31" s="90"/>
      <c r="EN31" s="90"/>
      <c r="EO31" s="90"/>
      <c r="EP31" s="90"/>
      <c r="EQ31" s="90"/>
      <c r="ER31" s="186"/>
      <c r="ES31" s="172"/>
      <c r="ET31" s="173"/>
    </row>
    <row r="32">
      <c r="A32" s="101" t="s">
        <v>75</v>
      </c>
      <c r="B32" s="93">
        <v>219.0</v>
      </c>
      <c r="C32" s="89"/>
      <c r="D32" s="188"/>
      <c r="E32" s="188"/>
      <c r="F32" s="188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2">
        <f t="shared" si="1"/>
        <v>0</v>
      </c>
      <c r="V32" s="173">
        <f t="shared" si="2"/>
        <v>0</v>
      </c>
      <c r="X32" s="89"/>
      <c r="Y32" s="188"/>
      <c r="Z32" s="188"/>
      <c r="AA32" s="188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2">
        <f t="shared" si="3"/>
        <v>0</v>
      </c>
      <c r="AY32" s="173">
        <f t="shared" si="4"/>
        <v>0</v>
      </c>
      <c r="AZ32" s="174"/>
      <c r="BA32" s="104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98"/>
      <c r="BR32" s="198"/>
      <c r="BS32" s="198"/>
      <c r="BT32" s="198"/>
      <c r="BU32" s="198"/>
      <c r="BV32" s="198"/>
      <c r="BW32" s="198"/>
      <c r="BX32" s="198"/>
      <c r="BY32" s="198"/>
      <c r="BZ32" s="188"/>
      <c r="CA32" s="200">
        <f t="shared" si="5"/>
        <v>0</v>
      </c>
      <c r="CB32" s="173">
        <f t="shared" si="6"/>
        <v>0</v>
      </c>
      <c r="CC32" s="174"/>
      <c r="CD32" s="191"/>
      <c r="CE32" s="181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181"/>
      <c r="DA32" s="181"/>
      <c r="DB32" s="181"/>
      <c r="DC32" s="181"/>
      <c r="DD32" s="181"/>
      <c r="DE32" s="181"/>
      <c r="DF32" s="181"/>
      <c r="DG32" s="181"/>
      <c r="DH32" s="181"/>
      <c r="DI32" s="201"/>
      <c r="DJ32" s="173"/>
      <c r="DK32" s="174"/>
      <c r="DL32" s="89"/>
      <c r="DM32" s="188"/>
      <c r="DN32" s="90"/>
      <c r="DO32" s="90"/>
      <c r="DP32" s="90"/>
      <c r="DQ32" s="90"/>
      <c r="DR32" s="90"/>
      <c r="DS32" s="90"/>
      <c r="DT32" s="90"/>
      <c r="DU32" s="90"/>
      <c r="DV32" s="90"/>
      <c r="DW32" s="90"/>
      <c r="DX32" s="90"/>
      <c r="DY32" s="90"/>
      <c r="DZ32" s="90"/>
      <c r="EA32" s="90"/>
      <c r="EB32" s="90"/>
      <c r="EC32" s="90"/>
      <c r="ED32" s="90"/>
      <c r="EE32" s="90"/>
      <c r="EF32" s="90"/>
      <c r="EG32" s="90"/>
      <c r="EH32" s="90"/>
      <c r="EI32" s="203"/>
      <c r="EJ32" s="203"/>
      <c r="EK32" s="203"/>
      <c r="EL32" s="203"/>
      <c r="EM32" s="90"/>
      <c r="EN32" s="90"/>
      <c r="EO32" s="90"/>
      <c r="EP32" s="90"/>
      <c r="EQ32" s="90"/>
      <c r="ER32" s="186"/>
      <c r="ES32" s="172"/>
      <c r="ET32" s="173"/>
    </row>
    <row r="33">
      <c r="A33" s="101" t="s">
        <v>76</v>
      </c>
      <c r="B33" s="93">
        <v>439.0</v>
      </c>
      <c r="C33" s="89"/>
      <c r="D33" s="188"/>
      <c r="E33" s="188"/>
      <c r="F33" s="188"/>
      <c r="G33" s="171"/>
      <c r="H33" s="171"/>
      <c r="I33" s="171"/>
      <c r="J33" s="171"/>
      <c r="K33" s="171"/>
      <c r="L33" s="171"/>
      <c r="M33" s="171"/>
      <c r="N33" s="171"/>
      <c r="O33" s="196">
        <v>2.0</v>
      </c>
      <c r="P33" s="171"/>
      <c r="Q33" s="171"/>
      <c r="R33" s="171"/>
      <c r="S33" s="171"/>
      <c r="T33" s="171"/>
      <c r="U33" s="172">
        <f t="shared" si="1"/>
        <v>2</v>
      </c>
      <c r="V33" s="173">
        <f t="shared" si="2"/>
        <v>878</v>
      </c>
      <c r="X33" s="89"/>
      <c r="Y33" s="188"/>
      <c r="Z33" s="188"/>
      <c r="AA33" s="188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2">
        <f t="shared" si="3"/>
        <v>0</v>
      </c>
      <c r="AY33" s="173">
        <f t="shared" si="4"/>
        <v>0</v>
      </c>
      <c r="AZ33" s="174"/>
      <c r="BA33" s="104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98"/>
      <c r="BR33" s="198"/>
      <c r="BS33" s="198"/>
      <c r="BT33" s="198"/>
      <c r="BU33" s="198"/>
      <c r="BV33" s="198"/>
      <c r="BW33" s="198"/>
      <c r="BX33" s="198"/>
      <c r="BY33" s="198"/>
      <c r="BZ33" s="188"/>
      <c r="CA33" s="200">
        <f t="shared" si="5"/>
        <v>0</v>
      </c>
      <c r="CB33" s="173">
        <f t="shared" si="6"/>
        <v>0</v>
      </c>
      <c r="CC33" s="174"/>
      <c r="CD33" s="191"/>
      <c r="CE33" s="181"/>
      <c r="CF33" s="181"/>
      <c r="CG33" s="181"/>
      <c r="CH33" s="181"/>
      <c r="CI33" s="181"/>
      <c r="CJ33" s="181"/>
      <c r="CK33" s="181"/>
      <c r="CL33" s="181"/>
      <c r="CM33" s="181"/>
      <c r="CN33" s="181"/>
      <c r="CO33" s="181"/>
      <c r="CP33" s="181"/>
      <c r="CQ33" s="181"/>
      <c r="CR33" s="181"/>
      <c r="CS33" s="181"/>
      <c r="CT33" s="181"/>
      <c r="CU33" s="181"/>
      <c r="CV33" s="181"/>
      <c r="CW33" s="181"/>
      <c r="CX33" s="181"/>
      <c r="CY33" s="181"/>
      <c r="CZ33" s="181"/>
      <c r="DA33" s="181"/>
      <c r="DB33" s="207">
        <v>1.0</v>
      </c>
      <c r="DC33" s="181"/>
      <c r="DD33" s="181"/>
      <c r="DE33" s="181"/>
      <c r="DF33" s="181"/>
      <c r="DG33" s="181"/>
      <c r="DH33" s="181"/>
      <c r="DI33" s="201"/>
      <c r="DJ33" s="173"/>
      <c r="DK33" s="174"/>
      <c r="DL33" s="89"/>
      <c r="DM33" s="188"/>
      <c r="DN33" s="90"/>
      <c r="DO33" s="90"/>
      <c r="DP33" s="90"/>
      <c r="DQ33" s="90"/>
      <c r="DR33" s="90"/>
      <c r="DS33" s="90"/>
      <c r="DT33" s="90"/>
      <c r="DU33" s="90"/>
      <c r="DV33" s="90"/>
      <c r="DW33" s="90"/>
      <c r="DX33" s="90"/>
      <c r="DY33" s="90"/>
      <c r="DZ33" s="90"/>
      <c r="EA33" s="90"/>
      <c r="EB33" s="90"/>
      <c r="EC33" s="90"/>
      <c r="ED33" s="90"/>
      <c r="EE33" s="90"/>
      <c r="EF33" s="90"/>
      <c r="EG33" s="90"/>
      <c r="EH33" s="90"/>
      <c r="EI33" s="203"/>
      <c r="EJ33" s="203"/>
      <c r="EK33" s="203"/>
      <c r="EL33" s="203"/>
      <c r="EM33" s="90"/>
      <c r="EN33" s="90"/>
      <c r="EO33" s="90"/>
      <c r="EP33" s="90"/>
      <c r="EQ33" s="90"/>
      <c r="ER33" s="186"/>
      <c r="ES33" s="172"/>
      <c r="ET33" s="173"/>
    </row>
    <row r="34">
      <c r="A34" s="101" t="s">
        <v>77</v>
      </c>
      <c r="B34" s="93">
        <v>899.0</v>
      </c>
      <c r="C34" s="89"/>
      <c r="D34" s="188"/>
      <c r="E34" s="178"/>
      <c r="F34" s="188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2">
        <f t="shared" si="1"/>
        <v>0</v>
      </c>
      <c r="V34" s="173">
        <f t="shared" si="2"/>
        <v>0</v>
      </c>
      <c r="X34" s="89"/>
      <c r="Y34" s="188"/>
      <c r="Z34" s="178"/>
      <c r="AA34" s="188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2">
        <f t="shared" si="3"/>
        <v>0</v>
      </c>
      <c r="AY34" s="173">
        <f t="shared" si="4"/>
        <v>0</v>
      </c>
      <c r="AZ34" s="174"/>
      <c r="BA34" s="104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98"/>
      <c r="BR34" s="198"/>
      <c r="BS34" s="198"/>
      <c r="BT34" s="198"/>
      <c r="BU34" s="198"/>
      <c r="BV34" s="198"/>
      <c r="BW34" s="198"/>
      <c r="BX34" s="198"/>
      <c r="BY34" s="198"/>
      <c r="BZ34" s="178"/>
      <c r="CA34" s="200">
        <f t="shared" si="5"/>
        <v>0</v>
      </c>
      <c r="CB34" s="173">
        <f t="shared" si="6"/>
        <v>0</v>
      </c>
      <c r="CC34" s="174"/>
      <c r="CD34" s="191"/>
      <c r="CE34" s="181"/>
      <c r="CF34" s="181"/>
      <c r="CG34" s="181"/>
      <c r="CH34" s="181"/>
      <c r="CI34" s="181"/>
      <c r="CJ34" s="181"/>
      <c r="CK34" s="181"/>
      <c r="CL34" s="181"/>
      <c r="CM34" s="181"/>
      <c r="CN34" s="181"/>
      <c r="CO34" s="181"/>
      <c r="CP34" s="181"/>
      <c r="CQ34" s="181"/>
      <c r="CR34" s="181"/>
      <c r="CS34" s="181"/>
      <c r="CT34" s="181"/>
      <c r="CU34" s="181"/>
      <c r="CV34" s="181"/>
      <c r="CW34" s="181"/>
      <c r="CX34" s="181"/>
      <c r="CY34" s="181"/>
      <c r="CZ34" s="181"/>
      <c r="DA34" s="181"/>
      <c r="DB34" s="181"/>
      <c r="DC34" s="181"/>
      <c r="DD34" s="181"/>
      <c r="DE34" s="181"/>
      <c r="DF34" s="181"/>
      <c r="DG34" s="181"/>
      <c r="DH34" s="181"/>
      <c r="DI34" s="201"/>
      <c r="DJ34" s="173"/>
      <c r="DK34" s="174"/>
      <c r="DL34" s="89"/>
      <c r="DM34" s="188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DZ34" s="95"/>
      <c r="EA34" s="95"/>
      <c r="EB34" s="95"/>
      <c r="EC34" s="95"/>
      <c r="ED34" s="95"/>
      <c r="EE34" s="95"/>
      <c r="EF34" s="95"/>
      <c r="EG34" s="95"/>
      <c r="EH34" s="95"/>
      <c r="EI34" s="95"/>
      <c r="EJ34" s="95"/>
      <c r="EK34" s="95"/>
      <c r="EL34" s="95"/>
      <c r="EM34" s="95"/>
      <c r="EN34" s="95"/>
      <c r="EO34" s="95"/>
      <c r="EP34" s="95"/>
      <c r="EQ34" s="95"/>
      <c r="ER34" s="186"/>
      <c r="ES34" s="172"/>
      <c r="ET34" s="173"/>
    </row>
    <row r="35">
      <c r="A35" s="101" t="s">
        <v>78</v>
      </c>
      <c r="B35" s="93">
        <v>549.0</v>
      </c>
      <c r="C35" s="89"/>
      <c r="D35" s="178"/>
      <c r="E35" s="188"/>
      <c r="F35" s="188"/>
      <c r="G35" s="171"/>
      <c r="H35" s="195"/>
      <c r="I35" s="171"/>
      <c r="J35" s="171"/>
      <c r="K35" s="171"/>
      <c r="L35" s="171"/>
      <c r="M35" s="171"/>
      <c r="N35" s="171"/>
      <c r="O35" s="171"/>
      <c r="P35" s="171"/>
      <c r="Q35" s="171"/>
      <c r="R35" s="196">
        <v>1.0</v>
      </c>
      <c r="S35" s="171"/>
      <c r="T35" s="171"/>
      <c r="U35" s="172">
        <f t="shared" si="1"/>
        <v>1</v>
      </c>
      <c r="V35" s="173">
        <f t="shared" si="2"/>
        <v>549</v>
      </c>
      <c r="X35" s="89"/>
      <c r="Y35" s="178"/>
      <c r="Z35" s="188"/>
      <c r="AA35" s="188"/>
      <c r="AB35" s="171"/>
      <c r="AC35" s="171"/>
      <c r="AD35" s="171"/>
      <c r="AE35" s="171"/>
      <c r="AF35" s="171"/>
      <c r="AG35" s="171"/>
      <c r="AH35" s="171"/>
      <c r="AI35" s="171"/>
      <c r="AJ35" s="171"/>
      <c r="AK35" s="195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96">
        <v>1.0</v>
      </c>
      <c r="AW35" s="171"/>
      <c r="AX35" s="172">
        <f t="shared" si="3"/>
        <v>1</v>
      </c>
      <c r="AY35" s="173">
        <f t="shared" si="4"/>
        <v>549</v>
      </c>
      <c r="AZ35" s="174"/>
      <c r="BA35" s="104"/>
      <c r="BB35" s="108"/>
      <c r="BC35" s="108"/>
      <c r="BD35" s="108"/>
      <c r="BE35" s="108"/>
      <c r="BF35" s="197">
        <v>1.0</v>
      </c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98"/>
      <c r="BR35" s="198"/>
      <c r="BS35" s="198"/>
      <c r="BT35" s="198"/>
      <c r="BU35" s="198"/>
      <c r="BV35" s="198"/>
      <c r="BW35" s="198"/>
      <c r="BX35" s="198"/>
      <c r="BY35" s="198"/>
      <c r="BZ35" s="188"/>
      <c r="CA35" s="200">
        <f t="shared" si="5"/>
        <v>1</v>
      </c>
      <c r="CB35" s="173">
        <f t="shared" si="6"/>
        <v>549</v>
      </c>
      <c r="CC35" s="174"/>
      <c r="CD35" s="191"/>
      <c r="CE35" s="181"/>
      <c r="CF35" s="181"/>
      <c r="CG35" s="181"/>
      <c r="CH35" s="181"/>
      <c r="CI35" s="181"/>
      <c r="CJ35" s="181"/>
      <c r="CK35" s="181"/>
      <c r="CL35" s="181"/>
      <c r="CM35" s="181"/>
      <c r="CN35" s="181"/>
      <c r="CO35" s="207">
        <v>2.0</v>
      </c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181"/>
      <c r="DA35" s="181"/>
      <c r="DB35" s="181"/>
      <c r="DC35" s="181"/>
      <c r="DD35" s="181"/>
      <c r="DE35" s="181"/>
      <c r="DF35" s="181"/>
      <c r="DG35" s="181"/>
      <c r="DH35" s="181"/>
      <c r="DI35" s="201"/>
      <c r="DJ35" s="173"/>
      <c r="DK35" s="174"/>
      <c r="DL35" s="89"/>
      <c r="DM35" s="178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211">
        <v>1.0</v>
      </c>
      <c r="EJ35" s="203"/>
      <c r="EK35" s="211">
        <v>1.0</v>
      </c>
      <c r="EL35" s="203"/>
      <c r="EM35" s="90"/>
      <c r="EN35" s="90"/>
      <c r="EO35" s="90"/>
      <c r="EP35" s="90"/>
      <c r="EQ35" s="90"/>
      <c r="ER35" s="186"/>
      <c r="ES35" s="172"/>
      <c r="ET35" s="173"/>
    </row>
    <row r="36">
      <c r="A36" s="101" t="s">
        <v>79</v>
      </c>
      <c r="B36" s="93">
        <v>549.0</v>
      </c>
      <c r="C36" s="89"/>
      <c r="D36" s="178"/>
      <c r="E36" s="188"/>
      <c r="F36" s="188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2">
        <f t="shared" si="1"/>
        <v>0</v>
      </c>
      <c r="V36" s="173">
        <f t="shared" si="2"/>
        <v>0</v>
      </c>
      <c r="X36" s="89"/>
      <c r="Y36" s="178"/>
      <c r="Z36" s="188"/>
      <c r="AA36" s="188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96">
        <v>2.0</v>
      </c>
      <c r="AW36" s="171"/>
      <c r="AX36" s="172">
        <f t="shared" si="3"/>
        <v>2</v>
      </c>
      <c r="AY36" s="173">
        <f t="shared" si="4"/>
        <v>1098</v>
      </c>
      <c r="AZ36" s="174"/>
      <c r="BA36" s="104"/>
      <c r="BB36" s="108"/>
      <c r="BC36" s="108"/>
      <c r="BD36" s="108"/>
      <c r="BE36" s="108"/>
      <c r="BF36" s="197">
        <v>1.0</v>
      </c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98"/>
      <c r="BR36" s="198"/>
      <c r="BS36" s="198"/>
      <c r="BT36" s="198"/>
      <c r="BU36" s="198"/>
      <c r="BV36" s="198"/>
      <c r="BW36" s="198"/>
      <c r="BX36" s="198"/>
      <c r="BY36" s="198"/>
      <c r="BZ36" s="188"/>
      <c r="CA36" s="200">
        <f t="shared" si="5"/>
        <v>1</v>
      </c>
      <c r="CB36" s="173">
        <f t="shared" si="6"/>
        <v>549</v>
      </c>
      <c r="CC36" s="174"/>
      <c r="CD36" s="191"/>
      <c r="CE36" s="181"/>
      <c r="CF36" s="181"/>
      <c r="CG36" s="181"/>
      <c r="CH36" s="181"/>
      <c r="CI36" s="181"/>
      <c r="CJ36" s="181"/>
      <c r="CK36" s="181"/>
      <c r="CL36" s="181"/>
      <c r="CM36" s="181"/>
      <c r="CN36" s="181"/>
      <c r="CO36" s="207">
        <v>2.0</v>
      </c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181"/>
      <c r="DA36" s="181"/>
      <c r="DB36" s="181"/>
      <c r="DC36" s="181"/>
      <c r="DD36" s="181"/>
      <c r="DE36" s="181"/>
      <c r="DF36" s="181"/>
      <c r="DG36" s="181"/>
      <c r="DH36" s="181"/>
      <c r="DI36" s="201"/>
      <c r="DJ36" s="173"/>
      <c r="DK36" s="174"/>
      <c r="DL36" s="89"/>
      <c r="DM36" s="178"/>
      <c r="DN36" s="90"/>
      <c r="DO36" s="90"/>
      <c r="DP36" s="90"/>
      <c r="DQ36" s="90"/>
      <c r="DR36" s="90"/>
      <c r="DS36" s="90"/>
      <c r="DT36" s="90"/>
      <c r="DU36" s="90"/>
      <c r="DV36" s="90"/>
      <c r="DW36" s="90"/>
      <c r="DX36" s="90"/>
      <c r="DY36" s="90"/>
      <c r="DZ36" s="90"/>
      <c r="EA36" s="90"/>
      <c r="EB36" s="90"/>
      <c r="EC36" s="90"/>
      <c r="ED36" s="90"/>
      <c r="EE36" s="90"/>
      <c r="EF36" s="90"/>
      <c r="EG36" s="90"/>
      <c r="EH36" s="90"/>
      <c r="EI36" s="203"/>
      <c r="EJ36" s="203"/>
      <c r="EK36" s="203"/>
      <c r="EL36" s="203"/>
      <c r="EM36" s="90"/>
      <c r="EN36" s="90"/>
      <c r="EO36" s="90"/>
      <c r="EP36" s="90"/>
      <c r="EQ36" s="90"/>
      <c r="ER36" s="186"/>
      <c r="ES36" s="172"/>
      <c r="ET36" s="173"/>
    </row>
    <row r="37">
      <c r="A37" s="101" t="s">
        <v>80</v>
      </c>
      <c r="B37" s="93">
        <v>549.0</v>
      </c>
      <c r="C37" s="89"/>
      <c r="D37" s="188"/>
      <c r="E37" s="188"/>
      <c r="F37" s="188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2">
        <f t="shared" si="1"/>
        <v>0</v>
      </c>
      <c r="V37" s="173">
        <f t="shared" si="2"/>
        <v>0</v>
      </c>
      <c r="X37" s="89"/>
      <c r="Y37" s="188"/>
      <c r="Z37" s="188"/>
      <c r="AA37" s="188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96">
        <v>2.0</v>
      </c>
      <c r="AU37" s="196"/>
      <c r="AV37" s="171"/>
      <c r="AW37" s="171"/>
      <c r="AX37" s="172">
        <f t="shared" si="3"/>
        <v>2</v>
      </c>
      <c r="AY37" s="173">
        <f t="shared" si="4"/>
        <v>1098</v>
      </c>
      <c r="AZ37" s="174"/>
      <c r="BA37" s="104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98"/>
      <c r="BR37" s="198"/>
      <c r="BS37" s="198"/>
      <c r="BT37" s="198"/>
      <c r="BU37" s="198"/>
      <c r="BV37" s="198"/>
      <c r="BW37" s="198"/>
      <c r="BX37" s="198"/>
      <c r="BY37" s="198"/>
      <c r="BZ37" s="188"/>
      <c r="CA37" s="200">
        <f t="shared" si="5"/>
        <v>0</v>
      </c>
      <c r="CB37" s="173">
        <f t="shared" si="6"/>
        <v>0</v>
      </c>
      <c r="CC37" s="174"/>
      <c r="CD37" s="191"/>
      <c r="CE37" s="181"/>
      <c r="CF37" s="181"/>
      <c r="CG37" s="181"/>
      <c r="CH37" s="181"/>
      <c r="CI37" s="181"/>
      <c r="CJ37" s="181"/>
      <c r="CK37" s="181"/>
      <c r="CL37" s="181"/>
      <c r="CM37" s="181"/>
      <c r="CN37" s="181"/>
      <c r="CO37" s="207">
        <v>2.0</v>
      </c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181"/>
      <c r="DA37" s="181"/>
      <c r="DB37" s="181"/>
      <c r="DC37" s="181"/>
      <c r="DD37" s="181"/>
      <c r="DE37" s="181"/>
      <c r="DF37" s="181"/>
      <c r="DG37" s="181"/>
      <c r="DH37" s="181"/>
      <c r="DI37" s="201"/>
      <c r="DJ37" s="173"/>
      <c r="DK37" s="174"/>
      <c r="DL37" s="89"/>
      <c r="DM37" s="194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211">
        <v>1.0</v>
      </c>
      <c r="EJ37" s="203"/>
      <c r="EK37" s="203"/>
      <c r="EL37" s="203"/>
      <c r="EM37" s="90"/>
      <c r="EN37" s="90"/>
      <c r="EO37" s="90"/>
      <c r="EP37" s="90"/>
      <c r="EQ37" s="90"/>
      <c r="ER37" s="186"/>
      <c r="ES37" s="172"/>
      <c r="ET37" s="173"/>
    </row>
    <row r="38">
      <c r="A38" s="102" t="s">
        <v>81</v>
      </c>
      <c r="B38" s="93">
        <v>799.0</v>
      </c>
      <c r="C38" s="89"/>
      <c r="D38" s="188"/>
      <c r="E38" s="188"/>
      <c r="F38" s="188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2">
        <f t="shared" si="1"/>
        <v>0</v>
      </c>
      <c r="V38" s="173">
        <f t="shared" si="2"/>
        <v>0</v>
      </c>
      <c r="X38" s="89"/>
      <c r="Y38" s="188"/>
      <c r="Z38" s="188"/>
      <c r="AA38" s="188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2">
        <f t="shared" si="3"/>
        <v>0</v>
      </c>
      <c r="AY38" s="173">
        <f t="shared" si="4"/>
        <v>0</v>
      </c>
      <c r="AZ38" s="174"/>
      <c r="BA38" s="104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98"/>
      <c r="BR38" s="198"/>
      <c r="BS38" s="198"/>
      <c r="BT38" s="198"/>
      <c r="BU38" s="198"/>
      <c r="BV38" s="198"/>
      <c r="BW38" s="198"/>
      <c r="BX38" s="198"/>
      <c r="BY38" s="198"/>
      <c r="BZ38" s="188"/>
      <c r="CA38" s="200">
        <f t="shared" si="5"/>
        <v>0</v>
      </c>
      <c r="CB38" s="173">
        <f t="shared" si="6"/>
        <v>0</v>
      </c>
      <c r="CC38" s="174"/>
      <c r="CD38" s="191"/>
      <c r="CE38" s="181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181"/>
      <c r="DA38" s="181"/>
      <c r="DB38" s="181"/>
      <c r="DC38" s="181"/>
      <c r="DD38" s="181"/>
      <c r="DE38" s="181"/>
      <c r="DF38" s="181"/>
      <c r="DG38" s="181"/>
      <c r="DH38" s="181"/>
      <c r="DI38" s="201"/>
      <c r="DJ38" s="173"/>
      <c r="DK38" s="174"/>
      <c r="DL38" s="89"/>
      <c r="DM38" s="188"/>
      <c r="DN38" s="90"/>
      <c r="DO38" s="90"/>
      <c r="DP38" s="90"/>
      <c r="DQ38" s="90"/>
      <c r="DR38" s="90"/>
      <c r="DS38" s="90"/>
      <c r="DT38" s="90"/>
      <c r="DU38" s="90"/>
      <c r="DV38" s="90"/>
      <c r="DW38" s="90"/>
      <c r="DX38" s="90"/>
      <c r="DY38" s="90"/>
      <c r="DZ38" s="90"/>
      <c r="EA38" s="90"/>
      <c r="EB38" s="90"/>
      <c r="EC38" s="90"/>
      <c r="ED38" s="90"/>
      <c r="EE38" s="90"/>
      <c r="EF38" s="90"/>
      <c r="EG38" s="90"/>
      <c r="EH38" s="90"/>
      <c r="EI38" s="203"/>
      <c r="EJ38" s="203"/>
      <c r="EK38" s="203"/>
      <c r="EL38" s="203"/>
      <c r="EM38" s="90"/>
      <c r="EN38" s="211">
        <v>1.0</v>
      </c>
      <c r="EO38" s="90"/>
      <c r="EP38" s="90"/>
      <c r="EQ38" s="90"/>
      <c r="ER38" s="186"/>
      <c r="ES38" s="172"/>
      <c r="ET38" s="173"/>
    </row>
    <row r="39">
      <c r="A39" s="102" t="s">
        <v>82</v>
      </c>
      <c r="B39" s="93">
        <v>799.0</v>
      </c>
      <c r="C39" s="89"/>
      <c r="D39" s="188"/>
      <c r="E39" s="188"/>
      <c r="F39" s="188"/>
      <c r="G39" s="171"/>
      <c r="H39" s="171"/>
      <c r="I39" s="195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2">
        <f t="shared" si="1"/>
        <v>0</v>
      </c>
      <c r="V39" s="173">
        <f t="shared" si="2"/>
        <v>0</v>
      </c>
      <c r="X39" s="89"/>
      <c r="Y39" s="188"/>
      <c r="Z39" s="188"/>
      <c r="AA39" s="188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95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2">
        <f t="shared" si="3"/>
        <v>0</v>
      </c>
      <c r="AY39" s="173">
        <f t="shared" si="4"/>
        <v>0</v>
      </c>
      <c r="AZ39" s="174"/>
      <c r="BA39" s="104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98"/>
      <c r="BR39" s="198"/>
      <c r="BS39" s="198"/>
      <c r="BT39" s="198"/>
      <c r="BU39" s="198"/>
      <c r="BV39" s="198"/>
      <c r="BW39" s="198"/>
      <c r="BX39" s="198"/>
      <c r="BY39" s="198"/>
      <c r="BZ39" s="188"/>
      <c r="CA39" s="200">
        <f t="shared" si="5"/>
        <v>0</v>
      </c>
      <c r="CB39" s="173">
        <f t="shared" si="6"/>
        <v>0</v>
      </c>
      <c r="CC39" s="174"/>
      <c r="CD39" s="191"/>
      <c r="CE39" s="181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181"/>
      <c r="DA39" s="181"/>
      <c r="DB39" s="181"/>
      <c r="DC39" s="181"/>
      <c r="DD39" s="181"/>
      <c r="DE39" s="181"/>
      <c r="DF39" s="181"/>
      <c r="DG39" s="181"/>
      <c r="DH39" s="181"/>
      <c r="DI39" s="201"/>
      <c r="DJ39" s="173"/>
      <c r="DK39" s="174"/>
      <c r="DL39" s="89"/>
      <c r="DM39" s="188"/>
      <c r="DN39" s="90"/>
      <c r="DO39" s="90"/>
      <c r="DP39" s="90"/>
      <c r="DQ39" s="90"/>
      <c r="DR39" s="90"/>
      <c r="DS39" s="90"/>
      <c r="DT39" s="90"/>
      <c r="DU39" s="90"/>
      <c r="DV39" s="90"/>
      <c r="DW39" s="90"/>
      <c r="DX39" s="90"/>
      <c r="DY39" s="90"/>
      <c r="DZ39" s="90"/>
      <c r="EA39" s="90"/>
      <c r="EB39" s="90"/>
      <c r="EC39" s="90"/>
      <c r="ED39" s="90"/>
      <c r="EE39" s="90"/>
      <c r="EF39" s="90"/>
      <c r="EG39" s="90"/>
      <c r="EH39" s="90"/>
      <c r="EI39" s="203"/>
      <c r="EJ39" s="203"/>
      <c r="EK39" s="203"/>
      <c r="EL39" s="203"/>
      <c r="EM39" s="90"/>
      <c r="EN39" s="90"/>
      <c r="EO39" s="90"/>
      <c r="EP39" s="90"/>
      <c r="EQ39" s="90"/>
      <c r="ER39" s="186"/>
      <c r="ES39" s="172"/>
      <c r="ET39" s="173"/>
    </row>
    <row r="40">
      <c r="A40" s="101" t="s">
        <v>83</v>
      </c>
      <c r="B40" s="93">
        <v>439.0</v>
      </c>
      <c r="C40" s="89"/>
      <c r="D40" s="188"/>
      <c r="E40" s="188"/>
      <c r="F40" s="188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2">
        <f t="shared" si="1"/>
        <v>0</v>
      </c>
      <c r="V40" s="173">
        <f t="shared" si="2"/>
        <v>0</v>
      </c>
      <c r="X40" s="89"/>
      <c r="Y40" s="188"/>
      <c r="Z40" s="188"/>
      <c r="AA40" s="188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2">
        <f t="shared" si="3"/>
        <v>0</v>
      </c>
      <c r="AY40" s="173">
        <f t="shared" si="4"/>
        <v>0</v>
      </c>
      <c r="AZ40" s="174"/>
      <c r="BA40" s="104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98"/>
      <c r="BR40" s="198"/>
      <c r="BS40" s="198"/>
      <c r="BT40" s="198"/>
      <c r="BU40" s="198"/>
      <c r="BV40" s="198"/>
      <c r="BW40" s="198"/>
      <c r="BX40" s="198"/>
      <c r="BY40" s="198"/>
      <c r="BZ40" s="188"/>
      <c r="CA40" s="200">
        <f t="shared" si="5"/>
        <v>0</v>
      </c>
      <c r="CB40" s="173">
        <f t="shared" si="6"/>
        <v>0</v>
      </c>
      <c r="CC40" s="174"/>
      <c r="CD40" s="191"/>
      <c r="CE40" s="181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181"/>
      <c r="DA40" s="181"/>
      <c r="DB40" s="207">
        <v>1.0</v>
      </c>
      <c r="DC40" s="181"/>
      <c r="DD40" s="181"/>
      <c r="DE40" s="181"/>
      <c r="DF40" s="181"/>
      <c r="DG40" s="181"/>
      <c r="DH40" s="181"/>
      <c r="DI40" s="201"/>
      <c r="DJ40" s="173"/>
      <c r="DK40" s="174"/>
      <c r="DL40" s="89"/>
      <c r="DM40" s="188"/>
      <c r="DN40" s="90"/>
      <c r="DO40" s="90"/>
      <c r="DP40" s="90"/>
      <c r="DQ40" s="90"/>
      <c r="DR40" s="90"/>
      <c r="DS40" s="90"/>
      <c r="DT40" s="90"/>
      <c r="DU40" s="90"/>
      <c r="DV40" s="90"/>
      <c r="DW40" s="90"/>
      <c r="DX40" s="90"/>
      <c r="DY40" s="90"/>
      <c r="DZ40" s="90"/>
      <c r="EA40" s="90"/>
      <c r="EB40" s="90"/>
      <c r="EC40" s="90"/>
      <c r="ED40" s="90"/>
      <c r="EE40" s="90"/>
      <c r="EF40" s="90"/>
      <c r="EG40" s="90"/>
      <c r="EH40" s="90"/>
      <c r="EI40" s="203"/>
      <c r="EJ40" s="211">
        <v>1.0</v>
      </c>
      <c r="EK40" s="203"/>
      <c r="EL40" s="203"/>
      <c r="EM40" s="90"/>
      <c r="EN40" s="90"/>
      <c r="EO40" s="90"/>
      <c r="EP40" s="90"/>
      <c r="EQ40" s="90"/>
      <c r="ER40" s="186"/>
      <c r="ES40" s="172"/>
      <c r="ET40" s="173"/>
    </row>
    <row r="41">
      <c r="A41" s="101" t="s">
        <v>84</v>
      </c>
      <c r="B41" s="93">
        <v>439.0</v>
      </c>
      <c r="C41" s="89"/>
      <c r="D41" s="188"/>
      <c r="E41" s="188"/>
      <c r="F41" s="188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2">
        <f t="shared" si="1"/>
        <v>0</v>
      </c>
      <c r="V41" s="173">
        <f t="shared" si="2"/>
        <v>0</v>
      </c>
      <c r="X41" s="89"/>
      <c r="Y41" s="188"/>
      <c r="Z41" s="188"/>
      <c r="AA41" s="188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2">
        <f t="shared" si="3"/>
        <v>0</v>
      </c>
      <c r="AY41" s="173">
        <f t="shared" si="4"/>
        <v>0</v>
      </c>
      <c r="AZ41" s="174"/>
      <c r="BA41" s="104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98"/>
      <c r="BR41" s="198"/>
      <c r="BS41" s="198"/>
      <c r="BT41" s="198"/>
      <c r="BU41" s="198"/>
      <c r="BV41" s="198"/>
      <c r="BW41" s="198"/>
      <c r="BX41" s="198"/>
      <c r="BY41" s="198"/>
      <c r="BZ41" s="188"/>
      <c r="CA41" s="200">
        <f t="shared" si="5"/>
        <v>0</v>
      </c>
      <c r="CB41" s="173">
        <f t="shared" si="6"/>
        <v>0</v>
      </c>
      <c r="CC41" s="174"/>
      <c r="CD41" s="191"/>
      <c r="CE41" s="181"/>
      <c r="CF41" s="181"/>
      <c r="CG41" s="181"/>
      <c r="CH41" s="181"/>
      <c r="CI41" s="181"/>
      <c r="CJ41" s="181"/>
      <c r="CK41" s="181"/>
      <c r="CL41" s="181"/>
      <c r="CM41" s="181"/>
      <c r="CN41" s="181"/>
      <c r="CO41" s="181"/>
      <c r="CP41" s="207">
        <v>1.0</v>
      </c>
      <c r="CQ41" s="181"/>
      <c r="CR41" s="181"/>
      <c r="CS41" s="181"/>
      <c r="CT41" s="181"/>
      <c r="CU41" s="181"/>
      <c r="CV41" s="181"/>
      <c r="CW41" s="181"/>
      <c r="CX41" s="181"/>
      <c r="CY41" s="181"/>
      <c r="CZ41" s="181"/>
      <c r="DA41" s="181"/>
      <c r="DB41" s="181"/>
      <c r="DC41" s="181"/>
      <c r="DD41" s="181"/>
      <c r="DE41" s="181"/>
      <c r="DF41" s="181"/>
      <c r="DG41" s="181"/>
      <c r="DH41" s="181"/>
      <c r="DI41" s="201"/>
      <c r="DJ41" s="173"/>
      <c r="DK41" s="174"/>
      <c r="DL41" s="89"/>
      <c r="DM41" s="188"/>
      <c r="DN41" s="90"/>
      <c r="DO41" s="90"/>
      <c r="DP41" s="90"/>
      <c r="DQ41" s="90"/>
      <c r="DR41" s="90"/>
      <c r="DS41" s="90"/>
      <c r="DT41" s="90"/>
      <c r="DU41" s="90"/>
      <c r="DV41" s="90"/>
      <c r="DW41" s="90"/>
      <c r="DX41" s="90"/>
      <c r="DY41" s="90"/>
      <c r="DZ41" s="90"/>
      <c r="EA41" s="90"/>
      <c r="EB41" s="90"/>
      <c r="EC41" s="90"/>
      <c r="ED41" s="90"/>
      <c r="EE41" s="90"/>
      <c r="EF41" s="90"/>
      <c r="EG41" s="90"/>
      <c r="EH41" s="90"/>
      <c r="EI41" s="203"/>
      <c r="EJ41" s="203"/>
      <c r="EK41" s="203"/>
      <c r="EL41" s="203"/>
      <c r="EM41" s="90"/>
      <c r="EN41" s="90"/>
      <c r="EO41" s="90"/>
      <c r="EP41" s="90"/>
      <c r="EQ41" s="90"/>
      <c r="ER41" s="186"/>
      <c r="ES41" s="172"/>
      <c r="ET41" s="173"/>
    </row>
    <row r="42">
      <c r="A42" s="101" t="s">
        <v>85</v>
      </c>
      <c r="B42" s="93">
        <v>60.0</v>
      </c>
      <c r="C42" s="89"/>
      <c r="D42" s="188"/>
      <c r="E42" s="194">
        <v>2.0</v>
      </c>
      <c r="F42" s="188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2">
        <f t="shared" si="1"/>
        <v>2</v>
      </c>
      <c r="V42" s="173">
        <f t="shared" si="2"/>
        <v>120</v>
      </c>
      <c r="X42" s="89"/>
      <c r="Y42" s="188"/>
      <c r="Z42" s="188"/>
      <c r="AA42" s="194">
        <v>2.0</v>
      </c>
      <c r="AB42" s="171"/>
      <c r="AC42" s="196">
        <v>3.0</v>
      </c>
      <c r="AD42" s="171"/>
      <c r="AE42" s="171"/>
      <c r="AF42" s="171"/>
      <c r="AG42" s="171"/>
      <c r="AH42" s="171"/>
      <c r="AI42" s="171"/>
      <c r="AJ42" s="171"/>
      <c r="AK42" s="171"/>
      <c r="AL42" s="196">
        <v>2.0</v>
      </c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2">
        <f t="shared" si="3"/>
        <v>7</v>
      </c>
      <c r="AY42" s="173">
        <f t="shared" si="4"/>
        <v>420</v>
      </c>
      <c r="AZ42" s="174"/>
      <c r="BA42" s="104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08"/>
      <c r="BP42" s="108"/>
      <c r="BQ42" s="199">
        <v>1.0</v>
      </c>
      <c r="BR42" s="198"/>
      <c r="BS42" s="198"/>
      <c r="BT42" s="198"/>
      <c r="BU42" s="198"/>
      <c r="BV42" s="198"/>
      <c r="BW42" s="198"/>
      <c r="BX42" s="198"/>
      <c r="BY42" s="199">
        <v>2.0</v>
      </c>
      <c r="BZ42" s="188"/>
      <c r="CA42" s="200">
        <f t="shared" si="5"/>
        <v>3</v>
      </c>
      <c r="CB42" s="173">
        <f t="shared" si="6"/>
        <v>180</v>
      </c>
      <c r="CC42" s="174"/>
      <c r="CD42" s="191"/>
      <c r="CE42" s="181"/>
      <c r="CF42" s="181"/>
      <c r="CG42" s="181"/>
      <c r="CH42" s="181"/>
      <c r="CI42" s="181"/>
      <c r="CJ42" s="181"/>
      <c r="CK42" s="181"/>
      <c r="CL42" s="181"/>
      <c r="CM42" s="181"/>
      <c r="CN42" s="181"/>
      <c r="CO42" s="181"/>
      <c r="CP42" s="181"/>
      <c r="CQ42" s="181"/>
      <c r="CR42" s="181"/>
      <c r="CS42" s="181"/>
      <c r="CT42" s="181"/>
      <c r="CU42" s="181"/>
      <c r="CV42" s="181"/>
      <c r="CW42" s="181"/>
      <c r="CX42" s="207">
        <v>20.0</v>
      </c>
      <c r="CY42" s="181"/>
      <c r="CZ42" s="181"/>
      <c r="DA42" s="181"/>
      <c r="DB42" s="181"/>
      <c r="DC42" s="207">
        <v>3.0</v>
      </c>
      <c r="DD42" s="181"/>
      <c r="DE42" s="181"/>
      <c r="DF42" s="181"/>
      <c r="DG42" s="181"/>
      <c r="DH42" s="181"/>
      <c r="DI42" s="201"/>
      <c r="DJ42" s="173"/>
      <c r="DK42" s="174"/>
      <c r="DL42" s="89"/>
      <c r="DM42" s="194">
        <v>2.0</v>
      </c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203"/>
      <c r="EJ42" s="203"/>
      <c r="EK42" s="203"/>
      <c r="EL42" s="203"/>
      <c r="EM42" s="211">
        <v>1.0</v>
      </c>
      <c r="EN42" s="90"/>
      <c r="EO42" s="90"/>
      <c r="EP42" s="90"/>
      <c r="EQ42" s="90"/>
      <c r="ER42" s="186"/>
      <c r="ES42" s="172"/>
      <c r="ET42" s="173"/>
    </row>
    <row r="43">
      <c r="A43" s="101" t="s">
        <v>86</v>
      </c>
      <c r="B43" s="93">
        <v>609.0</v>
      </c>
      <c r="C43" s="115"/>
      <c r="D43" s="215"/>
      <c r="E43" s="215"/>
      <c r="F43" s="215"/>
      <c r="G43" s="171"/>
      <c r="H43" s="171"/>
      <c r="I43" s="196">
        <v>1.0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94">
        <f t="shared" si="1"/>
        <v>1</v>
      </c>
      <c r="V43" s="173">
        <f t="shared" si="2"/>
        <v>609</v>
      </c>
      <c r="X43" s="216">
        <v>1.0</v>
      </c>
      <c r="Y43" s="215"/>
      <c r="Z43" s="217">
        <v>1.0</v>
      </c>
      <c r="AA43" s="215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96">
        <v>1.0</v>
      </c>
      <c r="AX43" s="94">
        <f t="shared" si="3"/>
        <v>3</v>
      </c>
      <c r="AY43" s="173">
        <f t="shared" si="4"/>
        <v>1827</v>
      </c>
      <c r="AZ43" s="174"/>
      <c r="BA43" s="104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97">
        <v>1.0</v>
      </c>
      <c r="BM43" s="108"/>
      <c r="BN43" s="108"/>
      <c r="BO43" s="108"/>
      <c r="BP43" s="108"/>
      <c r="BQ43" s="198"/>
      <c r="BR43" s="199">
        <v>1.0</v>
      </c>
      <c r="BS43" s="198"/>
      <c r="BT43" s="198"/>
      <c r="BU43" s="199">
        <v>2.0</v>
      </c>
      <c r="BV43" s="199"/>
      <c r="BW43" s="199"/>
      <c r="BX43" s="199"/>
      <c r="BY43" s="198"/>
      <c r="BZ43" s="215"/>
      <c r="CA43" s="200">
        <f t="shared" si="5"/>
        <v>4</v>
      </c>
      <c r="CB43" s="173">
        <f t="shared" si="6"/>
        <v>2436</v>
      </c>
      <c r="CC43" s="174"/>
      <c r="CD43" s="115"/>
      <c r="CE43" s="215"/>
      <c r="CF43" s="217">
        <v>2.0</v>
      </c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07">
        <v>1.0</v>
      </c>
      <c r="CV43" s="215"/>
      <c r="CW43" s="215"/>
      <c r="CX43" s="215"/>
      <c r="CY43" s="215"/>
      <c r="CZ43" s="215"/>
      <c r="DA43" s="215"/>
      <c r="DB43" s="215"/>
      <c r="DC43" s="215"/>
      <c r="DD43" s="207">
        <v>1.0</v>
      </c>
      <c r="DE43" s="215"/>
      <c r="DF43" s="215"/>
      <c r="DG43" s="215"/>
      <c r="DH43" s="215"/>
      <c r="DI43" s="200"/>
      <c r="DJ43" s="173"/>
      <c r="DK43" s="174"/>
      <c r="DL43" s="115"/>
      <c r="DM43" s="215"/>
      <c r="DN43" s="116"/>
      <c r="DO43" s="116"/>
      <c r="DP43" s="116"/>
      <c r="DQ43" s="116"/>
      <c r="DR43" s="116"/>
      <c r="DS43" s="116"/>
      <c r="DT43" s="116"/>
      <c r="DU43" s="116"/>
      <c r="DV43" s="116"/>
      <c r="DW43" s="116"/>
      <c r="DX43" s="116"/>
      <c r="DY43" s="116"/>
      <c r="DZ43" s="116"/>
      <c r="EA43" s="116"/>
      <c r="EB43" s="116"/>
      <c r="EC43" s="116"/>
      <c r="ED43" s="116"/>
      <c r="EE43" s="116"/>
      <c r="EF43" s="116"/>
      <c r="EG43" s="116"/>
      <c r="EH43" s="116"/>
      <c r="EI43" s="218"/>
      <c r="EJ43" s="218"/>
      <c r="EK43" s="218"/>
      <c r="EL43" s="218"/>
      <c r="EM43" s="116"/>
      <c r="EN43" s="116"/>
      <c r="EO43" s="116"/>
      <c r="EP43" s="116"/>
      <c r="EQ43" s="116"/>
      <c r="ER43" s="186"/>
      <c r="ES43" s="172"/>
      <c r="ET43" s="173"/>
    </row>
    <row r="44">
      <c r="A44" s="101" t="s">
        <v>87</v>
      </c>
      <c r="B44" s="93">
        <v>379.0</v>
      </c>
      <c r="C44" s="115"/>
      <c r="D44" s="215"/>
      <c r="E44" s="215"/>
      <c r="F44" s="215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94">
        <f t="shared" si="1"/>
        <v>0</v>
      </c>
      <c r="V44" s="173">
        <f t="shared" si="2"/>
        <v>0</v>
      </c>
      <c r="X44" s="115"/>
      <c r="Y44" s="215"/>
      <c r="Z44" s="215"/>
      <c r="AA44" s="215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94">
        <f t="shared" si="3"/>
        <v>0</v>
      </c>
      <c r="AY44" s="173">
        <f t="shared" si="4"/>
        <v>0</v>
      </c>
      <c r="AZ44" s="174"/>
      <c r="BA44" s="104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98"/>
      <c r="BR44" s="198"/>
      <c r="BS44" s="198"/>
      <c r="BT44" s="198"/>
      <c r="BU44" s="198"/>
      <c r="BV44" s="198"/>
      <c r="BW44" s="198"/>
      <c r="BX44" s="198"/>
      <c r="BY44" s="198"/>
      <c r="BZ44" s="215"/>
      <c r="CA44" s="200">
        <f t="shared" si="5"/>
        <v>0</v>
      </c>
      <c r="CB44" s="173">
        <f t="shared" si="6"/>
        <v>0</v>
      </c>
      <c r="CC44" s="174"/>
      <c r="CD44" s="115"/>
      <c r="CE44" s="215"/>
      <c r="CF44" s="207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00"/>
      <c r="DJ44" s="173"/>
      <c r="DK44" s="174"/>
      <c r="DL44" s="115"/>
      <c r="DM44" s="215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218"/>
      <c r="EJ44" s="218"/>
      <c r="EK44" s="218"/>
      <c r="EL44" s="218"/>
      <c r="EM44" s="116"/>
      <c r="EN44" s="116"/>
      <c r="EO44" s="116"/>
      <c r="EP44" s="116"/>
      <c r="EQ44" s="116"/>
      <c r="ER44" s="186"/>
      <c r="ES44" s="172"/>
      <c r="ET44" s="173"/>
    </row>
    <row r="45">
      <c r="A45" s="101" t="s">
        <v>88</v>
      </c>
      <c r="B45" s="93">
        <v>379.0</v>
      </c>
      <c r="C45" s="115"/>
      <c r="D45" s="215"/>
      <c r="E45" s="215"/>
      <c r="F45" s="215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94">
        <f t="shared" si="1"/>
        <v>0</v>
      </c>
      <c r="V45" s="173">
        <f t="shared" si="2"/>
        <v>0</v>
      </c>
      <c r="X45" s="115"/>
      <c r="Y45" s="215"/>
      <c r="Z45" s="215"/>
      <c r="AA45" s="215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94">
        <f t="shared" si="3"/>
        <v>0</v>
      </c>
      <c r="AY45" s="173">
        <f t="shared" si="4"/>
        <v>0</v>
      </c>
      <c r="AZ45" s="174"/>
      <c r="BA45" s="104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98"/>
      <c r="BR45" s="198"/>
      <c r="BS45" s="198"/>
      <c r="BT45" s="198"/>
      <c r="BU45" s="198"/>
      <c r="BV45" s="198"/>
      <c r="BW45" s="198"/>
      <c r="BX45" s="198"/>
      <c r="BY45" s="198"/>
      <c r="BZ45" s="215"/>
      <c r="CA45" s="200">
        <f t="shared" si="5"/>
        <v>0</v>
      </c>
      <c r="CB45" s="173">
        <f t="shared" si="6"/>
        <v>0</v>
      </c>
      <c r="CC45" s="174"/>
      <c r="CD45" s="1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00"/>
      <c r="DJ45" s="173"/>
      <c r="DK45" s="174"/>
      <c r="DL45" s="115"/>
      <c r="DM45" s="215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218"/>
      <c r="EJ45" s="218"/>
      <c r="EK45" s="218"/>
      <c r="EL45" s="218"/>
      <c r="EM45" s="116"/>
      <c r="EN45" s="116"/>
      <c r="EO45" s="116"/>
      <c r="EP45" s="116"/>
      <c r="EQ45" s="116"/>
      <c r="ER45" s="186"/>
      <c r="ES45" s="172"/>
      <c r="ET45" s="173"/>
    </row>
    <row r="46">
      <c r="A46" s="101" t="s">
        <v>89</v>
      </c>
      <c r="B46" s="93">
        <v>1299.0</v>
      </c>
      <c r="C46" s="115"/>
      <c r="D46" s="215"/>
      <c r="E46" s="215"/>
      <c r="F46" s="215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94">
        <f t="shared" si="1"/>
        <v>0</v>
      </c>
      <c r="V46" s="173">
        <f t="shared" si="2"/>
        <v>0</v>
      </c>
      <c r="X46" s="115"/>
      <c r="Y46" s="215"/>
      <c r="Z46" s="215"/>
      <c r="AA46" s="215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94">
        <f t="shared" si="3"/>
        <v>0</v>
      </c>
      <c r="AY46" s="173">
        <f t="shared" si="4"/>
        <v>0</v>
      </c>
      <c r="AZ46" s="174"/>
      <c r="BA46" s="104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98"/>
      <c r="BR46" s="198"/>
      <c r="BS46" s="198"/>
      <c r="BT46" s="198"/>
      <c r="BU46" s="198"/>
      <c r="BV46" s="198"/>
      <c r="BW46" s="198"/>
      <c r="BX46" s="198"/>
      <c r="BY46" s="198"/>
      <c r="BZ46" s="217"/>
      <c r="CA46" s="200">
        <f t="shared" si="5"/>
        <v>0</v>
      </c>
      <c r="CB46" s="173">
        <f t="shared" si="6"/>
        <v>0</v>
      </c>
      <c r="CC46" s="174"/>
      <c r="CD46" s="1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00"/>
      <c r="DJ46" s="173"/>
      <c r="DK46" s="174"/>
      <c r="DL46" s="115"/>
      <c r="DM46" s="215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218"/>
      <c r="EJ46" s="218"/>
      <c r="EK46" s="218"/>
      <c r="EL46" s="218"/>
      <c r="EM46" s="116"/>
      <c r="EN46" s="116"/>
      <c r="EO46" s="116"/>
      <c r="EP46" s="116"/>
      <c r="EQ46" s="116"/>
      <c r="ER46" s="186"/>
      <c r="ES46" s="172"/>
      <c r="ET46" s="173"/>
    </row>
    <row r="47">
      <c r="A47" s="67" t="s">
        <v>90</v>
      </c>
      <c r="B47" s="93">
        <v>1299.0</v>
      </c>
      <c r="C47" s="115"/>
      <c r="D47" s="215"/>
      <c r="E47" s="215"/>
      <c r="F47" s="215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94">
        <f t="shared" si="1"/>
        <v>0</v>
      </c>
      <c r="V47" s="173">
        <f t="shared" si="2"/>
        <v>0</v>
      </c>
      <c r="X47" s="115"/>
      <c r="Y47" s="215"/>
      <c r="Z47" s="215"/>
      <c r="AA47" s="215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94">
        <f t="shared" si="3"/>
        <v>0</v>
      </c>
      <c r="AY47" s="173">
        <f t="shared" si="4"/>
        <v>0</v>
      </c>
      <c r="AZ47" s="174"/>
      <c r="BA47" s="104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98"/>
      <c r="BR47" s="198"/>
      <c r="BS47" s="198"/>
      <c r="BT47" s="198"/>
      <c r="BU47" s="198"/>
      <c r="BV47" s="198"/>
      <c r="BW47" s="198"/>
      <c r="BX47" s="198"/>
      <c r="BY47" s="198"/>
      <c r="BZ47" s="215"/>
      <c r="CA47" s="200">
        <f t="shared" si="5"/>
        <v>0</v>
      </c>
      <c r="CB47" s="173">
        <f t="shared" si="6"/>
        <v>0</v>
      </c>
      <c r="CC47" s="174"/>
      <c r="CD47" s="1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00"/>
      <c r="DJ47" s="173"/>
      <c r="DK47" s="174"/>
      <c r="DL47" s="115"/>
      <c r="DM47" s="215"/>
      <c r="DN47" s="116"/>
      <c r="DO47" s="116"/>
      <c r="DP47" s="116"/>
      <c r="DQ47" s="116"/>
      <c r="DR47" s="116"/>
      <c r="DS47" s="116"/>
      <c r="DT47" s="116"/>
      <c r="DU47" s="116"/>
      <c r="DV47" s="116"/>
      <c r="DW47" s="116"/>
      <c r="DX47" s="116"/>
      <c r="DY47" s="116"/>
      <c r="DZ47" s="116"/>
      <c r="EA47" s="116"/>
      <c r="EB47" s="116"/>
      <c r="EC47" s="116"/>
      <c r="ED47" s="116"/>
      <c r="EE47" s="116"/>
      <c r="EF47" s="116"/>
      <c r="EG47" s="116"/>
      <c r="EH47" s="116"/>
      <c r="EI47" s="218"/>
      <c r="EJ47" s="218"/>
      <c r="EK47" s="218"/>
      <c r="EL47" s="218"/>
      <c r="EM47" s="116"/>
      <c r="EN47" s="116"/>
      <c r="EO47" s="116"/>
      <c r="EP47" s="116"/>
      <c r="EQ47" s="116"/>
      <c r="ER47" s="186"/>
      <c r="ES47" s="172"/>
      <c r="ET47" s="173"/>
    </row>
    <row r="48">
      <c r="A48" s="101" t="s">
        <v>91</v>
      </c>
      <c r="B48" s="103">
        <v>0.0</v>
      </c>
      <c r="C48" s="115"/>
      <c r="D48" s="215"/>
      <c r="E48" s="215"/>
      <c r="F48" s="215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94">
        <f t="shared" si="1"/>
        <v>0</v>
      </c>
      <c r="V48" s="173">
        <f t="shared" si="2"/>
        <v>0</v>
      </c>
      <c r="X48" s="115"/>
      <c r="Y48" s="215"/>
      <c r="Z48" s="215"/>
      <c r="AA48" s="215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94">
        <f t="shared" si="3"/>
        <v>0</v>
      </c>
      <c r="AY48" s="173">
        <f t="shared" si="4"/>
        <v>0</v>
      </c>
      <c r="AZ48" s="174"/>
      <c r="BA48" s="104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98"/>
      <c r="BR48" s="198"/>
      <c r="BS48" s="198"/>
      <c r="BT48" s="198"/>
      <c r="BU48" s="198"/>
      <c r="BV48" s="198"/>
      <c r="BW48" s="198"/>
      <c r="BX48" s="198"/>
      <c r="BY48" s="198"/>
      <c r="BZ48" s="215"/>
      <c r="CA48" s="200">
        <f t="shared" si="5"/>
        <v>0</v>
      </c>
      <c r="CB48" s="173">
        <f t="shared" si="6"/>
        <v>0</v>
      </c>
      <c r="CC48" s="174"/>
      <c r="CD48" s="1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00"/>
      <c r="DJ48" s="173"/>
      <c r="DK48" s="174"/>
      <c r="DL48" s="115"/>
      <c r="DM48" s="215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218"/>
      <c r="EJ48" s="218"/>
      <c r="EK48" s="218"/>
      <c r="EL48" s="218"/>
      <c r="EM48" s="116"/>
      <c r="EN48" s="116"/>
      <c r="EO48" s="116"/>
      <c r="EP48" s="116"/>
      <c r="EQ48" s="116"/>
      <c r="ER48" s="186"/>
      <c r="ES48" s="172"/>
      <c r="ET48" s="173"/>
    </row>
    <row r="49">
      <c r="A49" s="104"/>
      <c r="B49" s="105"/>
      <c r="C49" s="115"/>
      <c r="D49" s="215"/>
      <c r="E49" s="215"/>
      <c r="F49" s="215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94">
        <f t="shared" si="1"/>
        <v>0</v>
      </c>
      <c r="V49" s="173">
        <f t="shared" si="2"/>
        <v>0</v>
      </c>
      <c r="X49" s="115"/>
      <c r="Y49" s="215"/>
      <c r="Z49" s="215"/>
      <c r="AA49" s="215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94">
        <f t="shared" si="3"/>
        <v>0</v>
      </c>
      <c r="AY49" s="173">
        <f t="shared" si="4"/>
        <v>0</v>
      </c>
      <c r="AZ49" s="174"/>
      <c r="BA49" s="104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98"/>
      <c r="BR49" s="198"/>
      <c r="BS49" s="198"/>
      <c r="BT49" s="198"/>
      <c r="BU49" s="198"/>
      <c r="BV49" s="198"/>
      <c r="BW49" s="198"/>
      <c r="BX49" s="198"/>
      <c r="BY49" s="198"/>
      <c r="BZ49" s="215"/>
      <c r="CA49" s="200">
        <f t="shared" si="5"/>
        <v>0</v>
      </c>
      <c r="CB49" s="173">
        <f t="shared" si="6"/>
        <v>0</v>
      </c>
      <c r="CC49" s="174"/>
      <c r="CD49" s="1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00"/>
      <c r="DJ49" s="173"/>
      <c r="DK49" s="174"/>
      <c r="DL49" s="115"/>
      <c r="DM49" s="215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218"/>
      <c r="EJ49" s="218"/>
      <c r="EK49" s="218"/>
      <c r="EL49" s="218"/>
      <c r="EM49" s="116"/>
      <c r="EN49" s="116"/>
      <c r="EO49" s="116"/>
      <c r="EP49" s="116"/>
      <c r="EQ49" s="116"/>
      <c r="ER49" s="186"/>
      <c r="ES49" s="172"/>
      <c r="ET49" s="173"/>
    </row>
    <row r="50">
      <c r="A50" s="102" t="s">
        <v>92</v>
      </c>
      <c r="B50" s="106">
        <v>609.0</v>
      </c>
      <c r="C50" s="115"/>
      <c r="D50" s="215"/>
      <c r="E50" s="215"/>
      <c r="F50" s="215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96">
        <v>1.0</v>
      </c>
      <c r="T50" s="171"/>
      <c r="U50" s="94">
        <f t="shared" si="1"/>
        <v>1</v>
      </c>
      <c r="V50" s="173">
        <f t="shared" si="2"/>
        <v>609</v>
      </c>
      <c r="X50" s="115"/>
      <c r="Y50" s="215"/>
      <c r="Z50" s="215"/>
      <c r="AA50" s="215"/>
      <c r="AB50" s="171"/>
      <c r="AC50" s="171"/>
      <c r="AD50" s="171"/>
      <c r="AE50" s="196">
        <v>3.0</v>
      </c>
      <c r="AF50" s="196">
        <v>2.0</v>
      </c>
      <c r="AG50" s="171"/>
      <c r="AH50" s="171"/>
      <c r="AI50" s="171"/>
      <c r="AJ50" s="171"/>
      <c r="AK50" s="171"/>
      <c r="AL50" s="171"/>
      <c r="AM50" s="196">
        <v>6.0</v>
      </c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94">
        <f t="shared" si="3"/>
        <v>11</v>
      </c>
      <c r="AY50" s="173">
        <f t="shared" si="4"/>
        <v>6699</v>
      </c>
      <c r="AZ50" s="174"/>
      <c r="BA50" s="104"/>
      <c r="BB50" s="108"/>
      <c r="BC50" s="108"/>
      <c r="BD50" s="108"/>
      <c r="BE50" s="108"/>
      <c r="BF50" s="108"/>
      <c r="BG50" s="219">
        <v>1.0</v>
      </c>
      <c r="BH50" s="108"/>
      <c r="BI50" s="108"/>
      <c r="BJ50" s="108"/>
      <c r="BK50" s="219">
        <v>1.0</v>
      </c>
      <c r="BL50" s="108"/>
      <c r="BM50" s="108"/>
      <c r="BN50" s="108"/>
      <c r="BO50" s="108"/>
      <c r="BP50" s="108"/>
      <c r="BQ50" s="198"/>
      <c r="BR50" s="198"/>
      <c r="BS50" s="198"/>
      <c r="BT50" s="198"/>
      <c r="BU50" s="198"/>
      <c r="BV50" s="198"/>
      <c r="BW50" s="199">
        <v>1.0</v>
      </c>
      <c r="BX50" s="198"/>
      <c r="BY50" s="198"/>
      <c r="BZ50" s="215"/>
      <c r="CA50" s="200">
        <f t="shared" si="5"/>
        <v>3</v>
      </c>
      <c r="CB50" s="173">
        <f t="shared" si="6"/>
        <v>1827</v>
      </c>
      <c r="CC50" s="174"/>
      <c r="CD50" s="115"/>
      <c r="CE50" s="215"/>
      <c r="CF50" s="215"/>
      <c r="CG50" s="207">
        <v>1.0</v>
      </c>
      <c r="CH50" s="215"/>
      <c r="CI50" s="207">
        <v>1.0</v>
      </c>
      <c r="CJ50" s="207">
        <v>1.0</v>
      </c>
      <c r="CK50" s="207">
        <v>1.0</v>
      </c>
      <c r="CL50" s="215"/>
      <c r="CM50" s="207">
        <v>1.0</v>
      </c>
      <c r="CN50" s="215"/>
      <c r="CO50" s="215"/>
      <c r="CP50" s="215"/>
      <c r="CQ50" s="207">
        <v>1.0</v>
      </c>
      <c r="CR50" s="215"/>
      <c r="CS50" s="207">
        <v>1.0</v>
      </c>
      <c r="CT50" s="215"/>
      <c r="CU50" s="215"/>
      <c r="CV50" s="215"/>
      <c r="CW50" s="207">
        <v>1.0</v>
      </c>
      <c r="CX50" s="215"/>
      <c r="CY50" s="215"/>
      <c r="CZ50" s="207">
        <v>1.0</v>
      </c>
      <c r="DA50" s="207">
        <v>1.0</v>
      </c>
      <c r="DB50" s="215"/>
      <c r="DC50" s="215"/>
      <c r="DD50" s="215"/>
      <c r="DE50" s="217">
        <v>1.0</v>
      </c>
      <c r="DF50" s="217"/>
      <c r="DG50" s="215"/>
      <c r="DH50" s="215"/>
      <c r="DI50" s="200"/>
      <c r="DJ50" s="173"/>
      <c r="DK50" s="174"/>
      <c r="DL50" s="115"/>
      <c r="DM50" s="215"/>
      <c r="DN50" s="116"/>
      <c r="DO50" s="220">
        <v>1.0</v>
      </c>
      <c r="DP50" s="116"/>
      <c r="DQ50" s="220">
        <v>1.0</v>
      </c>
      <c r="DR50" s="116"/>
      <c r="DS50" s="116"/>
      <c r="DT50" s="220">
        <v>1.0</v>
      </c>
      <c r="DU50" s="116"/>
      <c r="DV50" s="220">
        <v>1.0</v>
      </c>
      <c r="DW50" s="116"/>
      <c r="DX50" s="220">
        <v>1.0</v>
      </c>
      <c r="DY50" s="220"/>
      <c r="DZ50" s="202">
        <v>1.0</v>
      </c>
      <c r="EA50" s="202">
        <v>1.0</v>
      </c>
      <c r="EB50" s="220"/>
      <c r="EC50" s="220"/>
      <c r="ED50" s="220"/>
      <c r="EE50" s="220"/>
      <c r="EF50" s="220"/>
      <c r="EG50" s="220"/>
      <c r="EH50" s="202">
        <v>3.0</v>
      </c>
      <c r="EI50" s="202"/>
      <c r="EJ50" s="202"/>
      <c r="EK50" s="202">
        <v>1.0</v>
      </c>
      <c r="EL50" s="202"/>
      <c r="EM50" s="202"/>
      <c r="EN50" s="202"/>
      <c r="EO50" s="211">
        <v>1.0</v>
      </c>
      <c r="EP50" s="220"/>
      <c r="EQ50" s="220"/>
      <c r="ER50" s="213"/>
      <c r="ES50" s="172"/>
      <c r="ET50" s="173"/>
    </row>
    <row r="51">
      <c r="A51" s="102" t="s">
        <v>93</v>
      </c>
      <c r="B51" s="93">
        <v>609.0</v>
      </c>
      <c r="C51" s="115"/>
      <c r="D51" s="215"/>
      <c r="E51" s="215"/>
      <c r="F51" s="215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94">
        <f t="shared" si="1"/>
        <v>0</v>
      </c>
      <c r="V51" s="173">
        <f t="shared" si="2"/>
        <v>0</v>
      </c>
      <c r="X51" s="115"/>
      <c r="Y51" s="215"/>
      <c r="Z51" s="217">
        <v>1.0</v>
      </c>
      <c r="AA51" s="215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94">
        <f t="shared" si="3"/>
        <v>1</v>
      </c>
      <c r="AY51" s="173">
        <f t="shared" si="4"/>
        <v>609</v>
      </c>
      <c r="AZ51" s="174"/>
      <c r="BA51" s="104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97">
        <v>1.0</v>
      </c>
      <c r="BN51" s="108"/>
      <c r="BO51" s="108"/>
      <c r="BP51" s="108"/>
      <c r="BQ51" s="198"/>
      <c r="BR51" s="198"/>
      <c r="BS51" s="198"/>
      <c r="BT51" s="198"/>
      <c r="BU51" s="198"/>
      <c r="BV51" s="198"/>
      <c r="BW51" s="198"/>
      <c r="BX51" s="198"/>
      <c r="BY51" s="198"/>
      <c r="BZ51" s="215"/>
      <c r="CA51" s="200">
        <f t="shared" si="5"/>
        <v>1</v>
      </c>
      <c r="CB51" s="173">
        <f t="shared" si="6"/>
        <v>609</v>
      </c>
      <c r="CC51" s="174"/>
      <c r="CD51" s="115"/>
      <c r="CE51" s="215"/>
      <c r="CF51" s="215"/>
      <c r="CG51" s="215"/>
      <c r="CH51" s="207">
        <v>2.0</v>
      </c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00"/>
      <c r="DJ51" s="173"/>
      <c r="DK51" s="174"/>
      <c r="DL51" s="115"/>
      <c r="DM51" s="215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218"/>
      <c r="EJ51" s="218"/>
      <c r="EK51" s="218"/>
      <c r="EL51" s="218"/>
      <c r="EM51" s="116"/>
      <c r="EN51" s="116"/>
      <c r="EO51" s="211">
        <v>1.0</v>
      </c>
      <c r="EP51" s="116"/>
      <c r="EQ51" s="116"/>
      <c r="ER51" s="213"/>
      <c r="ES51" s="172"/>
      <c r="ET51" s="173"/>
    </row>
    <row r="52">
      <c r="A52" s="102" t="s">
        <v>94</v>
      </c>
      <c r="B52" s="93">
        <v>329.0</v>
      </c>
      <c r="C52" s="115"/>
      <c r="D52" s="215"/>
      <c r="E52" s="215"/>
      <c r="F52" s="215"/>
      <c r="G52" s="171"/>
      <c r="H52" s="196">
        <v>2.0</v>
      </c>
      <c r="I52" s="195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94">
        <f t="shared" si="1"/>
        <v>2</v>
      </c>
      <c r="V52" s="173">
        <f t="shared" si="2"/>
        <v>658</v>
      </c>
      <c r="X52" s="115"/>
      <c r="Y52" s="215"/>
      <c r="Z52" s="215"/>
      <c r="AA52" s="215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95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94">
        <f t="shared" si="3"/>
        <v>0</v>
      </c>
      <c r="AY52" s="173">
        <f t="shared" si="4"/>
        <v>0</v>
      </c>
      <c r="AZ52" s="174"/>
      <c r="BA52" s="104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98"/>
      <c r="BR52" s="198"/>
      <c r="BS52" s="198"/>
      <c r="BT52" s="198"/>
      <c r="BU52" s="198"/>
      <c r="BV52" s="198"/>
      <c r="BW52" s="198"/>
      <c r="BX52" s="198"/>
      <c r="BY52" s="198"/>
      <c r="BZ52" s="215"/>
      <c r="CA52" s="200">
        <f t="shared" si="5"/>
        <v>0</v>
      </c>
      <c r="CB52" s="173">
        <f t="shared" si="6"/>
        <v>0</v>
      </c>
      <c r="CC52" s="174"/>
      <c r="CD52" s="115"/>
      <c r="CE52" s="221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00"/>
      <c r="DJ52" s="173"/>
      <c r="DK52" s="174"/>
      <c r="DL52" s="115"/>
      <c r="DM52" s="215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218"/>
      <c r="EJ52" s="218"/>
      <c r="EK52" s="218"/>
      <c r="EL52" s="218"/>
      <c r="EM52" s="116"/>
      <c r="EN52" s="116"/>
      <c r="EO52" s="116"/>
      <c r="EP52" s="116"/>
      <c r="EQ52" s="116"/>
      <c r="ER52" s="186"/>
      <c r="ES52" s="172"/>
      <c r="ET52" s="173"/>
    </row>
    <row r="53">
      <c r="A53" s="102" t="s">
        <v>263</v>
      </c>
      <c r="B53" s="93">
        <v>199.0</v>
      </c>
      <c r="C53" s="115"/>
      <c r="D53" s="215"/>
      <c r="E53" s="215"/>
      <c r="F53" s="215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94">
        <f t="shared" si="1"/>
        <v>0</v>
      </c>
      <c r="V53" s="173">
        <f t="shared" si="2"/>
        <v>0</v>
      </c>
      <c r="X53" s="115"/>
      <c r="Y53" s="215"/>
      <c r="Z53" s="215"/>
      <c r="AA53" s="215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94">
        <f t="shared" si="3"/>
        <v>0</v>
      </c>
      <c r="AY53" s="173">
        <f t="shared" si="4"/>
        <v>0</v>
      </c>
      <c r="AZ53" s="174"/>
      <c r="BA53" s="104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98"/>
      <c r="BR53" s="198"/>
      <c r="BS53" s="198"/>
      <c r="BT53" s="198"/>
      <c r="BU53" s="198"/>
      <c r="BV53" s="198"/>
      <c r="BW53" s="198"/>
      <c r="BX53" s="198"/>
      <c r="BY53" s="198"/>
      <c r="BZ53" s="215"/>
      <c r="CA53" s="200">
        <f t="shared" si="5"/>
        <v>0</v>
      </c>
      <c r="CB53" s="173">
        <f t="shared" si="6"/>
        <v>0</v>
      </c>
      <c r="CC53" s="174"/>
      <c r="CD53" s="222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00"/>
      <c r="DJ53" s="173"/>
      <c r="DK53" s="174"/>
      <c r="DL53" s="115"/>
      <c r="DM53" s="215"/>
      <c r="DN53" s="116"/>
      <c r="DO53" s="116"/>
      <c r="DP53" s="116"/>
      <c r="DQ53" s="116"/>
      <c r="DR53" s="116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218"/>
      <c r="EJ53" s="218"/>
      <c r="EK53" s="218"/>
      <c r="EL53" s="218"/>
      <c r="EM53" s="116"/>
      <c r="EN53" s="116"/>
      <c r="EO53" s="116"/>
      <c r="EP53" s="116"/>
      <c r="EQ53" s="116"/>
      <c r="ER53" s="186"/>
      <c r="ES53" s="172"/>
      <c r="ET53" s="173"/>
    </row>
    <row r="54">
      <c r="A54" s="102" t="s">
        <v>264</v>
      </c>
      <c r="B54" s="93">
        <v>199.0</v>
      </c>
      <c r="C54" s="115"/>
      <c r="D54" s="215"/>
      <c r="E54" s="215"/>
      <c r="F54" s="215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94">
        <f t="shared" si="1"/>
        <v>0</v>
      </c>
      <c r="V54" s="173">
        <f t="shared" si="2"/>
        <v>0</v>
      </c>
      <c r="X54" s="115"/>
      <c r="Y54" s="215"/>
      <c r="Z54" s="215"/>
      <c r="AA54" s="215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94">
        <f t="shared" si="3"/>
        <v>0</v>
      </c>
      <c r="AY54" s="173">
        <f t="shared" si="4"/>
        <v>0</v>
      </c>
      <c r="AZ54" s="174"/>
      <c r="BA54" s="104"/>
      <c r="BB54" s="108"/>
      <c r="BC54" s="108"/>
      <c r="BD54" s="223">
        <v>2.0</v>
      </c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98"/>
      <c r="BR54" s="198"/>
      <c r="BS54" s="198"/>
      <c r="BT54" s="198"/>
      <c r="BU54" s="198"/>
      <c r="BV54" s="198"/>
      <c r="BW54" s="198"/>
      <c r="BX54" s="198"/>
      <c r="BY54" s="198"/>
      <c r="BZ54" s="215"/>
      <c r="CA54" s="200">
        <f t="shared" si="5"/>
        <v>2</v>
      </c>
      <c r="CB54" s="173">
        <f t="shared" si="6"/>
        <v>398</v>
      </c>
      <c r="CC54" s="174"/>
      <c r="CD54" s="1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00"/>
      <c r="DJ54" s="173"/>
      <c r="DK54" s="174"/>
      <c r="DL54" s="115"/>
      <c r="DM54" s="215"/>
      <c r="DN54" s="116"/>
      <c r="DO54" s="116"/>
      <c r="DP54" s="220">
        <v>2.0</v>
      </c>
      <c r="DQ54" s="116"/>
      <c r="DR54" s="116"/>
      <c r="DS54" s="116"/>
      <c r="DT54" s="116"/>
      <c r="DU54" s="116"/>
      <c r="DV54" s="116"/>
      <c r="DW54" s="116"/>
      <c r="DX54" s="116"/>
      <c r="DY54" s="116"/>
      <c r="DZ54" s="116"/>
      <c r="EA54" s="116"/>
      <c r="EB54" s="116"/>
      <c r="EC54" s="116"/>
      <c r="ED54" s="116"/>
      <c r="EE54" s="116"/>
      <c r="EF54" s="116"/>
      <c r="EG54" s="116"/>
      <c r="EH54" s="116"/>
      <c r="EI54" s="218"/>
      <c r="EJ54" s="218"/>
      <c r="EK54" s="218"/>
      <c r="EL54" s="218"/>
      <c r="EM54" s="116"/>
      <c r="EN54" s="116"/>
      <c r="EO54" s="116"/>
      <c r="EP54" s="116"/>
      <c r="EQ54" s="116"/>
      <c r="ER54" s="186"/>
      <c r="ES54" s="172"/>
      <c r="ET54" s="173"/>
    </row>
    <row r="55">
      <c r="A55" s="67" t="s">
        <v>97</v>
      </c>
      <c r="B55" s="93">
        <v>599.0</v>
      </c>
      <c r="C55" s="115"/>
      <c r="D55" s="215"/>
      <c r="E55" s="215"/>
      <c r="F55" s="215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94">
        <f t="shared" si="1"/>
        <v>0</v>
      </c>
      <c r="V55" s="173">
        <f t="shared" si="2"/>
        <v>0</v>
      </c>
      <c r="X55" s="115"/>
      <c r="Y55" s="215"/>
      <c r="Z55" s="215"/>
      <c r="AA55" s="215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94">
        <f t="shared" si="3"/>
        <v>0</v>
      </c>
      <c r="AY55" s="173">
        <f t="shared" si="4"/>
        <v>0</v>
      </c>
      <c r="AZ55" s="174"/>
      <c r="BA55" s="104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98"/>
      <c r="BR55" s="198"/>
      <c r="BS55" s="198"/>
      <c r="BT55" s="198"/>
      <c r="BU55" s="198"/>
      <c r="BV55" s="198"/>
      <c r="BW55" s="198"/>
      <c r="BX55" s="198"/>
      <c r="BY55" s="198"/>
      <c r="BZ55" s="215"/>
      <c r="CA55" s="200">
        <f t="shared" si="5"/>
        <v>0</v>
      </c>
      <c r="CB55" s="173">
        <f t="shared" si="6"/>
        <v>0</v>
      </c>
      <c r="CC55" s="174"/>
      <c r="CD55" s="115"/>
      <c r="CE55" s="215"/>
      <c r="CF55" s="215"/>
      <c r="CG55" s="215"/>
      <c r="CH55" s="215"/>
      <c r="CI55" s="215"/>
      <c r="CJ55" s="215"/>
      <c r="CK55" s="215"/>
      <c r="CL55" s="215"/>
      <c r="CM55" s="215"/>
      <c r="CN55" s="215"/>
      <c r="CO55" s="215"/>
      <c r="CP55" s="215"/>
      <c r="CQ55" s="215"/>
      <c r="CR55" s="215"/>
      <c r="CS55" s="215"/>
      <c r="CT55" s="215"/>
      <c r="CU55" s="215"/>
      <c r="CV55" s="215"/>
      <c r="CW55" s="215"/>
      <c r="CX55" s="215"/>
      <c r="CY55" s="215"/>
      <c r="CZ55" s="215"/>
      <c r="DA55" s="215"/>
      <c r="DB55" s="215"/>
      <c r="DC55" s="215"/>
      <c r="DD55" s="215"/>
      <c r="DE55" s="215"/>
      <c r="DF55" s="215"/>
      <c r="DG55" s="215"/>
      <c r="DH55" s="215"/>
      <c r="DI55" s="200"/>
      <c r="DJ55" s="173"/>
      <c r="DK55" s="174"/>
      <c r="DL55" s="115"/>
      <c r="DM55" s="215"/>
      <c r="DN55" s="116"/>
      <c r="DO55" s="116"/>
      <c r="DP55" s="116"/>
      <c r="DQ55" s="116"/>
      <c r="DR55" s="116"/>
      <c r="DS55" s="116"/>
      <c r="DT55" s="116"/>
      <c r="DU55" s="116"/>
      <c r="DV55" s="116"/>
      <c r="DW55" s="116"/>
      <c r="DX55" s="116"/>
      <c r="DY55" s="116"/>
      <c r="DZ55" s="116"/>
      <c r="EA55" s="116"/>
      <c r="EB55" s="116"/>
      <c r="EC55" s="116"/>
      <c r="ED55" s="116"/>
      <c r="EE55" s="116"/>
      <c r="EF55" s="116"/>
      <c r="EG55" s="116"/>
      <c r="EH55" s="116"/>
      <c r="EI55" s="218"/>
      <c r="EJ55" s="218"/>
      <c r="EK55" s="218"/>
      <c r="EL55" s="218"/>
      <c r="EM55" s="116"/>
      <c r="EN55" s="116"/>
      <c r="EO55" s="116"/>
      <c r="EP55" s="116"/>
      <c r="EQ55" s="116"/>
      <c r="ER55" s="186"/>
      <c r="ES55" s="172"/>
      <c r="ET55" s="173"/>
    </row>
    <row r="56">
      <c r="A56" s="102" t="s">
        <v>98</v>
      </c>
      <c r="B56" s="93">
        <v>1499.0</v>
      </c>
      <c r="C56" s="115"/>
      <c r="D56" s="215"/>
      <c r="E56" s="215"/>
      <c r="F56" s="215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94">
        <f t="shared" si="1"/>
        <v>0</v>
      </c>
      <c r="V56" s="173">
        <f t="shared" si="2"/>
        <v>0</v>
      </c>
      <c r="X56" s="115"/>
      <c r="Y56" s="215"/>
      <c r="Z56" s="215"/>
      <c r="AA56" s="215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94">
        <f t="shared" si="3"/>
        <v>0</v>
      </c>
      <c r="AY56" s="173">
        <f t="shared" si="4"/>
        <v>0</v>
      </c>
      <c r="AZ56" s="174"/>
      <c r="BA56" s="104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98"/>
      <c r="BR56" s="198"/>
      <c r="BS56" s="198"/>
      <c r="BT56" s="198"/>
      <c r="BU56" s="198"/>
      <c r="BV56" s="198"/>
      <c r="BW56" s="198"/>
      <c r="BX56" s="198"/>
      <c r="BY56" s="198"/>
      <c r="BZ56" s="215"/>
      <c r="CA56" s="200">
        <f t="shared" si="5"/>
        <v>0</v>
      </c>
      <c r="CB56" s="173">
        <f t="shared" si="6"/>
        <v>0</v>
      </c>
      <c r="CC56" s="174"/>
      <c r="CD56" s="115"/>
      <c r="CE56" s="215"/>
      <c r="CF56" s="215"/>
      <c r="CG56" s="215"/>
      <c r="CH56" s="207">
        <v>1.0</v>
      </c>
      <c r="CI56" s="215"/>
      <c r="CJ56" s="215"/>
      <c r="CK56" s="215"/>
      <c r="CL56" s="215"/>
      <c r="CM56" s="215"/>
      <c r="CN56" s="215"/>
      <c r="CO56" s="215"/>
      <c r="CP56" s="215"/>
      <c r="CQ56" s="215"/>
      <c r="CR56" s="215"/>
      <c r="CS56" s="215"/>
      <c r="CT56" s="215"/>
      <c r="CU56" s="215"/>
      <c r="CV56" s="215"/>
      <c r="CW56" s="215"/>
      <c r="CX56" s="215"/>
      <c r="CY56" s="215"/>
      <c r="CZ56" s="215"/>
      <c r="DA56" s="215"/>
      <c r="DB56" s="215"/>
      <c r="DC56" s="215"/>
      <c r="DD56" s="215"/>
      <c r="DE56" s="215"/>
      <c r="DF56" s="215"/>
      <c r="DG56" s="215"/>
      <c r="DH56" s="215"/>
      <c r="DI56" s="200"/>
      <c r="DJ56" s="173"/>
      <c r="DK56" s="174"/>
      <c r="DL56" s="115"/>
      <c r="DM56" s="215"/>
      <c r="DN56" s="116"/>
      <c r="DO56" s="116"/>
      <c r="DP56" s="116"/>
      <c r="DQ56" s="116"/>
      <c r="DR56" s="116"/>
      <c r="DS56" s="116"/>
      <c r="DT56" s="116"/>
      <c r="DU56" s="116"/>
      <c r="DV56" s="116"/>
      <c r="DW56" s="116"/>
      <c r="DX56" s="116"/>
      <c r="DY56" s="116"/>
      <c r="DZ56" s="116"/>
      <c r="EA56" s="116"/>
      <c r="EB56" s="116"/>
      <c r="EC56" s="116"/>
      <c r="ED56" s="116"/>
      <c r="EE56" s="116"/>
      <c r="EF56" s="116"/>
      <c r="EG56" s="116"/>
      <c r="EH56" s="116"/>
      <c r="EI56" s="218"/>
      <c r="EJ56" s="218"/>
      <c r="EK56" s="218"/>
      <c r="EL56" s="218"/>
      <c r="EM56" s="116"/>
      <c r="EN56" s="116"/>
      <c r="EO56" s="116"/>
      <c r="EP56" s="116"/>
      <c r="EQ56" s="116"/>
      <c r="ER56" s="186"/>
      <c r="ES56" s="172"/>
      <c r="ET56" s="173"/>
    </row>
    <row r="57">
      <c r="A57" s="104"/>
      <c r="B57" s="99"/>
      <c r="C57" s="115"/>
      <c r="D57" s="215"/>
      <c r="E57" s="215"/>
      <c r="F57" s="215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94">
        <f t="shared" si="1"/>
        <v>0</v>
      </c>
      <c r="V57" s="173">
        <f t="shared" si="2"/>
        <v>0</v>
      </c>
      <c r="X57" s="115"/>
      <c r="Y57" s="215"/>
      <c r="Z57" s="215"/>
      <c r="AA57" s="215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94">
        <f t="shared" si="3"/>
        <v>0</v>
      </c>
      <c r="AY57" s="173">
        <f t="shared" si="4"/>
        <v>0</v>
      </c>
      <c r="AZ57" s="174"/>
      <c r="BA57" s="104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98"/>
      <c r="BR57" s="198"/>
      <c r="BS57" s="198"/>
      <c r="BT57" s="198"/>
      <c r="BU57" s="198"/>
      <c r="BV57" s="198"/>
      <c r="BW57" s="198"/>
      <c r="BX57" s="198"/>
      <c r="BY57" s="198"/>
      <c r="BZ57" s="215"/>
      <c r="CA57" s="200">
        <f t="shared" si="5"/>
        <v>0</v>
      </c>
      <c r="CB57" s="173">
        <f t="shared" si="6"/>
        <v>0</v>
      </c>
      <c r="CC57" s="174"/>
      <c r="CD57" s="115"/>
      <c r="CE57" s="215"/>
      <c r="CF57" s="215"/>
      <c r="CG57" s="215"/>
      <c r="CH57" s="215"/>
      <c r="CI57" s="215"/>
      <c r="CJ57" s="215"/>
      <c r="CK57" s="215"/>
      <c r="CL57" s="215"/>
      <c r="CM57" s="215"/>
      <c r="CN57" s="215"/>
      <c r="CO57" s="215"/>
      <c r="CP57" s="215"/>
      <c r="CQ57" s="215"/>
      <c r="CR57" s="215"/>
      <c r="CS57" s="215"/>
      <c r="CT57" s="215"/>
      <c r="CU57" s="215"/>
      <c r="CV57" s="215"/>
      <c r="CW57" s="215"/>
      <c r="CX57" s="215"/>
      <c r="CY57" s="215"/>
      <c r="CZ57" s="215"/>
      <c r="DA57" s="215"/>
      <c r="DB57" s="215"/>
      <c r="DC57" s="215"/>
      <c r="DD57" s="215"/>
      <c r="DE57" s="215"/>
      <c r="DF57" s="215"/>
      <c r="DG57" s="215"/>
      <c r="DH57" s="215"/>
      <c r="DI57" s="200"/>
      <c r="DJ57" s="173"/>
      <c r="DK57" s="174"/>
      <c r="DL57" s="115"/>
      <c r="DM57" s="215"/>
      <c r="DN57" s="116"/>
      <c r="DO57" s="116"/>
      <c r="DP57" s="116"/>
      <c r="DQ57" s="116"/>
      <c r="DR57" s="116"/>
      <c r="DS57" s="116"/>
      <c r="DT57" s="116"/>
      <c r="DU57" s="116"/>
      <c r="DV57" s="116"/>
      <c r="DW57" s="116"/>
      <c r="DX57" s="116"/>
      <c r="DY57" s="116"/>
      <c r="DZ57" s="116"/>
      <c r="EA57" s="116"/>
      <c r="EB57" s="116"/>
      <c r="EC57" s="116"/>
      <c r="ED57" s="116"/>
      <c r="EE57" s="116"/>
      <c r="EF57" s="116"/>
      <c r="EG57" s="116"/>
      <c r="EH57" s="116"/>
      <c r="EI57" s="218"/>
      <c r="EJ57" s="218"/>
      <c r="EK57" s="218"/>
      <c r="EL57" s="218"/>
      <c r="EM57" s="116"/>
      <c r="EN57" s="116"/>
      <c r="EO57" s="116"/>
      <c r="EP57" s="116"/>
      <c r="EQ57" s="116"/>
      <c r="ER57" s="186"/>
      <c r="ES57" s="172"/>
      <c r="ET57" s="173"/>
    </row>
    <row r="58">
      <c r="A58" s="102" t="s">
        <v>99</v>
      </c>
      <c r="B58" s="93">
        <v>329.0</v>
      </c>
      <c r="C58" s="115"/>
      <c r="D58" s="217">
        <v>2.0</v>
      </c>
      <c r="E58" s="215"/>
      <c r="F58" s="215"/>
      <c r="G58" s="171"/>
      <c r="H58" s="171"/>
      <c r="I58" s="195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94">
        <f t="shared" si="1"/>
        <v>2</v>
      </c>
      <c r="V58" s="173">
        <f t="shared" si="2"/>
        <v>658</v>
      </c>
      <c r="X58" s="115"/>
      <c r="Y58" s="215"/>
      <c r="Z58" s="215"/>
      <c r="AA58" s="215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95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94">
        <f t="shared" si="3"/>
        <v>0</v>
      </c>
      <c r="AY58" s="173">
        <f t="shared" si="4"/>
        <v>0</v>
      </c>
      <c r="AZ58" s="174"/>
      <c r="BA58" s="104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98"/>
      <c r="BR58" s="198"/>
      <c r="BS58" s="198"/>
      <c r="BT58" s="198"/>
      <c r="BU58" s="198"/>
      <c r="BV58" s="198"/>
      <c r="BW58" s="198"/>
      <c r="BX58" s="198"/>
      <c r="BY58" s="198"/>
      <c r="BZ58" s="215"/>
      <c r="CA58" s="200">
        <f t="shared" si="5"/>
        <v>0</v>
      </c>
      <c r="CB58" s="173">
        <f t="shared" si="6"/>
        <v>0</v>
      </c>
      <c r="CC58" s="174"/>
      <c r="CD58" s="115"/>
      <c r="CE58" s="221"/>
      <c r="CF58" s="215"/>
      <c r="CG58" s="215"/>
      <c r="CH58" s="215"/>
      <c r="CI58" s="215"/>
      <c r="CJ58" s="215"/>
      <c r="CK58" s="215"/>
      <c r="CL58" s="215"/>
      <c r="CM58" s="215"/>
      <c r="CN58" s="215"/>
      <c r="CO58" s="215"/>
      <c r="CP58" s="215"/>
      <c r="CQ58" s="215"/>
      <c r="CR58" s="215"/>
      <c r="CS58" s="215"/>
      <c r="CT58" s="215"/>
      <c r="CU58" s="215"/>
      <c r="CV58" s="215"/>
      <c r="CW58" s="215"/>
      <c r="CX58" s="215"/>
      <c r="CY58" s="215"/>
      <c r="CZ58" s="215"/>
      <c r="DA58" s="215"/>
      <c r="DB58" s="215"/>
      <c r="DC58" s="215"/>
      <c r="DD58" s="215"/>
      <c r="DE58" s="215"/>
      <c r="DF58" s="215"/>
      <c r="DG58" s="215"/>
      <c r="DH58" s="215"/>
      <c r="DI58" s="200"/>
      <c r="DJ58" s="173"/>
      <c r="DK58" s="174"/>
      <c r="DL58" s="115"/>
      <c r="DM58" s="215"/>
      <c r="DN58" s="116"/>
      <c r="DO58" s="116"/>
      <c r="DP58" s="116"/>
      <c r="DQ58" s="116"/>
      <c r="DR58" s="116"/>
      <c r="DS58" s="116"/>
      <c r="DT58" s="116"/>
      <c r="DU58" s="116"/>
      <c r="DV58" s="116"/>
      <c r="DW58" s="116"/>
      <c r="DX58" s="116"/>
      <c r="DY58" s="116"/>
      <c r="DZ58" s="116"/>
      <c r="EA58" s="116"/>
      <c r="EB58" s="116"/>
      <c r="EC58" s="116"/>
      <c r="ED58" s="116"/>
      <c r="EE58" s="116"/>
      <c r="EF58" s="116"/>
      <c r="EG58" s="116"/>
      <c r="EH58" s="116"/>
      <c r="EI58" s="218"/>
      <c r="EJ58" s="218"/>
      <c r="EK58" s="218"/>
      <c r="EL58" s="218"/>
      <c r="EM58" s="116"/>
      <c r="EN58" s="116"/>
      <c r="EO58" s="116"/>
      <c r="EP58" s="116"/>
      <c r="EQ58" s="116"/>
      <c r="ER58" s="186"/>
      <c r="ES58" s="172"/>
      <c r="ET58" s="173"/>
    </row>
    <row r="59">
      <c r="A59" s="102" t="s">
        <v>100</v>
      </c>
      <c r="B59" s="93">
        <v>329.0</v>
      </c>
      <c r="C59" s="115"/>
      <c r="D59" s="215"/>
      <c r="E59" s="215"/>
      <c r="F59" s="215"/>
      <c r="G59" s="171"/>
      <c r="H59" s="171"/>
      <c r="I59" s="195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94">
        <f t="shared" si="1"/>
        <v>0</v>
      </c>
      <c r="V59" s="173">
        <f t="shared" si="2"/>
        <v>0</v>
      </c>
      <c r="X59" s="115"/>
      <c r="Y59" s="215"/>
      <c r="Z59" s="215"/>
      <c r="AA59" s="215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95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94">
        <f t="shared" si="3"/>
        <v>0</v>
      </c>
      <c r="AY59" s="173">
        <f t="shared" si="4"/>
        <v>0</v>
      </c>
      <c r="AZ59" s="174"/>
      <c r="BA59" s="104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98"/>
      <c r="BR59" s="198"/>
      <c r="BS59" s="198"/>
      <c r="BT59" s="198"/>
      <c r="BU59" s="198"/>
      <c r="BV59" s="198"/>
      <c r="BW59" s="198"/>
      <c r="BX59" s="198"/>
      <c r="BY59" s="198"/>
      <c r="BZ59" s="215"/>
      <c r="CA59" s="200">
        <f t="shared" si="5"/>
        <v>0</v>
      </c>
      <c r="CB59" s="173">
        <f t="shared" si="6"/>
        <v>0</v>
      </c>
      <c r="CC59" s="174"/>
      <c r="CD59" s="115"/>
      <c r="CE59" s="221"/>
      <c r="CF59" s="215"/>
      <c r="CG59" s="215"/>
      <c r="CH59" s="215"/>
      <c r="CI59" s="215"/>
      <c r="CJ59" s="215"/>
      <c r="CK59" s="215"/>
      <c r="CL59" s="215"/>
      <c r="CM59" s="215"/>
      <c r="CN59" s="215"/>
      <c r="CO59" s="215"/>
      <c r="CP59" s="215"/>
      <c r="CQ59" s="215"/>
      <c r="CR59" s="215"/>
      <c r="CS59" s="215"/>
      <c r="CT59" s="215"/>
      <c r="CU59" s="215"/>
      <c r="CV59" s="215"/>
      <c r="CW59" s="215"/>
      <c r="CX59" s="215"/>
      <c r="CY59" s="215"/>
      <c r="CZ59" s="215"/>
      <c r="DA59" s="215"/>
      <c r="DB59" s="215"/>
      <c r="DC59" s="215"/>
      <c r="DD59" s="215"/>
      <c r="DE59" s="215"/>
      <c r="DF59" s="215"/>
      <c r="DG59" s="215"/>
      <c r="DH59" s="215"/>
      <c r="DI59" s="200"/>
      <c r="DJ59" s="173"/>
      <c r="DK59" s="174"/>
      <c r="DL59" s="115"/>
      <c r="DM59" s="215"/>
      <c r="DN59" s="116"/>
      <c r="DO59" s="116"/>
      <c r="DP59" s="116"/>
      <c r="DQ59" s="116"/>
      <c r="DR59" s="116"/>
      <c r="DS59" s="116"/>
      <c r="DT59" s="116"/>
      <c r="DU59" s="116"/>
      <c r="DV59" s="116"/>
      <c r="DW59" s="116"/>
      <c r="DX59" s="116"/>
      <c r="DY59" s="116"/>
      <c r="DZ59" s="116"/>
      <c r="EA59" s="116"/>
      <c r="EB59" s="116"/>
      <c r="EC59" s="116"/>
      <c r="ED59" s="116"/>
      <c r="EE59" s="116"/>
      <c r="EF59" s="116"/>
      <c r="EG59" s="116"/>
      <c r="EH59" s="116"/>
      <c r="EI59" s="218"/>
      <c r="EJ59" s="218"/>
      <c r="EK59" s="218"/>
      <c r="EL59" s="218"/>
      <c r="EM59" s="116"/>
      <c r="EN59" s="116"/>
      <c r="EO59" s="116"/>
      <c r="EP59" s="116"/>
      <c r="EQ59" s="116"/>
      <c r="ER59" s="186"/>
      <c r="ES59" s="172"/>
      <c r="ET59" s="173"/>
    </row>
    <row r="60">
      <c r="A60" s="102" t="s">
        <v>101</v>
      </c>
      <c r="B60" s="93">
        <v>329.0</v>
      </c>
      <c r="C60" s="115"/>
      <c r="D60" s="215"/>
      <c r="E60" s="215"/>
      <c r="F60" s="215"/>
      <c r="G60" s="171"/>
      <c r="H60" s="171"/>
      <c r="I60" s="195"/>
      <c r="J60" s="196">
        <v>1.0</v>
      </c>
      <c r="K60" s="196">
        <v>1.0</v>
      </c>
      <c r="L60" s="196">
        <v>2.0</v>
      </c>
      <c r="M60" s="171"/>
      <c r="N60" s="171"/>
      <c r="O60" s="171"/>
      <c r="P60" s="171"/>
      <c r="Q60" s="171"/>
      <c r="R60" s="171"/>
      <c r="S60" s="171"/>
      <c r="T60" s="196">
        <v>1.0</v>
      </c>
      <c r="U60" s="94">
        <f t="shared" si="1"/>
        <v>5</v>
      </c>
      <c r="V60" s="173">
        <f t="shared" si="2"/>
        <v>1645</v>
      </c>
      <c r="X60" s="115"/>
      <c r="Y60" s="215"/>
      <c r="Z60" s="215"/>
      <c r="AA60" s="215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95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94">
        <f t="shared" si="3"/>
        <v>0</v>
      </c>
      <c r="AY60" s="173">
        <f t="shared" si="4"/>
        <v>0</v>
      </c>
      <c r="AZ60" s="174"/>
      <c r="BA60" s="104"/>
      <c r="BB60" s="108"/>
      <c r="BC60" s="197">
        <v>1.0</v>
      </c>
      <c r="BD60" s="108"/>
      <c r="BE60" s="108"/>
      <c r="BF60" s="108"/>
      <c r="BG60" s="108"/>
      <c r="BH60" s="108"/>
      <c r="BI60" s="108"/>
      <c r="BJ60" s="197">
        <v>2.0</v>
      </c>
      <c r="BK60" s="108"/>
      <c r="BL60" s="108"/>
      <c r="BM60" s="108"/>
      <c r="BN60" s="108"/>
      <c r="BO60" s="108"/>
      <c r="BP60" s="108"/>
      <c r="BQ60" s="198"/>
      <c r="BR60" s="198"/>
      <c r="BS60" s="198"/>
      <c r="BT60" s="198"/>
      <c r="BU60" s="198"/>
      <c r="BV60" s="198"/>
      <c r="BW60" s="198"/>
      <c r="BX60" s="198"/>
      <c r="BY60" s="198"/>
      <c r="BZ60" s="215"/>
      <c r="CA60" s="200">
        <f t="shared" si="5"/>
        <v>3</v>
      </c>
      <c r="CB60" s="173">
        <f t="shared" si="6"/>
        <v>987</v>
      </c>
      <c r="CC60" s="174"/>
      <c r="CD60" s="115"/>
      <c r="CE60" s="215"/>
      <c r="CF60" s="215"/>
      <c r="CG60" s="207">
        <v>1.0</v>
      </c>
      <c r="CH60" s="215"/>
      <c r="CI60" s="215"/>
      <c r="CJ60" s="215"/>
      <c r="CK60" s="215"/>
      <c r="CL60" s="207">
        <v>1.0</v>
      </c>
      <c r="CM60" s="215"/>
      <c r="CN60" s="215"/>
      <c r="CO60" s="215"/>
      <c r="CP60" s="215"/>
      <c r="CQ60" s="215"/>
      <c r="CR60" s="207">
        <v>1.0</v>
      </c>
      <c r="CS60" s="217">
        <v>5.0</v>
      </c>
      <c r="CT60" s="207">
        <v>5.0</v>
      </c>
      <c r="CU60" s="207"/>
      <c r="CV60" s="215"/>
      <c r="CW60" s="215"/>
      <c r="CX60" s="215"/>
      <c r="CY60" s="207">
        <v>1.0</v>
      </c>
      <c r="CZ60" s="215"/>
      <c r="DA60" s="215"/>
      <c r="DB60" s="215"/>
      <c r="DC60" s="215"/>
      <c r="DD60" s="215"/>
      <c r="DE60" s="215"/>
      <c r="DF60" s="215"/>
      <c r="DG60" s="215"/>
      <c r="DH60" s="215"/>
      <c r="DI60" s="200"/>
      <c r="DJ60" s="173"/>
      <c r="DK60" s="174"/>
      <c r="DL60" s="115"/>
      <c r="DM60" s="215"/>
      <c r="DN60" s="220">
        <v>1.0</v>
      </c>
      <c r="DO60" s="116"/>
      <c r="DP60" s="116"/>
      <c r="DQ60" s="116"/>
      <c r="DR60" s="116"/>
      <c r="DS60" s="116"/>
      <c r="DT60" s="116"/>
      <c r="DU60" s="116"/>
      <c r="DV60" s="116"/>
      <c r="DW60" s="116"/>
      <c r="DX60" s="116"/>
      <c r="DY60" s="116"/>
      <c r="DZ60" s="116"/>
      <c r="EA60" s="116"/>
      <c r="EB60" s="116"/>
      <c r="EC60" s="116"/>
      <c r="ED60" s="116"/>
      <c r="EE60" s="116"/>
      <c r="EF60" s="116"/>
      <c r="EG60" s="116"/>
      <c r="EH60" s="116"/>
      <c r="EI60" s="218"/>
      <c r="EJ60" s="218"/>
      <c r="EK60" s="218"/>
      <c r="EL60" s="218"/>
      <c r="EM60" s="116"/>
      <c r="EN60" s="116"/>
      <c r="EO60" s="116"/>
      <c r="EP60" s="116"/>
      <c r="EQ60" s="116"/>
      <c r="ER60" s="186"/>
      <c r="ES60" s="172"/>
      <c r="ET60" s="173"/>
    </row>
    <row r="61">
      <c r="A61" s="102" t="s">
        <v>102</v>
      </c>
      <c r="B61" s="93">
        <v>249.0</v>
      </c>
      <c r="C61" s="115"/>
      <c r="D61" s="215"/>
      <c r="E61" s="215"/>
      <c r="F61" s="215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94">
        <f t="shared" si="1"/>
        <v>0</v>
      </c>
      <c r="V61" s="173">
        <f t="shared" si="2"/>
        <v>0</v>
      </c>
      <c r="X61" s="115"/>
      <c r="Y61" s="215"/>
      <c r="Z61" s="215"/>
      <c r="AA61" s="215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94">
        <f t="shared" si="3"/>
        <v>0</v>
      </c>
      <c r="AY61" s="173">
        <f t="shared" si="4"/>
        <v>0</v>
      </c>
      <c r="AZ61" s="174"/>
      <c r="BA61" s="104"/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98"/>
      <c r="BR61" s="198"/>
      <c r="BS61" s="199">
        <v>2.0</v>
      </c>
      <c r="BT61" s="198"/>
      <c r="BU61" s="198"/>
      <c r="BV61" s="198"/>
      <c r="BW61" s="198"/>
      <c r="BX61" s="198"/>
      <c r="BY61" s="198"/>
      <c r="BZ61" s="215"/>
      <c r="CA61" s="200">
        <f t="shared" si="5"/>
        <v>2</v>
      </c>
      <c r="CB61" s="173">
        <f t="shared" si="6"/>
        <v>498</v>
      </c>
      <c r="CC61" s="174"/>
      <c r="CD61" s="115"/>
      <c r="CE61" s="215"/>
      <c r="CF61" s="215"/>
      <c r="CG61" s="215"/>
      <c r="CH61" s="215"/>
      <c r="CI61" s="215"/>
      <c r="CJ61" s="215"/>
      <c r="CK61" s="215"/>
      <c r="CL61" s="215"/>
      <c r="CM61" s="215"/>
      <c r="CN61" s="215"/>
      <c r="CO61" s="215"/>
      <c r="CP61" s="215"/>
      <c r="CQ61" s="215"/>
      <c r="CR61" s="215"/>
      <c r="CS61" s="215"/>
      <c r="CT61" s="207"/>
      <c r="CU61" s="215"/>
      <c r="CV61" s="215"/>
      <c r="CW61" s="215"/>
      <c r="CX61" s="215"/>
      <c r="CY61" s="215"/>
      <c r="CZ61" s="215"/>
      <c r="DA61" s="215"/>
      <c r="DB61" s="215"/>
      <c r="DC61" s="215"/>
      <c r="DD61" s="215"/>
      <c r="DE61" s="215"/>
      <c r="DF61" s="215"/>
      <c r="DG61" s="215"/>
      <c r="DH61" s="215"/>
      <c r="DI61" s="200"/>
      <c r="DJ61" s="173"/>
      <c r="DK61" s="174"/>
      <c r="DL61" s="115"/>
      <c r="DM61" s="215"/>
      <c r="DN61" s="116"/>
      <c r="DO61" s="116"/>
      <c r="DP61" s="116"/>
      <c r="DQ61" s="116"/>
      <c r="DR61" s="116"/>
      <c r="DS61" s="116"/>
      <c r="DT61" s="116"/>
      <c r="DU61" s="116"/>
      <c r="DV61" s="116"/>
      <c r="DW61" s="116"/>
      <c r="DX61" s="116"/>
      <c r="DY61" s="202">
        <v>1.0</v>
      </c>
      <c r="DZ61" s="116"/>
      <c r="EA61" s="116"/>
      <c r="EB61" s="116"/>
      <c r="EC61" s="116"/>
      <c r="ED61" s="116"/>
      <c r="EE61" s="116"/>
      <c r="EF61" s="116"/>
      <c r="EG61" s="116"/>
      <c r="EH61" s="116"/>
      <c r="EI61" s="218"/>
      <c r="EJ61" s="218"/>
      <c r="EK61" s="218"/>
      <c r="EL61" s="218"/>
      <c r="EM61" s="116"/>
      <c r="EN61" s="116"/>
      <c r="EO61" s="116"/>
      <c r="EP61" s="116"/>
      <c r="EQ61" s="116"/>
      <c r="ER61" s="186"/>
      <c r="ES61" s="172"/>
      <c r="ET61" s="173"/>
    </row>
    <row r="62">
      <c r="A62" s="102" t="s">
        <v>103</v>
      </c>
      <c r="B62" s="93">
        <v>439.0</v>
      </c>
      <c r="C62" s="115"/>
      <c r="D62" s="200"/>
      <c r="E62" s="215"/>
      <c r="F62" s="215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94">
        <f t="shared" si="1"/>
        <v>0</v>
      </c>
      <c r="V62" s="173">
        <f t="shared" si="2"/>
        <v>0</v>
      </c>
      <c r="X62" s="115"/>
      <c r="Y62" s="200"/>
      <c r="Z62" s="215"/>
      <c r="AA62" s="217">
        <v>2.0</v>
      </c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94">
        <f t="shared" si="3"/>
        <v>2</v>
      </c>
      <c r="AY62" s="173">
        <f t="shared" si="4"/>
        <v>878</v>
      </c>
      <c r="AZ62" s="174"/>
      <c r="BA62" s="104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98"/>
      <c r="BR62" s="198"/>
      <c r="BS62" s="198"/>
      <c r="BT62" s="198"/>
      <c r="BU62" s="198"/>
      <c r="BV62" s="198"/>
      <c r="BW62" s="198"/>
      <c r="BX62" s="198"/>
      <c r="BY62" s="198"/>
      <c r="BZ62" s="215"/>
      <c r="CA62" s="200">
        <f t="shared" si="5"/>
        <v>0</v>
      </c>
      <c r="CB62" s="173">
        <f t="shared" si="6"/>
        <v>0</v>
      </c>
      <c r="CC62" s="174"/>
      <c r="CD62" s="115"/>
      <c r="CE62" s="215"/>
      <c r="CF62" s="215"/>
      <c r="CG62" s="215"/>
      <c r="CH62" s="215"/>
      <c r="CI62" s="215"/>
      <c r="CJ62" s="215"/>
      <c r="CK62" s="215"/>
      <c r="CL62" s="215"/>
      <c r="CM62" s="215"/>
      <c r="CN62" s="215"/>
      <c r="CO62" s="215"/>
      <c r="CP62" s="215"/>
      <c r="CQ62" s="215"/>
      <c r="CR62" s="215"/>
      <c r="CS62" s="215"/>
      <c r="CT62" s="215"/>
      <c r="CU62" s="215"/>
      <c r="CV62" s="215"/>
      <c r="CW62" s="215"/>
      <c r="CX62" s="215"/>
      <c r="CY62" s="215"/>
      <c r="CZ62" s="215"/>
      <c r="DA62" s="215"/>
      <c r="DB62" s="215"/>
      <c r="DC62" s="215"/>
      <c r="DD62" s="215"/>
      <c r="DE62" s="215"/>
      <c r="DF62" s="215"/>
      <c r="DG62" s="217">
        <v>1.0</v>
      </c>
      <c r="DH62" s="215"/>
      <c r="DI62" s="200"/>
      <c r="DJ62" s="173"/>
      <c r="DK62" s="174"/>
      <c r="DL62" s="115"/>
      <c r="DM62" s="200"/>
      <c r="DN62" s="116"/>
      <c r="DO62" s="116"/>
      <c r="DP62" s="116"/>
      <c r="DQ62" s="116"/>
      <c r="DR62" s="116"/>
      <c r="DS62" s="116"/>
      <c r="DT62" s="116"/>
      <c r="DU62" s="116"/>
      <c r="DV62" s="116"/>
      <c r="DW62" s="116"/>
      <c r="DX62" s="116"/>
      <c r="DY62" s="116"/>
      <c r="DZ62" s="116"/>
      <c r="EA62" s="116"/>
      <c r="EB62" s="116"/>
      <c r="EC62" s="116"/>
      <c r="ED62" s="116"/>
      <c r="EE62" s="116"/>
      <c r="EF62" s="116"/>
      <c r="EG62" s="116"/>
      <c r="EH62" s="116"/>
      <c r="EI62" s="218"/>
      <c r="EJ62" s="218"/>
      <c r="EK62" s="218"/>
      <c r="EL62" s="218"/>
      <c r="EM62" s="116"/>
      <c r="EN62" s="116"/>
      <c r="EO62" s="116"/>
      <c r="EP62" s="116"/>
      <c r="EQ62" s="116"/>
      <c r="ER62" s="186"/>
      <c r="ES62" s="172"/>
      <c r="ET62" s="173"/>
    </row>
    <row r="63">
      <c r="A63" s="102" t="s">
        <v>104</v>
      </c>
      <c r="B63" s="93">
        <v>439.0</v>
      </c>
      <c r="C63" s="115"/>
      <c r="D63" s="215"/>
      <c r="E63" s="215"/>
      <c r="F63" s="215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94">
        <f t="shared" si="1"/>
        <v>0</v>
      </c>
      <c r="V63" s="173">
        <f t="shared" si="2"/>
        <v>0</v>
      </c>
      <c r="X63" s="115"/>
      <c r="Y63" s="215"/>
      <c r="Z63" s="215"/>
      <c r="AA63" s="215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94">
        <f t="shared" si="3"/>
        <v>0</v>
      </c>
      <c r="AY63" s="173">
        <f t="shared" si="4"/>
        <v>0</v>
      </c>
      <c r="AZ63" s="174"/>
      <c r="BA63" s="104"/>
      <c r="BB63" s="108"/>
      <c r="BC63" s="108"/>
      <c r="BD63" s="108"/>
      <c r="BE63" s="108"/>
      <c r="BF63" s="108"/>
      <c r="BG63" s="108"/>
      <c r="BH63" s="108"/>
      <c r="BI63" s="108"/>
      <c r="BJ63" s="108"/>
      <c r="BK63" s="108"/>
      <c r="BL63" s="108"/>
      <c r="BM63" s="108"/>
      <c r="BN63" s="108"/>
      <c r="BO63" s="108"/>
      <c r="BP63" s="108"/>
      <c r="BQ63" s="198"/>
      <c r="BR63" s="198"/>
      <c r="BS63" s="198"/>
      <c r="BT63" s="198"/>
      <c r="BU63" s="198"/>
      <c r="BV63" s="198"/>
      <c r="BW63" s="198"/>
      <c r="BX63" s="198"/>
      <c r="BY63" s="199">
        <v>1.0</v>
      </c>
      <c r="BZ63" s="215"/>
      <c r="CA63" s="200">
        <f t="shared" si="5"/>
        <v>1</v>
      </c>
      <c r="CB63" s="173">
        <f t="shared" si="6"/>
        <v>439</v>
      </c>
      <c r="CC63" s="174"/>
      <c r="CD63" s="115"/>
      <c r="CE63" s="215"/>
      <c r="CF63" s="215"/>
      <c r="CG63" s="215"/>
      <c r="CH63" s="207">
        <v>6.0</v>
      </c>
      <c r="CI63" s="215"/>
      <c r="CJ63" s="215"/>
      <c r="CK63" s="215"/>
      <c r="CL63" s="215"/>
      <c r="CM63" s="215"/>
      <c r="CN63" s="215"/>
      <c r="CO63" s="215"/>
      <c r="CP63" s="215"/>
      <c r="CQ63" s="215"/>
      <c r="CR63" s="215"/>
      <c r="CS63" s="215"/>
      <c r="CT63" s="215"/>
      <c r="CU63" s="215"/>
      <c r="CV63" s="215"/>
      <c r="CW63" s="215"/>
      <c r="CX63" s="215"/>
      <c r="CY63" s="215"/>
      <c r="CZ63" s="215"/>
      <c r="DA63" s="215"/>
      <c r="DB63" s="215"/>
      <c r="DC63" s="215"/>
      <c r="DD63" s="215"/>
      <c r="DE63" s="215"/>
      <c r="DF63" s="215"/>
      <c r="DG63" s="215"/>
      <c r="DH63" s="215"/>
      <c r="DI63" s="200"/>
      <c r="DJ63" s="173"/>
      <c r="DK63" s="174"/>
      <c r="DL63" s="115"/>
      <c r="DM63" s="215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218"/>
      <c r="EJ63" s="218"/>
      <c r="EK63" s="218"/>
      <c r="EL63" s="218"/>
      <c r="EM63" s="116"/>
      <c r="EN63" s="116"/>
      <c r="EO63" s="116"/>
      <c r="EP63" s="116"/>
      <c r="EQ63" s="116"/>
      <c r="ER63" s="186"/>
      <c r="ES63" s="172"/>
      <c r="ET63" s="173"/>
    </row>
    <row r="64">
      <c r="A64" s="102" t="s">
        <v>105</v>
      </c>
      <c r="B64" s="93">
        <v>439.0</v>
      </c>
      <c r="C64" s="115"/>
      <c r="D64" s="215"/>
      <c r="E64" s="215"/>
      <c r="F64" s="215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94">
        <f t="shared" si="1"/>
        <v>0</v>
      </c>
      <c r="V64" s="173">
        <f t="shared" si="2"/>
        <v>0</v>
      </c>
      <c r="X64" s="115"/>
      <c r="Y64" s="215"/>
      <c r="Z64" s="215"/>
      <c r="AA64" s="215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94">
        <f t="shared" si="3"/>
        <v>0</v>
      </c>
      <c r="AY64" s="173">
        <f t="shared" si="4"/>
        <v>0</v>
      </c>
      <c r="AZ64" s="174"/>
      <c r="BA64" s="104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98"/>
      <c r="BR64" s="198"/>
      <c r="BS64" s="198"/>
      <c r="BT64" s="198"/>
      <c r="BU64" s="198"/>
      <c r="BV64" s="198"/>
      <c r="BW64" s="198"/>
      <c r="BX64" s="198"/>
      <c r="BY64" s="198"/>
      <c r="BZ64" s="215"/>
      <c r="CA64" s="200">
        <f t="shared" si="5"/>
        <v>0</v>
      </c>
      <c r="CB64" s="173">
        <f t="shared" si="6"/>
        <v>0</v>
      </c>
      <c r="CC64" s="174"/>
      <c r="CD64" s="115"/>
      <c r="CE64" s="215"/>
      <c r="CF64" s="215"/>
      <c r="CG64" s="215"/>
      <c r="CH64" s="215"/>
      <c r="CI64" s="215"/>
      <c r="CJ64" s="215"/>
      <c r="CK64" s="215"/>
      <c r="CL64" s="215"/>
      <c r="CM64" s="215"/>
      <c r="CN64" s="215"/>
      <c r="CO64" s="215"/>
      <c r="CP64" s="215"/>
      <c r="CQ64" s="215"/>
      <c r="CR64" s="215"/>
      <c r="CS64" s="215"/>
      <c r="CT64" s="215"/>
      <c r="CU64" s="215"/>
      <c r="CV64" s="215"/>
      <c r="CW64" s="215"/>
      <c r="CX64" s="215"/>
      <c r="CY64" s="215"/>
      <c r="CZ64" s="215"/>
      <c r="DA64" s="215"/>
      <c r="DB64" s="215"/>
      <c r="DC64" s="215"/>
      <c r="DD64" s="215"/>
      <c r="DE64" s="215"/>
      <c r="DF64" s="215"/>
      <c r="DG64" s="215"/>
      <c r="DH64" s="215"/>
      <c r="DI64" s="200"/>
      <c r="DJ64" s="173"/>
      <c r="DK64" s="174"/>
      <c r="DL64" s="115"/>
      <c r="DM64" s="215"/>
      <c r="DN64" s="116"/>
      <c r="DO64" s="116"/>
      <c r="DP64" s="116"/>
      <c r="DQ64" s="116"/>
      <c r="DR64" s="116"/>
      <c r="DS64" s="116"/>
      <c r="DT64" s="116"/>
      <c r="DU64" s="116"/>
      <c r="DV64" s="116"/>
      <c r="DW64" s="116"/>
      <c r="DX64" s="116"/>
      <c r="DY64" s="116"/>
      <c r="DZ64" s="116"/>
      <c r="EA64" s="116"/>
      <c r="EB64" s="116"/>
      <c r="EC64" s="116"/>
      <c r="ED64" s="116"/>
      <c r="EE64" s="116"/>
      <c r="EF64" s="116"/>
      <c r="EG64" s="116"/>
      <c r="EH64" s="116"/>
      <c r="EI64" s="218"/>
      <c r="EJ64" s="218"/>
      <c r="EK64" s="218"/>
      <c r="EL64" s="218"/>
      <c r="EM64" s="116"/>
      <c r="EN64" s="116"/>
      <c r="EO64" s="116"/>
      <c r="EP64" s="116"/>
      <c r="EQ64" s="116"/>
      <c r="ER64" s="186"/>
      <c r="ES64" s="172"/>
      <c r="ET64" s="173"/>
    </row>
    <row r="65">
      <c r="A65" s="102" t="s">
        <v>106</v>
      </c>
      <c r="B65" s="93">
        <v>799.0</v>
      </c>
      <c r="C65" s="115"/>
      <c r="D65" s="215"/>
      <c r="E65" s="215"/>
      <c r="F65" s="215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94">
        <f t="shared" si="1"/>
        <v>0</v>
      </c>
      <c r="V65" s="173">
        <f t="shared" si="2"/>
        <v>0</v>
      </c>
      <c r="X65" s="115"/>
      <c r="Y65" s="215"/>
      <c r="Z65" s="215"/>
      <c r="AA65" s="215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94">
        <f t="shared" si="3"/>
        <v>0</v>
      </c>
      <c r="AY65" s="173">
        <f t="shared" si="4"/>
        <v>0</v>
      </c>
      <c r="AZ65" s="174"/>
      <c r="BA65" s="104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98"/>
      <c r="BR65" s="198"/>
      <c r="BS65" s="198"/>
      <c r="BT65" s="198"/>
      <c r="BU65" s="198"/>
      <c r="BV65" s="198"/>
      <c r="BW65" s="198"/>
      <c r="BX65" s="198"/>
      <c r="BY65" s="198"/>
      <c r="BZ65" s="215"/>
      <c r="CA65" s="200">
        <f t="shared" si="5"/>
        <v>0</v>
      </c>
      <c r="CB65" s="173">
        <f t="shared" si="6"/>
        <v>0</v>
      </c>
      <c r="CC65" s="174"/>
      <c r="CD65" s="115"/>
      <c r="CE65" s="215"/>
      <c r="CF65" s="215"/>
      <c r="CG65" s="215"/>
      <c r="CH65" s="215"/>
      <c r="CI65" s="215"/>
      <c r="CJ65" s="215"/>
      <c r="CK65" s="215"/>
      <c r="CL65" s="215"/>
      <c r="CM65" s="215"/>
      <c r="CN65" s="215"/>
      <c r="CO65" s="215"/>
      <c r="CP65" s="215"/>
      <c r="CQ65" s="215"/>
      <c r="CR65" s="215"/>
      <c r="CS65" s="215"/>
      <c r="CT65" s="215"/>
      <c r="CU65" s="215"/>
      <c r="CV65" s="215"/>
      <c r="CW65" s="215"/>
      <c r="CX65" s="215"/>
      <c r="CY65" s="215"/>
      <c r="CZ65" s="215"/>
      <c r="DA65" s="215"/>
      <c r="DB65" s="215"/>
      <c r="DC65" s="215"/>
      <c r="DD65" s="215"/>
      <c r="DE65" s="215"/>
      <c r="DF65" s="215"/>
      <c r="DG65" s="215"/>
      <c r="DH65" s="215"/>
      <c r="DI65" s="200"/>
      <c r="DJ65" s="173"/>
      <c r="DK65" s="174"/>
      <c r="DL65" s="115"/>
      <c r="DM65" s="215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218"/>
      <c r="EJ65" s="218"/>
      <c r="EK65" s="218"/>
      <c r="EL65" s="218"/>
      <c r="EM65" s="116"/>
      <c r="EN65" s="116"/>
      <c r="EO65" s="116"/>
      <c r="EP65" s="116"/>
      <c r="EQ65" s="116"/>
      <c r="ER65" s="186"/>
      <c r="ES65" s="172"/>
      <c r="ET65" s="173"/>
    </row>
    <row r="66">
      <c r="A66" s="102" t="s">
        <v>107</v>
      </c>
      <c r="B66" s="93">
        <v>799.0</v>
      </c>
      <c r="C66" s="115"/>
      <c r="D66" s="215"/>
      <c r="E66" s="215"/>
      <c r="F66" s="215"/>
      <c r="G66" s="171"/>
      <c r="H66" s="171"/>
      <c r="I66" s="195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94">
        <f t="shared" si="1"/>
        <v>0</v>
      </c>
      <c r="V66" s="173">
        <f t="shared" si="2"/>
        <v>0</v>
      </c>
      <c r="X66" s="115"/>
      <c r="Y66" s="215"/>
      <c r="Z66" s="215"/>
      <c r="AA66" s="215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95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94">
        <f t="shared" si="3"/>
        <v>0</v>
      </c>
      <c r="AY66" s="173">
        <f t="shared" si="4"/>
        <v>0</v>
      </c>
      <c r="AZ66" s="174"/>
      <c r="BA66" s="104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219">
        <v>1.0</v>
      </c>
      <c r="BO66" s="108"/>
      <c r="BP66" s="108"/>
      <c r="BQ66" s="198"/>
      <c r="BR66" s="198"/>
      <c r="BS66" s="198"/>
      <c r="BT66" s="198"/>
      <c r="BU66" s="198"/>
      <c r="BV66" s="198"/>
      <c r="BW66" s="198"/>
      <c r="BX66" s="198"/>
      <c r="BY66" s="198"/>
      <c r="BZ66" s="215"/>
      <c r="CA66" s="200">
        <f t="shared" si="5"/>
        <v>1</v>
      </c>
      <c r="CB66" s="173">
        <f t="shared" si="6"/>
        <v>799</v>
      </c>
      <c r="CC66" s="174"/>
      <c r="CD66" s="115"/>
      <c r="CE66" s="215"/>
      <c r="CF66" s="215"/>
      <c r="CG66" s="215"/>
      <c r="CH66" s="215"/>
      <c r="CI66" s="215"/>
      <c r="CJ66" s="215"/>
      <c r="CK66" s="215"/>
      <c r="CL66" s="215"/>
      <c r="CM66" s="215"/>
      <c r="CN66" s="215"/>
      <c r="CO66" s="215"/>
      <c r="CP66" s="215"/>
      <c r="CQ66" s="215"/>
      <c r="CR66" s="215"/>
      <c r="CS66" s="215"/>
      <c r="CT66" s="215"/>
      <c r="CU66" s="215"/>
      <c r="CV66" s="215"/>
      <c r="CW66" s="215"/>
      <c r="CX66" s="215"/>
      <c r="CY66" s="215"/>
      <c r="CZ66" s="215"/>
      <c r="DA66" s="215"/>
      <c r="DB66" s="215"/>
      <c r="DC66" s="215"/>
      <c r="DD66" s="215"/>
      <c r="DE66" s="215"/>
      <c r="DF66" s="215"/>
      <c r="DG66" s="215"/>
      <c r="DH66" s="215"/>
      <c r="DI66" s="200"/>
      <c r="DJ66" s="173"/>
      <c r="DK66" s="174"/>
      <c r="DL66" s="115"/>
      <c r="DM66" s="215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218"/>
      <c r="EJ66" s="218"/>
      <c r="EK66" s="218"/>
      <c r="EL66" s="218"/>
      <c r="EM66" s="116"/>
      <c r="EN66" s="116"/>
      <c r="EO66" s="116"/>
      <c r="EP66" s="116"/>
      <c r="EQ66" s="116"/>
      <c r="ER66" s="186"/>
      <c r="ES66" s="172"/>
      <c r="ET66" s="173"/>
    </row>
    <row r="67">
      <c r="A67" s="102" t="s">
        <v>108</v>
      </c>
      <c r="B67" s="93">
        <v>799.0</v>
      </c>
      <c r="C67" s="115"/>
      <c r="D67" s="215"/>
      <c r="E67" s="215"/>
      <c r="F67" s="215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94">
        <f t="shared" si="1"/>
        <v>0</v>
      </c>
      <c r="V67" s="173">
        <f t="shared" si="2"/>
        <v>0</v>
      </c>
      <c r="X67" s="115"/>
      <c r="Y67" s="215"/>
      <c r="Z67" s="215"/>
      <c r="AA67" s="215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94">
        <f t="shared" si="3"/>
        <v>0</v>
      </c>
      <c r="AY67" s="173">
        <f t="shared" si="4"/>
        <v>0</v>
      </c>
      <c r="AZ67" s="174"/>
      <c r="BA67" s="104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98"/>
      <c r="BR67" s="198"/>
      <c r="BS67" s="198"/>
      <c r="BT67" s="198"/>
      <c r="BU67" s="198"/>
      <c r="BV67" s="198"/>
      <c r="BW67" s="198"/>
      <c r="BX67" s="198"/>
      <c r="BY67" s="198"/>
      <c r="BZ67" s="215"/>
      <c r="CA67" s="200">
        <f t="shared" si="5"/>
        <v>0</v>
      </c>
      <c r="CB67" s="173">
        <f t="shared" si="6"/>
        <v>0</v>
      </c>
      <c r="CC67" s="174"/>
      <c r="CD67" s="115"/>
      <c r="CE67" s="215"/>
      <c r="CF67" s="215"/>
      <c r="CG67" s="215"/>
      <c r="CH67" s="215"/>
      <c r="CI67" s="215"/>
      <c r="CJ67" s="215"/>
      <c r="CK67" s="215"/>
      <c r="CL67" s="215"/>
      <c r="CM67" s="215"/>
      <c r="CN67" s="215"/>
      <c r="CO67" s="215"/>
      <c r="CP67" s="215"/>
      <c r="CQ67" s="215"/>
      <c r="CR67" s="215"/>
      <c r="CS67" s="215"/>
      <c r="CT67" s="215"/>
      <c r="CU67" s="215"/>
      <c r="CV67" s="215"/>
      <c r="CW67" s="215"/>
      <c r="CX67" s="215"/>
      <c r="CY67" s="215"/>
      <c r="CZ67" s="215"/>
      <c r="DA67" s="215"/>
      <c r="DB67" s="215"/>
      <c r="DC67" s="215"/>
      <c r="DD67" s="215"/>
      <c r="DE67" s="215"/>
      <c r="DF67" s="215"/>
      <c r="DG67" s="215"/>
      <c r="DH67" s="215"/>
      <c r="DI67" s="200"/>
      <c r="DJ67" s="173"/>
      <c r="DK67" s="174"/>
      <c r="DL67" s="115"/>
      <c r="DM67" s="215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218"/>
      <c r="EJ67" s="218"/>
      <c r="EK67" s="218"/>
      <c r="EL67" s="218"/>
      <c r="EM67" s="116"/>
      <c r="EN67" s="116"/>
      <c r="EO67" s="116"/>
      <c r="EP67" s="116"/>
      <c r="EQ67" s="116"/>
      <c r="ER67" s="186"/>
      <c r="ES67" s="172"/>
      <c r="ET67" s="173"/>
    </row>
    <row r="68">
      <c r="A68" s="102" t="s">
        <v>109</v>
      </c>
      <c r="B68" s="96">
        <v>1299.0</v>
      </c>
      <c r="C68" s="115"/>
      <c r="D68" s="215"/>
      <c r="E68" s="215"/>
      <c r="F68" s="215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94">
        <f t="shared" si="1"/>
        <v>0</v>
      </c>
      <c r="V68" s="173">
        <f t="shared" si="2"/>
        <v>0</v>
      </c>
      <c r="X68" s="115"/>
      <c r="Y68" s="215"/>
      <c r="Z68" s="215"/>
      <c r="AA68" s="215"/>
      <c r="AB68" s="171"/>
      <c r="AC68" s="171"/>
      <c r="AD68" s="171"/>
      <c r="AE68" s="171"/>
      <c r="AF68" s="171"/>
      <c r="AG68" s="171"/>
      <c r="AH68" s="171"/>
      <c r="AI68" s="171"/>
      <c r="AJ68" s="171"/>
      <c r="AK68" s="196">
        <v>1.0</v>
      </c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94">
        <f t="shared" si="3"/>
        <v>1</v>
      </c>
      <c r="AY68" s="173">
        <f t="shared" si="4"/>
        <v>1299</v>
      </c>
      <c r="AZ68" s="174"/>
      <c r="BA68" s="104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98"/>
      <c r="BR68" s="198"/>
      <c r="BS68" s="198"/>
      <c r="BT68" s="198"/>
      <c r="BU68" s="198"/>
      <c r="BV68" s="198"/>
      <c r="BW68" s="198"/>
      <c r="BX68" s="198"/>
      <c r="BY68" s="198"/>
      <c r="BZ68" s="215"/>
      <c r="CA68" s="200">
        <f t="shared" si="5"/>
        <v>0</v>
      </c>
      <c r="CB68" s="173">
        <f t="shared" si="6"/>
        <v>0</v>
      </c>
      <c r="CC68" s="174"/>
      <c r="CD68" s="115"/>
      <c r="CE68" s="215"/>
      <c r="CF68" s="215"/>
      <c r="CG68" s="215"/>
      <c r="CH68" s="215"/>
      <c r="CI68" s="215"/>
      <c r="CJ68" s="215"/>
      <c r="CK68" s="215"/>
      <c r="CL68" s="215"/>
      <c r="CM68" s="215"/>
      <c r="CN68" s="215"/>
      <c r="CO68" s="215"/>
      <c r="CP68" s="215"/>
      <c r="CQ68" s="215"/>
      <c r="CR68" s="215"/>
      <c r="CS68" s="215"/>
      <c r="CT68" s="215"/>
      <c r="CU68" s="215"/>
      <c r="CV68" s="215"/>
      <c r="CW68" s="215"/>
      <c r="CX68" s="215"/>
      <c r="CY68" s="215"/>
      <c r="CZ68" s="215"/>
      <c r="DA68" s="215"/>
      <c r="DB68" s="215"/>
      <c r="DC68" s="215"/>
      <c r="DD68" s="215"/>
      <c r="DE68" s="215"/>
      <c r="DF68" s="215"/>
      <c r="DG68" s="215"/>
      <c r="DH68" s="215"/>
      <c r="DI68" s="200"/>
      <c r="DJ68" s="173"/>
      <c r="DK68" s="174"/>
      <c r="DL68" s="115"/>
      <c r="DM68" s="215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218"/>
      <c r="EJ68" s="218"/>
      <c r="EK68" s="218"/>
      <c r="EL68" s="218"/>
      <c r="EM68" s="116"/>
      <c r="EN68" s="116"/>
      <c r="EO68" s="116"/>
      <c r="EP68" s="116"/>
      <c r="EQ68" s="116"/>
      <c r="ER68" s="186"/>
      <c r="ES68" s="172"/>
      <c r="ET68" s="173"/>
    </row>
    <row r="69">
      <c r="A69" s="102" t="s">
        <v>110</v>
      </c>
      <c r="B69" s="96">
        <v>1299.0</v>
      </c>
      <c r="C69" s="115"/>
      <c r="D69" s="215"/>
      <c r="E69" s="215"/>
      <c r="F69" s="215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94">
        <f t="shared" si="1"/>
        <v>0</v>
      </c>
      <c r="V69" s="173">
        <f t="shared" si="2"/>
        <v>0</v>
      </c>
      <c r="X69" s="115"/>
      <c r="Y69" s="215"/>
      <c r="Z69" s="215"/>
      <c r="AA69" s="215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94">
        <f t="shared" si="3"/>
        <v>0</v>
      </c>
      <c r="AY69" s="173">
        <f t="shared" si="4"/>
        <v>0</v>
      </c>
      <c r="AZ69" s="174"/>
      <c r="BA69" s="104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98"/>
      <c r="BR69" s="198"/>
      <c r="BS69" s="198"/>
      <c r="BT69" s="198"/>
      <c r="BU69" s="198"/>
      <c r="BV69" s="198"/>
      <c r="BW69" s="198"/>
      <c r="BX69" s="198"/>
      <c r="BY69" s="198"/>
      <c r="BZ69" s="215"/>
      <c r="CA69" s="200">
        <f t="shared" si="5"/>
        <v>0</v>
      </c>
      <c r="CB69" s="173">
        <f t="shared" si="6"/>
        <v>0</v>
      </c>
      <c r="CC69" s="174"/>
      <c r="CD69" s="115"/>
      <c r="CE69" s="215"/>
      <c r="CF69" s="215"/>
      <c r="CG69" s="215"/>
      <c r="CH69" s="215"/>
      <c r="CI69" s="215"/>
      <c r="CJ69" s="215"/>
      <c r="CK69" s="215"/>
      <c r="CL69" s="215"/>
      <c r="CM69" s="215"/>
      <c r="CN69" s="215"/>
      <c r="CO69" s="215"/>
      <c r="CP69" s="215"/>
      <c r="CQ69" s="215"/>
      <c r="CR69" s="215"/>
      <c r="CS69" s="215"/>
      <c r="CT69" s="215"/>
      <c r="CU69" s="215"/>
      <c r="CV69" s="215"/>
      <c r="CW69" s="215"/>
      <c r="CX69" s="215"/>
      <c r="CY69" s="215"/>
      <c r="CZ69" s="215"/>
      <c r="DA69" s="215"/>
      <c r="DB69" s="215"/>
      <c r="DC69" s="215"/>
      <c r="DD69" s="215"/>
      <c r="DE69" s="215"/>
      <c r="DF69" s="215"/>
      <c r="DG69" s="215"/>
      <c r="DH69" s="215"/>
      <c r="DI69" s="200"/>
      <c r="DJ69" s="173"/>
      <c r="DK69" s="174"/>
      <c r="DL69" s="115"/>
      <c r="DM69" s="215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218"/>
      <c r="EJ69" s="218"/>
      <c r="EK69" s="218"/>
      <c r="EL69" s="218"/>
      <c r="EM69" s="116"/>
      <c r="EN69" s="116"/>
      <c r="EO69" s="116"/>
      <c r="EP69" s="116"/>
      <c r="EQ69" s="116"/>
      <c r="ER69" s="186"/>
      <c r="ES69" s="172"/>
      <c r="ET69" s="173"/>
    </row>
    <row r="70">
      <c r="A70" s="101" t="s">
        <v>111</v>
      </c>
      <c r="B70" s="96">
        <v>1299.0</v>
      </c>
      <c r="C70" s="115"/>
      <c r="D70" s="215"/>
      <c r="E70" s="215"/>
      <c r="F70" s="215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94">
        <f t="shared" si="1"/>
        <v>0</v>
      </c>
      <c r="V70" s="173">
        <f t="shared" si="2"/>
        <v>0</v>
      </c>
      <c r="X70" s="115"/>
      <c r="Y70" s="215"/>
      <c r="Z70" s="215"/>
      <c r="AA70" s="215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94">
        <f t="shared" si="3"/>
        <v>0</v>
      </c>
      <c r="AY70" s="173">
        <f t="shared" si="4"/>
        <v>0</v>
      </c>
      <c r="AZ70" s="174"/>
      <c r="BA70" s="104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219">
        <v>1.0</v>
      </c>
      <c r="BN70" s="108"/>
      <c r="BO70" s="108"/>
      <c r="BP70" s="108"/>
      <c r="BQ70" s="198"/>
      <c r="BR70" s="198"/>
      <c r="BS70" s="198"/>
      <c r="BT70" s="198"/>
      <c r="BU70" s="198"/>
      <c r="BV70" s="198"/>
      <c r="BW70" s="198"/>
      <c r="BX70" s="198"/>
      <c r="BY70" s="198"/>
      <c r="BZ70" s="215"/>
      <c r="CA70" s="200">
        <f t="shared" si="5"/>
        <v>1</v>
      </c>
      <c r="CB70" s="173">
        <f t="shared" si="6"/>
        <v>1299</v>
      </c>
      <c r="CC70" s="174"/>
      <c r="CD70" s="1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00"/>
      <c r="DJ70" s="173"/>
      <c r="DK70" s="174"/>
      <c r="DL70" s="115"/>
      <c r="DM70" s="215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218"/>
      <c r="EJ70" s="218"/>
      <c r="EK70" s="218"/>
      <c r="EL70" s="218"/>
      <c r="EM70" s="116"/>
      <c r="EN70" s="116"/>
      <c r="EO70" s="116"/>
      <c r="EP70" s="116"/>
      <c r="EQ70" s="116"/>
      <c r="ER70" s="186"/>
      <c r="ES70" s="172"/>
      <c r="ET70" s="173"/>
    </row>
    <row r="71">
      <c r="A71" s="101" t="s">
        <v>112</v>
      </c>
      <c r="B71" s="93">
        <v>609.0</v>
      </c>
      <c r="C71" s="115"/>
      <c r="D71" s="215"/>
      <c r="E71" s="215"/>
      <c r="F71" s="215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94">
        <f t="shared" si="1"/>
        <v>0</v>
      </c>
      <c r="V71" s="173">
        <f t="shared" si="2"/>
        <v>0</v>
      </c>
      <c r="X71" s="115"/>
      <c r="Y71" s="215"/>
      <c r="Z71" s="217">
        <v>1.0</v>
      </c>
      <c r="AA71" s="215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94">
        <f t="shared" si="3"/>
        <v>1</v>
      </c>
      <c r="AY71" s="173">
        <f t="shared" si="4"/>
        <v>609</v>
      </c>
      <c r="AZ71" s="174"/>
      <c r="BA71" s="104"/>
      <c r="BB71" s="108"/>
      <c r="BC71" s="108"/>
      <c r="BD71" s="108"/>
      <c r="BE71" s="108"/>
      <c r="BF71" s="108"/>
      <c r="BG71" s="219">
        <v>1.0</v>
      </c>
      <c r="BH71" s="108"/>
      <c r="BI71" s="108"/>
      <c r="BJ71" s="108"/>
      <c r="BK71" s="108"/>
      <c r="BL71" s="108"/>
      <c r="BM71" s="108"/>
      <c r="BN71" s="108"/>
      <c r="BO71" s="108"/>
      <c r="BP71" s="108"/>
      <c r="BQ71" s="198"/>
      <c r="BR71" s="198"/>
      <c r="BS71" s="198"/>
      <c r="BT71" s="198"/>
      <c r="BU71" s="198"/>
      <c r="BV71" s="198"/>
      <c r="BW71" s="198"/>
      <c r="BX71" s="198"/>
      <c r="BY71" s="198"/>
      <c r="BZ71" s="215"/>
      <c r="CA71" s="200">
        <f t="shared" si="5"/>
        <v>1</v>
      </c>
      <c r="CB71" s="173">
        <f t="shared" si="6"/>
        <v>609</v>
      </c>
      <c r="CC71" s="174"/>
      <c r="CD71" s="115"/>
      <c r="CE71" s="215"/>
      <c r="CF71" s="215"/>
      <c r="CG71" s="215"/>
      <c r="CH71" s="215"/>
      <c r="CI71" s="215"/>
      <c r="CJ71" s="215"/>
      <c r="CK71" s="215"/>
      <c r="CL71" s="215"/>
      <c r="CM71" s="215"/>
      <c r="CN71" s="215"/>
      <c r="CO71" s="215"/>
      <c r="CP71" s="215"/>
      <c r="CQ71" s="215"/>
      <c r="CR71" s="215"/>
      <c r="CS71" s="215"/>
      <c r="CT71" s="215"/>
      <c r="CU71" s="215"/>
      <c r="CV71" s="215"/>
      <c r="CW71" s="215"/>
      <c r="CX71" s="215"/>
      <c r="CY71" s="215"/>
      <c r="CZ71" s="215"/>
      <c r="DA71" s="215"/>
      <c r="DB71" s="215"/>
      <c r="DC71" s="215"/>
      <c r="DD71" s="215"/>
      <c r="DE71" s="215"/>
      <c r="DF71" s="217">
        <v>1.0</v>
      </c>
      <c r="DG71" s="215"/>
      <c r="DH71" s="215"/>
      <c r="DI71" s="200"/>
      <c r="DJ71" s="173"/>
      <c r="DK71" s="174"/>
      <c r="DL71" s="115"/>
      <c r="DM71" s="215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202">
        <v>1.0</v>
      </c>
      <c r="EG71" s="116"/>
      <c r="EH71" s="116"/>
      <c r="EI71" s="218"/>
      <c r="EJ71" s="218"/>
      <c r="EK71" s="218"/>
      <c r="EL71" s="218"/>
      <c r="EM71" s="116"/>
      <c r="EN71" s="116"/>
      <c r="EO71" s="116"/>
      <c r="EP71" s="116"/>
      <c r="EQ71" s="116"/>
      <c r="ER71" s="186"/>
      <c r="ES71" s="172"/>
      <c r="ET71" s="173"/>
    </row>
    <row r="72">
      <c r="A72" s="101" t="s">
        <v>113</v>
      </c>
      <c r="B72" s="187">
        <v>1599.0</v>
      </c>
      <c r="C72" s="115"/>
      <c r="D72" s="215"/>
      <c r="E72" s="215"/>
      <c r="F72" s="215"/>
      <c r="G72" s="171"/>
      <c r="H72" s="171"/>
      <c r="I72" s="171"/>
      <c r="J72" s="171"/>
      <c r="K72" s="196">
        <v>2.0</v>
      </c>
      <c r="L72" s="171"/>
      <c r="M72" s="171"/>
      <c r="N72" s="171"/>
      <c r="O72" s="171"/>
      <c r="P72" s="171"/>
      <c r="Q72" s="171"/>
      <c r="R72" s="171"/>
      <c r="S72" s="171"/>
      <c r="T72" s="171"/>
      <c r="U72" s="94">
        <f t="shared" si="1"/>
        <v>2</v>
      </c>
      <c r="V72" s="173">
        <f t="shared" si="2"/>
        <v>3198</v>
      </c>
      <c r="X72" s="115"/>
      <c r="Y72" s="215"/>
      <c r="Z72" s="215"/>
      <c r="AA72" s="215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94">
        <f t="shared" si="3"/>
        <v>0</v>
      </c>
      <c r="AY72" s="173">
        <f t="shared" si="4"/>
        <v>0</v>
      </c>
      <c r="AZ72" s="174"/>
      <c r="BA72" s="104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98"/>
      <c r="BR72" s="198"/>
      <c r="BS72" s="198"/>
      <c r="BT72" s="198"/>
      <c r="BU72" s="198"/>
      <c r="BV72" s="198"/>
      <c r="BW72" s="198"/>
      <c r="BX72" s="198"/>
      <c r="BY72" s="198"/>
      <c r="BZ72" s="215"/>
      <c r="CA72" s="200">
        <f t="shared" si="5"/>
        <v>0</v>
      </c>
      <c r="CB72" s="173">
        <f t="shared" si="6"/>
        <v>0</v>
      </c>
      <c r="CC72" s="174"/>
      <c r="CD72" s="115"/>
      <c r="CE72" s="215"/>
      <c r="CF72" s="215"/>
      <c r="CG72" s="215"/>
      <c r="CH72" s="215"/>
      <c r="CI72" s="215"/>
      <c r="CJ72" s="215"/>
      <c r="CK72" s="215"/>
      <c r="CL72" s="215"/>
      <c r="CM72" s="215"/>
      <c r="CN72" s="215"/>
      <c r="CO72" s="215"/>
      <c r="CP72" s="215"/>
      <c r="CQ72" s="215"/>
      <c r="CR72" s="215"/>
      <c r="CS72" s="215"/>
      <c r="CT72" s="215"/>
      <c r="CU72" s="215"/>
      <c r="CV72" s="215"/>
      <c r="CW72" s="215"/>
      <c r="CX72" s="215"/>
      <c r="CY72" s="215"/>
      <c r="CZ72" s="215"/>
      <c r="DA72" s="215"/>
      <c r="DB72" s="215"/>
      <c r="DC72" s="215"/>
      <c r="DD72" s="215"/>
      <c r="DE72" s="215"/>
      <c r="DF72" s="215"/>
      <c r="DG72" s="215"/>
      <c r="DH72" s="215"/>
      <c r="DI72" s="200"/>
      <c r="DJ72" s="173"/>
      <c r="DK72" s="174"/>
      <c r="DL72" s="115"/>
      <c r="DM72" s="215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218"/>
      <c r="EJ72" s="218"/>
      <c r="EK72" s="218"/>
      <c r="EL72" s="218"/>
      <c r="EM72" s="116"/>
      <c r="EN72" s="116"/>
      <c r="EO72" s="116"/>
      <c r="EP72" s="116"/>
      <c r="EQ72" s="116"/>
      <c r="ER72" s="186"/>
      <c r="ES72" s="172"/>
      <c r="ET72" s="173"/>
    </row>
    <row r="73">
      <c r="A73" s="101" t="s">
        <v>114</v>
      </c>
      <c r="B73" s="224">
        <v>1599.0</v>
      </c>
      <c r="C73" s="115"/>
      <c r="D73" s="215"/>
      <c r="E73" s="215"/>
      <c r="F73" s="215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94">
        <f t="shared" si="1"/>
        <v>0</v>
      </c>
      <c r="V73" s="173">
        <f t="shared" si="2"/>
        <v>0</v>
      </c>
      <c r="X73" s="115"/>
      <c r="Y73" s="215"/>
      <c r="Z73" s="215"/>
      <c r="AA73" s="215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94">
        <f t="shared" si="3"/>
        <v>0</v>
      </c>
      <c r="AY73" s="173">
        <f t="shared" si="4"/>
        <v>0</v>
      </c>
      <c r="AZ73" s="174"/>
      <c r="BA73" s="104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98"/>
      <c r="BR73" s="198"/>
      <c r="BS73" s="198"/>
      <c r="BT73" s="198"/>
      <c r="BU73" s="198"/>
      <c r="BV73" s="198"/>
      <c r="BW73" s="198"/>
      <c r="BX73" s="198"/>
      <c r="BY73" s="198"/>
      <c r="BZ73" s="215"/>
      <c r="CA73" s="200">
        <f t="shared" si="5"/>
        <v>0</v>
      </c>
      <c r="CB73" s="173">
        <f t="shared" si="6"/>
        <v>0</v>
      </c>
      <c r="CC73" s="174"/>
      <c r="CD73" s="115"/>
      <c r="CE73" s="215"/>
      <c r="CF73" s="215"/>
      <c r="CG73" s="215"/>
      <c r="CH73" s="215"/>
      <c r="CI73" s="215"/>
      <c r="CJ73" s="215"/>
      <c r="CK73" s="215"/>
      <c r="CL73" s="215"/>
      <c r="CM73" s="215"/>
      <c r="CN73" s="215"/>
      <c r="CO73" s="215"/>
      <c r="CP73" s="215"/>
      <c r="CQ73" s="215"/>
      <c r="CR73" s="215"/>
      <c r="CS73" s="215"/>
      <c r="CT73" s="215"/>
      <c r="CU73" s="215"/>
      <c r="CV73" s="215"/>
      <c r="CW73" s="215"/>
      <c r="CX73" s="215"/>
      <c r="CY73" s="215"/>
      <c r="CZ73" s="215"/>
      <c r="DA73" s="215"/>
      <c r="DB73" s="215"/>
      <c r="DC73" s="215"/>
      <c r="DD73" s="215"/>
      <c r="DE73" s="215"/>
      <c r="DF73" s="215"/>
      <c r="DG73" s="215"/>
      <c r="DH73" s="215"/>
      <c r="DI73" s="200"/>
      <c r="DJ73" s="173"/>
      <c r="DK73" s="174"/>
      <c r="DL73" s="115"/>
      <c r="DM73" s="215"/>
      <c r="DN73" s="116"/>
      <c r="DO73" s="116"/>
      <c r="DP73" s="116"/>
      <c r="DQ73" s="116"/>
      <c r="DR73" s="116"/>
      <c r="DS73" s="116"/>
      <c r="DT73" s="116"/>
      <c r="DU73" s="116"/>
      <c r="DV73" s="116"/>
      <c r="DW73" s="116"/>
      <c r="DX73" s="116"/>
      <c r="DY73" s="116"/>
      <c r="DZ73" s="116"/>
      <c r="EA73" s="116"/>
      <c r="EB73" s="116"/>
      <c r="EC73" s="116"/>
      <c r="ED73" s="116"/>
      <c r="EE73" s="116"/>
      <c r="EF73" s="116"/>
      <c r="EG73" s="116"/>
      <c r="EH73" s="116"/>
      <c r="EI73" s="218"/>
      <c r="EJ73" s="218"/>
      <c r="EK73" s="218"/>
      <c r="EL73" s="218"/>
      <c r="EM73" s="116"/>
      <c r="EN73" s="116"/>
      <c r="EO73" s="116"/>
      <c r="EP73" s="116"/>
      <c r="EQ73" s="116"/>
      <c r="ER73" s="186"/>
      <c r="ES73" s="172"/>
      <c r="ET73" s="173"/>
    </row>
    <row r="74">
      <c r="A74" s="101" t="s">
        <v>115</v>
      </c>
      <c r="B74" s="225">
        <v>1599.0</v>
      </c>
      <c r="C74" s="115"/>
      <c r="D74" s="215"/>
      <c r="E74" s="215"/>
      <c r="F74" s="215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94">
        <f t="shared" si="1"/>
        <v>0</v>
      </c>
      <c r="V74" s="173">
        <f t="shared" si="2"/>
        <v>0</v>
      </c>
      <c r="X74" s="115"/>
      <c r="Y74" s="215"/>
      <c r="Z74" s="215"/>
      <c r="AA74" s="215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94">
        <f t="shared" si="3"/>
        <v>0</v>
      </c>
      <c r="AY74" s="173">
        <f t="shared" si="4"/>
        <v>0</v>
      </c>
      <c r="AZ74" s="174"/>
      <c r="BA74" s="104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98"/>
      <c r="BR74" s="198"/>
      <c r="BS74" s="198"/>
      <c r="BT74" s="198"/>
      <c r="BU74" s="198"/>
      <c r="BV74" s="198"/>
      <c r="BW74" s="198"/>
      <c r="BX74" s="198"/>
      <c r="BY74" s="198"/>
      <c r="BZ74" s="215"/>
      <c r="CA74" s="200">
        <f t="shared" si="5"/>
        <v>0</v>
      </c>
      <c r="CB74" s="173">
        <f t="shared" si="6"/>
        <v>0</v>
      </c>
      <c r="CC74" s="174"/>
      <c r="CD74" s="115"/>
      <c r="CE74" s="215"/>
      <c r="CF74" s="215"/>
      <c r="CG74" s="215"/>
      <c r="CH74" s="215"/>
      <c r="CI74" s="215"/>
      <c r="CJ74" s="215"/>
      <c r="CK74" s="215"/>
      <c r="CL74" s="215"/>
      <c r="CM74" s="215"/>
      <c r="CN74" s="215"/>
      <c r="CO74" s="215"/>
      <c r="CP74" s="215"/>
      <c r="CQ74" s="215"/>
      <c r="CR74" s="215"/>
      <c r="CS74" s="215"/>
      <c r="CT74" s="215"/>
      <c r="CU74" s="215"/>
      <c r="CV74" s="215"/>
      <c r="CW74" s="215"/>
      <c r="CX74" s="215"/>
      <c r="CY74" s="215"/>
      <c r="CZ74" s="215"/>
      <c r="DA74" s="215"/>
      <c r="DB74" s="215"/>
      <c r="DC74" s="215"/>
      <c r="DD74" s="215"/>
      <c r="DE74" s="215"/>
      <c r="DF74" s="215"/>
      <c r="DG74" s="215"/>
      <c r="DH74" s="215"/>
      <c r="DI74" s="200"/>
      <c r="DJ74" s="173"/>
      <c r="DK74" s="174"/>
      <c r="DL74" s="115"/>
      <c r="DM74" s="215"/>
      <c r="DN74" s="116"/>
      <c r="DO74" s="116"/>
      <c r="DP74" s="116"/>
      <c r="DQ74" s="116"/>
      <c r="DR74" s="116"/>
      <c r="DS74" s="116"/>
      <c r="DT74" s="116"/>
      <c r="DU74" s="116"/>
      <c r="DV74" s="116"/>
      <c r="DW74" s="116"/>
      <c r="DX74" s="116"/>
      <c r="DY74" s="116"/>
      <c r="DZ74" s="116"/>
      <c r="EA74" s="116"/>
      <c r="EB74" s="116"/>
      <c r="EC74" s="116"/>
      <c r="ED74" s="116"/>
      <c r="EE74" s="116"/>
      <c r="EF74" s="116"/>
      <c r="EG74" s="116"/>
      <c r="EH74" s="116"/>
      <c r="EI74" s="218"/>
      <c r="EJ74" s="218"/>
      <c r="EK74" s="218"/>
      <c r="EL74" s="218"/>
      <c r="EM74" s="116"/>
      <c r="EN74" s="116"/>
      <c r="EO74" s="116"/>
      <c r="EP74" s="116"/>
      <c r="EQ74" s="116"/>
      <c r="ER74" s="186"/>
      <c r="ES74" s="172"/>
      <c r="ET74" s="173"/>
    </row>
    <row r="75">
      <c r="A75" s="101" t="s">
        <v>116</v>
      </c>
      <c r="B75" s="108"/>
      <c r="C75" s="115"/>
      <c r="D75" s="215"/>
      <c r="E75" s="215"/>
      <c r="F75" s="116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94">
        <f t="shared" si="1"/>
        <v>0</v>
      </c>
      <c r="V75" s="173">
        <f t="shared" si="2"/>
        <v>0</v>
      </c>
      <c r="X75" s="115"/>
      <c r="Y75" s="215"/>
      <c r="Z75" s="215"/>
      <c r="AA75" s="116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94">
        <f t="shared" si="3"/>
        <v>0</v>
      </c>
      <c r="AY75" s="173">
        <f t="shared" si="4"/>
        <v>0</v>
      </c>
      <c r="AZ75" s="174"/>
      <c r="BA75" s="104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98"/>
      <c r="BR75" s="198"/>
      <c r="BS75" s="198"/>
      <c r="BT75" s="198"/>
      <c r="BU75" s="198"/>
      <c r="BV75" s="198"/>
      <c r="BW75" s="198"/>
      <c r="BX75" s="198"/>
      <c r="BY75" s="198"/>
      <c r="BZ75" s="217"/>
      <c r="CA75" s="200">
        <f t="shared" si="5"/>
        <v>0</v>
      </c>
      <c r="CB75" s="173">
        <f t="shared" si="6"/>
        <v>0</v>
      </c>
      <c r="CC75" s="174"/>
      <c r="CD75" s="222"/>
      <c r="CE75" s="215"/>
      <c r="CF75" s="215"/>
      <c r="CG75" s="215"/>
      <c r="CH75" s="215"/>
      <c r="CI75" s="215"/>
      <c r="CJ75" s="215"/>
      <c r="CK75" s="215"/>
      <c r="CL75" s="215"/>
      <c r="CM75" s="215"/>
      <c r="CN75" s="215"/>
      <c r="CO75" s="215"/>
      <c r="CP75" s="215"/>
      <c r="CQ75" s="215"/>
      <c r="CR75" s="215"/>
      <c r="CS75" s="215"/>
      <c r="CT75" s="215"/>
      <c r="CU75" s="215"/>
      <c r="CV75" s="215"/>
      <c r="CW75" s="215"/>
      <c r="CX75" s="215"/>
      <c r="CY75" s="215"/>
      <c r="CZ75" s="215"/>
      <c r="DA75" s="215"/>
      <c r="DB75" s="215"/>
      <c r="DC75" s="215"/>
      <c r="DD75" s="215"/>
      <c r="DE75" s="215"/>
      <c r="DF75" s="215"/>
      <c r="DG75" s="215"/>
      <c r="DH75" s="215"/>
      <c r="DI75" s="200"/>
      <c r="DJ75" s="173"/>
      <c r="DK75" s="174"/>
      <c r="DL75" s="115"/>
      <c r="DM75" s="215"/>
      <c r="DN75" s="116"/>
      <c r="DO75" s="116"/>
      <c r="DP75" s="116"/>
      <c r="DQ75" s="116"/>
      <c r="DR75" s="116"/>
      <c r="DS75" s="116"/>
      <c r="DT75" s="116"/>
      <c r="DU75" s="116"/>
      <c r="DV75" s="116"/>
      <c r="DW75" s="116"/>
      <c r="DX75" s="116"/>
      <c r="DY75" s="116"/>
      <c r="DZ75" s="116"/>
      <c r="EA75" s="116"/>
      <c r="EB75" s="116"/>
      <c r="EC75" s="116"/>
      <c r="ED75" s="116"/>
      <c r="EE75" s="116"/>
      <c r="EF75" s="116"/>
      <c r="EG75" s="116"/>
      <c r="EH75" s="116"/>
      <c r="EI75" s="218"/>
      <c r="EJ75" s="218"/>
      <c r="EK75" s="218"/>
      <c r="EL75" s="218"/>
      <c r="EM75" s="116"/>
      <c r="EN75" s="116"/>
      <c r="EO75" s="116"/>
      <c r="EP75" s="116"/>
      <c r="EQ75" s="116"/>
      <c r="ER75" s="186"/>
      <c r="ES75" s="172"/>
      <c r="ET75" s="173"/>
    </row>
    <row r="76">
      <c r="A76" s="109"/>
      <c r="B76" s="108"/>
      <c r="C76" s="115"/>
      <c r="D76" s="215"/>
      <c r="E76" s="215"/>
      <c r="F76" s="116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94">
        <f t="shared" si="1"/>
        <v>0</v>
      </c>
      <c r="V76" s="173">
        <f t="shared" si="2"/>
        <v>0</v>
      </c>
      <c r="X76" s="115"/>
      <c r="Y76" s="215"/>
      <c r="Z76" s="215"/>
      <c r="AA76" s="116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94">
        <f t="shared" si="3"/>
        <v>0</v>
      </c>
      <c r="AY76" s="173">
        <f t="shared" si="4"/>
        <v>0</v>
      </c>
      <c r="AZ76" s="174"/>
      <c r="BA76" s="104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98"/>
      <c r="BR76" s="198"/>
      <c r="BS76" s="198"/>
      <c r="BT76" s="198"/>
      <c r="BU76" s="198"/>
      <c r="BV76" s="198"/>
      <c r="BW76" s="198"/>
      <c r="BX76" s="198"/>
      <c r="BY76" s="198"/>
      <c r="BZ76" s="215"/>
      <c r="CA76" s="200">
        <f t="shared" si="5"/>
        <v>0</v>
      </c>
      <c r="CB76" s="173">
        <f t="shared" si="6"/>
        <v>0</v>
      </c>
      <c r="CC76" s="174"/>
      <c r="CD76" s="115"/>
      <c r="CE76" s="215"/>
      <c r="CF76" s="215"/>
      <c r="CG76" s="215"/>
      <c r="CH76" s="215"/>
      <c r="CI76" s="215"/>
      <c r="CJ76" s="215"/>
      <c r="CK76" s="215"/>
      <c r="CL76" s="215"/>
      <c r="CM76" s="215"/>
      <c r="CN76" s="215"/>
      <c r="CO76" s="215"/>
      <c r="CP76" s="215"/>
      <c r="CQ76" s="215"/>
      <c r="CR76" s="215"/>
      <c r="CS76" s="215"/>
      <c r="CT76" s="215"/>
      <c r="CU76" s="215"/>
      <c r="CV76" s="215"/>
      <c r="CW76" s="215"/>
      <c r="CX76" s="215"/>
      <c r="CY76" s="215"/>
      <c r="CZ76" s="215"/>
      <c r="DA76" s="215"/>
      <c r="DB76" s="215"/>
      <c r="DC76" s="215"/>
      <c r="DD76" s="215"/>
      <c r="DE76" s="215"/>
      <c r="DF76" s="215"/>
      <c r="DG76" s="215"/>
      <c r="DH76" s="215"/>
      <c r="DI76" s="200"/>
      <c r="DJ76" s="173"/>
      <c r="DK76" s="174"/>
      <c r="DL76" s="115"/>
      <c r="DM76" s="215"/>
      <c r="DN76" s="116"/>
      <c r="DO76" s="116"/>
      <c r="DP76" s="116"/>
      <c r="DQ76" s="116"/>
      <c r="DR76" s="116"/>
      <c r="DS76" s="116"/>
      <c r="DT76" s="116"/>
      <c r="DU76" s="116"/>
      <c r="DV76" s="116"/>
      <c r="DW76" s="116"/>
      <c r="DX76" s="116"/>
      <c r="DY76" s="116"/>
      <c r="DZ76" s="116"/>
      <c r="EA76" s="116"/>
      <c r="EB76" s="116"/>
      <c r="EC76" s="116"/>
      <c r="ED76" s="116"/>
      <c r="EE76" s="116"/>
      <c r="EF76" s="116"/>
      <c r="EG76" s="116"/>
      <c r="EH76" s="116"/>
      <c r="EI76" s="218"/>
      <c r="EJ76" s="218"/>
      <c r="EK76" s="218"/>
      <c r="EL76" s="218"/>
      <c r="EM76" s="116"/>
      <c r="EN76" s="116"/>
      <c r="EO76" s="116"/>
      <c r="EP76" s="116"/>
      <c r="EQ76" s="116"/>
      <c r="ER76" s="186"/>
      <c r="ES76" s="172"/>
      <c r="ET76" s="173"/>
    </row>
    <row r="77">
      <c r="A77" s="110" t="s">
        <v>117</v>
      </c>
      <c r="B77" s="96">
        <v>379.0</v>
      </c>
      <c r="C77" s="115"/>
      <c r="D77" s="215"/>
      <c r="E77" s="215"/>
      <c r="F77" s="220">
        <v>1.0</v>
      </c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94">
        <f t="shared" si="1"/>
        <v>1</v>
      </c>
      <c r="V77" s="173">
        <f t="shared" si="2"/>
        <v>379</v>
      </c>
      <c r="X77" s="115"/>
      <c r="Y77" s="215"/>
      <c r="Z77" s="215"/>
      <c r="AA77" s="116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94">
        <f t="shared" si="3"/>
        <v>0</v>
      </c>
      <c r="AY77" s="173">
        <f t="shared" si="4"/>
        <v>0</v>
      </c>
      <c r="AZ77" s="174"/>
      <c r="BA77" s="104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98"/>
      <c r="BR77" s="198"/>
      <c r="BS77" s="198"/>
      <c r="BT77" s="198"/>
      <c r="BU77" s="198"/>
      <c r="BV77" s="198"/>
      <c r="BW77" s="198"/>
      <c r="BX77" s="198"/>
      <c r="BY77" s="198"/>
      <c r="BZ77" s="215"/>
      <c r="CA77" s="200">
        <f t="shared" si="5"/>
        <v>0</v>
      </c>
      <c r="CB77" s="173">
        <f t="shared" si="6"/>
        <v>0</v>
      </c>
      <c r="CC77" s="174"/>
      <c r="CD77" s="115"/>
      <c r="CE77" s="215"/>
      <c r="CF77" s="215"/>
      <c r="CG77" s="215"/>
      <c r="CH77" s="215"/>
      <c r="CI77" s="215"/>
      <c r="CJ77" s="215"/>
      <c r="CK77" s="215"/>
      <c r="CL77" s="215"/>
      <c r="CM77" s="215"/>
      <c r="CN77" s="215"/>
      <c r="CO77" s="215"/>
      <c r="CP77" s="207">
        <v>1.0</v>
      </c>
      <c r="CQ77" s="215"/>
      <c r="CR77" s="215"/>
      <c r="CS77" s="215"/>
      <c r="CT77" s="215"/>
      <c r="CU77" s="215"/>
      <c r="CV77" s="215"/>
      <c r="CW77" s="215"/>
      <c r="CX77" s="215"/>
      <c r="CY77" s="215"/>
      <c r="CZ77" s="215"/>
      <c r="DA77" s="215"/>
      <c r="DB77" s="215"/>
      <c r="DC77" s="215"/>
      <c r="DD77" s="215"/>
      <c r="DE77" s="215"/>
      <c r="DF77" s="215"/>
      <c r="DG77" s="215"/>
      <c r="DH77" s="215"/>
      <c r="DI77" s="200"/>
      <c r="DJ77" s="173"/>
      <c r="DK77" s="174"/>
      <c r="DL77" s="115"/>
      <c r="DM77" s="215"/>
      <c r="DN77" s="116"/>
      <c r="DO77" s="116"/>
      <c r="DP77" s="116"/>
      <c r="DQ77" s="116"/>
      <c r="DR77" s="116"/>
      <c r="DS77" s="116"/>
      <c r="DT77" s="116"/>
      <c r="DU77" s="116"/>
      <c r="DV77" s="116"/>
      <c r="DW77" s="116"/>
      <c r="DX77" s="116"/>
      <c r="DY77" s="116"/>
      <c r="DZ77" s="116"/>
      <c r="EA77" s="116"/>
      <c r="EB77" s="116"/>
      <c r="EC77" s="116"/>
      <c r="ED77" s="116"/>
      <c r="EE77" s="116"/>
      <c r="EF77" s="116"/>
      <c r="EG77" s="116"/>
      <c r="EH77" s="116"/>
      <c r="EI77" s="218"/>
      <c r="EJ77" s="218"/>
      <c r="EK77" s="218"/>
      <c r="EL77" s="218"/>
      <c r="EM77" s="116"/>
      <c r="EN77" s="116"/>
      <c r="EO77" s="116"/>
      <c r="EP77" s="116"/>
      <c r="EQ77" s="116"/>
      <c r="ER77" s="186"/>
      <c r="ES77" s="172"/>
      <c r="ET77" s="173"/>
    </row>
    <row r="78">
      <c r="A78" s="110" t="s">
        <v>118</v>
      </c>
      <c r="B78" s="96">
        <v>799.0</v>
      </c>
      <c r="C78" s="115"/>
      <c r="D78" s="215"/>
      <c r="E78" s="215"/>
      <c r="F78" s="116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94">
        <f t="shared" si="1"/>
        <v>0</v>
      </c>
      <c r="V78" s="173">
        <f t="shared" si="2"/>
        <v>0</v>
      </c>
      <c r="X78" s="115"/>
      <c r="Y78" s="215"/>
      <c r="Z78" s="215"/>
      <c r="AA78" s="116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94">
        <f t="shared" si="3"/>
        <v>0</v>
      </c>
      <c r="AY78" s="173">
        <f t="shared" si="4"/>
        <v>0</v>
      </c>
      <c r="AZ78" s="174"/>
      <c r="BA78" s="104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98"/>
      <c r="BR78" s="198"/>
      <c r="BS78" s="198"/>
      <c r="BT78" s="198"/>
      <c r="BU78" s="198"/>
      <c r="BV78" s="198"/>
      <c r="BW78" s="198"/>
      <c r="BX78" s="198"/>
      <c r="BY78" s="198"/>
      <c r="BZ78" s="215"/>
      <c r="CA78" s="200">
        <f t="shared" si="5"/>
        <v>0</v>
      </c>
      <c r="CB78" s="173">
        <f t="shared" si="6"/>
        <v>0</v>
      </c>
      <c r="CC78" s="174"/>
      <c r="CD78" s="1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5"/>
      <c r="DG78" s="215"/>
      <c r="DH78" s="215"/>
      <c r="DI78" s="200"/>
      <c r="DJ78" s="173"/>
      <c r="DK78" s="174"/>
      <c r="DL78" s="115"/>
      <c r="DM78" s="215"/>
      <c r="DN78" s="116"/>
      <c r="DO78" s="116"/>
      <c r="DP78" s="116"/>
      <c r="DQ78" s="116"/>
      <c r="DR78" s="116"/>
      <c r="DS78" s="116"/>
      <c r="DT78" s="116"/>
      <c r="DU78" s="116"/>
      <c r="DV78" s="116"/>
      <c r="DW78" s="116"/>
      <c r="DX78" s="116"/>
      <c r="DY78" s="116"/>
      <c r="DZ78" s="116"/>
      <c r="EA78" s="116"/>
      <c r="EB78" s="116"/>
      <c r="EC78" s="116"/>
      <c r="ED78" s="116"/>
      <c r="EE78" s="116"/>
      <c r="EF78" s="116"/>
      <c r="EG78" s="116"/>
      <c r="EH78" s="116"/>
      <c r="EI78" s="218"/>
      <c r="EJ78" s="218"/>
      <c r="EK78" s="218"/>
      <c r="EL78" s="218"/>
      <c r="EM78" s="116"/>
      <c r="EN78" s="116"/>
      <c r="EO78" s="116"/>
      <c r="EP78" s="116"/>
      <c r="EQ78" s="116"/>
      <c r="ER78" s="186"/>
      <c r="ES78" s="172"/>
      <c r="ET78" s="173"/>
    </row>
    <row r="79">
      <c r="A79" s="110" t="s">
        <v>119</v>
      </c>
      <c r="B79" s="96">
        <v>439.0</v>
      </c>
      <c r="C79" s="115"/>
      <c r="D79" s="215"/>
      <c r="E79" s="215"/>
      <c r="F79" s="116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94">
        <f t="shared" si="1"/>
        <v>0</v>
      </c>
      <c r="V79" s="173">
        <f t="shared" si="2"/>
        <v>0</v>
      </c>
      <c r="X79" s="115"/>
      <c r="Y79" s="215"/>
      <c r="Z79" s="215"/>
      <c r="AA79" s="116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94">
        <f t="shared" si="3"/>
        <v>0</v>
      </c>
      <c r="AY79" s="173">
        <f t="shared" si="4"/>
        <v>0</v>
      </c>
      <c r="AZ79" s="174"/>
      <c r="BA79" s="104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98"/>
      <c r="BR79" s="198"/>
      <c r="BS79" s="198"/>
      <c r="BT79" s="198"/>
      <c r="BU79" s="198"/>
      <c r="BV79" s="198"/>
      <c r="BW79" s="198"/>
      <c r="BX79" s="198"/>
      <c r="BY79" s="198"/>
      <c r="BZ79" s="215"/>
      <c r="CA79" s="200">
        <f t="shared" si="5"/>
        <v>0</v>
      </c>
      <c r="CB79" s="173">
        <f t="shared" si="6"/>
        <v>0</v>
      </c>
      <c r="CC79" s="174"/>
      <c r="CD79" s="115"/>
      <c r="CE79" s="215"/>
      <c r="CF79" s="215"/>
      <c r="CG79" s="215"/>
      <c r="CH79" s="215"/>
      <c r="CI79" s="215"/>
      <c r="CJ79" s="215"/>
      <c r="CK79" s="215"/>
      <c r="CL79" s="215"/>
      <c r="CM79" s="215"/>
      <c r="CN79" s="215"/>
      <c r="CO79" s="215"/>
      <c r="CP79" s="215"/>
      <c r="CQ79" s="215"/>
      <c r="CR79" s="215"/>
      <c r="CS79" s="215"/>
      <c r="CT79" s="215"/>
      <c r="CU79" s="215"/>
      <c r="CV79" s="215"/>
      <c r="CW79" s="215"/>
      <c r="CX79" s="215"/>
      <c r="CY79" s="215"/>
      <c r="CZ79" s="215"/>
      <c r="DA79" s="215"/>
      <c r="DB79" s="215"/>
      <c r="DC79" s="215"/>
      <c r="DD79" s="215"/>
      <c r="DE79" s="215"/>
      <c r="DF79" s="215"/>
      <c r="DG79" s="215"/>
      <c r="DH79" s="215"/>
      <c r="DI79" s="200"/>
      <c r="DJ79" s="173"/>
      <c r="DK79" s="174"/>
      <c r="DL79" s="115"/>
      <c r="DM79" s="215"/>
      <c r="DN79" s="116"/>
      <c r="DO79" s="116"/>
      <c r="DP79" s="116"/>
      <c r="DQ79" s="116"/>
      <c r="DR79" s="116"/>
      <c r="DS79" s="116"/>
      <c r="DT79" s="116"/>
      <c r="DU79" s="116"/>
      <c r="DV79" s="116"/>
      <c r="DW79" s="116"/>
      <c r="DX79" s="116"/>
      <c r="DY79" s="116"/>
      <c r="DZ79" s="116"/>
      <c r="EA79" s="116"/>
      <c r="EB79" s="116"/>
      <c r="EC79" s="116"/>
      <c r="ED79" s="116"/>
      <c r="EE79" s="116"/>
      <c r="EF79" s="116"/>
      <c r="EG79" s="116"/>
      <c r="EH79" s="116"/>
      <c r="EI79" s="218"/>
      <c r="EJ79" s="218"/>
      <c r="EK79" s="218"/>
      <c r="EL79" s="218"/>
      <c r="EM79" s="116"/>
      <c r="EN79" s="116"/>
      <c r="EO79" s="116"/>
      <c r="EP79" s="116"/>
      <c r="EQ79" s="116"/>
      <c r="ER79" s="186"/>
      <c r="ES79" s="172"/>
      <c r="ET79" s="173"/>
    </row>
    <row r="80">
      <c r="A80" s="110" t="s">
        <v>120</v>
      </c>
      <c r="B80" s="96">
        <v>599.0</v>
      </c>
      <c r="C80" s="115"/>
      <c r="D80" s="215"/>
      <c r="E80" s="215"/>
      <c r="F80" s="116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94">
        <f t="shared" si="1"/>
        <v>0</v>
      </c>
      <c r="V80" s="173">
        <f t="shared" si="2"/>
        <v>0</v>
      </c>
      <c r="X80" s="115"/>
      <c r="Y80" s="215"/>
      <c r="Z80" s="215"/>
      <c r="AA80" s="116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94">
        <f t="shared" si="3"/>
        <v>0</v>
      </c>
      <c r="AY80" s="173">
        <f t="shared" si="4"/>
        <v>0</v>
      </c>
      <c r="AZ80" s="174"/>
      <c r="BA80" s="104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98"/>
      <c r="BR80" s="198"/>
      <c r="BS80" s="198"/>
      <c r="BT80" s="198"/>
      <c r="BU80" s="198"/>
      <c r="BV80" s="198"/>
      <c r="BW80" s="198"/>
      <c r="BX80" s="198"/>
      <c r="BY80" s="198"/>
      <c r="BZ80" s="215"/>
      <c r="CA80" s="200">
        <f t="shared" si="5"/>
        <v>0</v>
      </c>
      <c r="CB80" s="173">
        <f t="shared" si="6"/>
        <v>0</v>
      </c>
      <c r="CC80" s="174"/>
      <c r="CD80" s="115"/>
      <c r="CE80" s="215"/>
      <c r="CF80" s="215"/>
      <c r="CG80" s="215"/>
      <c r="CH80" s="215"/>
      <c r="CI80" s="215"/>
      <c r="CJ80" s="215"/>
      <c r="CK80" s="215"/>
      <c r="CL80" s="215"/>
      <c r="CM80" s="215"/>
      <c r="CN80" s="215"/>
      <c r="CO80" s="215"/>
      <c r="CP80" s="215"/>
      <c r="CQ80" s="215"/>
      <c r="CR80" s="215"/>
      <c r="CS80" s="215"/>
      <c r="CT80" s="215"/>
      <c r="CU80" s="215"/>
      <c r="CV80" s="215"/>
      <c r="CW80" s="215"/>
      <c r="CX80" s="215"/>
      <c r="CY80" s="215"/>
      <c r="CZ80" s="215"/>
      <c r="DA80" s="215"/>
      <c r="DB80" s="215"/>
      <c r="DC80" s="215"/>
      <c r="DD80" s="215"/>
      <c r="DE80" s="215"/>
      <c r="DF80" s="215"/>
      <c r="DG80" s="215"/>
      <c r="DH80" s="215"/>
      <c r="DI80" s="200"/>
      <c r="DJ80" s="173"/>
      <c r="DK80" s="174"/>
      <c r="DL80" s="115"/>
      <c r="DM80" s="215"/>
      <c r="DN80" s="220"/>
      <c r="DO80" s="116"/>
      <c r="DP80" s="116"/>
      <c r="DQ80" s="116"/>
      <c r="DR80" s="116"/>
      <c r="DS80" s="116"/>
      <c r="DT80" s="116"/>
      <c r="DU80" s="116"/>
      <c r="DV80" s="116"/>
      <c r="DW80" s="116"/>
      <c r="DX80" s="116"/>
      <c r="DY80" s="116"/>
      <c r="DZ80" s="116"/>
      <c r="EA80" s="116"/>
      <c r="EB80" s="116"/>
      <c r="EC80" s="116"/>
      <c r="ED80" s="116"/>
      <c r="EE80" s="116"/>
      <c r="EF80" s="116"/>
      <c r="EG80" s="116"/>
      <c r="EH80" s="116"/>
      <c r="EI80" s="218"/>
      <c r="EJ80" s="218"/>
      <c r="EK80" s="218"/>
      <c r="EL80" s="218"/>
      <c r="EM80" s="116"/>
      <c r="EN80" s="116"/>
      <c r="EO80" s="116"/>
      <c r="EP80" s="116"/>
      <c r="EQ80" s="116"/>
      <c r="ER80" s="186"/>
      <c r="ES80" s="172"/>
      <c r="ET80" s="173"/>
    </row>
    <row r="81">
      <c r="A81" s="110" t="s">
        <v>121</v>
      </c>
      <c r="B81" s="96">
        <v>229.0</v>
      </c>
      <c r="C81" s="115"/>
      <c r="D81" s="215"/>
      <c r="E81" s="215"/>
      <c r="F81" s="116"/>
      <c r="G81" s="171"/>
      <c r="H81" s="171"/>
      <c r="I81" s="171"/>
      <c r="J81" s="204">
        <v>1.0</v>
      </c>
      <c r="K81" s="171"/>
      <c r="L81" s="195"/>
      <c r="M81" s="195"/>
      <c r="N81" s="195"/>
      <c r="O81" s="195"/>
      <c r="P81" s="195"/>
      <c r="Q81" s="195"/>
      <c r="R81" s="195"/>
      <c r="S81" s="195"/>
      <c r="T81" s="195"/>
      <c r="U81" s="94">
        <f t="shared" si="1"/>
        <v>1</v>
      </c>
      <c r="V81" s="173">
        <f t="shared" si="2"/>
        <v>229</v>
      </c>
      <c r="X81" s="115"/>
      <c r="Y81" s="215"/>
      <c r="Z81" s="215"/>
      <c r="AA81" s="220">
        <v>1.0</v>
      </c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95"/>
      <c r="AN81" s="171"/>
      <c r="AO81" s="195"/>
      <c r="AP81" s="195"/>
      <c r="AQ81" s="195"/>
      <c r="AR81" s="195"/>
      <c r="AS81" s="195"/>
      <c r="AT81" s="195"/>
      <c r="AU81" s="195"/>
      <c r="AV81" s="195"/>
      <c r="AW81" s="195"/>
      <c r="AX81" s="94">
        <f t="shared" si="3"/>
        <v>1</v>
      </c>
      <c r="AY81" s="173">
        <f t="shared" si="4"/>
        <v>229</v>
      </c>
      <c r="AZ81" s="174"/>
      <c r="BA81" s="104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98"/>
      <c r="BR81" s="198"/>
      <c r="BS81" s="199">
        <v>2.0</v>
      </c>
      <c r="BT81" s="198"/>
      <c r="BU81" s="198"/>
      <c r="BV81" s="198"/>
      <c r="BW81" s="198"/>
      <c r="BX81" s="198"/>
      <c r="BY81" s="198"/>
      <c r="BZ81" s="215"/>
      <c r="CA81" s="200">
        <f t="shared" si="5"/>
        <v>2</v>
      </c>
      <c r="CB81" s="173">
        <f t="shared" si="6"/>
        <v>458</v>
      </c>
      <c r="CC81" s="174"/>
      <c r="CD81" s="222"/>
      <c r="CE81" s="215"/>
      <c r="CF81" s="215"/>
      <c r="CG81" s="215"/>
      <c r="CH81" s="215"/>
      <c r="CI81" s="215"/>
      <c r="CJ81" s="215"/>
      <c r="CK81" s="215"/>
      <c r="CL81" s="215"/>
      <c r="CM81" s="215"/>
      <c r="CN81" s="215"/>
      <c r="CO81" s="215"/>
      <c r="CP81" s="215"/>
      <c r="CQ81" s="215"/>
      <c r="CR81" s="215"/>
      <c r="CS81" s="215"/>
      <c r="CT81" s="215"/>
      <c r="CU81" s="215"/>
      <c r="CV81" s="207">
        <v>1.0</v>
      </c>
      <c r="CW81" s="215"/>
      <c r="CX81" s="215"/>
      <c r="CY81" s="215"/>
      <c r="CZ81" s="215"/>
      <c r="DA81" s="215"/>
      <c r="DB81" s="215"/>
      <c r="DC81" s="215"/>
      <c r="DD81" s="215"/>
      <c r="DE81" s="215"/>
      <c r="DF81" s="215"/>
      <c r="DG81" s="215"/>
      <c r="DH81" s="215"/>
      <c r="DI81" s="200"/>
      <c r="DJ81" s="173"/>
      <c r="DK81" s="174"/>
      <c r="DL81" s="115"/>
      <c r="DM81" s="215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6"/>
      <c r="DZ81" s="116"/>
      <c r="EA81" s="116"/>
      <c r="EB81" s="116"/>
      <c r="EC81" s="116"/>
      <c r="ED81" s="116"/>
      <c r="EE81" s="116"/>
      <c r="EF81" s="116"/>
      <c r="EG81" s="116"/>
      <c r="EH81" s="116"/>
      <c r="EI81" s="218"/>
      <c r="EJ81" s="218"/>
      <c r="EK81" s="218"/>
      <c r="EL81" s="218"/>
      <c r="EM81" s="116"/>
      <c r="EN81" s="116"/>
      <c r="EO81" s="116"/>
      <c r="EP81" s="116"/>
      <c r="EQ81" s="116"/>
      <c r="ER81" s="186"/>
      <c r="ES81" s="172"/>
      <c r="ET81" s="173"/>
    </row>
    <row r="82">
      <c r="A82" s="110" t="s">
        <v>122</v>
      </c>
      <c r="B82" s="96">
        <v>219.0</v>
      </c>
      <c r="C82" s="115"/>
      <c r="D82" s="215"/>
      <c r="E82" s="215"/>
      <c r="F82" s="116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94">
        <f t="shared" si="1"/>
        <v>0</v>
      </c>
      <c r="V82" s="173">
        <f t="shared" si="2"/>
        <v>0</v>
      </c>
      <c r="X82" s="115"/>
      <c r="Y82" s="215"/>
      <c r="Z82" s="215"/>
      <c r="AA82" s="116"/>
      <c r="AB82" s="171"/>
      <c r="AC82" s="171"/>
      <c r="AD82" s="171"/>
      <c r="AE82" s="171"/>
      <c r="AF82" s="171"/>
      <c r="AG82" s="196">
        <v>1.0</v>
      </c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96">
        <v>3.0</v>
      </c>
      <c r="AT82" s="171"/>
      <c r="AU82" s="171"/>
      <c r="AV82" s="171"/>
      <c r="AW82" s="171"/>
      <c r="AX82" s="94">
        <f t="shared" si="3"/>
        <v>4</v>
      </c>
      <c r="AY82" s="173">
        <f t="shared" si="4"/>
        <v>876</v>
      </c>
      <c r="AZ82" s="174"/>
      <c r="BA82" s="104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98"/>
      <c r="BR82" s="198"/>
      <c r="BS82" s="198"/>
      <c r="BT82" s="198"/>
      <c r="BU82" s="198"/>
      <c r="BV82" s="198"/>
      <c r="BW82" s="198"/>
      <c r="BX82" s="198"/>
      <c r="BY82" s="198"/>
      <c r="BZ82" s="215"/>
      <c r="CA82" s="200">
        <f t="shared" si="5"/>
        <v>0</v>
      </c>
      <c r="CB82" s="173">
        <f t="shared" si="6"/>
        <v>0</v>
      </c>
      <c r="CC82" s="174"/>
      <c r="CD82" s="222"/>
      <c r="CE82" s="215"/>
      <c r="CF82" s="215"/>
      <c r="CG82" s="215"/>
      <c r="CH82" s="215"/>
      <c r="CI82" s="215"/>
      <c r="CJ82" s="215"/>
      <c r="CK82" s="215"/>
      <c r="CL82" s="215"/>
      <c r="CM82" s="215"/>
      <c r="CN82" s="215"/>
      <c r="CO82" s="215"/>
      <c r="CP82" s="215"/>
      <c r="CQ82" s="215"/>
      <c r="CR82" s="215"/>
      <c r="CS82" s="215"/>
      <c r="CT82" s="215"/>
      <c r="CU82" s="215"/>
      <c r="CV82" s="215"/>
      <c r="CW82" s="215"/>
      <c r="CX82" s="215"/>
      <c r="CY82" s="215"/>
      <c r="CZ82" s="215"/>
      <c r="DA82" s="215"/>
      <c r="DB82" s="215"/>
      <c r="DC82" s="215"/>
      <c r="DD82" s="215"/>
      <c r="DE82" s="215"/>
      <c r="DF82" s="215"/>
      <c r="DG82" s="215"/>
      <c r="DH82" s="215"/>
      <c r="DI82" s="200"/>
      <c r="DJ82" s="173"/>
      <c r="DK82" s="174"/>
      <c r="DL82" s="115"/>
      <c r="DM82" s="215"/>
      <c r="DN82" s="116"/>
      <c r="DO82" s="116"/>
      <c r="DP82" s="116"/>
      <c r="DQ82" s="116"/>
      <c r="DR82" s="116"/>
      <c r="DS82" s="116"/>
      <c r="DT82" s="116"/>
      <c r="DU82" s="116"/>
      <c r="DV82" s="116"/>
      <c r="DW82" s="116"/>
      <c r="DX82" s="116"/>
      <c r="DY82" s="116"/>
      <c r="DZ82" s="116"/>
      <c r="EA82" s="116"/>
      <c r="EB82" s="116"/>
      <c r="EC82" s="116"/>
      <c r="ED82" s="116"/>
      <c r="EE82" s="116"/>
      <c r="EF82" s="116"/>
      <c r="EG82" s="116"/>
      <c r="EH82" s="116"/>
      <c r="EI82" s="218"/>
      <c r="EJ82" s="218"/>
      <c r="EK82" s="218"/>
      <c r="EL82" s="218"/>
      <c r="EM82" s="116"/>
      <c r="EN82" s="116"/>
      <c r="EO82" s="116"/>
      <c r="EP82" s="116"/>
      <c r="EQ82" s="116"/>
      <c r="ER82" s="186"/>
      <c r="ES82" s="172"/>
      <c r="ET82" s="173"/>
    </row>
    <row r="83">
      <c r="A83" s="110" t="s">
        <v>123</v>
      </c>
      <c r="B83" s="96">
        <v>1299.0</v>
      </c>
      <c r="C83" s="115"/>
      <c r="D83" s="215"/>
      <c r="E83" s="215"/>
      <c r="F83" s="116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94">
        <f t="shared" si="1"/>
        <v>0</v>
      </c>
      <c r="V83" s="173">
        <f t="shared" si="2"/>
        <v>0</v>
      </c>
      <c r="X83" s="115"/>
      <c r="Y83" s="215"/>
      <c r="Z83" s="215"/>
      <c r="AA83" s="116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94">
        <f t="shared" si="3"/>
        <v>0</v>
      </c>
      <c r="AY83" s="173">
        <f t="shared" si="4"/>
        <v>0</v>
      </c>
      <c r="AZ83" s="174"/>
      <c r="BA83" s="104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98"/>
      <c r="BR83" s="198"/>
      <c r="BS83" s="198"/>
      <c r="BT83" s="198"/>
      <c r="BU83" s="198"/>
      <c r="BV83" s="198"/>
      <c r="BW83" s="198"/>
      <c r="BX83" s="198"/>
      <c r="BY83" s="198"/>
      <c r="BZ83" s="215"/>
      <c r="CA83" s="200">
        <f t="shared" si="5"/>
        <v>0</v>
      </c>
      <c r="CB83" s="173">
        <f t="shared" si="6"/>
        <v>0</v>
      </c>
      <c r="CC83" s="174"/>
      <c r="CD83" s="115"/>
      <c r="CE83" s="215"/>
      <c r="CF83" s="215"/>
      <c r="CG83" s="215"/>
      <c r="CH83" s="215"/>
      <c r="CI83" s="215"/>
      <c r="CJ83" s="215"/>
      <c r="CK83" s="215"/>
      <c r="CL83" s="215"/>
      <c r="CM83" s="215"/>
      <c r="CN83" s="215"/>
      <c r="CO83" s="215"/>
      <c r="CP83" s="215"/>
      <c r="CQ83" s="215"/>
      <c r="CR83" s="215"/>
      <c r="CS83" s="215"/>
      <c r="CT83" s="215"/>
      <c r="CU83" s="215"/>
      <c r="CV83" s="215"/>
      <c r="CW83" s="215"/>
      <c r="CX83" s="215"/>
      <c r="CY83" s="215"/>
      <c r="CZ83" s="215"/>
      <c r="DA83" s="215"/>
      <c r="DB83" s="215"/>
      <c r="DC83" s="215"/>
      <c r="DD83" s="215"/>
      <c r="DE83" s="215"/>
      <c r="DF83" s="215"/>
      <c r="DG83" s="215"/>
      <c r="DH83" s="215"/>
      <c r="DI83" s="200"/>
      <c r="DJ83" s="173"/>
      <c r="DK83" s="174"/>
      <c r="DL83" s="115"/>
      <c r="DM83" s="215"/>
      <c r="DN83" s="116"/>
      <c r="DO83" s="116"/>
      <c r="DP83" s="116"/>
      <c r="DQ83" s="116"/>
      <c r="DR83" s="116"/>
      <c r="DS83" s="116"/>
      <c r="DT83" s="116"/>
      <c r="DU83" s="116"/>
      <c r="DV83" s="116"/>
      <c r="DW83" s="116"/>
      <c r="DX83" s="116"/>
      <c r="DY83" s="116"/>
      <c r="DZ83" s="116"/>
      <c r="EA83" s="116"/>
      <c r="EB83" s="116"/>
      <c r="EC83" s="116"/>
      <c r="ED83" s="116"/>
      <c r="EE83" s="116"/>
      <c r="EF83" s="116"/>
      <c r="EG83" s="116"/>
      <c r="EH83" s="116"/>
      <c r="EI83" s="218"/>
      <c r="EJ83" s="218"/>
      <c r="EK83" s="218"/>
      <c r="EL83" s="218"/>
      <c r="EM83" s="116"/>
      <c r="EN83" s="116"/>
      <c r="EO83" s="116"/>
      <c r="EP83" s="116"/>
      <c r="EQ83" s="116"/>
      <c r="ER83" s="186"/>
      <c r="ES83" s="172"/>
      <c r="ET83" s="173"/>
    </row>
    <row r="84">
      <c r="A84" s="102" t="s">
        <v>124</v>
      </c>
      <c r="B84" s="96">
        <v>1299.0</v>
      </c>
      <c r="C84" s="115"/>
      <c r="D84" s="215"/>
      <c r="E84" s="215"/>
      <c r="F84" s="116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94">
        <f t="shared" si="1"/>
        <v>0</v>
      </c>
      <c r="V84" s="173">
        <f t="shared" si="2"/>
        <v>0</v>
      </c>
      <c r="X84" s="115"/>
      <c r="Y84" s="215"/>
      <c r="Z84" s="215"/>
      <c r="AA84" s="116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94">
        <f t="shared" si="3"/>
        <v>0</v>
      </c>
      <c r="AY84" s="173">
        <f t="shared" si="4"/>
        <v>0</v>
      </c>
      <c r="AZ84" s="174"/>
      <c r="BA84" s="104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98"/>
      <c r="BR84" s="198"/>
      <c r="BS84" s="198"/>
      <c r="BT84" s="198"/>
      <c r="BU84" s="198"/>
      <c r="BV84" s="198"/>
      <c r="BW84" s="198"/>
      <c r="BX84" s="198"/>
      <c r="BY84" s="198"/>
      <c r="BZ84" s="215"/>
      <c r="CA84" s="200">
        <f t="shared" si="5"/>
        <v>0</v>
      </c>
      <c r="CB84" s="173">
        <f t="shared" si="6"/>
        <v>0</v>
      </c>
      <c r="CC84" s="174"/>
      <c r="CD84" s="115"/>
      <c r="CE84" s="215"/>
      <c r="CF84" s="215"/>
      <c r="CG84" s="215"/>
      <c r="CH84" s="215"/>
      <c r="CI84" s="215"/>
      <c r="CJ84" s="215"/>
      <c r="CK84" s="215"/>
      <c r="CL84" s="215"/>
      <c r="CM84" s="215"/>
      <c r="CN84" s="215"/>
      <c r="CO84" s="215"/>
      <c r="CP84" s="215"/>
      <c r="CQ84" s="215"/>
      <c r="CR84" s="215"/>
      <c r="CS84" s="215"/>
      <c r="CT84" s="215"/>
      <c r="CU84" s="215"/>
      <c r="CV84" s="215"/>
      <c r="CW84" s="215"/>
      <c r="CX84" s="215"/>
      <c r="CY84" s="215"/>
      <c r="CZ84" s="215"/>
      <c r="DA84" s="215"/>
      <c r="DB84" s="215"/>
      <c r="DC84" s="215"/>
      <c r="DD84" s="215"/>
      <c r="DE84" s="215"/>
      <c r="DF84" s="215"/>
      <c r="DG84" s="215"/>
      <c r="DH84" s="215"/>
      <c r="DI84" s="200"/>
      <c r="DJ84" s="173"/>
      <c r="DK84" s="174"/>
      <c r="DL84" s="115"/>
      <c r="DM84" s="215"/>
      <c r="DN84" s="116"/>
      <c r="DO84" s="116"/>
      <c r="DP84" s="116"/>
      <c r="DQ84" s="116"/>
      <c r="DR84" s="116"/>
      <c r="DS84" s="116"/>
      <c r="DT84" s="116"/>
      <c r="DU84" s="116"/>
      <c r="DV84" s="116"/>
      <c r="DW84" s="116"/>
      <c r="DX84" s="116"/>
      <c r="DY84" s="116"/>
      <c r="DZ84" s="116"/>
      <c r="EA84" s="116"/>
      <c r="EB84" s="116"/>
      <c r="EC84" s="116"/>
      <c r="ED84" s="116"/>
      <c r="EE84" s="116"/>
      <c r="EF84" s="116"/>
      <c r="EG84" s="116"/>
      <c r="EH84" s="116"/>
      <c r="EI84" s="218"/>
      <c r="EJ84" s="218"/>
      <c r="EK84" s="218"/>
      <c r="EL84" s="218"/>
      <c r="EM84" s="116"/>
      <c r="EN84" s="116"/>
      <c r="EO84" s="116"/>
      <c r="EP84" s="116"/>
      <c r="EQ84" s="116"/>
      <c r="ER84" s="186"/>
      <c r="ES84" s="172"/>
      <c r="ET84" s="173"/>
    </row>
    <row r="85">
      <c r="A85" s="111" t="s">
        <v>125</v>
      </c>
      <c r="B85" s="96">
        <v>1299.0</v>
      </c>
      <c r="C85" s="115"/>
      <c r="D85" s="215"/>
      <c r="E85" s="215"/>
      <c r="F85" s="116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94">
        <f t="shared" si="1"/>
        <v>0</v>
      </c>
      <c r="V85" s="173">
        <f t="shared" si="2"/>
        <v>0</v>
      </c>
      <c r="X85" s="115"/>
      <c r="Y85" s="215"/>
      <c r="Z85" s="215"/>
      <c r="AA85" s="116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94">
        <f t="shared" si="3"/>
        <v>0</v>
      </c>
      <c r="AY85" s="173">
        <f t="shared" si="4"/>
        <v>0</v>
      </c>
      <c r="AZ85" s="174"/>
      <c r="BA85" s="104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98"/>
      <c r="BR85" s="198"/>
      <c r="BS85" s="198"/>
      <c r="BT85" s="198"/>
      <c r="BU85" s="198"/>
      <c r="BV85" s="198"/>
      <c r="BW85" s="198"/>
      <c r="BX85" s="198"/>
      <c r="BY85" s="198"/>
      <c r="BZ85" s="215"/>
      <c r="CA85" s="200">
        <f t="shared" si="5"/>
        <v>0</v>
      </c>
      <c r="CB85" s="173">
        <f t="shared" si="6"/>
        <v>0</v>
      </c>
      <c r="CC85" s="174"/>
      <c r="CD85" s="115"/>
      <c r="CE85" s="215"/>
      <c r="CF85" s="215"/>
      <c r="CG85" s="215"/>
      <c r="CH85" s="215"/>
      <c r="CI85" s="215"/>
      <c r="CJ85" s="215"/>
      <c r="CK85" s="215"/>
      <c r="CL85" s="215"/>
      <c r="CM85" s="215"/>
      <c r="CN85" s="215"/>
      <c r="CO85" s="215"/>
      <c r="CP85" s="215"/>
      <c r="CQ85" s="215"/>
      <c r="CR85" s="215"/>
      <c r="CS85" s="215"/>
      <c r="CT85" s="215"/>
      <c r="CU85" s="215"/>
      <c r="CV85" s="215"/>
      <c r="CW85" s="215"/>
      <c r="CX85" s="215"/>
      <c r="CY85" s="215"/>
      <c r="CZ85" s="215"/>
      <c r="DA85" s="215"/>
      <c r="DB85" s="215"/>
      <c r="DC85" s="215"/>
      <c r="DD85" s="215"/>
      <c r="DE85" s="215"/>
      <c r="DF85" s="215"/>
      <c r="DG85" s="215"/>
      <c r="DH85" s="215"/>
      <c r="DI85" s="200"/>
      <c r="DJ85" s="173"/>
      <c r="DK85" s="174"/>
      <c r="DL85" s="115"/>
      <c r="DM85" s="215"/>
      <c r="DN85" s="116"/>
      <c r="DO85" s="116"/>
      <c r="DP85" s="116"/>
      <c r="DQ85" s="116"/>
      <c r="DR85" s="116"/>
      <c r="DS85" s="116"/>
      <c r="DT85" s="116"/>
      <c r="DU85" s="116"/>
      <c r="DV85" s="116"/>
      <c r="DW85" s="116"/>
      <c r="DX85" s="116"/>
      <c r="DY85" s="116"/>
      <c r="DZ85" s="116"/>
      <c r="EA85" s="116"/>
      <c r="EB85" s="116"/>
      <c r="EC85" s="116"/>
      <c r="ED85" s="116"/>
      <c r="EE85" s="116"/>
      <c r="EF85" s="116"/>
      <c r="EG85" s="116"/>
      <c r="EH85" s="116"/>
      <c r="EI85" s="218"/>
      <c r="EJ85" s="218"/>
      <c r="EK85" s="218"/>
      <c r="EL85" s="218"/>
      <c r="EM85" s="116"/>
      <c r="EN85" s="116"/>
      <c r="EO85" s="116"/>
      <c r="EP85" s="116"/>
      <c r="EQ85" s="116"/>
      <c r="ER85" s="186"/>
      <c r="ES85" s="172"/>
      <c r="ET85" s="173"/>
    </row>
    <row r="86">
      <c r="A86" s="112" t="s">
        <v>126</v>
      </c>
      <c r="B86" s="96">
        <v>1299.0</v>
      </c>
      <c r="C86" s="226"/>
      <c r="D86" s="227"/>
      <c r="E86" s="227"/>
      <c r="F86" s="120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94">
        <f t="shared" si="1"/>
        <v>0</v>
      </c>
      <c r="V86" s="173">
        <f t="shared" si="2"/>
        <v>0</v>
      </c>
      <c r="X86" s="226"/>
      <c r="Y86" s="227"/>
      <c r="Z86" s="227"/>
      <c r="AA86" s="120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94">
        <f t="shared" si="3"/>
        <v>0</v>
      </c>
      <c r="AY86" s="173">
        <f t="shared" si="4"/>
        <v>0</v>
      </c>
      <c r="AZ86" s="174"/>
      <c r="BA86" s="104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229"/>
      <c r="BR86" s="229"/>
      <c r="BS86" s="229"/>
      <c r="BT86" s="229"/>
      <c r="BU86" s="229"/>
      <c r="BV86" s="229"/>
      <c r="BW86" s="229"/>
      <c r="BX86" s="229"/>
      <c r="BY86" s="229"/>
      <c r="BZ86" s="227"/>
      <c r="CA86" s="200">
        <f t="shared" si="5"/>
        <v>0</v>
      </c>
      <c r="CB86" s="173">
        <f t="shared" si="6"/>
        <v>0</v>
      </c>
      <c r="CC86" s="174"/>
      <c r="CD86" s="226"/>
      <c r="CE86" s="227"/>
      <c r="CF86" s="227"/>
      <c r="CG86" s="227"/>
      <c r="CH86" s="227"/>
      <c r="CI86" s="227"/>
      <c r="CJ86" s="227"/>
      <c r="CK86" s="227"/>
      <c r="CL86" s="227"/>
      <c r="CM86" s="227"/>
      <c r="CN86" s="227"/>
      <c r="CO86" s="227"/>
      <c r="CP86" s="227"/>
      <c r="CQ86" s="227"/>
      <c r="CR86" s="227"/>
      <c r="CS86" s="227"/>
      <c r="CT86" s="227"/>
      <c r="CU86" s="227"/>
      <c r="CV86" s="227"/>
      <c r="CW86" s="227"/>
      <c r="CX86" s="227"/>
      <c r="CY86" s="227"/>
      <c r="CZ86" s="227"/>
      <c r="DA86" s="227"/>
      <c r="DB86" s="227"/>
      <c r="DC86" s="227"/>
      <c r="DD86" s="227"/>
      <c r="DE86" s="227"/>
      <c r="DF86" s="227"/>
      <c r="DG86" s="227"/>
      <c r="DH86" s="227"/>
      <c r="DI86" s="200"/>
      <c r="DJ86" s="173"/>
      <c r="DK86" s="174"/>
      <c r="DL86" s="226"/>
      <c r="DM86" s="227"/>
      <c r="DN86" s="116"/>
      <c r="DO86" s="116"/>
      <c r="DP86" s="116"/>
      <c r="DQ86" s="116"/>
      <c r="DR86" s="116"/>
      <c r="DS86" s="116"/>
      <c r="DT86" s="116"/>
      <c r="DU86" s="116"/>
      <c r="DV86" s="116"/>
      <c r="DW86" s="116"/>
      <c r="DX86" s="116"/>
      <c r="DY86" s="116"/>
      <c r="DZ86" s="116"/>
      <c r="EA86" s="116"/>
      <c r="EB86" s="116"/>
      <c r="EC86" s="116"/>
      <c r="ED86" s="116"/>
      <c r="EE86" s="116"/>
      <c r="EF86" s="116"/>
      <c r="EG86" s="116"/>
      <c r="EH86" s="116"/>
      <c r="EI86" s="218"/>
      <c r="EJ86" s="218"/>
      <c r="EK86" s="218"/>
      <c r="EL86" s="218"/>
      <c r="EM86" s="116"/>
      <c r="EN86" s="116"/>
      <c r="EO86" s="116"/>
      <c r="EP86" s="116"/>
      <c r="EQ86" s="116"/>
      <c r="ER86" s="186"/>
      <c r="ES86" s="172"/>
      <c r="ET86" s="173"/>
    </row>
    <row r="87">
      <c r="A87" s="113"/>
      <c r="B87" s="114"/>
      <c r="C87" s="115"/>
      <c r="D87" s="215"/>
      <c r="E87" s="215"/>
      <c r="F87" s="116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94">
        <f t="shared" si="1"/>
        <v>0</v>
      </c>
      <c r="V87" s="173">
        <f t="shared" si="2"/>
        <v>0</v>
      </c>
      <c r="X87" s="115"/>
      <c r="Y87" s="215"/>
      <c r="Z87" s="215"/>
      <c r="AA87" s="116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94">
        <f t="shared" si="3"/>
        <v>0</v>
      </c>
      <c r="AY87" s="173">
        <f t="shared" si="4"/>
        <v>0</v>
      </c>
      <c r="AZ87" s="174"/>
      <c r="BA87" s="104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98"/>
      <c r="BR87" s="198"/>
      <c r="BS87" s="198"/>
      <c r="BT87" s="198"/>
      <c r="BU87" s="198"/>
      <c r="BV87" s="198"/>
      <c r="BW87" s="198"/>
      <c r="BX87" s="198"/>
      <c r="BY87" s="198"/>
      <c r="BZ87" s="215"/>
      <c r="CA87" s="200">
        <f t="shared" si="5"/>
        <v>0</v>
      </c>
      <c r="CB87" s="173">
        <f t="shared" si="6"/>
        <v>0</v>
      </c>
      <c r="CC87" s="174"/>
      <c r="CD87" s="115"/>
      <c r="CE87" s="215"/>
      <c r="CF87" s="215"/>
      <c r="CG87" s="215"/>
      <c r="CH87" s="215"/>
      <c r="CI87" s="215"/>
      <c r="CJ87" s="215"/>
      <c r="CK87" s="215"/>
      <c r="CL87" s="215"/>
      <c r="CM87" s="215"/>
      <c r="CN87" s="215"/>
      <c r="CO87" s="215"/>
      <c r="CP87" s="215"/>
      <c r="CQ87" s="215"/>
      <c r="CR87" s="215"/>
      <c r="CS87" s="215"/>
      <c r="CT87" s="215"/>
      <c r="CU87" s="215"/>
      <c r="CV87" s="215"/>
      <c r="CW87" s="215"/>
      <c r="CX87" s="215"/>
      <c r="CY87" s="215"/>
      <c r="CZ87" s="215"/>
      <c r="DA87" s="215"/>
      <c r="DB87" s="215"/>
      <c r="DC87" s="215"/>
      <c r="DD87" s="215"/>
      <c r="DE87" s="215"/>
      <c r="DF87" s="215"/>
      <c r="DG87" s="215"/>
      <c r="DH87" s="215"/>
      <c r="DI87" s="200"/>
      <c r="DJ87" s="173"/>
      <c r="DK87" s="174"/>
      <c r="DL87" s="115"/>
      <c r="DM87" s="215"/>
      <c r="DN87" s="116"/>
      <c r="DO87" s="116"/>
      <c r="DP87" s="116"/>
      <c r="DQ87" s="116"/>
      <c r="DR87" s="116"/>
      <c r="DS87" s="116"/>
      <c r="DT87" s="116"/>
      <c r="DU87" s="116"/>
      <c r="DV87" s="116"/>
      <c r="DW87" s="116"/>
      <c r="DX87" s="116"/>
      <c r="DY87" s="116"/>
      <c r="DZ87" s="116"/>
      <c r="EA87" s="116"/>
      <c r="EB87" s="116"/>
      <c r="EC87" s="116"/>
      <c r="ED87" s="116"/>
      <c r="EE87" s="116"/>
      <c r="EF87" s="116"/>
      <c r="EG87" s="116"/>
      <c r="EH87" s="116"/>
      <c r="EI87" s="218"/>
      <c r="EJ87" s="218"/>
      <c r="EK87" s="218"/>
      <c r="EL87" s="218"/>
      <c r="EM87" s="116"/>
      <c r="EN87" s="116"/>
      <c r="EO87" s="116"/>
      <c r="EP87" s="116"/>
      <c r="EQ87" s="116"/>
      <c r="ER87" s="186"/>
      <c r="ES87" s="172"/>
      <c r="ET87" s="173"/>
    </row>
    <row r="88">
      <c r="A88" s="94" t="s">
        <v>127</v>
      </c>
      <c r="B88" s="96">
        <v>679.0</v>
      </c>
      <c r="C88" s="115"/>
      <c r="D88" s="230"/>
      <c r="E88" s="230"/>
      <c r="F88" s="231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94">
        <f t="shared" si="1"/>
        <v>0</v>
      </c>
      <c r="V88" s="173">
        <f t="shared" si="2"/>
        <v>0</v>
      </c>
      <c r="X88" s="115"/>
      <c r="Y88" s="230"/>
      <c r="Z88" s="230"/>
      <c r="AA88" s="231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232"/>
      <c r="AN88" s="232"/>
      <c r="AO88" s="232"/>
      <c r="AP88" s="232"/>
      <c r="AQ88" s="232"/>
      <c r="AR88" s="232"/>
      <c r="AS88" s="232"/>
      <c r="AT88" s="232"/>
      <c r="AU88" s="232"/>
      <c r="AV88" s="232"/>
      <c r="AW88" s="232"/>
      <c r="AX88" s="94">
        <f t="shared" si="3"/>
        <v>0</v>
      </c>
      <c r="AY88" s="173">
        <f t="shared" si="4"/>
        <v>0</v>
      </c>
      <c r="AZ88" s="174"/>
      <c r="BA88" s="104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98"/>
      <c r="BR88" s="198"/>
      <c r="BS88" s="198"/>
      <c r="BT88" s="198"/>
      <c r="BU88" s="198"/>
      <c r="BV88" s="198"/>
      <c r="BW88" s="198"/>
      <c r="BX88" s="198"/>
      <c r="BY88" s="198"/>
      <c r="BZ88" s="230"/>
      <c r="CA88" s="200">
        <f t="shared" si="5"/>
        <v>0</v>
      </c>
      <c r="CB88" s="173">
        <f t="shared" si="6"/>
        <v>0</v>
      </c>
      <c r="CC88" s="174"/>
      <c r="CD88" s="115"/>
      <c r="CE88" s="230"/>
      <c r="CF88" s="230"/>
      <c r="CG88" s="230"/>
      <c r="CH88" s="230"/>
      <c r="CI88" s="230"/>
      <c r="CJ88" s="230"/>
      <c r="CK88" s="230"/>
      <c r="CL88" s="230"/>
      <c r="CM88" s="230"/>
      <c r="CN88" s="230"/>
      <c r="CO88" s="230"/>
      <c r="CP88" s="230"/>
      <c r="CQ88" s="230"/>
      <c r="CR88" s="230"/>
      <c r="CS88" s="230"/>
      <c r="CT88" s="230"/>
      <c r="CU88" s="230"/>
      <c r="CV88" s="230"/>
      <c r="CW88" s="230"/>
      <c r="CX88" s="230"/>
      <c r="CY88" s="230"/>
      <c r="CZ88" s="230"/>
      <c r="DA88" s="230"/>
      <c r="DB88" s="230"/>
      <c r="DC88" s="230"/>
      <c r="DD88" s="230"/>
      <c r="DE88" s="230"/>
      <c r="DF88" s="230"/>
      <c r="DG88" s="230"/>
      <c r="DH88" s="230"/>
      <c r="DI88" s="200"/>
      <c r="DJ88" s="173"/>
      <c r="DK88" s="174"/>
      <c r="DL88" s="115"/>
      <c r="DM88" s="230"/>
      <c r="DN88" s="231"/>
      <c r="DO88" s="231"/>
      <c r="DP88" s="231"/>
      <c r="DQ88" s="231"/>
      <c r="DR88" s="231"/>
      <c r="DS88" s="231"/>
      <c r="DT88" s="231"/>
      <c r="DU88" s="231"/>
      <c r="DV88" s="231"/>
      <c r="DW88" s="231"/>
      <c r="DX88" s="231"/>
      <c r="DY88" s="231"/>
      <c r="DZ88" s="231"/>
      <c r="EA88" s="231"/>
      <c r="EB88" s="231"/>
      <c r="EC88" s="231"/>
      <c r="ED88" s="231"/>
      <c r="EE88" s="231"/>
      <c r="EF88" s="231"/>
      <c r="EG88" s="231"/>
      <c r="EH88" s="231"/>
      <c r="EI88" s="233"/>
      <c r="EJ88" s="233"/>
      <c r="EK88" s="233"/>
      <c r="EL88" s="233"/>
      <c r="EM88" s="231"/>
      <c r="EN88" s="231"/>
      <c r="EO88" s="231"/>
      <c r="EP88" s="231"/>
      <c r="EQ88" s="231"/>
      <c r="ER88" s="186"/>
      <c r="ES88" s="172"/>
      <c r="ET88" s="173"/>
    </row>
    <row r="89">
      <c r="A89" s="94" t="s">
        <v>128</v>
      </c>
      <c r="B89" s="96">
        <v>679.0</v>
      </c>
      <c r="C89" s="104"/>
      <c r="D89" s="230"/>
      <c r="E89" s="230"/>
      <c r="F89" s="231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94">
        <f t="shared" si="1"/>
        <v>0</v>
      </c>
      <c r="V89" s="173">
        <f t="shared" si="2"/>
        <v>0</v>
      </c>
      <c r="X89" s="104"/>
      <c r="Y89" s="230"/>
      <c r="Z89" s="230"/>
      <c r="AA89" s="231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  <c r="AP89" s="232"/>
      <c r="AQ89" s="232"/>
      <c r="AR89" s="232"/>
      <c r="AS89" s="232"/>
      <c r="AT89" s="232"/>
      <c r="AU89" s="232"/>
      <c r="AV89" s="232"/>
      <c r="AW89" s="232"/>
      <c r="AX89" s="94">
        <f t="shared" si="3"/>
        <v>0</v>
      </c>
      <c r="AY89" s="173">
        <f t="shared" si="4"/>
        <v>0</v>
      </c>
      <c r="AZ89" s="174"/>
      <c r="BA89" s="104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98"/>
      <c r="BR89" s="198"/>
      <c r="BS89" s="198"/>
      <c r="BT89" s="198"/>
      <c r="BU89" s="198"/>
      <c r="BV89" s="198"/>
      <c r="BW89" s="198"/>
      <c r="BX89" s="198"/>
      <c r="BY89" s="198"/>
      <c r="BZ89" s="230"/>
      <c r="CA89" s="200">
        <f t="shared" si="5"/>
        <v>0</v>
      </c>
      <c r="CB89" s="173">
        <f t="shared" si="6"/>
        <v>0</v>
      </c>
      <c r="CC89" s="174"/>
      <c r="CD89" s="104"/>
      <c r="CE89" s="230"/>
      <c r="CF89" s="230"/>
      <c r="CG89" s="230"/>
      <c r="CH89" s="230"/>
      <c r="CI89" s="230"/>
      <c r="CJ89" s="230"/>
      <c r="CK89" s="230"/>
      <c r="CL89" s="230"/>
      <c r="CM89" s="230"/>
      <c r="CN89" s="230"/>
      <c r="CO89" s="230"/>
      <c r="CP89" s="230"/>
      <c r="CQ89" s="230"/>
      <c r="CR89" s="230"/>
      <c r="CS89" s="230"/>
      <c r="CT89" s="230"/>
      <c r="CU89" s="230"/>
      <c r="CV89" s="230"/>
      <c r="CW89" s="230"/>
      <c r="CX89" s="230"/>
      <c r="CY89" s="230"/>
      <c r="CZ89" s="230"/>
      <c r="DA89" s="230"/>
      <c r="DB89" s="230"/>
      <c r="DC89" s="230"/>
      <c r="DD89" s="230"/>
      <c r="DE89" s="230"/>
      <c r="DF89" s="230"/>
      <c r="DG89" s="230"/>
      <c r="DH89" s="230"/>
      <c r="DI89" s="200"/>
      <c r="DJ89" s="173"/>
      <c r="DK89" s="174"/>
      <c r="DL89" s="104"/>
      <c r="DM89" s="230"/>
      <c r="DN89" s="231"/>
      <c r="DO89" s="231"/>
      <c r="DP89" s="231"/>
      <c r="DQ89" s="231"/>
      <c r="DR89" s="231"/>
      <c r="DS89" s="231"/>
      <c r="DT89" s="231"/>
      <c r="DU89" s="231"/>
      <c r="DV89" s="231"/>
      <c r="DW89" s="231"/>
      <c r="DX89" s="231"/>
      <c r="DY89" s="231"/>
      <c r="DZ89" s="231"/>
      <c r="EA89" s="231"/>
      <c r="EB89" s="231"/>
      <c r="EC89" s="231"/>
      <c r="ED89" s="231"/>
      <c r="EE89" s="231"/>
      <c r="EF89" s="231"/>
      <c r="EG89" s="231"/>
      <c r="EH89" s="231"/>
      <c r="EI89" s="233"/>
      <c r="EJ89" s="233"/>
      <c r="EK89" s="233"/>
      <c r="EL89" s="233"/>
      <c r="EM89" s="231"/>
      <c r="EN89" s="231"/>
      <c r="EO89" s="231"/>
      <c r="EP89" s="231"/>
      <c r="EQ89" s="231"/>
      <c r="ER89" s="186"/>
      <c r="ES89" s="172"/>
      <c r="ET89" s="173"/>
    </row>
    <row r="90">
      <c r="A90" s="94" t="s">
        <v>129</v>
      </c>
      <c r="B90" s="96">
        <v>679.0</v>
      </c>
      <c r="C90" s="104"/>
      <c r="D90" s="230"/>
      <c r="E90" s="230"/>
      <c r="F90" s="231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94">
        <f t="shared" si="1"/>
        <v>0</v>
      </c>
      <c r="V90" s="173">
        <f t="shared" si="2"/>
        <v>0</v>
      </c>
      <c r="X90" s="104"/>
      <c r="Y90" s="230"/>
      <c r="Z90" s="230"/>
      <c r="AA90" s="231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  <c r="AP90" s="232"/>
      <c r="AQ90" s="232"/>
      <c r="AR90" s="232"/>
      <c r="AS90" s="232"/>
      <c r="AT90" s="232"/>
      <c r="AU90" s="232"/>
      <c r="AV90" s="232"/>
      <c r="AW90" s="232"/>
      <c r="AX90" s="94">
        <f t="shared" si="3"/>
        <v>0</v>
      </c>
      <c r="AY90" s="173">
        <f t="shared" si="4"/>
        <v>0</v>
      </c>
      <c r="AZ90" s="174"/>
      <c r="BA90" s="104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98"/>
      <c r="BR90" s="198"/>
      <c r="BS90" s="198"/>
      <c r="BT90" s="198"/>
      <c r="BU90" s="198"/>
      <c r="BV90" s="198"/>
      <c r="BW90" s="198"/>
      <c r="BX90" s="198"/>
      <c r="BY90" s="198"/>
      <c r="BZ90" s="230"/>
      <c r="CA90" s="200">
        <f t="shared" si="5"/>
        <v>0</v>
      </c>
      <c r="CB90" s="173">
        <f t="shared" si="6"/>
        <v>0</v>
      </c>
      <c r="CC90" s="174"/>
      <c r="CD90" s="104"/>
      <c r="CE90" s="230"/>
      <c r="CF90" s="230"/>
      <c r="CG90" s="230"/>
      <c r="CH90" s="230"/>
      <c r="CI90" s="230"/>
      <c r="CJ90" s="230"/>
      <c r="CK90" s="230"/>
      <c r="CL90" s="230"/>
      <c r="CM90" s="230"/>
      <c r="CN90" s="230"/>
      <c r="CO90" s="230"/>
      <c r="CP90" s="230"/>
      <c r="CQ90" s="230"/>
      <c r="CR90" s="230"/>
      <c r="CS90" s="230"/>
      <c r="CT90" s="230"/>
      <c r="CU90" s="230"/>
      <c r="CV90" s="230"/>
      <c r="CW90" s="230"/>
      <c r="CX90" s="230"/>
      <c r="CY90" s="230"/>
      <c r="CZ90" s="230"/>
      <c r="DA90" s="230"/>
      <c r="DB90" s="230"/>
      <c r="DC90" s="230"/>
      <c r="DD90" s="230"/>
      <c r="DE90" s="230"/>
      <c r="DF90" s="230"/>
      <c r="DG90" s="230"/>
      <c r="DH90" s="230"/>
      <c r="DI90" s="200"/>
      <c r="DJ90" s="173"/>
      <c r="DK90" s="174"/>
      <c r="DL90" s="104"/>
      <c r="DM90" s="230"/>
      <c r="DN90" s="231"/>
      <c r="DO90" s="231"/>
      <c r="DP90" s="231"/>
      <c r="DQ90" s="231"/>
      <c r="DR90" s="231"/>
      <c r="DS90" s="231"/>
      <c r="DT90" s="231"/>
      <c r="DU90" s="231"/>
      <c r="DV90" s="231"/>
      <c r="DW90" s="231"/>
      <c r="DX90" s="231"/>
      <c r="DY90" s="231"/>
      <c r="DZ90" s="231"/>
      <c r="EA90" s="231"/>
      <c r="EB90" s="231"/>
      <c r="EC90" s="231"/>
      <c r="ED90" s="231"/>
      <c r="EE90" s="231"/>
      <c r="EF90" s="231"/>
      <c r="EG90" s="231"/>
      <c r="EH90" s="231"/>
      <c r="EI90" s="233"/>
      <c r="EJ90" s="233"/>
      <c r="EK90" s="233"/>
      <c r="EL90" s="233"/>
      <c r="EM90" s="231"/>
      <c r="EN90" s="231"/>
      <c r="EO90" s="231"/>
      <c r="EP90" s="231"/>
      <c r="EQ90" s="231"/>
      <c r="ER90" s="186"/>
      <c r="ES90" s="172"/>
      <c r="ET90" s="173"/>
    </row>
    <row r="91">
      <c r="A91" s="115"/>
      <c r="B91" s="116"/>
      <c r="C91" s="104"/>
      <c r="D91" s="230"/>
      <c r="E91" s="230"/>
      <c r="F91" s="231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94">
        <f t="shared" si="1"/>
        <v>0</v>
      </c>
      <c r="V91" s="173">
        <f t="shared" si="2"/>
        <v>0</v>
      </c>
      <c r="X91" s="104"/>
      <c r="Y91" s="230"/>
      <c r="Z91" s="230"/>
      <c r="AA91" s="231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  <c r="AP91" s="232"/>
      <c r="AQ91" s="232"/>
      <c r="AR91" s="232"/>
      <c r="AS91" s="232"/>
      <c r="AT91" s="232"/>
      <c r="AU91" s="232"/>
      <c r="AV91" s="232"/>
      <c r="AW91" s="232"/>
      <c r="AX91" s="94">
        <f t="shared" si="3"/>
        <v>0</v>
      </c>
      <c r="AY91" s="173">
        <f t="shared" si="4"/>
        <v>0</v>
      </c>
      <c r="AZ91" s="174"/>
      <c r="BA91" s="104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98"/>
      <c r="BR91" s="198"/>
      <c r="BS91" s="198"/>
      <c r="BT91" s="198"/>
      <c r="BU91" s="198"/>
      <c r="BV91" s="198"/>
      <c r="BW91" s="198"/>
      <c r="BX91" s="198"/>
      <c r="BY91" s="198"/>
      <c r="BZ91" s="230"/>
      <c r="CA91" s="200">
        <f t="shared" si="5"/>
        <v>0</v>
      </c>
      <c r="CB91" s="173">
        <f t="shared" si="6"/>
        <v>0</v>
      </c>
      <c r="CC91" s="174"/>
      <c r="CD91" s="104"/>
      <c r="CE91" s="230"/>
      <c r="CF91" s="230"/>
      <c r="CG91" s="230"/>
      <c r="CH91" s="230"/>
      <c r="CI91" s="230"/>
      <c r="CJ91" s="230"/>
      <c r="CK91" s="230"/>
      <c r="CL91" s="230"/>
      <c r="CM91" s="230"/>
      <c r="CN91" s="230"/>
      <c r="CO91" s="230"/>
      <c r="CP91" s="230"/>
      <c r="CQ91" s="230"/>
      <c r="CR91" s="230"/>
      <c r="CS91" s="230"/>
      <c r="CT91" s="230"/>
      <c r="CU91" s="230"/>
      <c r="CV91" s="230"/>
      <c r="CW91" s="230"/>
      <c r="CX91" s="230"/>
      <c r="CY91" s="230"/>
      <c r="CZ91" s="230"/>
      <c r="DA91" s="230"/>
      <c r="DB91" s="230"/>
      <c r="DC91" s="230"/>
      <c r="DD91" s="230"/>
      <c r="DE91" s="230"/>
      <c r="DF91" s="230"/>
      <c r="DG91" s="230"/>
      <c r="DH91" s="230"/>
      <c r="DI91" s="200"/>
      <c r="DJ91" s="173"/>
      <c r="DK91" s="174"/>
      <c r="DL91" s="104"/>
      <c r="DM91" s="230"/>
      <c r="DN91" s="231"/>
      <c r="DO91" s="231"/>
      <c r="DP91" s="231"/>
      <c r="DQ91" s="231"/>
      <c r="DR91" s="231"/>
      <c r="DS91" s="231"/>
      <c r="DT91" s="231"/>
      <c r="DU91" s="231"/>
      <c r="DV91" s="231"/>
      <c r="DW91" s="231"/>
      <c r="DX91" s="231"/>
      <c r="DY91" s="231"/>
      <c r="DZ91" s="231"/>
      <c r="EA91" s="231"/>
      <c r="EB91" s="231"/>
      <c r="EC91" s="231"/>
      <c r="ED91" s="231"/>
      <c r="EE91" s="231"/>
      <c r="EF91" s="231"/>
      <c r="EG91" s="231"/>
      <c r="EH91" s="231"/>
      <c r="EI91" s="233"/>
      <c r="EJ91" s="233"/>
      <c r="EK91" s="233"/>
      <c r="EL91" s="233"/>
      <c r="EM91" s="231"/>
      <c r="EN91" s="231"/>
      <c r="EO91" s="231"/>
      <c r="EP91" s="231"/>
      <c r="EQ91" s="231"/>
      <c r="ER91" s="186"/>
      <c r="ES91" s="172"/>
      <c r="ET91" s="173"/>
    </row>
    <row r="92">
      <c r="A92" s="94" t="s">
        <v>130</v>
      </c>
      <c r="B92" s="96">
        <v>490.0</v>
      </c>
      <c r="C92" s="104"/>
      <c r="D92" s="230"/>
      <c r="E92" s="230"/>
      <c r="F92" s="231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94">
        <f t="shared" si="1"/>
        <v>0</v>
      </c>
      <c r="V92" s="173">
        <f t="shared" si="2"/>
        <v>0</v>
      </c>
      <c r="X92" s="104"/>
      <c r="Y92" s="230"/>
      <c r="Z92" s="230"/>
      <c r="AA92" s="231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  <c r="AP92" s="232"/>
      <c r="AQ92" s="232"/>
      <c r="AR92" s="232"/>
      <c r="AS92" s="232"/>
      <c r="AT92" s="232"/>
      <c r="AU92" s="232"/>
      <c r="AV92" s="232"/>
      <c r="AW92" s="232"/>
      <c r="AX92" s="94">
        <f t="shared" si="3"/>
        <v>0</v>
      </c>
      <c r="AY92" s="173">
        <f t="shared" si="4"/>
        <v>0</v>
      </c>
      <c r="AZ92" s="174"/>
      <c r="BA92" s="104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98"/>
      <c r="BR92" s="198"/>
      <c r="BS92" s="198"/>
      <c r="BT92" s="198"/>
      <c r="BU92" s="198"/>
      <c r="BV92" s="198"/>
      <c r="BW92" s="198"/>
      <c r="BX92" s="198"/>
      <c r="BY92" s="198"/>
      <c r="BZ92" s="230"/>
      <c r="CA92" s="200">
        <f t="shared" si="5"/>
        <v>0</v>
      </c>
      <c r="CB92" s="173">
        <f t="shared" si="6"/>
        <v>0</v>
      </c>
      <c r="CC92" s="174"/>
      <c r="CD92" s="104"/>
      <c r="CE92" s="230"/>
      <c r="CF92" s="230"/>
      <c r="CG92" s="230"/>
      <c r="CH92" s="230"/>
      <c r="CI92" s="230"/>
      <c r="CJ92" s="230"/>
      <c r="CK92" s="230"/>
      <c r="CL92" s="230"/>
      <c r="CM92" s="230"/>
      <c r="CN92" s="230"/>
      <c r="CO92" s="230"/>
      <c r="CP92" s="230"/>
      <c r="CQ92" s="230"/>
      <c r="CR92" s="230"/>
      <c r="CS92" s="230"/>
      <c r="CT92" s="230"/>
      <c r="CU92" s="230"/>
      <c r="CV92" s="230"/>
      <c r="CW92" s="230"/>
      <c r="CX92" s="230"/>
      <c r="CY92" s="230"/>
      <c r="CZ92" s="230"/>
      <c r="DA92" s="230"/>
      <c r="DB92" s="230"/>
      <c r="DC92" s="230"/>
      <c r="DD92" s="230"/>
      <c r="DE92" s="230"/>
      <c r="DF92" s="230"/>
      <c r="DG92" s="230"/>
      <c r="DH92" s="230"/>
      <c r="DI92" s="200"/>
      <c r="DJ92" s="173"/>
      <c r="DK92" s="174"/>
      <c r="DL92" s="104"/>
      <c r="DM92" s="230"/>
      <c r="DN92" s="231"/>
      <c r="DO92" s="231"/>
      <c r="DP92" s="231"/>
      <c r="DQ92" s="231"/>
      <c r="DR92" s="231"/>
      <c r="DS92" s="231"/>
      <c r="DT92" s="231"/>
      <c r="DU92" s="231"/>
      <c r="DV92" s="231"/>
      <c r="DW92" s="231"/>
      <c r="DX92" s="231"/>
      <c r="DY92" s="231"/>
      <c r="DZ92" s="231"/>
      <c r="EA92" s="231"/>
      <c r="EB92" s="231"/>
      <c r="EC92" s="231"/>
      <c r="ED92" s="231"/>
      <c r="EE92" s="231"/>
      <c r="EF92" s="231"/>
      <c r="EG92" s="231"/>
      <c r="EH92" s="231"/>
      <c r="EI92" s="233"/>
      <c r="EJ92" s="233"/>
      <c r="EK92" s="233"/>
      <c r="EL92" s="233"/>
      <c r="EM92" s="231"/>
      <c r="EN92" s="231"/>
      <c r="EO92" s="231"/>
      <c r="EP92" s="231"/>
      <c r="EQ92" s="231"/>
      <c r="ER92" s="186"/>
      <c r="ES92" s="172"/>
      <c r="ET92" s="173"/>
    </row>
    <row r="93">
      <c r="A93" s="94" t="s">
        <v>131</v>
      </c>
      <c r="B93" s="96">
        <v>490.0</v>
      </c>
      <c r="C93" s="104"/>
      <c r="D93" s="230"/>
      <c r="E93" s="230"/>
      <c r="F93" s="231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94">
        <f t="shared" si="1"/>
        <v>0</v>
      </c>
      <c r="V93" s="173">
        <f t="shared" si="2"/>
        <v>0</v>
      </c>
      <c r="X93" s="104"/>
      <c r="Y93" s="230"/>
      <c r="Z93" s="230"/>
      <c r="AA93" s="231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  <c r="AP93" s="232"/>
      <c r="AQ93" s="232"/>
      <c r="AR93" s="232"/>
      <c r="AS93" s="232"/>
      <c r="AT93" s="232"/>
      <c r="AU93" s="232"/>
      <c r="AV93" s="232"/>
      <c r="AW93" s="232"/>
      <c r="AX93" s="94">
        <f t="shared" si="3"/>
        <v>0</v>
      </c>
      <c r="AY93" s="173">
        <f t="shared" si="4"/>
        <v>0</v>
      </c>
      <c r="AZ93" s="174"/>
      <c r="BA93" s="104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98"/>
      <c r="BR93" s="198"/>
      <c r="BS93" s="198"/>
      <c r="BT93" s="198"/>
      <c r="BU93" s="198"/>
      <c r="BV93" s="198"/>
      <c r="BW93" s="198"/>
      <c r="BX93" s="198"/>
      <c r="BY93" s="198"/>
      <c r="BZ93" s="230"/>
      <c r="CA93" s="200">
        <f t="shared" si="5"/>
        <v>0</v>
      </c>
      <c r="CB93" s="173">
        <f t="shared" si="6"/>
        <v>0</v>
      </c>
      <c r="CC93" s="174"/>
      <c r="CD93" s="104"/>
      <c r="CE93" s="230"/>
      <c r="CF93" s="230"/>
      <c r="CG93" s="230"/>
      <c r="CH93" s="230"/>
      <c r="CI93" s="230"/>
      <c r="CJ93" s="230"/>
      <c r="CK93" s="230"/>
      <c r="CL93" s="230"/>
      <c r="CM93" s="230"/>
      <c r="CN93" s="230"/>
      <c r="CO93" s="230"/>
      <c r="CP93" s="230"/>
      <c r="CQ93" s="230"/>
      <c r="CR93" s="230"/>
      <c r="CS93" s="230"/>
      <c r="CT93" s="230"/>
      <c r="CU93" s="230"/>
      <c r="CV93" s="230"/>
      <c r="CW93" s="230"/>
      <c r="CX93" s="230"/>
      <c r="CY93" s="230"/>
      <c r="CZ93" s="230"/>
      <c r="DA93" s="230"/>
      <c r="DB93" s="230"/>
      <c r="DC93" s="230"/>
      <c r="DD93" s="230"/>
      <c r="DE93" s="230"/>
      <c r="DF93" s="230"/>
      <c r="DG93" s="230"/>
      <c r="DH93" s="230"/>
      <c r="DI93" s="200"/>
      <c r="DJ93" s="173"/>
      <c r="DK93" s="174"/>
      <c r="DL93" s="104"/>
      <c r="DM93" s="230"/>
      <c r="DN93" s="231"/>
      <c r="DO93" s="231"/>
      <c r="DP93" s="231"/>
      <c r="DQ93" s="231"/>
      <c r="DR93" s="231"/>
      <c r="DS93" s="231"/>
      <c r="DT93" s="231"/>
      <c r="DU93" s="231"/>
      <c r="DV93" s="231"/>
      <c r="DW93" s="231"/>
      <c r="DX93" s="231"/>
      <c r="DY93" s="231"/>
      <c r="DZ93" s="231"/>
      <c r="EA93" s="231"/>
      <c r="EB93" s="231"/>
      <c r="EC93" s="231"/>
      <c r="ED93" s="231"/>
      <c r="EE93" s="231"/>
      <c r="EF93" s="231"/>
      <c r="EG93" s="231"/>
      <c r="EH93" s="231"/>
      <c r="EI93" s="233"/>
      <c r="EJ93" s="233"/>
      <c r="EK93" s="233"/>
      <c r="EL93" s="233"/>
      <c r="EM93" s="231"/>
      <c r="EN93" s="231"/>
      <c r="EO93" s="231"/>
      <c r="EP93" s="231"/>
      <c r="EQ93" s="231"/>
      <c r="ER93" s="186"/>
      <c r="ES93" s="172"/>
      <c r="ET93" s="173"/>
    </row>
    <row r="94">
      <c r="A94" s="94" t="s">
        <v>132</v>
      </c>
      <c r="B94" s="96">
        <v>450.0</v>
      </c>
      <c r="C94" s="104"/>
      <c r="D94" s="230"/>
      <c r="E94" s="230"/>
      <c r="F94" s="231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94">
        <f t="shared" si="1"/>
        <v>0</v>
      </c>
      <c r="V94" s="173">
        <f t="shared" si="2"/>
        <v>0</v>
      </c>
      <c r="X94" s="104"/>
      <c r="Y94" s="230"/>
      <c r="Z94" s="230"/>
      <c r="AA94" s="231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  <c r="AP94" s="232"/>
      <c r="AQ94" s="232"/>
      <c r="AR94" s="232"/>
      <c r="AS94" s="232"/>
      <c r="AT94" s="232"/>
      <c r="AU94" s="232"/>
      <c r="AV94" s="232"/>
      <c r="AW94" s="232"/>
      <c r="AX94" s="94">
        <f t="shared" si="3"/>
        <v>0</v>
      </c>
      <c r="AY94" s="173">
        <f t="shared" si="4"/>
        <v>0</v>
      </c>
      <c r="AZ94" s="174"/>
      <c r="BA94" s="104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98"/>
      <c r="BR94" s="198"/>
      <c r="BS94" s="198"/>
      <c r="BT94" s="198"/>
      <c r="BU94" s="198"/>
      <c r="BV94" s="198"/>
      <c r="BW94" s="198"/>
      <c r="BX94" s="198"/>
      <c r="BY94" s="198"/>
      <c r="BZ94" s="230"/>
      <c r="CA94" s="200">
        <f t="shared" si="5"/>
        <v>0</v>
      </c>
      <c r="CB94" s="173">
        <f t="shared" si="6"/>
        <v>0</v>
      </c>
      <c r="CC94" s="174"/>
      <c r="CD94" s="104"/>
      <c r="CE94" s="230"/>
      <c r="CF94" s="230"/>
      <c r="CG94" s="230"/>
      <c r="CH94" s="230"/>
      <c r="CI94" s="230"/>
      <c r="CJ94" s="230"/>
      <c r="CK94" s="230"/>
      <c r="CL94" s="230"/>
      <c r="CM94" s="230"/>
      <c r="CN94" s="230"/>
      <c r="CO94" s="230"/>
      <c r="CP94" s="230"/>
      <c r="CQ94" s="230"/>
      <c r="CR94" s="230"/>
      <c r="CS94" s="230"/>
      <c r="CT94" s="230"/>
      <c r="CU94" s="230"/>
      <c r="CV94" s="230"/>
      <c r="CW94" s="230"/>
      <c r="CX94" s="230"/>
      <c r="CY94" s="230"/>
      <c r="CZ94" s="230"/>
      <c r="DA94" s="230"/>
      <c r="DB94" s="230"/>
      <c r="DC94" s="230"/>
      <c r="DD94" s="230"/>
      <c r="DE94" s="230"/>
      <c r="DF94" s="230"/>
      <c r="DG94" s="230"/>
      <c r="DH94" s="230"/>
      <c r="DI94" s="200"/>
      <c r="DJ94" s="173"/>
      <c r="DK94" s="174"/>
      <c r="DL94" s="104"/>
      <c r="DM94" s="230"/>
      <c r="DN94" s="231"/>
      <c r="DO94" s="231"/>
      <c r="DP94" s="231"/>
      <c r="DQ94" s="231"/>
      <c r="DR94" s="231"/>
      <c r="DS94" s="231"/>
      <c r="DT94" s="231"/>
      <c r="DU94" s="231"/>
      <c r="DV94" s="231"/>
      <c r="DW94" s="231"/>
      <c r="DX94" s="231"/>
      <c r="DY94" s="231"/>
      <c r="DZ94" s="231"/>
      <c r="EA94" s="231"/>
      <c r="EB94" s="231"/>
      <c r="EC94" s="231"/>
      <c r="ED94" s="231"/>
      <c r="EE94" s="231"/>
      <c r="EF94" s="231"/>
      <c r="EG94" s="231"/>
      <c r="EH94" s="231"/>
      <c r="EI94" s="233"/>
      <c r="EJ94" s="233"/>
      <c r="EK94" s="233"/>
      <c r="EL94" s="233"/>
      <c r="EM94" s="231"/>
      <c r="EN94" s="231"/>
      <c r="EO94" s="231"/>
      <c r="EP94" s="231"/>
      <c r="EQ94" s="231"/>
      <c r="ER94" s="186"/>
      <c r="ES94" s="172"/>
      <c r="ET94" s="173"/>
    </row>
    <row r="95">
      <c r="A95" s="117" t="s">
        <v>265</v>
      </c>
      <c r="B95" s="118">
        <v>450.0</v>
      </c>
      <c r="C95" s="104"/>
      <c r="D95" s="230"/>
      <c r="E95" s="230"/>
      <c r="F95" s="231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94">
        <f t="shared" si="1"/>
        <v>0</v>
      </c>
      <c r="V95" s="173">
        <f t="shared" si="2"/>
        <v>0</v>
      </c>
      <c r="X95" s="104"/>
      <c r="Y95" s="230"/>
      <c r="Z95" s="230"/>
      <c r="AA95" s="231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  <c r="AP95" s="232"/>
      <c r="AQ95" s="232"/>
      <c r="AR95" s="232"/>
      <c r="AS95" s="232"/>
      <c r="AT95" s="232"/>
      <c r="AU95" s="232"/>
      <c r="AV95" s="232"/>
      <c r="AW95" s="232"/>
      <c r="AX95" s="94">
        <f t="shared" si="3"/>
        <v>0</v>
      </c>
      <c r="AY95" s="173">
        <f t="shared" si="4"/>
        <v>0</v>
      </c>
      <c r="AZ95" s="174"/>
      <c r="BA95" s="104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98"/>
      <c r="BR95" s="198"/>
      <c r="BS95" s="198"/>
      <c r="BT95" s="198"/>
      <c r="BU95" s="198"/>
      <c r="BV95" s="198"/>
      <c r="BW95" s="198"/>
      <c r="BX95" s="198"/>
      <c r="BY95" s="198"/>
      <c r="BZ95" s="230"/>
      <c r="CA95" s="200">
        <f t="shared" si="5"/>
        <v>0</v>
      </c>
      <c r="CB95" s="173">
        <f t="shared" si="6"/>
        <v>0</v>
      </c>
      <c r="CC95" s="174"/>
      <c r="CD95" s="104"/>
      <c r="CE95" s="230"/>
      <c r="CF95" s="230"/>
      <c r="CG95" s="230"/>
      <c r="CH95" s="230"/>
      <c r="CI95" s="230"/>
      <c r="CJ95" s="230"/>
      <c r="CK95" s="230"/>
      <c r="CL95" s="230"/>
      <c r="CM95" s="230"/>
      <c r="CN95" s="230"/>
      <c r="CO95" s="230"/>
      <c r="CP95" s="230"/>
      <c r="CQ95" s="230"/>
      <c r="CR95" s="230"/>
      <c r="CS95" s="230"/>
      <c r="CT95" s="230"/>
      <c r="CU95" s="230"/>
      <c r="CV95" s="230"/>
      <c r="CW95" s="230"/>
      <c r="CX95" s="230"/>
      <c r="CY95" s="230"/>
      <c r="CZ95" s="230"/>
      <c r="DA95" s="230"/>
      <c r="DB95" s="230"/>
      <c r="DC95" s="230"/>
      <c r="DD95" s="230"/>
      <c r="DE95" s="230"/>
      <c r="DF95" s="230"/>
      <c r="DG95" s="230"/>
      <c r="DH95" s="230"/>
      <c r="DI95" s="200"/>
      <c r="DJ95" s="173"/>
      <c r="DK95" s="174"/>
      <c r="DL95" s="104"/>
      <c r="DM95" s="230"/>
      <c r="DN95" s="231"/>
      <c r="DO95" s="231"/>
      <c r="DP95" s="231"/>
      <c r="DQ95" s="231"/>
      <c r="DR95" s="231"/>
      <c r="DS95" s="231"/>
      <c r="DT95" s="231"/>
      <c r="DU95" s="231"/>
      <c r="DV95" s="231"/>
      <c r="DW95" s="231"/>
      <c r="DX95" s="231"/>
      <c r="DY95" s="231"/>
      <c r="DZ95" s="231"/>
      <c r="EA95" s="231"/>
      <c r="EB95" s="231"/>
      <c r="EC95" s="231"/>
      <c r="ED95" s="231"/>
      <c r="EE95" s="231"/>
      <c r="EF95" s="231"/>
      <c r="EG95" s="231"/>
      <c r="EH95" s="231"/>
      <c r="EI95" s="233"/>
      <c r="EJ95" s="233"/>
      <c r="EK95" s="233"/>
      <c r="EL95" s="233"/>
      <c r="EM95" s="231"/>
      <c r="EN95" s="231"/>
      <c r="EO95" s="231"/>
      <c r="EP95" s="231"/>
      <c r="EQ95" s="231"/>
      <c r="ER95" s="186"/>
      <c r="ES95" s="172"/>
      <c r="ET95" s="173"/>
    </row>
    <row r="96">
      <c r="A96" s="234"/>
      <c r="B96" s="120"/>
      <c r="C96" s="104"/>
      <c r="D96" s="235"/>
      <c r="E96" s="235"/>
      <c r="F96" s="236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94">
        <f t="shared" si="1"/>
        <v>0</v>
      </c>
      <c r="V96" s="173">
        <f t="shared" si="2"/>
        <v>0</v>
      </c>
      <c r="X96" s="104"/>
      <c r="Y96" s="235"/>
      <c r="Z96" s="235"/>
      <c r="AA96" s="236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237"/>
      <c r="AS96" s="237"/>
      <c r="AT96" s="237"/>
      <c r="AU96" s="237"/>
      <c r="AV96" s="237"/>
      <c r="AW96" s="237"/>
      <c r="AX96" s="94">
        <f t="shared" si="3"/>
        <v>0</v>
      </c>
      <c r="AY96" s="173">
        <f t="shared" si="4"/>
        <v>0</v>
      </c>
      <c r="AZ96" s="174"/>
      <c r="BA96" s="104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229"/>
      <c r="BR96" s="229"/>
      <c r="BS96" s="229"/>
      <c r="BT96" s="229"/>
      <c r="BU96" s="229"/>
      <c r="BV96" s="229"/>
      <c r="BW96" s="229"/>
      <c r="BX96" s="229"/>
      <c r="BY96" s="229"/>
      <c r="BZ96" s="235"/>
      <c r="CA96" s="200">
        <f t="shared" si="5"/>
        <v>0</v>
      </c>
      <c r="CB96" s="173">
        <f t="shared" si="6"/>
        <v>0</v>
      </c>
      <c r="CC96" s="174"/>
      <c r="CD96" s="104"/>
      <c r="CE96" s="235"/>
      <c r="CF96" s="235"/>
      <c r="CG96" s="235"/>
      <c r="CH96" s="235"/>
      <c r="CI96" s="235"/>
      <c r="CJ96" s="235"/>
      <c r="CK96" s="235"/>
      <c r="CL96" s="235"/>
      <c r="CM96" s="235"/>
      <c r="CN96" s="235"/>
      <c r="CO96" s="235"/>
      <c r="CP96" s="235"/>
      <c r="CQ96" s="235"/>
      <c r="CR96" s="235"/>
      <c r="CS96" s="235"/>
      <c r="CT96" s="235"/>
      <c r="CU96" s="235"/>
      <c r="CV96" s="235"/>
      <c r="CW96" s="235"/>
      <c r="CX96" s="235"/>
      <c r="CY96" s="235"/>
      <c r="CZ96" s="235"/>
      <c r="DA96" s="235"/>
      <c r="DB96" s="235"/>
      <c r="DC96" s="235"/>
      <c r="DD96" s="235"/>
      <c r="DE96" s="235"/>
      <c r="DF96" s="235"/>
      <c r="DG96" s="235"/>
      <c r="DH96" s="235"/>
      <c r="DI96" s="200"/>
      <c r="DJ96" s="173"/>
      <c r="DK96" s="174"/>
      <c r="DL96" s="104"/>
      <c r="DM96" s="230"/>
      <c r="DN96" s="231"/>
      <c r="DO96" s="231"/>
      <c r="DP96" s="231"/>
      <c r="DQ96" s="231"/>
      <c r="DR96" s="231"/>
      <c r="DS96" s="231"/>
      <c r="DT96" s="231"/>
      <c r="DU96" s="231"/>
      <c r="DV96" s="231"/>
      <c r="DW96" s="231"/>
      <c r="DX96" s="231"/>
      <c r="DY96" s="231"/>
      <c r="DZ96" s="231"/>
      <c r="EA96" s="231"/>
      <c r="EB96" s="231"/>
      <c r="EC96" s="231"/>
      <c r="ED96" s="231"/>
      <c r="EE96" s="231"/>
      <c r="EF96" s="231"/>
      <c r="EG96" s="231"/>
      <c r="EH96" s="231"/>
      <c r="EI96" s="233"/>
      <c r="EJ96" s="233"/>
      <c r="EK96" s="233"/>
      <c r="EL96" s="233"/>
      <c r="EM96" s="231"/>
      <c r="EN96" s="231"/>
      <c r="EO96" s="231"/>
      <c r="EP96" s="231"/>
      <c r="EQ96" s="231"/>
      <c r="ER96" s="186"/>
      <c r="ES96" s="172"/>
      <c r="ET96" s="173"/>
    </row>
    <row r="97">
      <c r="A97" s="238" t="s">
        <v>134</v>
      </c>
      <c r="B97" s="118">
        <v>1054.0</v>
      </c>
      <c r="C97" s="239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1"/>
      <c r="U97" s="94">
        <f t="shared" si="1"/>
        <v>0</v>
      </c>
      <c r="V97" s="213">
        <f t="shared" si="2"/>
        <v>0</v>
      </c>
      <c r="W97" s="242"/>
      <c r="X97" s="239"/>
      <c r="Y97" s="240"/>
      <c r="Z97" s="240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240"/>
      <c r="AS97" s="240"/>
      <c r="AT97" s="240"/>
      <c r="AU97" s="240"/>
      <c r="AV97" s="240"/>
      <c r="AW97" s="241"/>
      <c r="AX97" s="94">
        <f t="shared" si="3"/>
        <v>0</v>
      </c>
      <c r="AY97" s="213">
        <f t="shared" si="4"/>
        <v>0</v>
      </c>
      <c r="AZ97" s="243"/>
      <c r="BA97" s="241"/>
      <c r="BB97" s="241"/>
      <c r="BC97" s="241"/>
      <c r="BD97" s="241"/>
      <c r="BE97" s="241"/>
      <c r="BF97" s="244"/>
      <c r="BG97" s="244"/>
      <c r="BH97" s="244"/>
      <c r="BI97" s="244"/>
      <c r="BJ97" s="244"/>
      <c r="BK97" s="244"/>
      <c r="BL97" s="244"/>
      <c r="BM97" s="244"/>
      <c r="BN97" s="244"/>
      <c r="BO97" s="244"/>
      <c r="BP97" s="244"/>
      <c r="BQ97" s="244"/>
      <c r="BR97" s="244"/>
      <c r="BS97" s="244"/>
      <c r="BT97" s="244"/>
      <c r="BU97" s="244"/>
      <c r="BV97" s="244"/>
      <c r="BW97" s="244"/>
      <c r="BX97" s="244"/>
      <c r="BY97" s="244"/>
      <c r="BZ97" s="244"/>
      <c r="CA97" s="200">
        <f t="shared" si="5"/>
        <v>0</v>
      </c>
      <c r="CB97" s="213">
        <f t="shared" si="6"/>
        <v>0</v>
      </c>
      <c r="CC97" s="243"/>
      <c r="CD97" s="241"/>
      <c r="CE97" s="241"/>
      <c r="CF97" s="241"/>
      <c r="CG97" s="241"/>
      <c r="CH97" s="241"/>
      <c r="CI97" s="241"/>
      <c r="CJ97" s="241"/>
      <c r="CK97" s="241"/>
      <c r="CL97" s="241"/>
      <c r="CM97" s="241"/>
      <c r="CN97" s="241"/>
      <c r="CO97" s="241"/>
      <c r="CP97" s="241"/>
      <c r="CQ97" s="241"/>
      <c r="CR97" s="241"/>
      <c r="CS97" s="241"/>
      <c r="CT97" s="241"/>
      <c r="CU97" s="241"/>
      <c r="CV97" s="241"/>
      <c r="CW97" s="241"/>
      <c r="CX97" s="241"/>
      <c r="CY97" s="241"/>
      <c r="CZ97" s="241"/>
      <c r="DA97" s="241"/>
      <c r="DB97" s="241"/>
      <c r="DC97" s="241"/>
      <c r="DD97" s="241"/>
      <c r="DE97" s="241"/>
      <c r="DF97" s="241"/>
      <c r="DG97" s="241"/>
      <c r="DH97" s="241"/>
      <c r="DI97" s="200"/>
      <c r="DJ97" s="213"/>
      <c r="DK97" s="243"/>
      <c r="DL97" s="245"/>
      <c r="DM97" s="246"/>
      <c r="DN97" s="247"/>
      <c r="DO97" s="247"/>
      <c r="DP97" s="247"/>
      <c r="DQ97" s="247"/>
      <c r="DR97" s="247"/>
      <c r="DS97" s="247"/>
      <c r="DT97" s="247"/>
      <c r="DU97" s="247"/>
      <c r="DV97" s="247"/>
      <c r="DW97" s="247"/>
      <c r="DX97" s="247"/>
      <c r="DY97" s="247"/>
      <c r="DZ97" s="247"/>
      <c r="EA97" s="247"/>
      <c r="EB97" s="247"/>
      <c r="EC97" s="247"/>
      <c r="ED97" s="247"/>
      <c r="EE97" s="247"/>
      <c r="EF97" s="247"/>
      <c r="EG97" s="247"/>
      <c r="EH97" s="247"/>
      <c r="EI97" s="247"/>
      <c r="EJ97" s="247"/>
      <c r="EK97" s="247"/>
      <c r="EL97" s="247"/>
      <c r="EM97" s="247"/>
      <c r="EN97" s="247"/>
      <c r="EO97" s="247"/>
      <c r="EP97" s="247"/>
      <c r="EQ97" s="247"/>
      <c r="ER97" s="248"/>
      <c r="ES97" s="94"/>
      <c r="ET97" s="213"/>
    </row>
    <row r="98">
      <c r="A98" s="249" t="s">
        <v>266</v>
      </c>
      <c r="B98" s="250">
        <v>329.0</v>
      </c>
      <c r="C98" s="11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24"/>
      <c r="U98" s="94"/>
      <c r="V98" s="252"/>
      <c r="W98" s="253"/>
      <c r="X98" s="254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51"/>
      <c r="AS98" s="251"/>
      <c r="AT98" s="251"/>
      <c r="AU98" s="251"/>
      <c r="AV98" s="251"/>
      <c r="AW98" s="224"/>
      <c r="AX98" s="111"/>
      <c r="AY98" s="252"/>
      <c r="AZ98" s="243"/>
      <c r="BA98" s="224"/>
      <c r="BB98" s="224"/>
      <c r="BC98" s="224"/>
      <c r="BD98" s="224"/>
      <c r="BE98" s="224"/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103"/>
      <c r="BX98" s="103"/>
      <c r="BY98" s="103"/>
      <c r="BZ98" s="103"/>
      <c r="CA98" s="200">
        <f t="shared" si="5"/>
        <v>0</v>
      </c>
      <c r="CB98" s="213">
        <f t="shared" si="6"/>
        <v>0</v>
      </c>
      <c r="CC98" s="243"/>
      <c r="CD98" s="224"/>
      <c r="CE98" s="255">
        <v>1.0</v>
      </c>
      <c r="CF98" s="224"/>
      <c r="CG98" s="224"/>
      <c r="CH98" s="224"/>
      <c r="CI98" s="224"/>
      <c r="CJ98" s="224"/>
      <c r="CK98" s="224"/>
      <c r="CL98" s="224"/>
      <c r="CM98" s="224"/>
      <c r="CN98" s="224"/>
      <c r="CO98" s="224"/>
      <c r="CP98" s="224"/>
      <c r="CQ98" s="224"/>
      <c r="CR98" s="224"/>
      <c r="CS98" s="224"/>
      <c r="CT98" s="224"/>
      <c r="CU98" s="224"/>
      <c r="CV98" s="224"/>
      <c r="CW98" s="224"/>
      <c r="CX98" s="224"/>
      <c r="CY98" s="224"/>
      <c r="CZ98" s="224"/>
      <c r="DA98" s="224"/>
      <c r="DB98" s="224"/>
      <c r="DC98" s="224"/>
      <c r="DD98" s="224"/>
      <c r="DE98" s="224"/>
      <c r="DF98" s="224"/>
      <c r="DG98" s="224"/>
      <c r="DH98" s="224"/>
      <c r="DI98" s="238"/>
      <c r="DJ98" s="252"/>
      <c r="DK98" s="243"/>
      <c r="DL98" s="245"/>
      <c r="DM98" s="256"/>
      <c r="DN98" s="247"/>
      <c r="DO98" s="247"/>
      <c r="DP98" s="247"/>
      <c r="DQ98" s="247"/>
      <c r="DR98" s="247"/>
      <c r="DS98" s="247"/>
      <c r="DT98" s="247"/>
      <c r="DU98" s="247"/>
      <c r="DV98" s="247"/>
      <c r="DW98" s="247"/>
      <c r="DX98" s="247"/>
      <c r="DY98" s="202">
        <v>1.0</v>
      </c>
      <c r="DZ98" s="247"/>
      <c r="EA98" s="247"/>
      <c r="EB98" s="247"/>
      <c r="EC98" s="247"/>
      <c r="ED98" s="202">
        <v>1.0</v>
      </c>
      <c r="EE98" s="247"/>
      <c r="EF98" s="247"/>
      <c r="EG98" s="247"/>
      <c r="EH98" s="247"/>
      <c r="EI98" s="247"/>
      <c r="EJ98" s="247"/>
      <c r="EK98" s="247"/>
      <c r="EL98" s="247"/>
      <c r="EM98" s="247"/>
      <c r="EN98" s="247"/>
      <c r="EO98" s="247"/>
      <c r="EP98" s="247"/>
      <c r="EQ98" s="247"/>
      <c r="ER98" s="257"/>
      <c r="ES98" s="258"/>
      <c r="ET98" s="257"/>
    </row>
    <row r="99">
      <c r="A99" s="249" t="s">
        <v>267</v>
      </c>
      <c r="B99" s="250">
        <v>439.0</v>
      </c>
      <c r="C99" s="11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24"/>
      <c r="U99" s="94"/>
      <c r="V99" s="252"/>
      <c r="W99" s="253"/>
      <c r="X99" s="254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  <c r="AP99" s="251"/>
      <c r="AQ99" s="251"/>
      <c r="AR99" s="251"/>
      <c r="AS99" s="251"/>
      <c r="AT99" s="251"/>
      <c r="AU99" s="251"/>
      <c r="AV99" s="251"/>
      <c r="AW99" s="224"/>
      <c r="AX99" s="111"/>
      <c r="AY99" s="252"/>
      <c r="AZ99" s="243"/>
      <c r="BA99" s="224"/>
      <c r="BB99" s="224"/>
      <c r="BC99" s="224"/>
      <c r="BD99" s="224"/>
      <c r="BE99" s="224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259">
        <v>1.0</v>
      </c>
      <c r="BR99" s="103"/>
      <c r="BS99" s="103"/>
      <c r="BT99" s="103"/>
      <c r="BU99" s="103"/>
      <c r="BV99" s="103"/>
      <c r="BW99" s="103"/>
      <c r="BX99" s="103"/>
      <c r="BY99" s="103"/>
      <c r="BZ99" s="103"/>
      <c r="CA99" s="200">
        <f t="shared" si="5"/>
        <v>1</v>
      </c>
      <c r="CB99" s="213">
        <f t="shared" si="6"/>
        <v>439</v>
      </c>
      <c r="CC99" s="243"/>
      <c r="CD99" s="224"/>
      <c r="CE99" s="224"/>
      <c r="CF99" s="224"/>
      <c r="CG99" s="224"/>
      <c r="CH99" s="224"/>
      <c r="CI99" s="224"/>
      <c r="CJ99" s="224"/>
      <c r="CK99" s="224"/>
      <c r="CL99" s="224"/>
      <c r="CM99" s="224"/>
      <c r="CN99" s="224"/>
      <c r="CO99" s="224"/>
      <c r="CP99" s="224"/>
      <c r="CQ99" s="224"/>
      <c r="CR99" s="224"/>
      <c r="CS99" s="224"/>
      <c r="CT99" s="224"/>
      <c r="CU99" s="224"/>
      <c r="CV99" s="224"/>
      <c r="CW99" s="224"/>
      <c r="CX99" s="224"/>
      <c r="CY99" s="224"/>
      <c r="CZ99" s="224"/>
      <c r="DA99" s="224"/>
      <c r="DB99" s="224"/>
      <c r="DC99" s="224"/>
      <c r="DD99" s="224"/>
      <c r="DE99" s="224"/>
      <c r="DF99" s="224"/>
      <c r="DG99" s="224"/>
      <c r="DH99" s="224"/>
      <c r="DI99" s="238"/>
      <c r="DJ99" s="252"/>
      <c r="DK99" s="243"/>
      <c r="DL99" s="245"/>
      <c r="DM99" s="246"/>
      <c r="DN99" s="247"/>
      <c r="DO99" s="247"/>
      <c r="DP99" s="247"/>
      <c r="DQ99" s="247"/>
      <c r="DR99" s="247"/>
      <c r="DS99" s="247"/>
      <c r="DT99" s="247"/>
      <c r="DU99" s="247"/>
      <c r="DV99" s="247"/>
      <c r="DW99" s="247"/>
      <c r="DX99" s="247"/>
      <c r="DY99" s="247"/>
      <c r="DZ99" s="247"/>
      <c r="EA99" s="247"/>
      <c r="EB99" s="247"/>
      <c r="EC99" s="247"/>
      <c r="ED99" s="247"/>
      <c r="EE99" s="247"/>
      <c r="EF99" s="247"/>
      <c r="EG99" s="247"/>
      <c r="EH99" s="247"/>
      <c r="EI99" s="247"/>
      <c r="EJ99" s="247"/>
      <c r="EK99" s="247"/>
      <c r="EL99" s="247"/>
      <c r="EM99" s="247"/>
      <c r="EN99" s="247"/>
      <c r="EO99" s="247"/>
      <c r="EP99" s="247"/>
      <c r="EQ99" s="247"/>
      <c r="ER99" s="248"/>
      <c r="ES99" s="258"/>
      <c r="ET99" s="257"/>
    </row>
    <row r="100">
      <c r="A100" s="249" t="s">
        <v>268</v>
      </c>
      <c r="B100" s="250">
        <v>799.0</v>
      </c>
      <c r="C100" s="11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24"/>
      <c r="U100" s="94"/>
      <c r="V100" s="252"/>
      <c r="W100" s="253"/>
      <c r="X100" s="254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251"/>
      <c r="AT100" s="251"/>
      <c r="AU100" s="251"/>
      <c r="AV100" s="251"/>
      <c r="AW100" s="224"/>
      <c r="AX100" s="111"/>
      <c r="AY100" s="252"/>
      <c r="AZ100" s="243"/>
      <c r="BA100" s="224"/>
      <c r="BB100" s="224"/>
      <c r="BC100" s="224"/>
      <c r="BD100" s="224"/>
      <c r="BE100" s="224"/>
      <c r="BF100" s="103"/>
      <c r="BG100" s="103"/>
      <c r="BH100" s="103"/>
      <c r="BI100" s="103"/>
      <c r="BJ100" s="103"/>
      <c r="BK100" s="103"/>
      <c r="BL100" s="103"/>
      <c r="BM100" s="103"/>
      <c r="BN100" s="103"/>
      <c r="BO100" s="103"/>
      <c r="BP100" s="103"/>
      <c r="BQ100" s="259"/>
      <c r="BR100" s="103"/>
      <c r="BS100" s="103"/>
      <c r="BT100" s="103"/>
      <c r="BU100" s="103"/>
      <c r="BV100" s="103"/>
      <c r="BW100" s="103"/>
      <c r="BX100" s="103"/>
      <c r="BY100" s="103"/>
      <c r="BZ100" s="103"/>
      <c r="CA100" s="200">
        <f t="shared" si="5"/>
        <v>0</v>
      </c>
      <c r="CB100" s="213">
        <f t="shared" si="6"/>
        <v>0</v>
      </c>
      <c r="CC100" s="243"/>
      <c r="CD100" s="224"/>
      <c r="CE100" s="224"/>
      <c r="CF100" s="224"/>
      <c r="CG100" s="224"/>
      <c r="CH100" s="224"/>
      <c r="CI100" s="224"/>
      <c r="CJ100" s="224"/>
      <c r="CK100" s="224"/>
      <c r="CL100" s="224"/>
      <c r="CM100" s="224"/>
      <c r="CN100" s="224"/>
      <c r="CO100" s="224"/>
      <c r="CP100" s="224"/>
      <c r="CQ100" s="224"/>
      <c r="CR100" s="224"/>
      <c r="CS100" s="224"/>
      <c r="CT100" s="224"/>
      <c r="CU100" s="224"/>
      <c r="CV100" s="224"/>
      <c r="CW100" s="224"/>
      <c r="CX100" s="224"/>
      <c r="CY100" s="224"/>
      <c r="CZ100" s="224"/>
      <c r="DA100" s="224"/>
      <c r="DB100" s="224"/>
      <c r="DC100" s="224"/>
      <c r="DD100" s="224"/>
      <c r="DE100" s="224"/>
      <c r="DF100" s="224"/>
      <c r="DG100" s="224"/>
      <c r="DH100" s="255">
        <v>1.0</v>
      </c>
      <c r="DI100" s="238"/>
      <c r="DJ100" s="252"/>
      <c r="DK100" s="243"/>
      <c r="DL100" s="239"/>
      <c r="DM100" s="240"/>
      <c r="DN100" s="247"/>
      <c r="DO100" s="247"/>
      <c r="DP100" s="247"/>
      <c r="DQ100" s="247"/>
      <c r="DR100" s="247"/>
      <c r="DS100" s="247"/>
      <c r="DT100" s="247"/>
      <c r="DU100" s="247"/>
      <c r="DV100" s="247"/>
      <c r="DW100" s="247"/>
      <c r="DX100" s="247"/>
      <c r="DY100" s="247"/>
      <c r="DZ100" s="247"/>
      <c r="EA100" s="247"/>
      <c r="EB100" s="247"/>
      <c r="EC100" s="247"/>
      <c r="ED100" s="247"/>
      <c r="EE100" s="247"/>
      <c r="EF100" s="247"/>
      <c r="EG100" s="247"/>
      <c r="EH100" s="247"/>
      <c r="EI100" s="247"/>
      <c r="EJ100" s="247"/>
      <c r="EK100" s="247"/>
      <c r="EL100" s="247"/>
      <c r="EM100" s="247"/>
      <c r="EN100" s="247"/>
      <c r="EO100" s="247"/>
      <c r="EP100" s="247"/>
      <c r="EQ100" s="247"/>
      <c r="ER100" s="241"/>
      <c r="ES100" s="258"/>
      <c r="ET100" s="257"/>
    </row>
    <row r="101">
      <c r="A101" s="260" t="s">
        <v>135</v>
      </c>
      <c r="B101" s="261"/>
      <c r="C101" s="262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4"/>
      <c r="U101" s="94">
        <f>sum(C101:T101)</f>
        <v>0</v>
      </c>
      <c r="V101" s="265"/>
      <c r="W101" s="242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63"/>
      <c r="AI101" s="263"/>
      <c r="AJ101" s="263"/>
      <c r="AK101" s="263"/>
      <c r="AL101" s="263"/>
      <c r="AM101" s="263"/>
      <c r="AN101" s="263"/>
      <c r="AO101" s="263"/>
      <c r="AP101" s="263"/>
      <c r="AQ101" s="263"/>
      <c r="AR101" s="263"/>
      <c r="AS101" s="263"/>
      <c r="AT101" s="263"/>
      <c r="AU101" s="263"/>
      <c r="AV101" s="263"/>
      <c r="AW101" s="264"/>
      <c r="AX101" s="262"/>
      <c r="AY101" s="265"/>
      <c r="AZ101" s="243"/>
      <c r="BA101" s="263"/>
      <c r="BB101" s="263"/>
      <c r="BC101" s="263"/>
      <c r="BD101" s="263"/>
      <c r="BE101" s="263"/>
      <c r="BF101" s="266"/>
      <c r="BG101" s="266"/>
      <c r="BH101" s="266"/>
      <c r="BI101" s="266"/>
      <c r="BJ101" s="266"/>
      <c r="BK101" s="266"/>
      <c r="BL101" s="266"/>
      <c r="BM101" s="266"/>
      <c r="BN101" s="266"/>
      <c r="BO101" s="266"/>
      <c r="BP101" s="266"/>
      <c r="BQ101" s="266"/>
      <c r="BR101" s="266"/>
      <c r="BS101" s="266"/>
      <c r="BT101" s="266"/>
      <c r="BU101" s="266"/>
      <c r="BV101" s="266"/>
      <c r="BW101" s="266"/>
      <c r="BX101" s="266"/>
      <c r="BY101" s="266"/>
      <c r="BZ101" s="266"/>
      <c r="CA101" s="200">
        <f t="shared" si="5"/>
        <v>0</v>
      </c>
      <c r="CB101" s="213">
        <f t="shared" si="6"/>
        <v>0</v>
      </c>
      <c r="CC101" s="243"/>
      <c r="CD101" s="263"/>
      <c r="CE101" s="263"/>
      <c r="CF101" s="263"/>
      <c r="CG101" s="263"/>
      <c r="CH101" s="263"/>
      <c r="CI101" s="263"/>
      <c r="CJ101" s="263"/>
      <c r="CK101" s="263"/>
      <c r="CL101" s="263"/>
      <c r="CM101" s="263"/>
      <c r="CN101" s="263"/>
      <c r="CO101" s="263"/>
      <c r="CP101" s="263"/>
      <c r="CQ101" s="263"/>
      <c r="CR101" s="263"/>
      <c r="CS101" s="263"/>
      <c r="CT101" s="263"/>
      <c r="CU101" s="263"/>
      <c r="CV101" s="263"/>
      <c r="CW101" s="263"/>
      <c r="CX101" s="263"/>
      <c r="CY101" s="263"/>
      <c r="CZ101" s="263"/>
      <c r="DA101" s="263"/>
      <c r="DB101" s="263"/>
      <c r="DC101" s="263"/>
      <c r="DD101" s="263"/>
      <c r="DE101" s="263"/>
      <c r="DF101" s="263"/>
      <c r="DG101" s="263"/>
      <c r="DH101" s="263"/>
      <c r="DI101" s="267"/>
      <c r="DJ101" s="265"/>
      <c r="DK101" s="243"/>
      <c r="DL101" s="262"/>
      <c r="DM101" s="263"/>
      <c r="DN101" s="263"/>
      <c r="DO101" s="263"/>
      <c r="DP101" s="263"/>
      <c r="DQ101" s="263"/>
      <c r="DR101" s="263"/>
      <c r="DS101" s="263"/>
      <c r="DT101" s="263"/>
      <c r="DU101" s="263"/>
      <c r="DV101" s="263"/>
      <c r="DW101" s="263"/>
      <c r="DX101" s="263"/>
      <c r="DY101" s="263"/>
      <c r="DZ101" s="263"/>
      <c r="EA101" s="263"/>
      <c r="EB101" s="263"/>
      <c r="EC101" s="263"/>
      <c r="ED101" s="263"/>
      <c r="EE101" s="263"/>
      <c r="EF101" s="263"/>
      <c r="EG101" s="263"/>
      <c r="EH101" s="263"/>
      <c r="EI101" s="263"/>
      <c r="EJ101" s="263"/>
      <c r="EK101" s="263"/>
      <c r="EL101" s="263"/>
      <c r="EM101" s="263"/>
      <c r="EN101" s="263"/>
      <c r="EO101" s="263"/>
      <c r="EP101" s="263"/>
      <c r="EQ101" s="263"/>
      <c r="ER101" s="263"/>
      <c r="ES101" s="262"/>
      <c r="ET101" s="268"/>
    </row>
    <row r="102">
      <c r="A102" s="269"/>
      <c r="B102" s="270"/>
      <c r="C102" s="271">
        <f t="shared" ref="C102:J102" si="7">SUM(C8:C14)*329+SUM(C15)*219+SUM(C19:C21)*239+SUM(C22:C24)*219+SUM(C27)*799+SUM(C28)*609+SUM(C29:C30)*329+SUM(C31:C32)*219+SUM(C33)*439+SUM(C34)*899+SUM(C35:C37)*549+SUM(C38:C39)*799+SUM(C40:C41)*439+SUM(C42)*60+SUM(C43)*609+SUM(C44:C45)*379+SUM(C46:C47)*1299+SUM(C50:C51)*609+SUM(C52)*329+SUM(C55)*599+SUM(C58:C60)*329+SUM(C61)*249+SUM(C62:C64)*439+SUM(C65:C67)*799+SUM(C68:C70)*1299+SUM(C71)*609+SUM(C72:C74)*1599+SUM(C75)*3059+SUM(C77)*379+SUM(C78)*799+SUM(C79)*439+SUM(C80)*599+SUM(C81)*229+SUM(C82)*219+SUM(C83:C86)*1299+SUM(C88:C90)*679+SUM(C92:C93)*490+SUM(C94:C95)*450+SUM(C97)*1054</f>
        <v>239</v>
      </c>
      <c r="D102" s="271">
        <f t="shared" si="7"/>
        <v>658</v>
      </c>
      <c r="E102" s="271">
        <f t="shared" si="7"/>
        <v>688</v>
      </c>
      <c r="F102" s="271">
        <f t="shared" si="7"/>
        <v>379</v>
      </c>
      <c r="G102" s="271">
        <f t="shared" si="7"/>
        <v>329</v>
      </c>
      <c r="H102" s="271">
        <f t="shared" si="7"/>
        <v>658</v>
      </c>
      <c r="I102" s="271">
        <f t="shared" si="7"/>
        <v>609</v>
      </c>
      <c r="J102" s="271">
        <f t="shared" si="7"/>
        <v>558</v>
      </c>
      <c r="K102" s="272">
        <f>999*2+658+609</f>
        <v>3265</v>
      </c>
      <c r="L102" s="271">
        <f t="shared" ref="L102:M102" si="8">SUM(L8:L14)*329+SUM(L15)*219+SUM(L19:L21)*239+SUM(L22:L24)*219+SUM(L27)*799+SUM(L28)*609+SUM(L29:L30)*329+SUM(L31:L32)*219+SUM(L33)*439+SUM(L34)*899+SUM(L35:L37)*549+SUM(L38:L39)*799+SUM(L40:L41)*439+SUM(L42)*60+SUM(L43)*609+SUM(L44:L45)*379+SUM(L46:L47)*1299+SUM(L50:L51)*609+SUM(L52)*329+SUM(L55)*599+SUM(L58:L60)*329+SUM(L61)*249+SUM(L62:L64)*439+SUM(L65:L67)*799+SUM(L68:L70)*1299+SUM(L71)*609+SUM(L72:L74)*1599+SUM(L75)*3059+SUM(L77)*379+SUM(L78)*799+SUM(L79)*439+SUM(L80)*599+SUM(L81)*229+SUM(L82)*219+SUM(L83:L86)*1299+SUM(L88:L90)*679+SUM(L92:L93)*490+SUM(L94:L95)*450+SUM(L97)*1054</f>
        <v>658</v>
      </c>
      <c r="M102" s="271">
        <f t="shared" si="8"/>
        <v>329</v>
      </c>
      <c r="N102" s="272">
        <f>1645*2+658+609</f>
        <v>4557</v>
      </c>
      <c r="O102" s="271">
        <f t="shared" ref="O102:T102" si="9">SUM(O8:O14)*329+SUM(O15)*219+SUM(O19:O21)*239+SUM(O22:O24)*219+SUM(O27)*799+SUM(O28)*609+SUM(O29:O30)*329+SUM(O31:O32)*219+SUM(O33)*439+SUM(O34)*899+SUM(O35:O37)*549+SUM(O38:O39)*799+SUM(O40:O41)*439+SUM(O42)*60+SUM(O43)*609+SUM(O44:O45)*379+SUM(O46:O47)*1299+SUM(O50:O51)*609+SUM(O52)*329+SUM(O55)*599+SUM(O58:O60)*329+SUM(O61)*249+SUM(O62:O64)*439+SUM(O65:O67)*799+SUM(O68:O70)*1299+SUM(O71)*609+SUM(O72:O74)*1599+SUM(O75)*3059+SUM(O77)*379+SUM(O78)*799+SUM(O79)*439+SUM(O80)*599+SUM(O81)*229+SUM(O82)*219+SUM(O83:O86)*1299+SUM(O88:O90)*679+SUM(O92:O93)*490+SUM(O94:O95)*450+SUM(O97)*1054</f>
        <v>878</v>
      </c>
      <c r="P102" s="271">
        <f t="shared" si="9"/>
        <v>987</v>
      </c>
      <c r="Q102" s="271">
        <f t="shared" si="9"/>
        <v>658</v>
      </c>
      <c r="R102" s="271">
        <f t="shared" si="9"/>
        <v>549</v>
      </c>
      <c r="S102" s="271">
        <f t="shared" si="9"/>
        <v>609</v>
      </c>
      <c r="T102" s="271">
        <f t="shared" si="9"/>
        <v>658</v>
      </c>
      <c r="U102" s="273"/>
      <c r="V102" s="272">
        <f>sum(C102:T102)</f>
        <v>17266</v>
      </c>
      <c r="W102" s="274"/>
      <c r="X102" s="271">
        <f t="shared" ref="X102:AW102" si="10">SUM(X8:X14)*329+SUM(X15)*219+SUM(X19:X21)*239+SUM(X22:X24)*219+SUM(X27)*799+SUM(X28)*609+SUM(X29:X30)*329+SUM(X31:X32)*219+SUM(X33)*439+SUM(X34)*899+SUM(X35:X37)*549+SUM(X38:X39)*799+SUM(X40:X41)*439+SUM(X42)*60+SUM(X43)*609+SUM(X44:X45)*379+SUM(X46:X47)*1299+SUM(X50:X51)*609+SUM(X52)*329+SUM(X55)*599+SUM(X58:X60)*329+SUM(X61)*249+SUM(X62:X64)*439+SUM(X65:X67)*799+SUM(X68:X70)*1299+SUM(X71)*609+SUM(X72:X74)*1599+SUM(X75)*3059+SUM(X77)*379+SUM(X78)*799+SUM(X79)*439+SUM(X80)*599+SUM(X81)*229+SUM(X82)*219+SUM(X83:X86)*1299+SUM(X88:X90)*679+SUM(X92:X93)*490+SUM(X94:X95)*450+SUM(X97)*1054</f>
        <v>609</v>
      </c>
      <c r="Y102" s="271">
        <f t="shared" si="10"/>
        <v>799</v>
      </c>
      <c r="Z102" s="271">
        <f t="shared" si="10"/>
        <v>2436</v>
      </c>
      <c r="AA102" s="271">
        <f t="shared" si="10"/>
        <v>1227</v>
      </c>
      <c r="AB102" s="271">
        <f t="shared" si="10"/>
        <v>329</v>
      </c>
      <c r="AC102" s="271">
        <f t="shared" si="10"/>
        <v>180</v>
      </c>
      <c r="AD102" s="271">
        <f t="shared" si="10"/>
        <v>219</v>
      </c>
      <c r="AE102" s="271">
        <f t="shared" si="10"/>
        <v>1827</v>
      </c>
      <c r="AF102" s="271">
        <f t="shared" si="10"/>
        <v>1218</v>
      </c>
      <c r="AG102" s="271">
        <f t="shared" si="10"/>
        <v>219</v>
      </c>
      <c r="AH102" s="271">
        <f t="shared" si="10"/>
        <v>329</v>
      </c>
      <c r="AI102" s="271">
        <f t="shared" si="10"/>
        <v>1827</v>
      </c>
      <c r="AJ102" s="271">
        <f t="shared" si="10"/>
        <v>658</v>
      </c>
      <c r="AK102" s="271">
        <f t="shared" si="10"/>
        <v>1299</v>
      </c>
      <c r="AL102" s="271">
        <f t="shared" si="10"/>
        <v>120</v>
      </c>
      <c r="AM102" s="271">
        <f t="shared" si="10"/>
        <v>3654</v>
      </c>
      <c r="AN102" s="271">
        <f t="shared" si="10"/>
        <v>329</v>
      </c>
      <c r="AO102" s="271">
        <f t="shared" si="10"/>
        <v>329</v>
      </c>
      <c r="AP102" s="271">
        <f t="shared" si="10"/>
        <v>329</v>
      </c>
      <c r="AQ102" s="271">
        <f t="shared" si="10"/>
        <v>987</v>
      </c>
      <c r="AR102" s="271">
        <f t="shared" si="10"/>
        <v>239</v>
      </c>
      <c r="AS102" s="271">
        <f t="shared" si="10"/>
        <v>986</v>
      </c>
      <c r="AT102" s="271">
        <f t="shared" si="10"/>
        <v>1098</v>
      </c>
      <c r="AU102" s="271">
        <f t="shared" si="10"/>
        <v>1316</v>
      </c>
      <c r="AV102" s="271">
        <f t="shared" si="10"/>
        <v>1647</v>
      </c>
      <c r="AW102" s="271">
        <f t="shared" si="10"/>
        <v>609</v>
      </c>
      <c r="AX102" s="273"/>
      <c r="AY102" s="272">
        <f>sum(X102:AW102)</f>
        <v>24819</v>
      </c>
      <c r="AZ102" s="272"/>
      <c r="BA102" s="275">
        <f t="shared" ref="BA102:BC102" si="11">SUM(BA8:BA14)*329+SUM(BA15)*219+SUM(BA19:BA21)*239+SUM(BA22:BA24)*219+SUM(BA27)*799+SUM(BA28)*609+SUM(BA29:BA30)*329+SUM(BA31:BA32)*219+SUM(BA33)*439+SUM(BA34)*899+SUM(BA35:BA37)*549+SUM(BA38:BA39)*799+SUM(BA40:BA41)*439+SUM(BA42)*60+SUM(BA43)*609+SUM(BA44:BA45)*379+SUM(BA46:BA47)*1299+SUM(BA50:BA51)*609+SUM(BA52)*329+SUM(BA55)*599+SUM(BA58:BA60)*329+SUM(BA61)*249+SUM(BA62:BA64)*439+SUM(BA65:BA67)*799+SUM(BA68:BA70)*1299+SUM(BA71)*609+SUM(BA72:BA74)*1599+SUM(BA75)*3059+SUM(BA77)*379+SUM(BA78)*799+SUM(BA79)*439+SUM(BA80)*599+SUM(BA81)*229+SUM(BA82)*219+SUM(BA83:BA86)*1299+SUM(BA88:BA90)*679+SUM(BA92:BA93)*490+SUM(BA94:BA95)*450+SUM(BA97)*1054</f>
        <v>329</v>
      </c>
      <c r="BB102" s="275">
        <f t="shared" si="11"/>
        <v>329</v>
      </c>
      <c r="BC102" s="275">
        <f t="shared" si="11"/>
        <v>658</v>
      </c>
      <c r="BD102" s="275">
        <f>199*2</f>
        <v>398</v>
      </c>
      <c r="BE102" s="275">
        <f t="shared" ref="BE102:BP102" si="12">SUM(BE8:BE14)*329+SUM(BE15)*219+SUM(BE19:BE21)*239+SUM(BE22:BE24)*219+SUM(BE27)*799+SUM(BE28)*609+SUM(BE29:BE30)*329+SUM(BE31:BE32)*219+SUM(BE33)*439+SUM(BE34)*899+SUM(BE35:BE37)*549+SUM(BE38:BE39)*799+SUM(BE40:BE41)*439+SUM(BE42)*60+SUM(BE43)*609+SUM(BE44:BE45)*379+SUM(BE46:BE47)*1299+SUM(BE50:BE51)*609+SUM(BE52)*329+SUM(BE55)*599+SUM(BE58:BE60)*329+SUM(BE61)*249+SUM(BE62:BE64)*439+SUM(BE65:BE67)*799+SUM(BE68:BE70)*1299+SUM(BE71)*609+SUM(BE72:BE74)*1599+SUM(BE75)*3059+SUM(BE77)*379+SUM(BE78)*799+SUM(BE79)*439+SUM(BE80)*599+SUM(BE81)*229+SUM(BE82)*219+SUM(BE83:BE86)*1299+SUM(BE88:BE90)*679+SUM(BE92:BE93)*490+SUM(BE94:BE95)*450+SUM(BE97)*1054</f>
        <v>329</v>
      </c>
      <c r="BF102" s="275">
        <f t="shared" si="12"/>
        <v>1098</v>
      </c>
      <c r="BG102" s="275">
        <f t="shared" si="12"/>
        <v>1218</v>
      </c>
      <c r="BH102" s="275">
        <f t="shared" si="12"/>
        <v>219</v>
      </c>
      <c r="BI102" s="275">
        <f t="shared" si="12"/>
        <v>329</v>
      </c>
      <c r="BJ102" s="275">
        <f t="shared" si="12"/>
        <v>658</v>
      </c>
      <c r="BK102" s="275">
        <f t="shared" si="12"/>
        <v>609</v>
      </c>
      <c r="BL102" s="275">
        <f t="shared" si="12"/>
        <v>609</v>
      </c>
      <c r="BM102" s="275">
        <f t="shared" si="12"/>
        <v>1908</v>
      </c>
      <c r="BN102" s="275">
        <f t="shared" si="12"/>
        <v>1457</v>
      </c>
      <c r="BO102" s="275">
        <f t="shared" si="12"/>
        <v>329</v>
      </c>
      <c r="BP102" s="275">
        <f t="shared" si="12"/>
        <v>329</v>
      </c>
      <c r="BQ102" s="275">
        <f>(BQ100*B100)+ SUM(BQ8:BQ14)*329+SUM(BQ15)*219+SUM(BQ19:BQ21)*239+SUM(BQ22:BQ24)*219+SUM(BQ27)*799+SUM(BQ28)*609+SUM(BQ29:BQ30)*329+SUM(BQ31:BQ32)*219+SUM(BQ33)*439+SUM(BQ34)*899+SUM(BQ35:BQ37)*549+SUM(BQ38:BQ39)*799+SUM(BQ40:BQ41)*439+SUM(BQ42)*60+SUM(BQ43)*609+SUM(BQ44:BQ45)*379+SUM(BQ46:BQ47)*1299+SUM(BQ50:BQ51)*609+SUM(BQ52)*329+SUM(BQ55)*599+SUM(BQ58:BQ60)*329+SUM(BQ61)*249+SUM(BQ62:BQ64)*439+SUM(BQ65:BQ67)*799+SUM(BQ68:BQ70)*1299+SUM(BQ71)*609+SUM(BQ72:BQ74)*1599+SUM(BQ75)*3059+SUM(BQ77)*379+SUM(BQ78)*799+SUM(BQ79)*439+SUM(BQ80)*599+SUM(BQ81)*229+SUM(BQ82)*219+SUM(BQ83:BQ86)*1299+SUM(BQ88:BQ90)*679+SUM(BQ92:BQ93)*490+SUM(BQ94:BQ95)*450+SUM(BQ97)*1054+439</f>
        <v>499</v>
      </c>
      <c r="BR102" s="275">
        <f t="shared" ref="BR102:BZ102" si="13">SUM(BR8:BR14)*329+SUM(BR15)*219+SUM(BR19:BR21)*239+SUM(BR22:BR24)*219+SUM(BR27)*799+SUM(BR28)*609+SUM(BR29:BR30)*329+SUM(BR31:BR32)*219+SUM(BR33)*439+SUM(BR34)*899+SUM(BR35:BR37)*549+SUM(BR38:BR39)*799+SUM(BR40:BR41)*439+SUM(BR42)*60+SUM(BR43)*609+SUM(BR44:BR45)*379+SUM(BR46:BR47)*1299+SUM(BR50:BR51)*609+SUM(BR52)*329+SUM(BR55)*599+SUM(BR58:BR60)*329+SUM(BR61)*249+SUM(BR62:BR64)*439+SUM(BR65:BR67)*799+SUM(BR68:BR70)*1299+SUM(BR71)*609+SUM(BR72:BR74)*1599+SUM(BR75)*3059+SUM(BR77)*379+SUM(BR78)*799+SUM(BR79)*439+SUM(BR80)*599+SUM(BR81)*229+SUM(BR82)*219+SUM(BR83:BR86)*1299+SUM(BR88:BR90)*679+SUM(BR92:BR93)*490+SUM(BR94:BR95)*450+SUM(BR97)*1054</f>
        <v>609</v>
      </c>
      <c r="BS102" s="275">
        <f t="shared" si="13"/>
        <v>1614</v>
      </c>
      <c r="BT102" s="275">
        <f t="shared" si="13"/>
        <v>329</v>
      </c>
      <c r="BU102" s="275">
        <f t="shared" si="13"/>
        <v>1218</v>
      </c>
      <c r="BV102" s="275">
        <f t="shared" si="13"/>
        <v>329</v>
      </c>
      <c r="BW102" s="275">
        <f t="shared" si="13"/>
        <v>609</v>
      </c>
      <c r="BX102" s="275">
        <f t="shared" si="13"/>
        <v>658</v>
      </c>
      <c r="BY102" s="275">
        <f t="shared" si="13"/>
        <v>559</v>
      </c>
      <c r="BZ102" s="275">
        <f t="shared" si="13"/>
        <v>0</v>
      </c>
      <c r="CA102" s="276"/>
      <c r="CB102" s="277">
        <f>sum(BA102:BZ102)</f>
        <v>17230</v>
      </c>
      <c r="CC102" s="277"/>
      <c r="CD102" s="278"/>
      <c r="CE102" s="278"/>
      <c r="CF102" s="278"/>
      <c r="CG102" s="278"/>
      <c r="CH102" s="278"/>
      <c r="CI102" s="278"/>
      <c r="CJ102" s="278"/>
      <c r="CK102" s="278"/>
      <c r="CL102" s="278"/>
      <c r="CM102" s="278"/>
      <c r="CN102" s="278"/>
      <c r="CO102" s="278"/>
      <c r="CP102" s="278"/>
      <c r="CQ102" s="278"/>
      <c r="CR102" s="278"/>
      <c r="CS102" s="278"/>
      <c r="CT102" s="278"/>
      <c r="CU102" s="278"/>
      <c r="CV102" s="278"/>
      <c r="CW102" s="278"/>
      <c r="CX102" s="278"/>
      <c r="CY102" s="278"/>
      <c r="CZ102" s="278"/>
      <c r="DA102" s="278"/>
      <c r="DB102" s="278"/>
      <c r="DC102" s="278"/>
      <c r="DD102" s="278"/>
      <c r="DE102" s="278"/>
      <c r="DF102" s="278"/>
      <c r="DG102" s="278"/>
      <c r="DH102" s="278"/>
      <c r="DI102" s="279"/>
      <c r="DJ102" s="277"/>
      <c r="DK102" s="277"/>
      <c r="DL102" s="277"/>
      <c r="DM102" s="277"/>
      <c r="DN102" s="277"/>
      <c r="DO102" s="277"/>
      <c r="DP102" s="277"/>
      <c r="DQ102" s="277"/>
      <c r="DR102" s="277"/>
      <c r="DS102" s="277"/>
      <c r="DT102" s="277"/>
      <c r="DU102" s="277"/>
      <c r="DV102" s="277"/>
      <c r="DW102" s="277"/>
      <c r="DX102" s="277"/>
      <c r="DY102" s="277"/>
      <c r="DZ102" s="277"/>
      <c r="EA102" s="277"/>
      <c r="EB102" s="277"/>
      <c r="EC102" s="277"/>
      <c r="ED102" s="277"/>
      <c r="EE102" s="277"/>
      <c r="EF102" s="277"/>
      <c r="EG102" s="277"/>
      <c r="EH102" s="277"/>
      <c r="EI102" s="277"/>
      <c r="EJ102" s="277"/>
      <c r="EK102" s="277"/>
      <c r="EL102" s="277"/>
      <c r="EM102" s="277"/>
      <c r="EN102" s="277"/>
      <c r="EO102" s="277"/>
      <c r="EP102" s="277"/>
      <c r="EQ102" s="277"/>
      <c r="ER102" s="277"/>
      <c r="ES102" s="277"/>
      <c r="ET102" s="277"/>
    </row>
    <row r="103">
      <c r="A103" s="72"/>
      <c r="B103" s="280"/>
      <c r="C103" s="1" t="s">
        <v>269</v>
      </c>
      <c r="D103" s="1" t="s">
        <v>269</v>
      </c>
      <c r="E103" s="1" t="s">
        <v>269</v>
      </c>
      <c r="F103" s="1" t="s">
        <v>269</v>
      </c>
      <c r="G103" s="1" t="s">
        <v>269</v>
      </c>
      <c r="H103" s="1" t="s">
        <v>269</v>
      </c>
      <c r="I103" s="1" t="s">
        <v>269</v>
      </c>
      <c r="J103" s="1" t="s">
        <v>269</v>
      </c>
      <c r="K103" s="1">
        <v>4465.0</v>
      </c>
      <c r="L103" s="1" t="s">
        <v>269</v>
      </c>
      <c r="M103" s="1" t="s">
        <v>269</v>
      </c>
      <c r="N103" s="1" t="s">
        <v>269</v>
      </c>
      <c r="V103" s="1">
        <v>18466.0</v>
      </c>
      <c r="AY103" s="1">
        <v>25648.0</v>
      </c>
      <c r="CA103" s="281"/>
      <c r="CB103" s="281"/>
      <c r="CC103" s="281"/>
      <c r="CD103" s="275">
        <f t="shared" ref="CD103:CG103" si="14">SUM(CD8:CD14)*329+SUM(CD15)*219+SUM(CD19:CD21)*239+SUM(CD22:CD24)*219+SUM(CD27)*799+SUM(CD28)*609+SUM(CD29:CD30)*329+SUM(CD31:CD32)*219+SUM(CD33)*439+SUM(CD34)*899+SUM(CD35:CD37)*549+SUM(CD38:CD39)*799+SUM(CD40:CD41)*439+SUM(CD42)*60+SUM(CD43)*609+SUM(CD44:CD45)*379+SUM(CD46:CD47)*1299+SUM(CD50:CD51)*609+SUM(CD52)*329+SUM(CD55)*599+SUM(CD58:CD60)*329+SUM(CD61)*249+SUM(CD62:CD64)*439+SUM(CD65:CD67)*799+SUM(CD68:CD70)*1299+SUM(CD71)*609+SUM(CD72:CD74)*1599+SUM(CD75)*3059+SUM(CD77)*379+SUM(CD78)*799+SUM(CD79)*439+SUM(CD80)*599+SUM(CD81)*229+SUM(CD82)*219+SUM(CD83:CD86)*1299+SUM(CD88:CD90)*679+SUM(CD92:CD93)*490+SUM(CD94:CD95)*450+SUM(CD97)*1054+sum(CD98)*329+sum(CD99)*439+sum(CD100)*799</f>
        <v>478</v>
      </c>
      <c r="CE103" s="275">
        <f t="shared" si="14"/>
        <v>329</v>
      </c>
      <c r="CF103" s="275">
        <f t="shared" si="14"/>
        <v>1218</v>
      </c>
      <c r="CG103" s="275">
        <f t="shared" si="14"/>
        <v>938</v>
      </c>
      <c r="CH103" s="275">
        <f>1499+1218+439*6</f>
        <v>5351</v>
      </c>
      <c r="CI103" s="275">
        <f t="shared" ref="CI103:CR103" si="15">SUM(CI8:CI14)*329+SUM(CI15)*219+SUM(CI19:CI21)*239+SUM(CI22:CI24)*219+SUM(CI27)*799+SUM(CI28)*609+SUM(CI29:CI30)*329+SUM(CI31:CI32)*219+SUM(CI33)*439+SUM(CI34)*899+SUM(CI35:CI37)*549+SUM(CI38:CI39)*799+SUM(CI40:CI41)*439+SUM(CI42)*60+SUM(CI43)*609+SUM(CI44:CI45)*379+SUM(CI46:CI47)*1299+SUM(CI50:CI51)*609+SUM(CI52)*329+SUM(CI55)*599+SUM(CI58:CI60)*329+SUM(CI61)*249+SUM(CI62:CI64)*439+SUM(CI65:CI67)*799+SUM(CI68:CI70)*1299+SUM(CI71)*609+SUM(CI72:CI74)*1599+SUM(CI75)*3059+SUM(CI77)*379+SUM(CI78)*799+SUM(CI79)*439+SUM(CI80)*599+SUM(CI81)*229+SUM(CI82)*219+SUM(CI83:CI86)*1299+SUM(CI88:CI90)*679+SUM(CI92:CI93)*490+SUM(CI94:CI95)*450+SUM(CI97)*1054+sum(CI98)*329+sum(CI99)*439+sum(CI100)*799</f>
        <v>609</v>
      </c>
      <c r="CJ103" s="275">
        <f t="shared" si="15"/>
        <v>609</v>
      </c>
      <c r="CK103" s="275">
        <f t="shared" si="15"/>
        <v>609</v>
      </c>
      <c r="CL103" s="275">
        <f t="shared" si="15"/>
        <v>658</v>
      </c>
      <c r="CM103" s="275">
        <f t="shared" si="15"/>
        <v>609</v>
      </c>
      <c r="CN103" s="275">
        <f t="shared" si="15"/>
        <v>658</v>
      </c>
      <c r="CO103" s="275">
        <f t="shared" si="15"/>
        <v>3294</v>
      </c>
      <c r="CP103" s="275">
        <f t="shared" si="15"/>
        <v>818</v>
      </c>
      <c r="CQ103" s="275">
        <f t="shared" si="15"/>
        <v>609</v>
      </c>
      <c r="CR103" s="275">
        <f t="shared" si="15"/>
        <v>329</v>
      </c>
      <c r="CS103" s="275">
        <f>329*5</f>
        <v>1645</v>
      </c>
      <c r="CT103" s="275">
        <f t="shared" ref="CT103:DE103" si="16">SUM(CT8:CT14)*329+SUM(CT15)*219+SUM(CT19:CT21)*239+SUM(CT22:CT24)*219+SUM(CT27)*799+SUM(CT28)*609+SUM(CT29:CT30)*329+SUM(CT31:CT32)*219+SUM(CT33)*439+SUM(CT34)*899+SUM(CT35:CT37)*549+SUM(CT38:CT39)*799+SUM(CT40:CT41)*439+SUM(CT42)*60+SUM(CT43)*609+SUM(CT44:CT45)*379+SUM(CT46:CT47)*1299+SUM(CT50:CT51)*609+SUM(CT52)*329+SUM(CT55)*599+SUM(CT58:CT60)*329+SUM(CT61)*249+SUM(CT62:CT64)*439+SUM(CT65:CT67)*799+SUM(CT68:CT70)*1299+SUM(CT71)*609+SUM(CT72:CT74)*1599+SUM(CT75)*3059+SUM(CT77)*379+SUM(CT78)*799+SUM(CT79)*439+SUM(CT80)*599+SUM(CT81)*229+SUM(CT82)*219+SUM(CT83:CT86)*1299+SUM(CT88:CT90)*679+SUM(CT92:CT93)*490+SUM(CT94:CT95)*450+SUM(CT97)*1054+sum(CT98)*329+sum(CT99)*439+sum(CT100)*799</f>
        <v>1645</v>
      </c>
      <c r="CU103" s="275">
        <f t="shared" si="16"/>
        <v>609</v>
      </c>
      <c r="CV103" s="275">
        <f t="shared" si="16"/>
        <v>887</v>
      </c>
      <c r="CW103" s="275">
        <f t="shared" si="16"/>
        <v>609</v>
      </c>
      <c r="CX103" s="275">
        <f t="shared" si="16"/>
        <v>1200</v>
      </c>
      <c r="CY103" s="275">
        <f t="shared" si="16"/>
        <v>658</v>
      </c>
      <c r="CZ103" s="275">
        <f t="shared" si="16"/>
        <v>609</v>
      </c>
      <c r="DA103" s="275">
        <f t="shared" si="16"/>
        <v>609</v>
      </c>
      <c r="DB103" s="275">
        <f t="shared" si="16"/>
        <v>878</v>
      </c>
      <c r="DC103" s="275">
        <f t="shared" si="16"/>
        <v>180</v>
      </c>
      <c r="DD103" s="275">
        <f t="shared" si="16"/>
        <v>609</v>
      </c>
      <c r="DE103" s="275">
        <f t="shared" si="16"/>
        <v>609</v>
      </c>
      <c r="DF103" s="282">
        <v>609.0</v>
      </c>
      <c r="DG103" s="275">
        <f t="shared" ref="DG103:DH103" si="17">SUM(DG8:DG14)*329+SUM(DG15)*219+SUM(DG19:DG21)*239+SUM(DG22:DG24)*219+SUM(DG27)*799+SUM(DG28)*609+SUM(DG29:DG30)*329+SUM(DG31:DG32)*219+SUM(DG33)*439+SUM(DG34)*899+SUM(DG35:DG37)*549+SUM(DG38:DG39)*799+SUM(DG40:DG41)*439+SUM(DG42)*60+SUM(DG43)*609+SUM(DG44:DG45)*379+SUM(DG46:DG47)*1299+SUM(DG50:DG51)*609+SUM(DG52)*329+SUM(DG55)*599+SUM(DG58:DG60)*329+SUM(DG61)*249+SUM(DG62:DG64)*439+SUM(DG65:DG67)*799+SUM(DG68:DG70)*1299+SUM(DG71)*609+SUM(DG72:DG74)*1599+SUM(DG75)*3059+SUM(DG77)*379+SUM(DG78)*799+SUM(DG79)*439+SUM(DG80)*599+SUM(DG81)*229+SUM(DG82)*219+SUM(DG83:DG86)*1299+SUM(DG88:DG90)*679+SUM(DG92:DG93)*490+SUM(DG94:DG95)*450+SUM(DG97)*1054+sum(DG98)*329+sum(DG99)*439+sum(DG100)*799</f>
        <v>439</v>
      </c>
      <c r="DH103" s="275">
        <f t="shared" si="17"/>
        <v>799</v>
      </c>
      <c r="DI103" s="283"/>
      <c r="DJ103" s="283">
        <f>sum(CD103:DH103)</f>
        <v>29710</v>
      </c>
      <c r="DK103" s="283"/>
      <c r="DL103" s="275">
        <f t="shared" ref="DL103:DO103" si="18">SUM(DL8:DL14)*329+SUM(DL15)*219+SUM(DL19:DL21)*239+SUM(DL22:DL24)*219+SUM(DL27)*799+SUM(DL28)*609+SUM(DL29:DL30)*329+SUM(DL31:DL32)*219+SUM(DL33)*439+SUM(DL34)*899+SUM(DL35:DL37)*549+SUM(DL38:DL39)*799+SUM(DL40:DL41)*439+SUM(DL42)*60+SUM(DL43)*609+SUM(DL44:DL45)*379+SUM(DL46:DL47)*1299+SUM(DL50:DL51)*609+SUM(DL52)*329+SUM(DL55)*599+SUM(DL58:DL60)*329+SUM(DL61)*249+SUM(DL62:DL64)*439+SUM(DL65:DL67)*799+SUM(DL68:DL70)*1299+SUM(DL71)*609+SUM(DL72:DL74)*1599+SUM(DL75)*3059+SUM(DL77)*379+SUM(DL78)*799+SUM(DL79)*439+SUM(DL80)*599+SUM(DL81)*229+SUM(DL82)*219+SUM(DL83:DL86)*1299+SUM(DL88:DL90)*679+SUM(DL92:DL93)*490+SUM(DL94:DL95)*450+SUM(DL97)*1054+sum(DL98)*329+sum(DL99)*439+sum(DL100)*799</f>
        <v>658</v>
      </c>
      <c r="DM103" s="275">
        <f t="shared" si="18"/>
        <v>120</v>
      </c>
      <c r="DN103" s="275">
        <f t="shared" si="18"/>
        <v>329</v>
      </c>
      <c r="DO103" s="275">
        <f t="shared" si="18"/>
        <v>609</v>
      </c>
      <c r="DP103" s="275">
        <f>199*2</f>
        <v>398</v>
      </c>
      <c r="DQ103" s="275">
        <f t="shared" ref="DQ103:ER103" si="19">SUM(DQ8:DQ14)*329+SUM(DQ15)*219+SUM(DQ19:DQ21)*239+SUM(DQ22:DQ24)*219+SUM(DQ27)*799+SUM(DQ28)*609+SUM(DQ29:DQ30)*329+SUM(DQ31:DQ32)*219+SUM(DQ33)*439+SUM(DQ34)*899+SUM(DQ35:DQ37)*549+SUM(DQ38:DQ39)*799+SUM(DQ40:DQ41)*439+SUM(DQ42)*60+SUM(DQ43)*609+SUM(DQ44:DQ45)*379+SUM(DQ46:DQ47)*1299+SUM(DQ50:DQ51)*609+SUM(DQ52)*329+SUM(DQ55)*599+SUM(DQ58:DQ60)*329+SUM(DQ61)*249+SUM(DQ62:DQ64)*439+SUM(DQ65:DQ67)*799+SUM(DQ68:DQ70)*1299+SUM(DQ71)*609+SUM(DQ72:DQ74)*1599+SUM(DQ75)*3059+SUM(DQ77)*379+SUM(DQ78)*799+SUM(DQ79)*439+SUM(DQ80)*599+SUM(DQ81)*229+SUM(DQ82)*219+SUM(DQ83:DQ86)*1299+SUM(DQ88:DQ90)*679+SUM(DQ92:DQ93)*490+SUM(DQ94:DQ95)*450+SUM(DQ97)*1054+sum(DQ98)*329+sum(DQ99)*439+sum(DQ100)*799</f>
        <v>609</v>
      </c>
      <c r="DR103" s="275">
        <f t="shared" si="19"/>
        <v>329</v>
      </c>
      <c r="DS103" s="275">
        <f t="shared" si="19"/>
        <v>658</v>
      </c>
      <c r="DT103" s="275">
        <f t="shared" si="19"/>
        <v>938</v>
      </c>
      <c r="DU103" s="275">
        <f t="shared" si="19"/>
        <v>329</v>
      </c>
      <c r="DV103" s="275">
        <f t="shared" si="19"/>
        <v>609</v>
      </c>
      <c r="DW103" s="275">
        <f t="shared" si="19"/>
        <v>658</v>
      </c>
      <c r="DX103" s="275">
        <f t="shared" si="19"/>
        <v>609</v>
      </c>
      <c r="DY103" s="275">
        <f t="shared" si="19"/>
        <v>578</v>
      </c>
      <c r="DZ103" s="275">
        <f t="shared" si="19"/>
        <v>609</v>
      </c>
      <c r="EA103" s="275">
        <f t="shared" si="19"/>
        <v>609</v>
      </c>
      <c r="EB103" s="275">
        <f t="shared" si="19"/>
        <v>329</v>
      </c>
      <c r="EC103" s="275">
        <f t="shared" si="19"/>
        <v>658</v>
      </c>
      <c r="ED103" s="275">
        <f t="shared" si="19"/>
        <v>987</v>
      </c>
      <c r="EE103" s="275">
        <f t="shared" si="19"/>
        <v>329</v>
      </c>
      <c r="EF103" s="275">
        <f t="shared" si="19"/>
        <v>828</v>
      </c>
      <c r="EG103" s="275">
        <f t="shared" si="19"/>
        <v>329</v>
      </c>
      <c r="EH103" s="275">
        <f t="shared" si="19"/>
        <v>1827</v>
      </c>
      <c r="EI103" s="275">
        <f t="shared" si="19"/>
        <v>1098</v>
      </c>
      <c r="EJ103" s="275">
        <f t="shared" si="19"/>
        <v>439</v>
      </c>
      <c r="EK103" s="275">
        <f t="shared" si="19"/>
        <v>1158</v>
      </c>
      <c r="EL103" s="275">
        <f t="shared" si="19"/>
        <v>658</v>
      </c>
      <c r="EM103" s="275">
        <f t="shared" si="19"/>
        <v>60</v>
      </c>
      <c r="EN103" s="275">
        <f t="shared" si="19"/>
        <v>799</v>
      </c>
      <c r="EO103" s="275">
        <f t="shared" si="19"/>
        <v>1218</v>
      </c>
      <c r="EP103" s="275">
        <f t="shared" si="19"/>
        <v>239</v>
      </c>
      <c r="EQ103" s="275">
        <f t="shared" si="19"/>
        <v>658</v>
      </c>
      <c r="ER103" s="275">
        <f t="shared" si="19"/>
        <v>0</v>
      </c>
      <c r="ES103" s="283"/>
      <c r="ET103" s="283">
        <f>sum(DL103:ER103)</f>
        <v>20263</v>
      </c>
    </row>
    <row r="104">
      <c r="A104" s="284" t="s">
        <v>270</v>
      </c>
      <c r="K104" s="3">
        <f>K102-K103</f>
        <v>-1200</v>
      </c>
      <c r="V104" s="3">
        <f>V102-V103</f>
        <v>-1200</v>
      </c>
      <c r="AY104" s="3">
        <f>AY102-AY103</f>
        <v>-829</v>
      </c>
      <c r="CA104" s="281"/>
      <c r="CB104" s="281"/>
      <c r="CC104" s="281"/>
      <c r="CD104" s="283"/>
      <c r="CE104" s="283"/>
      <c r="CF104" s="283"/>
      <c r="CG104" s="283"/>
      <c r="CH104" s="283"/>
      <c r="CI104" s="283"/>
      <c r="CJ104" s="283"/>
      <c r="CK104" s="283"/>
      <c r="CL104" s="283"/>
      <c r="CM104" s="283"/>
      <c r="CN104" s="283"/>
      <c r="CO104" s="283"/>
      <c r="CP104" s="283"/>
      <c r="CQ104" s="283"/>
      <c r="CR104" s="283"/>
      <c r="CS104" s="283"/>
      <c r="CT104" s="283"/>
      <c r="CU104" s="283"/>
      <c r="CV104" s="283"/>
      <c r="CW104" s="283"/>
      <c r="CX104" s="283"/>
      <c r="CY104" s="283"/>
      <c r="CZ104" s="283"/>
      <c r="DA104" s="283"/>
      <c r="DB104" s="283"/>
      <c r="DC104" s="283"/>
      <c r="DD104" s="283"/>
      <c r="DE104" s="283"/>
      <c r="DF104" s="283"/>
      <c r="DG104" s="283"/>
      <c r="DH104" s="283"/>
      <c r="DI104" s="283"/>
      <c r="DJ104" s="283"/>
      <c r="DK104" s="283"/>
      <c r="DL104" s="283"/>
      <c r="DM104" s="283"/>
      <c r="DN104" s="283"/>
      <c r="DO104" s="283"/>
      <c r="DP104" s="283"/>
      <c r="DQ104" s="283"/>
      <c r="DR104" s="283"/>
      <c r="DS104" s="283"/>
      <c r="DT104" s="283"/>
      <c r="DU104" s="283"/>
      <c r="DV104" s="283"/>
      <c r="DW104" s="283"/>
      <c r="DX104" s="283"/>
      <c r="DY104" s="283"/>
      <c r="DZ104" s="283"/>
      <c r="EA104" s="283"/>
      <c r="EB104" s="283"/>
      <c r="EC104" s="283"/>
      <c r="ED104" s="283"/>
      <c r="EE104" s="283"/>
      <c r="EF104" s="283"/>
      <c r="EG104" s="283"/>
      <c r="EH104" s="283"/>
      <c r="EI104" s="285"/>
      <c r="EJ104" s="285"/>
      <c r="EK104" s="285"/>
      <c r="EL104" s="285"/>
      <c r="EM104" s="283"/>
      <c r="EN104" s="283"/>
      <c r="EO104" s="283"/>
      <c r="EP104" s="283"/>
      <c r="EQ104" s="283"/>
      <c r="ER104" s="283"/>
      <c r="ES104" s="283"/>
      <c r="ET104" s="283"/>
    </row>
    <row r="105">
      <c r="A105" s="283"/>
      <c r="B105" s="284" t="s">
        <v>271</v>
      </c>
      <c r="BA105" s="281"/>
      <c r="BB105" s="281"/>
      <c r="BC105" s="281"/>
      <c r="BD105" s="281"/>
      <c r="BE105" s="281"/>
      <c r="BF105" s="281"/>
      <c r="BG105" s="281"/>
      <c r="BH105" s="281"/>
      <c r="BI105" s="281"/>
      <c r="BJ105" s="281"/>
      <c r="BK105" s="281"/>
      <c r="BL105" s="281"/>
      <c r="BM105" s="281"/>
      <c r="BN105" s="281"/>
      <c r="BO105" s="281"/>
      <c r="BP105" s="281"/>
      <c r="BQ105" s="281"/>
      <c r="BR105" s="281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3"/>
      <c r="CE105" s="283"/>
      <c r="CF105" s="283"/>
      <c r="CG105" s="283"/>
      <c r="CH105" s="283"/>
      <c r="CI105" s="283"/>
      <c r="CJ105" s="283"/>
      <c r="CK105" s="283"/>
      <c r="CL105" s="283"/>
      <c r="CM105" s="283"/>
      <c r="CN105" s="283"/>
      <c r="CO105" s="283"/>
      <c r="CP105" s="283"/>
      <c r="CQ105" s="283"/>
      <c r="CR105" s="283"/>
      <c r="CS105" s="283"/>
      <c r="CT105" s="283"/>
      <c r="CU105" s="283"/>
      <c r="CV105" s="283"/>
      <c r="CW105" s="283"/>
      <c r="CX105" s="283"/>
      <c r="CY105" s="283"/>
      <c r="CZ105" s="283"/>
      <c r="DA105" s="283"/>
      <c r="DB105" s="283"/>
      <c r="DC105" s="283"/>
      <c r="DD105" s="283"/>
      <c r="DE105" s="283"/>
      <c r="DF105" s="283"/>
      <c r="DG105" s="283"/>
      <c r="DH105" s="283"/>
      <c r="DI105" s="283"/>
      <c r="DJ105" s="283"/>
      <c r="DK105" s="283"/>
      <c r="DL105" s="283"/>
      <c r="DM105" s="283"/>
      <c r="DN105" s="283"/>
      <c r="DO105" s="283"/>
      <c r="DP105" s="283"/>
      <c r="DQ105" s="283"/>
      <c r="DR105" s="283"/>
      <c r="DS105" s="283"/>
      <c r="DT105" s="283"/>
      <c r="DU105" s="283"/>
      <c r="DV105" s="283"/>
      <c r="DW105" s="283"/>
      <c r="DX105" s="283"/>
      <c r="DY105" s="283"/>
      <c r="DZ105" s="283"/>
      <c r="EA105" s="283"/>
      <c r="EB105" s="283"/>
      <c r="EC105" s="283"/>
      <c r="ED105" s="283"/>
      <c r="EE105" s="283"/>
      <c r="EF105" s="283"/>
      <c r="EG105" s="283"/>
      <c r="EH105" s="283"/>
      <c r="EI105" s="285"/>
      <c r="EJ105" s="285"/>
      <c r="EK105" s="285"/>
      <c r="EL105" s="285"/>
      <c r="EM105" s="283"/>
      <c r="EN105" s="283"/>
      <c r="EO105" s="283"/>
      <c r="EP105" s="283"/>
      <c r="EQ105" s="283"/>
      <c r="ER105" s="283"/>
      <c r="ES105" s="283"/>
      <c r="ET105" s="283"/>
    </row>
    <row r="106">
      <c r="A106" s="286" t="s">
        <v>272</v>
      </c>
      <c r="BA106" s="281"/>
      <c r="BB106" s="281"/>
      <c r="BC106" s="281"/>
      <c r="BD106" s="281"/>
      <c r="BE106" s="281"/>
      <c r="BF106" s="281"/>
      <c r="BG106" s="281"/>
      <c r="BH106" s="281"/>
      <c r="BI106" s="281"/>
      <c r="BJ106" s="281"/>
      <c r="BK106" s="281"/>
      <c r="BL106" s="281"/>
      <c r="BM106" s="281"/>
      <c r="BN106" s="281"/>
      <c r="BO106" s="281"/>
      <c r="BP106" s="281"/>
      <c r="BQ106" s="281"/>
      <c r="BR106" s="281"/>
      <c r="BS106" s="281"/>
      <c r="BT106" s="281"/>
      <c r="BU106" s="281"/>
      <c r="BV106" s="281"/>
      <c r="BW106" s="281"/>
      <c r="BX106" s="281"/>
      <c r="BY106" s="281">
        <f>CB102-17230</f>
        <v>0</v>
      </c>
      <c r="BZ106" s="281"/>
      <c r="CA106" s="281"/>
      <c r="CB106" s="281"/>
      <c r="CC106" s="281"/>
      <c r="CD106" s="283"/>
      <c r="CE106" s="283"/>
      <c r="CF106" s="283"/>
      <c r="CG106" s="283"/>
      <c r="CH106" s="283"/>
      <c r="CI106" s="283"/>
      <c r="CJ106" s="283"/>
      <c r="CK106" s="283"/>
      <c r="CL106" s="283"/>
      <c r="CM106" s="283"/>
      <c r="CN106" s="283"/>
      <c r="CO106" s="283"/>
      <c r="CP106" s="283"/>
      <c r="CQ106" s="283"/>
      <c r="CR106" s="283"/>
      <c r="CS106" s="283"/>
      <c r="CT106" s="283"/>
      <c r="CU106" s="283"/>
      <c r="CV106" s="283"/>
      <c r="CW106" s="283"/>
      <c r="CX106" s="283"/>
      <c r="CY106" s="283"/>
      <c r="CZ106" s="283"/>
      <c r="DA106" s="283"/>
      <c r="DB106" s="283"/>
      <c r="DC106" s="283"/>
      <c r="DD106" s="283"/>
      <c r="DE106" s="283"/>
      <c r="DF106" s="283"/>
      <c r="DG106" s="283"/>
      <c r="DH106" s="283"/>
      <c r="DI106" s="283"/>
      <c r="DJ106" s="283"/>
      <c r="DK106" s="283"/>
      <c r="DL106" s="283"/>
      <c r="DM106" s="283"/>
      <c r="DN106" s="283"/>
      <c r="DO106" s="283"/>
      <c r="DP106" s="283"/>
      <c r="DQ106" s="283"/>
      <c r="DR106" s="283"/>
      <c r="DS106" s="283"/>
      <c r="DT106" s="283"/>
      <c r="DU106" s="283"/>
      <c r="DV106" s="283"/>
      <c r="DW106" s="283"/>
      <c r="DX106" s="283"/>
      <c r="DY106" s="283"/>
      <c r="DZ106" s="283"/>
      <c r="EA106" s="283"/>
      <c r="EB106" s="283"/>
      <c r="EC106" s="283"/>
      <c r="ED106" s="283"/>
      <c r="EE106" s="283"/>
      <c r="EF106" s="283"/>
      <c r="EG106" s="283"/>
      <c r="EH106" s="283"/>
      <c r="EI106" s="285"/>
      <c r="EJ106" s="285"/>
      <c r="EK106" s="285"/>
      <c r="EL106" s="285"/>
      <c r="EM106" s="283"/>
      <c r="EN106" s="283"/>
      <c r="EO106" s="283"/>
      <c r="EP106" s="283"/>
      <c r="EQ106" s="283"/>
      <c r="ER106" s="283"/>
      <c r="ES106" s="283"/>
      <c r="ET106" s="283"/>
    </row>
    <row r="107">
      <c r="A107" s="286" t="s">
        <v>273</v>
      </c>
      <c r="BA107" s="281"/>
      <c r="BB107" s="281"/>
      <c r="BC107" s="281"/>
      <c r="BD107" s="281"/>
      <c r="BE107" s="281"/>
      <c r="BF107" s="281"/>
      <c r="BG107" s="281"/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3"/>
      <c r="CE107" s="283"/>
      <c r="CF107" s="283"/>
      <c r="CG107" s="283"/>
      <c r="CH107" s="283"/>
      <c r="CI107" s="283"/>
      <c r="CJ107" s="283"/>
      <c r="CK107" s="283"/>
      <c r="CL107" s="283"/>
      <c r="CM107" s="283"/>
      <c r="CN107" s="283"/>
      <c r="CO107" s="283"/>
      <c r="CP107" s="283"/>
      <c r="CQ107" s="283"/>
      <c r="CR107" s="283"/>
      <c r="CS107" s="283"/>
      <c r="CT107" s="283"/>
      <c r="CU107" s="283"/>
      <c r="CV107" s="283"/>
      <c r="CW107" s="283"/>
      <c r="CX107" s="283"/>
      <c r="CY107" s="283"/>
      <c r="CZ107" s="283"/>
      <c r="DA107" s="283"/>
      <c r="DB107" s="283"/>
      <c r="DC107" s="283"/>
      <c r="DD107" s="283"/>
      <c r="DE107" s="283"/>
      <c r="DF107" s="283"/>
      <c r="DG107" s="283"/>
      <c r="DH107" s="283"/>
      <c r="DI107" s="283"/>
      <c r="DJ107" s="283"/>
      <c r="DK107" s="283"/>
      <c r="DL107" s="283"/>
      <c r="DM107" s="283"/>
      <c r="DN107" s="283"/>
      <c r="DO107" s="283"/>
      <c r="DP107" s="283"/>
      <c r="DQ107" s="283"/>
      <c r="DR107" s="283"/>
      <c r="DS107" s="283"/>
      <c r="DT107" s="283"/>
      <c r="DU107" s="283"/>
      <c r="DV107" s="283"/>
      <c r="DW107" s="283"/>
      <c r="DX107" s="283"/>
      <c r="DY107" s="283"/>
      <c r="DZ107" s="283"/>
      <c r="EA107" s="283"/>
      <c r="EB107" s="283"/>
      <c r="EC107" s="283"/>
      <c r="ED107" s="283"/>
      <c r="EE107" s="283"/>
      <c r="EF107" s="283"/>
      <c r="EG107" s="283"/>
      <c r="EH107" s="283"/>
      <c r="EI107" s="285"/>
      <c r="EJ107" s="285"/>
      <c r="EK107" s="285"/>
      <c r="EL107" s="285"/>
      <c r="EM107" s="283"/>
      <c r="EN107" s="283"/>
      <c r="EO107" s="283"/>
      <c r="EP107" s="283"/>
      <c r="EQ107" s="283"/>
      <c r="ER107" s="283"/>
      <c r="ES107" s="283"/>
      <c r="ET107" s="283"/>
    </row>
    <row r="108">
      <c r="A108" s="287" t="s">
        <v>274</v>
      </c>
      <c r="B108" s="288"/>
      <c r="BA108" s="289"/>
      <c r="BB108" s="289"/>
      <c r="BC108" s="289"/>
      <c r="BD108" s="289"/>
      <c r="BE108" s="289"/>
      <c r="BF108" s="289"/>
      <c r="BG108" s="289"/>
      <c r="BH108" s="289"/>
      <c r="BI108" s="289"/>
      <c r="BJ108" s="289"/>
      <c r="BK108" s="289"/>
      <c r="BL108" s="289"/>
      <c r="BM108" s="289"/>
      <c r="BN108" s="289"/>
      <c r="BO108" s="289"/>
      <c r="BP108" s="289"/>
      <c r="BQ108" s="289"/>
      <c r="BR108" s="289"/>
      <c r="BS108" s="289"/>
      <c r="BT108" s="289"/>
      <c r="BU108" s="289"/>
      <c r="BV108" s="289"/>
      <c r="BW108" s="289"/>
      <c r="BX108" s="289"/>
      <c r="BY108" s="289"/>
      <c r="BZ108" s="289"/>
      <c r="CA108" s="289"/>
      <c r="CB108" s="289"/>
      <c r="CC108" s="281"/>
      <c r="CD108" s="290"/>
      <c r="CE108" s="290"/>
      <c r="CF108" s="290"/>
      <c r="CG108" s="290"/>
      <c r="CH108" s="290"/>
      <c r="CI108" s="290"/>
      <c r="CJ108" s="290"/>
      <c r="CK108" s="290"/>
      <c r="CL108" s="290"/>
      <c r="CM108" s="290"/>
      <c r="CN108" s="290"/>
      <c r="CO108" s="290"/>
      <c r="CP108" s="290"/>
      <c r="CQ108" s="290"/>
      <c r="CR108" s="290"/>
      <c r="CS108" s="290"/>
      <c r="CT108" s="290"/>
      <c r="CU108" s="290"/>
      <c r="CV108" s="290"/>
      <c r="CW108" s="290"/>
      <c r="CX108" s="290"/>
      <c r="CY108" s="290"/>
      <c r="CZ108" s="290"/>
      <c r="DA108" s="290"/>
      <c r="DB108" s="290"/>
      <c r="DC108" s="290"/>
      <c r="DD108" s="290"/>
      <c r="DE108" s="290"/>
      <c r="DF108" s="290"/>
      <c r="DG108" s="290"/>
      <c r="DH108" s="290"/>
      <c r="DI108" s="290"/>
      <c r="DJ108" s="290"/>
      <c r="DK108" s="283"/>
      <c r="DL108" s="283"/>
      <c r="DM108" s="283"/>
      <c r="DN108" s="283"/>
      <c r="DO108" s="283"/>
      <c r="DP108" s="283"/>
      <c r="DQ108" s="283"/>
      <c r="DR108" s="283"/>
      <c r="DS108" s="283"/>
      <c r="DT108" s="283"/>
      <c r="DU108" s="283"/>
      <c r="DV108" s="283"/>
      <c r="DW108" s="283"/>
      <c r="DX108" s="283"/>
      <c r="DY108" s="283"/>
      <c r="DZ108" s="283"/>
      <c r="EA108" s="283"/>
      <c r="EB108" s="283"/>
      <c r="EC108" s="283"/>
      <c r="ED108" s="283"/>
      <c r="EE108" s="283"/>
      <c r="EF108" s="283"/>
      <c r="EG108" s="283"/>
      <c r="EH108" s="283"/>
      <c r="EI108" s="285"/>
      <c r="EJ108" s="285"/>
      <c r="EK108" s="285"/>
      <c r="EL108" s="285"/>
      <c r="EM108" s="283"/>
      <c r="EN108" s="283"/>
      <c r="EO108" s="283"/>
      <c r="EP108" s="283"/>
      <c r="EQ108" s="283"/>
      <c r="ER108" s="283"/>
      <c r="ES108" s="283"/>
      <c r="ET108" s="283"/>
    </row>
    <row r="109">
      <c r="A109" s="291" t="s">
        <v>275</v>
      </c>
      <c r="CD109" s="283"/>
      <c r="CE109" s="283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283"/>
      <c r="DM109" s="283"/>
      <c r="DN109" s="283"/>
      <c r="DO109" s="72"/>
      <c r="DP109" s="72"/>
      <c r="DQ109" s="72"/>
      <c r="DR109" s="72"/>
      <c r="DS109" s="72"/>
      <c r="DT109" s="72"/>
      <c r="DU109" s="72"/>
      <c r="DV109" s="72"/>
      <c r="DW109" s="72"/>
      <c r="DX109" s="283"/>
      <c r="DY109" s="283"/>
      <c r="DZ109" s="283"/>
      <c r="EA109" s="283"/>
      <c r="EB109" s="283"/>
      <c r="EC109" s="72"/>
      <c r="ED109" s="72"/>
      <c r="EE109" s="72"/>
      <c r="EF109" s="72"/>
      <c r="EG109" s="72"/>
      <c r="EH109" s="72"/>
      <c r="EI109" s="285"/>
      <c r="EJ109" s="285"/>
      <c r="EK109" s="285"/>
      <c r="EL109" s="285"/>
      <c r="EM109" s="283"/>
      <c r="EN109" s="283"/>
      <c r="EO109" s="72"/>
      <c r="EP109" s="72"/>
      <c r="EQ109" s="72"/>
      <c r="ER109" s="72"/>
      <c r="ES109" s="72"/>
      <c r="ET109" s="72"/>
    </row>
    <row r="110">
      <c r="A110" s="72"/>
      <c r="B110" s="280"/>
      <c r="CD110" s="283"/>
      <c r="CE110" s="283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283"/>
      <c r="DM110" s="283"/>
      <c r="DN110" s="283"/>
      <c r="DO110" s="72"/>
      <c r="DP110" s="72"/>
      <c r="DQ110" s="72"/>
      <c r="DR110" s="72"/>
      <c r="DS110" s="72"/>
      <c r="DT110" s="72"/>
      <c r="DU110" s="72"/>
      <c r="DV110" s="72"/>
      <c r="DW110" s="72"/>
      <c r="DX110" s="283"/>
      <c r="DY110" s="283"/>
      <c r="DZ110" s="283"/>
      <c r="EA110" s="283"/>
      <c r="EB110" s="283"/>
      <c r="EC110" s="72"/>
      <c r="ED110" s="72"/>
      <c r="EE110" s="72"/>
      <c r="EF110" s="72"/>
      <c r="EG110" s="72"/>
      <c r="EH110" s="72"/>
      <c r="EI110" s="285"/>
      <c r="EJ110" s="285"/>
      <c r="EK110" s="285"/>
      <c r="EL110" s="285"/>
      <c r="EM110" s="283"/>
      <c r="EN110" s="283"/>
      <c r="EO110" s="72"/>
      <c r="EP110" s="72"/>
      <c r="EQ110" s="72"/>
      <c r="ER110" s="72"/>
      <c r="ES110" s="72"/>
      <c r="ET110" s="72"/>
    </row>
    <row r="111">
      <c r="A111" s="291">
        <f>V102</f>
        <v>17266</v>
      </c>
      <c r="B111" s="243" t="s">
        <v>136</v>
      </c>
      <c r="CD111" s="283"/>
      <c r="CE111" s="283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/>
      <c r="DH111" s="72"/>
      <c r="DI111" s="72"/>
      <c r="DJ111" s="72"/>
      <c r="DK111" s="72"/>
      <c r="DL111" s="283"/>
      <c r="DM111" s="283"/>
      <c r="DN111" s="283"/>
      <c r="DO111" s="72"/>
      <c r="DP111" s="72"/>
      <c r="DQ111" s="72"/>
      <c r="DR111" s="72"/>
      <c r="DS111" s="72"/>
      <c r="DT111" s="72"/>
      <c r="DU111" s="72"/>
      <c r="DV111" s="72"/>
      <c r="DW111" s="72"/>
      <c r="DX111" s="283"/>
      <c r="DY111" s="283"/>
      <c r="DZ111" s="283"/>
      <c r="EA111" s="283"/>
      <c r="EB111" s="283"/>
      <c r="EC111" s="72"/>
      <c r="ED111" s="72"/>
      <c r="EE111" s="72"/>
      <c r="EF111" s="72"/>
      <c r="EG111" s="72"/>
      <c r="EH111" s="72"/>
      <c r="EI111" s="285"/>
      <c r="EJ111" s="285"/>
      <c r="EK111" s="285"/>
      <c r="EL111" s="285"/>
      <c r="EM111" s="283"/>
      <c r="EN111" s="283"/>
      <c r="EO111" s="72"/>
      <c r="EP111" s="72"/>
      <c r="EQ111" s="72"/>
      <c r="ER111" s="72"/>
      <c r="ES111" s="72"/>
      <c r="ET111" s="72"/>
    </row>
    <row r="112">
      <c r="A112" s="291">
        <f>AY102</f>
        <v>24819</v>
      </c>
      <c r="B112" s="243" t="s">
        <v>276</v>
      </c>
      <c r="CD112" s="283"/>
      <c r="CE112" s="283"/>
      <c r="CF112" s="72"/>
      <c r="CG112" s="72"/>
      <c r="CH112" s="72"/>
      <c r="CI112" s="72"/>
      <c r="CJ112" s="72"/>
      <c r="CK112" s="72"/>
      <c r="CL112" s="72"/>
      <c r="CM112" s="72"/>
      <c r="CN112" s="72"/>
      <c r="CO112" s="72"/>
      <c r="CP112" s="72"/>
      <c r="CQ112" s="72"/>
      <c r="CR112" s="72"/>
      <c r="CS112" s="72"/>
      <c r="CT112" s="72"/>
      <c r="CU112" s="72"/>
      <c r="CV112" s="72"/>
      <c r="CW112" s="72"/>
      <c r="CX112" s="72"/>
      <c r="CY112" s="72"/>
      <c r="CZ112" s="72"/>
      <c r="DA112" s="72"/>
      <c r="DB112" s="72"/>
      <c r="DC112" s="72"/>
      <c r="DD112" s="72"/>
      <c r="DE112" s="72"/>
      <c r="DF112" s="72"/>
      <c r="DG112" s="72"/>
      <c r="DH112" s="72"/>
      <c r="DI112" s="72"/>
      <c r="DJ112" s="72"/>
      <c r="DK112" s="72"/>
      <c r="DL112" s="283"/>
      <c r="DM112" s="283"/>
      <c r="DN112" s="283"/>
      <c r="DO112" s="72"/>
      <c r="DP112" s="72"/>
      <c r="DQ112" s="72"/>
      <c r="DR112" s="72"/>
      <c r="DS112" s="72"/>
      <c r="DT112" s="72"/>
      <c r="DU112" s="72"/>
      <c r="DV112" s="72"/>
      <c r="DW112" s="72"/>
      <c r="DX112" s="283"/>
      <c r="DY112" s="283"/>
      <c r="DZ112" s="283"/>
      <c r="EA112" s="283"/>
      <c r="EB112" s="283"/>
      <c r="EC112" s="72"/>
      <c r="ED112" s="72"/>
      <c r="EE112" s="72"/>
      <c r="EF112" s="72"/>
      <c r="EG112" s="72"/>
      <c r="EH112" s="72"/>
      <c r="EI112" s="285"/>
      <c r="EJ112" s="285"/>
      <c r="EK112" s="285"/>
      <c r="EL112" s="285"/>
      <c r="EM112" s="283"/>
      <c r="EN112" s="283"/>
      <c r="EO112" s="72"/>
      <c r="EP112" s="72"/>
      <c r="EQ112" s="72"/>
      <c r="ER112" s="72"/>
      <c r="ES112" s="72"/>
      <c r="ET112" s="72"/>
    </row>
    <row r="113">
      <c r="A113" s="291">
        <f>CB102</f>
        <v>17230</v>
      </c>
      <c r="B113" s="243" t="s">
        <v>277</v>
      </c>
      <c r="CD113" s="283"/>
      <c r="CE113" s="283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283"/>
      <c r="DM113" s="283"/>
      <c r="DN113" s="283"/>
      <c r="DO113" s="72"/>
      <c r="DP113" s="72"/>
      <c r="DQ113" s="72"/>
      <c r="DR113" s="72"/>
      <c r="DS113" s="72"/>
      <c r="DT113" s="72"/>
      <c r="DU113" s="72"/>
      <c r="DV113" s="72"/>
      <c r="DW113" s="72"/>
      <c r="DX113" s="283"/>
      <c r="DY113" s="283"/>
      <c r="DZ113" s="283"/>
      <c r="EA113" s="283"/>
      <c r="EB113" s="283"/>
      <c r="EC113" s="72"/>
      <c r="ED113" s="72"/>
      <c r="EE113" s="72"/>
      <c r="EF113" s="72"/>
      <c r="EG113" s="72"/>
      <c r="EH113" s="72"/>
      <c r="EI113" s="285"/>
      <c r="EJ113" s="285"/>
      <c r="EK113" s="285"/>
      <c r="EL113" s="285"/>
      <c r="EM113" s="283"/>
      <c r="EN113" s="283"/>
      <c r="EO113" s="72"/>
      <c r="EP113" s="72"/>
      <c r="EQ113" s="72"/>
      <c r="ER113" s="72"/>
      <c r="ES113" s="72"/>
      <c r="ET113" s="72"/>
    </row>
    <row r="114">
      <c r="A114" s="291">
        <f>DJ103</f>
        <v>29710</v>
      </c>
      <c r="B114" s="243" t="s">
        <v>278</v>
      </c>
      <c r="CD114" s="283"/>
      <c r="CE114" s="283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283"/>
      <c r="DM114" s="283"/>
      <c r="DN114" s="283"/>
      <c r="DO114" s="72"/>
      <c r="DP114" s="72"/>
      <c r="DQ114" s="72"/>
      <c r="DR114" s="72"/>
      <c r="DS114" s="72"/>
      <c r="DT114" s="72"/>
      <c r="DU114" s="72"/>
      <c r="DV114" s="72"/>
      <c r="DW114" s="72"/>
      <c r="DX114" s="283"/>
      <c r="DY114" s="283"/>
      <c r="DZ114" s="283"/>
      <c r="EA114" s="283"/>
      <c r="EB114" s="283"/>
      <c r="EC114" s="72"/>
      <c r="ED114" s="72"/>
      <c r="EE114" s="72"/>
      <c r="EF114" s="72"/>
      <c r="EG114" s="72"/>
      <c r="EH114" s="72"/>
      <c r="EI114" s="285"/>
      <c r="EJ114" s="285"/>
      <c r="EK114" s="285"/>
      <c r="EL114" s="285"/>
      <c r="EM114" s="283"/>
      <c r="EN114" s="283"/>
      <c r="EO114" s="72"/>
      <c r="EP114" s="72"/>
      <c r="EQ114" s="72"/>
      <c r="ER114" s="72"/>
      <c r="ES114" s="72"/>
      <c r="ET114" s="72"/>
    </row>
    <row r="115">
      <c r="A115" s="291">
        <f>ET103</f>
        <v>20263</v>
      </c>
      <c r="B115" s="243" t="s">
        <v>4</v>
      </c>
      <c r="CD115" s="283"/>
      <c r="CE115" s="283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/>
      <c r="DK115" s="72"/>
      <c r="DL115" s="283"/>
      <c r="DM115" s="283"/>
      <c r="DN115" s="283"/>
      <c r="DO115" s="72"/>
      <c r="DP115" s="72"/>
      <c r="DQ115" s="72"/>
      <c r="DR115" s="72"/>
      <c r="DS115" s="72"/>
      <c r="DT115" s="72"/>
      <c r="DU115" s="72"/>
      <c r="DV115" s="72"/>
      <c r="DW115" s="72"/>
      <c r="DX115" s="283"/>
      <c r="DY115" s="283"/>
      <c r="DZ115" s="283"/>
      <c r="EA115" s="283"/>
      <c r="EB115" s="283"/>
      <c r="EC115" s="72"/>
      <c r="ED115" s="72"/>
      <c r="EE115" s="72"/>
      <c r="EF115" s="72"/>
      <c r="EG115" s="72"/>
      <c r="EH115" s="72"/>
      <c r="EI115" s="285"/>
      <c r="EJ115" s="285"/>
      <c r="EK115" s="285"/>
      <c r="EL115" s="285"/>
      <c r="EM115" s="283"/>
      <c r="EN115" s="283"/>
      <c r="EO115" s="72"/>
      <c r="EP115" s="72"/>
      <c r="EQ115" s="72"/>
      <c r="ER115" s="72"/>
      <c r="ES115" s="72"/>
      <c r="ET115" s="72"/>
    </row>
    <row r="116">
      <c r="A116" s="291" t="str">
        <f>MK102</f>
        <v/>
      </c>
      <c r="B116" s="243" t="s">
        <v>279</v>
      </c>
      <c r="CD116" s="283"/>
      <c r="CE116" s="283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283"/>
      <c r="DM116" s="283"/>
      <c r="DN116" s="283"/>
      <c r="DO116" s="72"/>
      <c r="DP116" s="72"/>
      <c r="DQ116" s="72"/>
      <c r="DR116" s="72"/>
      <c r="DS116" s="72"/>
      <c r="DT116" s="72"/>
      <c r="DU116" s="72"/>
      <c r="DV116" s="72"/>
      <c r="DW116" s="72"/>
      <c r="DX116" s="283"/>
      <c r="DY116" s="283"/>
      <c r="DZ116" s="283"/>
      <c r="EA116" s="283"/>
      <c r="EB116" s="283"/>
      <c r="EC116" s="72"/>
      <c r="ED116" s="72"/>
      <c r="EE116" s="72"/>
      <c r="EF116" s="72"/>
      <c r="EG116" s="72"/>
      <c r="EH116" s="72"/>
      <c r="EI116" s="285"/>
      <c r="EJ116" s="285"/>
      <c r="EK116" s="285"/>
      <c r="EL116" s="285"/>
      <c r="EM116" s="283"/>
      <c r="EN116" s="283"/>
      <c r="EO116" s="72"/>
      <c r="EP116" s="72"/>
      <c r="EQ116" s="72"/>
      <c r="ER116" s="72"/>
      <c r="ES116" s="72"/>
      <c r="ET116" s="72"/>
    </row>
    <row r="117">
      <c r="A117" s="291" t="str">
        <f>OA102</f>
        <v/>
      </c>
      <c r="B117" s="243" t="s">
        <v>280</v>
      </c>
      <c r="CD117" s="283"/>
      <c r="CE117" s="283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  <c r="CV117" s="72"/>
      <c r="CW117" s="72"/>
      <c r="CX117" s="72"/>
      <c r="CY117" s="72"/>
      <c r="CZ117" s="72"/>
      <c r="DA117" s="72"/>
      <c r="DB117" s="72"/>
      <c r="DC117" s="72"/>
      <c r="DD117" s="72"/>
      <c r="DE117" s="72"/>
      <c r="DF117" s="72"/>
      <c r="DG117" s="72"/>
      <c r="DH117" s="72"/>
      <c r="DI117" s="72"/>
      <c r="DJ117" s="72"/>
      <c r="DK117" s="72"/>
      <c r="DL117" s="283"/>
      <c r="DM117" s="283"/>
      <c r="DN117" s="283"/>
      <c r="DO117" s="72"/>
      <c r="DP117" s="72"/>
      <c r="DQ117" s="72"/>
      <c r="DR117" s="72"/>
      <c r="DS117" s="72"/>
      <c r="DT117" s="72"/>
      <c r="DU117" s="72"/>
      <c r="DV117" s="72"/>
      <c r="DW117" s="72"/>
      <c r="DX117" s="283"/>
      <c r="DY117" s="283"/>
      <c r="DZ117" s="283"/>
      <c r="EA117" s="283"/>
      <c r="EB117" s="283"/>
      <c r="EC117" s="72"/>
      <c r="ED117" s="72"/>
      <c r="EE117" s="72"/>
      <c r="EF117" s="72"/>
      <c r="EG117" s="72"/>
      <c r="EH117" s="72"/>
      <c r="EI117" s="129"/>
      <c r="EJ117" s="129"/>
      <c r="EK117" s="129"/>
      <c r="EL117" s="129"/>
      <c r="EM117" s="72"/>
      <c r="EN117" s="72"/>
      <c r="EO117" s="72"/>
      <c r="EP117" s="72"/>
      <c r="EQ117" s="72"/>
      <c r="ER117" s="72"/>
      <c r="ES117" s="72"/>
      <c r="ET117" s="72"/>
    </row>
    <row r="118">
      <c r="A118" s="291" t="str">
        <f>PV102</f>
        <v/>
      </c>
      <c r="B118" s="243" t="s">
        <v>281</v>
      </c>
      <c r="CD118" s="283"/>
      <c r="CE118" s="283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283"/>
      <c r="DM118" s="283"/>
      <c r="DN118" s="283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129"/>
      <c r="EJ118" s="129"/>
      <c r="EK118" s="129"/>
      <c r="EL118" s="129"/>
      <c r="EM118" s="72"/>
      <c r="EN118" s="72"/>
      <c r="EO118" s="72"/>
      <c r="EP118" s="72"/>
      <c r="EQ118" s="72"/>
      <c r="ER118" s="72"/>
      <c r="ES118" s="72"/>
      <c r="ET118" s="72"/>
    </row>
    <row r="119">
      <c r="A119" s="291" t="str">
        <f>RS102</f>
        <v/>
      </c>
      <c r="B119" s="243" t="s">
        <v>282</v>
      </c>
      <c r="CD119" s="283"/>
      <c r="CE119" s="283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283"/>
      <c r="DM119" s="283"/>
      <c r="DN119" s="283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129"/>
      <c r="EJ119" s="129"/>
      <c r="EK119" s="129"/>
      <c r="EL119" s="129"/>
      <c r="EM119" s="72"/>
      <c r="EN119" s="72"/>
      <c r="EO119" s="72"/>
      <c r="EP119" s="72"/>
      <c r="EQ119" s="72"/>
      <c r="ER119" s="72"/>
      <c r="ES119" s="72"/>
      <c r="ET119" s="72"/>
    </row>
    <row r="120">
      <c r="A120" s="291" t="str">
        <f>TD102</f>
        <v/>
      </c>
      <c r="B120" s="243" t="s">
        <v>283</v>
      </c>
      <c r="CD120" s="283"/>
      <c r="CE120" s="283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129"/>
      <c r="EJ120" s="129"/>
      <c r="EK120" s="129"/>
      <c r="EL120" s="129"/>
      <c r="EM120" s="72"/>
      <c r="EN120" s="72"/>
      <c r="EO120" s="72"/>
      <c r="EP120" s="72"/>
      <c r="EQ120" s="72"/>
      <c r="ER120" s="72"/>
      <c r="ES120" s="72"/>
      <c r="ET120" s="72"/>
    </row>
    <row r="121">
      <c r="A121" s="291" t="str">
        <f>UX102</f>
        <v/>
      </c>
      <c r="B121" s="243" t="s">
        <v>284</v>
      </c>
      <c r="CD121" s="283"/>
      <c r="CE121" s="283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129"/>
      <c r="EJ121" s="129"/>
      <c r="EK121" s="129"/>
      <c r="EL121" s="129"/>
      <c r="EM121" s="72"/>
      <c r="EN121" s="72"/>
      <c r="EO121" s="72"/>
      <c r="EP121" s="72"/>
      <c r="EQ121" s="72"/>
      <c r="ER121" s="72"/>
      <c r="ES121" s="72"/>
      <c r="ET121" s="72"/>
    </row>
    <row r="122">
      <c r="A122" s="290" t="str">
        <f>AVW103</f>
        <v/>
      </c>
      <c r="B122" s="292" t="s">
        <v>285</v>
      </c>
      <c r="CD122" s="283"/>
      <c r="CE122" s="283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129"/>
      <c r="EJ122" s="129"/>
      <c r="EK122" s="129"/>
      <c r="EL122" s="129"/>
      <c r="EM122" s="72"/>
      <c r="EN122" s="72"/>
      <c r="EO122" s="72"/>
      <c r="EP122" s="72"/>
      <c r="EQ122" s="72"/>
      <c r="ER122" s="72"/>
      <c r="ES122" s="72"/>
      <c r="ET122" s="72"/>
    </row>
    <row r="123">
      <c r="A123" s="291">
        <f>sum(A111:A119)</f>
        <v>109288</v>
      </c>
      <c r="B123" s="280"/>
      <c r="CD123" s="283"/>
      <c r="CE123" s="283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129"/>
      <c r="EJ123" s="129"/>
      <c r="EK123" s="129"/>
      <c r="EL123" s="129"/>
      <c r="EM123" s="72"/>
      <c r="EN123" s="72"/>
      <c r="EO123" s="72"/>
      <c r="EP123" s="72"/>
      <c r="EQ123" s="72"/>
      <c r="ER123" s="72"/>
      <c r="ES123" s="72"/>
      <c r="ET123" s="72"/>
    </row>
    <row r="124">
      <c r="A124" s="72"/>
      <c r="B124" s="280"/>
      <c r="CD124" s="283"/>
      <c r="CE124" s="283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129"/>
      <c r="EJ124" s="129"/>
      <c r="EK124" s="129"/>
      <c r="EL124" s="129"/>
      <c r="EM124" s="72"/>
      <c r="EN124" s="72"/>
      <c r="EO124" s="72"/>
      <c r="EP124" s="72"/>
      <c r="EQ124" s="72"/>
      <c r="ER124" s="72"/>
      <c r="ES124" s="72"/>
      <c r="ET124" s="72"/>
    </row>
    <row r="125">
      <c r="A125" s="72"/>
      <c r="B125" s="280"/>
      <c r="CD125" s="283"/>
      <c r="CE125" s="283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129"/>
      <c r="EJ125" s="129"/>
      <c r="EK125" s="129"/>
      <c r="EL125" s="129"/>
      <c r="EM125" s="72"/>
      <c r="EN125" s="72"/>
      <c r="EO125" s="72"/>
      <c r="EP125" s="72"/>
      <c r="EQ125" s="72"/>
      <c r="ER125" s="72"/>
      <c r="ES125" s="72"/>
      <c r="ET125" s="72"/>
    </row>
    <row r="126">
      <c r="CD126" s="283"/>
      <c r="CE126" s="283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129"/>
      <c r="EJ126" s="129"/>
      <c r="EK126" s="129"/>
      <c r="EL126" s="129"/>
      <c r="EM126" s="72"/>
      <c r="EN126" s="72"/>
      <c r="EO126" s="72"/>
      <c r="EP126" s="72"/>
      <c r="EQ126" s="72"/>
      <c r="ER126" s="72"/>
      <c r="ES126" s="72"/>
      <c r="ET126" s="72"/>
    </row>
    <row r="127">
      <c r="CD127" s="283"/>
      <c r="CE127" s="283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129"/>
      <c r="EJ127" s="129"/>
      <c r="EK127" s="129"/>
      <c r="EL127" s="129"/>
      <c r="EM127" s="72"/>
      <c r="EN127" s="72"/>
      <c r="EO127" s="72"/>
      <c r="EP127" s="72"/>
      <c r="EQ127" s="72"/>
      <c r="ER127" s="72"/>
      <c r="ES127" s="72"/>
      <c r="ET127" s="72"/>
    </row>
    <row r="128"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129"/>
      <c r="EJ128" s="129"/>
      <c r="EK128" s="129"/>
      <c r="EL128" s="129"/>
      <c r="EM128" s="72"/>
      <c r="EN128" s="72"/>
      <c r="EO128" s="72"/>
      <c r="EP128" s="72"/>
      <c r="EQ128" s="72"/>
      <c r="ER128" s="72"/>
      <c r="ES128" s="72"/>
      <c r="ET128" s="72"/>
    </row>
    <row r="129"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129"/>
      <c r="EJ129" s="129"/>
      <c r="EK129" s="129"/>
      <c r="EL129" s="129"/>
      <c r="EM129" s="72"/>
      <c r="EN129" s="72"/>
      <c r="EO129" s="72"/>
      <c r="EP129" s="72"/>
      <c r="EQ129" s="72"/>
      <c r="ER129" s="72"/>
      <c r="ES129" s="72"/>
      <c r="ET129" s="72"/>
    </row>
    <row r="130"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129"/>
      <c r="EJ130" s="129"/>
      <c r="EK130" s="129"/>
      <c r="EL130" s="129"/>
      <c r="EM130" s="72"/>
      <c r="EN130" s="72"/>
      <c r="EO130" s="72"/>
      <c r="EP130" s="72"/>
      <c r="EQ130" s="72"/>
      <c r="ER130" s="72"/>
      <c r="ES130" s="72"/>
      <c r="ET130" s="72"/>
    </row>
    <row r="131"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129"/>
      <c r="EJ131" s="129"/>
      <c r="EK131" s="129"/>
      <c r="EL131" s="129"/>
      <c r="EM131" s="72"/>
      <c r="EN131" s="72"/>
      <c r="EO131" s="72"/>
      <c r="EP131" s="72"/>
      <c r="EQ131" s="72"/>
      <c r="ER131" s="72"/>
      <c r="ES131" s="72"/>
      <c r="ET131" s="72"/>
    </row>
    <row r="132"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/>
      <c r="EB132" s="72"/>
      <c r="EC132" s="72"/>
      <c r="ED132" s="72"/>
      <c r="EE132" s="72"/>
      <c r="EF132" s="72"/>
      <c r="EG132" s="72"/>
      <c r="EH132" s="72"/>
      <c r="EI132" s="129"/>
      <c r="EJ132" s="129"/>
      <c r="EK132" s="129"/>
      <c r="EL132" s="129"/>
      <c r="EM132" s="72"/>
      <c r="EN132" s="72"/>
      <c r="EO132" s="72"/>
      <c r="EP132" s="72"/>
      <c r="EQ132" s="72"/>
      <c r="ER132" s="72"/>
      <c r="ES132" s="72"/>
      <c r="ET132" s="72"/>
    </row>
    <row r="133"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129"/>
      <c r="EJ133" s="129"/>
      <c r="EK133" s="129"/>
      <c r="EL133" s="129"/>
      <c r="EM133" s="72"/>
      <c r="EN133" s="72"/>
      <c r="EO133" s="72"/>
      <c r="EP133" s="72"/>
      <c r="EQ133" s="72"/>
      <c r="ER133" s="72"/>
      <c r="ES133" s="72"/>
      <c r="ET133" s="72"/>
    </row>
    <row r="134"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129"/>
      <c r="EJ134" s="129"/>
      <c r="EK134" s="129"/>
      <c r="EL134" s="129"/>
      <c r="EM134" s="72"/>
      <c r="EN134" s="72"/>
      <c r="EO134" s="72"/>
      <c r="EP134" s="72"/>
      <c r="EQ134" s="72"/>
      <c r="ER134" s="72"/>
      <c r="ES134" s="72"/>
      <c r="ET134" s="72"/>
    </row>
    <row r="135"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129"/>
      <c r="EJ135" s="129"/>
      <c r="EK135" s="129"/>
      <c r="EL135" s="129"/>
      <c r="EM135" s="72"/>
      <c r="EN135" s="72"/>
      <c r="EO135" s="72"/>
      <c r="EP135" s="72"/>
      <c r="EQ135" s="72"/>
      <c r="ER135" s="72"/>
      <c r="ES135" s="72"/>
      <c r="ET135" s="72"/>
    </row>
    <row r="136">
      <c r="CD136" s="72"/>
      <c r="CE136" s="72"/>
      <c r="CF136" s="72"/>
      <c r="CG136" s="72"/>
      <c r="CH136" s="72"/>
      <c r="CI136" s="72"/>
      <c r="CJ136" s="72"/>
      <c r="CK136" s="72"/>
      <c r="CL136" s="72"/>
      <c r="CM136" s="72"/>
      <c r="CN136" s="72"/>
      <c r="CO136" s="72"/>
      <c r="CP136" s="72"/>
      <c r="CQ136" s="72"/>
      <c r="CR136" s="72"/>
      <c r="CS136" s="72"/>
      <c r="CT136" s="72"/>
      <c r="CU136" s="72"/>
      <c r="CV136" s="72"/>
      <c r="CW136" s="72"/>
      <c r="CX136" s="72"/>
      <c r="CY136" s="72"/>
      <c r="CZ136" s="72"/>
      <c r="DA136" s="72"/>
      <c r="DB136" s="72"/>
      <c r="DC136" s="72"/>
      <c r="DD136" s="72"/>
      <c r="DE136" s="72"/>
      <c r="DF136" s="72"/>
      <c r="DG136" s="72"/>
      <c r="DH136" s="72"/>
      <c r="DI136" s="72"/>
      <c r="DJ136" s="72"/>
      <c r="DK136" s="72"/>
      <c r="DL136" s="72"/>
      <c r="DM136" s="72"/>
      <c r="DN136" s="72"/>
      <c r="DO136" s="72"/>
      <c r="DP136" s="72"/>
      <c r="DQ136" s="72"/>
      <c r="DR136" s="72"/>
      <c r="DS136" s="72"/>
      <c r="DT136" s="72"/>
      <c r="DU136" s="72"/>
      <c r="DV136" s="72"/>
      <c r="DW136" s="72"/>
      <c r="DX136" s="72"/>
      <c r="DY136" s="72"/>
      <c r="DZ136" s="72"/>
      <c r="EA136" s="72"/>
      <c r="EB136" s="72"/>
      <c r="EC136" s="72"/>
      <c r="ED136" s="72"/>
      <c r="EE136" s="72"/>
      <c r="EF136" s="72"/>
      <c r="EG136" s="72"/>
      <c r="EH136" s="72"/>
      <c r="EI136" s="129"/>
      <c r="EJ136" s="129"/>
      <c r="EK136" s="129"/>
      <c r="EL136" s="129"/>
      <c r="EM136" s="72"/>
      <c r="EN136" s="72"/>
      <c r="EO136" s="72"/>
      <c r="EP136" s="72"/>
      <c r="EQ136" s="72"/>
      <c r="ER136" s="72"/>
      <c r="ES136" s="72"/>
      <c r="ET136" s="72"/>
    </row>
    <row r="137"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129"/>
      <c r="EJ137" s="129"/>
      <c r="EK137" s="129"/>
      <c r="EL137" s="129"/>
      <c r="EM137" s="72"/>
      <c r="EN137" s="72"/>
      <c r="EO137" s="72"/>
      <c r="EP137" s="72"/>
      <c r="EQ137" s="72"/>
      <c r="ER137" s="72"/>
      <c r="ES137" s="72"/>
      <c r="ET137" s="72"/>
    </row>
    <row r="138"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129"/>
      <c r="EJ138" s="129"/>
      <c r="EK138" s="129"/>
      <c r="EL138" s="129"/>
      <c r="EM138" s="72"/>
      <c r="EN138" s="72"/>
      <c r="EO138" s="72"/>
      <c r="EP138" s="72"/>
      <c r="EQ138" s="72"/>
      <c r="ER138" s="72"/>
      <c r="ES138" s="72"/>
      <c r="ET138" s="72"/>
    </row>
    <row r="139"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129"/>
      <c r="EJ139" s="129"/>
      <c r="EK139" s="129"/>
      <c r="EL139" s="129"/>
      <c r="EM139" s="72"/>
      <c r="EN139" s="72"/>
      <c r="EO139" s="72"/>
      <c r="EP139" s="72"/>
      <c r="EQ139" s="72"/>
      <c r="ER139" s="72"/>
      <c r="ES139" s="72"/>
      <c r="ET139" s="72"/>
    </row>
    <row r="140"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129"/>
      <c r="EJ140" s="129"/>
      <c r="EK140" s="129"/>
      <c r="EL140" s="129"/>
      <c r="EM140" s="72"/>
      <c r="EN140" s="72"/>
      <c r="EO140" s="72"/>
      <c r="EP140" s="72"/>
      <c r="EQ140" s="72"/>
      <c r="ER140" s="72"/>
      <c r="ES140" s="72"/>
      <c r="ET140" s="72"/>
    </row>
    <row r="141"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129"/>
      <c r="EJ141" s="129"/>
      <c r="EK141" s="129"/>
      <c r="EL141" s="129"/>
      <c r="EM141" s="72"/>
      <c r="EN141" s="72"/>
      <c r="EO141" s="72"/>
      <c r="EP141" s="72"/>
      <c r="EQ141" s="72"/>
      <c r="ER141" s="72"/>
      <c r="ES141" s="72"/>
      <c r="ET141" s="72"/>
    </row>
    <row r="142"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129"/>
      <c r="EJ142" s="129"/>
      <c r="EK142" s="129"/>
      <c r="EL142" s="129"/>
      <c r="EM142" s="72"/>
      <c r="EN142" s="72"/>
      <c r="EO142" s="72"/>
      <c r="EP142" s="72"/>
      <c r="EQ142" s="72"/>
      <c r="ER142" s="72"/>
      <c r="ES142" s="72"/>
      <c r="ET142" s="72"/>
    </row>
    <row r="143"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129"/>
      <c r="EJ143" s="129"/>
      <c r="EK143" s="129"/>
      <c r="EL143" s="129"/>
      <c r="EM143" s="72"/>
      <c r="EN143" s="72"/>
      <c r="EO143" s="72"/>
      <c r="EP143" s="72"/>
      <c r="EQ143" s="72"/>
      <c r="ER143" s="72"/>
      <c r="ES143" s="72"/>
      <c r="ET143" s="72"/>
    </row>
    <row r="144"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129"/>
      <c r="EJ144" s="129"/>
      <c r="EK144" s="129"/>
      <c r="EL144" s="129"/>
      <c r="EM144" s="72"/>
      <c r="EN144" s="72"/>
      <c r="EO144" s="72"/>
      <c r="EP144" s="72"/>
      <c r="EQ144" s="72"/>
      <c r="ER144" s="72"/>
      <c r="ES144" s="72"/>
      <c r="ET144" s="72"/>
    </row>
    <row r="145"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129"/>
      <c r="EJ145" s="129"/>
      <c r="EK145" s="129"/>
      <c r="EL145" s="129"/>
      <c r="EM145" s="72"/>
      <c r="EN145" s="72"/>
      <c r="EO145" s="72"/>
      <c r="EP145" s="72"/>
      <c r="EQ145" s="72"/>
      <c r="ER145" s="72"/>
      <c r="ES145" s="72"/>
      <c r="ET145" s="72"/>
    </row>
    <row r="146">
      <c r="CD146" s="72"/>
      <c r="CE146" s="72"/>
      <c r="CF146" s="72"/>
      <c r="CG146" s="72"/>
      <c r="CH146" s="72"/>
      <c r="CI146" s="72"/>
      <c r="CJ146" s="72"/>
      <c r="CK146" s="72"/>
      <c r="CL146" s="72"/>
      <c r="CM146" s="72"/>
      <c r="CN146" s="72"/>
      <c r="CO146" s="72"/>
      <c r="CP146" s="72"/>
      <c r="CQ146" s="72"/>
      <c r="CR146" s="72"/>
      <c r="CS146" s="72"/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/>
      <c r="DE146" s="72"/>
      <c r="DF146" s="72"/>
      <c r="DG146" s="72"/>
      <c r="DH146" s="72"/>
      <c r="DI146" s="72"/>
      <c r="DJ146" s="72"/>
      <c r="DK146" s="72"/>
      <c r="DL146" s="72"/>
      <c r="DM146" s="72"/>
      <c r="DN146" s="72"/>
      <c r="DO146" s="72"/>
      <c r="DP146" s="72"/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/>
      <c r="ED146" s="72"/>
      <c r="EE146" s="72"/>
      <c r="EF146" s="72"/>
      <c r="EG146" s="72"/>
      <c r="EH146" s="72"/>
      <c r="EI146" s="129"/>
      <c r="EJ146" s="129"/>
      <c r="EK146" s="129"/>
      <c r="EL146" s="129"/>
      <c r="EM146" s="72"/>
      <c r="EN146" s="72"/>
      <c r="EO146" s="72"/>
      <c r="EP146" s="72"/>
      <c r="EQ146" s="72"/>
      <c r="ER146" s="72"/>
      <c r="ES146" s="72"/>
      <c r="ET146" s="72"/>
    </row>
    <row r="147"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  <c r="CV147" s="72"/>
      <c r="CW147" s="72"/>
      <c r="CX147" s="72"/>
      <c r="CY147" s="72"/>
      <c r="CZ147" s="72"/>
      <c r="DA147" s="72"/>
      <c r="DB147" s="72"/>
      <c r="DC147" s="72"/>
      <c r="DD147" s="72"/>
      <c r="DE147" s="72"/>
      <c r="DF147" s="72"/>
      <c r="DG147" s="72"/>
      <c r="DH147" s="72"/>
      <c r="DI147" s="72"/>
      <c r="DJ147" s="72"/>
      <c r="DK147" s="72"/>
      <c r="DL147" s="72"/>
      <c r="DM147" s="72"/>
      <c r="DN147" s="72"/>
      <c r="DO147" s="72"/>
      <c r="DP147" s="72"/>
      <c r="DQ147" s="72"/>
      <c r="DR147" s="72"/>
      <c r="DS147" s="72"/>
      <c r="DT147" s="72"/>
      <c r="DU147" s="72"/>
      <c r="DV147" s="72"/>
      <c r="DW147" s="72"/>
      <c r="DX147" s="72"/>
      <c r="DY147" s="72"/>
      <c r="DZ147" s="72"/>
      <c r="EA147" s="72"/>
      <c r="EB147" s="72"/>
      <c r="EC147" s="72"/>
      <c r="ED147" s="72"/>
      <c r="EE147" s="72"/>
      <c r="EF147" s="72"/>
      <c r="EG147" s="72"/>
      <c r="EH147" s="72"/>
      <c r="EI147" s="129"/>
      <c r="EJ147" s="129"/>
      <c r="EK147" s="129"/>
      <c r="EL147" s="129"/>
      <c r="EM147" s="72"/>
      <c r="EN147" s="72"/>
      <c r="EO147" s="72"/>
      <c r="EP147" s="72"/>
      <c r="EQ147" s="72"/>
      <c r="ER147" s="72"/>
      <c r="ES147" s="72"/>
      <c r="ET147" s="72"/>
    </row>
    <row r="148">
      <c r="CD148" s="72"/>
      <c r="CE148" s="72"/>
      <c r="CF148" s="72"/>
      <c r="CG148" s="72"/>
      <c r="CH148" s="72"/>
      <c r="CI148" s="72"/>
      <c r="CJ148" s="72"/>
      <c r="CK148" s="72"/>
      <c r="CL148" s="72"/>
      <c r="CM148" s="72"/>
      <c r="CN148" s="72"/>
      <c r="CO148" s="72"/>
      <c r="CP148" s="72"/>
      <c r="CQ148" s="72"/>
      <c r="CR148" s="72"/>
      <c r="CS148" s="72"/>
      <c r="CT148" s="72"/>
      <c r="CU148" s="72"/>
      <c r="CV148" s="72"/>
      <c r="CW148" s="72"/>
      <c r="CX148" s="72"/>
      <c r="CY148" s="72"/>
      <c r="CZ148" s="72"/>
      <c r="DA148" s="72"/>
      <c r="DB148" s="72"/>
      <c r="DC148" s="72"/>
      <c r="DD148" s="72"/>
      <c r="DE148" s="72"/>
      <c r="DF148" s="72"/>
      <c r="DG148" s="72"/>
      <c r="DH148" s="72"/>
      <c r="DI148" s="72"/>
      <c r="DJ148" s="72"/>
      <c r="DK148" s="72"/>
      <c r="DL148" s="72"/>
      <c r="DM148" s="72"/>
      <c r="DN148" s="72"/>
      <c r="DO148" s="72"/>
      <c r="DP148" s="72"/>
      <c r="DQ148" s="72"/>
      <c r="DR148" s="72"/>
      <c r="DS148" s="72"/>
      <c r="DT148" s="72"/>
      <c r="DU148" s="72"/>
      <c r="DV148" s="72"/>
      <c r="DW148" s="72"/>
      <c r="DX148" s="72"/>
      <c r="DY148" s="72"/>
      <c r="DZ148" s="72"/>
      <c r="EA148" s="72"/>
      <c r="EB148" s="72"/>
      <c r="EC148" s="72"/>
      <c r="ED148" s="72"/>
      <c r="EE148" s="72"/>
      <c r="EF148" s="72"/>
      <c r="EG148" s="72"/>
      <c r="EH148" s="72"/>
      <c r="EI148" s="129"/>
      <c r="EJ148" s="129"/>
      <c r="EK148" s="129"/>
      <c r="EL148" s="129"/>
      <c r="EM148" s="72"/>
      <c r="EN148" s="72"/>
      <c r="EO148" s="72"/>
      <c r="EP148" s="72"/>
      <c r="EQ148" s="72"/>
      <c r="ER148" s="72"/>
      <c r="ES148" s="72"/>
      <c r="ET148" s="72"/>
    </row>
    <row r="149"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129"/>
      <c r="EJ149" s="129"/>
      <c r="EK149" s="129"/>
      <c r="EL149" s="129"/>
      <c r="EM149" s="72"/>
      <c r="EN149" s="72"/>
      <c r="EO149" s="72"/>
      <c r="EP149" s="72"/>
      <c r="EQ149" s="72"/>
      <c r="ER149" s="72"/>
      <c r="ES149" s="72"/>
      <c r="ET149" s="72"/>
    </row>
    <row r="150"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129"/>
      <c r="EJ150" s="129"/>
      <c r="EK150" s="129"/>
      <c r="EL150" s="129"/>
      <c r="EM150" s="72"/>
      <c r="EN150" s="72"/>
      <c r="EO150" s="72"/>
      <c r="EP150" s="72"/>
      <c r="EQ150" s="72"/>
      <c r="ER150" s="72"/>
      <c r="ES150" s="72"/>
      <c r="ET150" s="72"/>
    </row>
    <row r="151"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  <c r="CV151" s="72"/>
      <c r="CW151" s="72"/>
      <c r="CX151" s="72"/>
      <c r="CY151" s="72"/>
      <c r="CZ151" s="72"/>
      <c r="DA151" s="72"/>
      <c r="DB151" s="72"/>
      <c r="DC151" s="72"/>
      <c r="DD151" s="72"/>
      <c r="DE151" s="72"/>
      <c r="DF151" s="72"/>
      <c r="DG151" s="72"/>
      <c r="DH151" s="72"/>
      <c r="DI151" s="72"/>
      <c r="DJ151" s="72"/>
      <c r="DK151" s="72"/>
      <c r="DL151" s="72"/>
      <c r="DM151" s="72"/>
      <c r="DN151" s="72"/>
      <c r="DO151" s="72"/>
      <c r="DP151" s="72"/>
      <c r="DQ151" s="72"/>
      <c r="DR151" s="72"/>
      <c r="DS151" s="72"/>
      <c r="DT151" s="72"/>
      <c r="DU151" s="72"/>
      <c r="DV151" s="72"/>
      <c r="DW151" s="72"/>
      <c r="DX151" s="72"/>
      <c r="DY151" s="72"/>
      <c r="DZ151" s="72"/>
      <c r="EA151" s="72"/>
      <c r="EB151" s="72"/>
      <c r="EC151" s="72"/>
      <c r="ED151" s="72"/>
      <c r="EE151" s="72"/>
      <c r="EF151" s="72"/>
      <c r="EG151" s="72"/>
      <c r="EH151" s="72"/>
      <c r="EI151" s="129"/>
      <c r="EJ151" s="129"/>
      <c r="EK151" s="129"/>
      <c r="EL151" s="129"/>
      <c r="EM151" s="72"/>
      <c r="EN151" s="72"/>
      <c r="EO151" s="72"/>
      <c r="EP151" s="72"/>
      <c r="EQ151" s="72"/>
      <c r="ER151" s="72"/>
      <c r="ES151" s="72"/>
      <c r="ET151" s="72"/>
    </row>
    <row r="152"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129"/>
      <c r="EJ152" s="129"/>
      <c r="EK152" s="129"/>
      <c r="EL152" s="129"/>
      <c r="EM152" s="72"/>
      <c r="EN152" s="72"/>
      <c r="EO152" s="72"/>
      <c r="EP152" s="72"/>
      <c r="EQ152" s="72"/>
      <c r="ER152" s="72"/>
      <c r="ES152" s="72"/>
      <c r="ET152" s="72"/>
    </row>
    <row r="153"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2"/>
      <c r="EB153" s="72"/>
      <c r="EC153" s="72"/>
      <c r="ED153" s="72"/>
      <c r="EE153" s="72"/>
      <c r="EF153" s="72"/>
      <c r="EG153" s="72"/>
      <c r="EH153" s="72"/>
      <c r="EI153" s="129"/>
      <c r="EJ153" s="129"/>
      <c r="EK153" s="129"/>
      <c r="EL153" s="129"/>
      <c r="EM153" s="72"/>
      <c r="EN153" s="72"/>
      <c r="EO153" s="72"/>
      <c r="EP153" s="72"/>
      <c r="EQ153" s="72"/>
      <c r="ER153" s="72"/>
      <c r="ES153" s="72"/>
      <c r="ET153" s="72"/>
    </row>
    <row r="154"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2"/>
      <c r="EB154" s="72"/>
      <c r="EC154" s="72"/>
      <c r="ED154" s="72"/>
      <c r="EE154" s="72"/>
      <c r="EF154" s="72"/>
      <c r="EG154" s="72"/>
      <c r="EH154" s="72"/>
      <c r="EI154" s="129"/>
      <c r="EJ154" s="129"/>
      <c r="EK154" s="129"/>
      <c r="EL154" s="129"/>
      <c r="EM154" s="72"/>
      <c r="EN154" s="72"/>
      <c r="EO154" s="72"/>
      <c r="EP154" s="72"/>
      <c r="EQ154" s="72"/>
      <c r="ER154" s="72"/>
      <c r="ES154" s="72"/>
      <c r="ET154" s="72"/>
    </row>
    <row r="155"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2"/>
      <c r="EB155" s="72"/>
      <c r="EC155" s="72"/>
      <c r="ED155" s="72"/>
      <c r="EE155" s="72"/>
      <c r="EF155" s="72"/>
      <c r="EG155" s="72"/>
      <c r="EH155" s="72"/>
      <c r="EI155" s="129"/>
      <c r="EJ155" s="129"/>
      <c r="EK155" s="129"/>
      <c r="EL155" s="129"/>
      <c r="EM155" s="72"/>
      <c r="EN155" s="72"/>
      <c r="EO155" s="72"/>
      <c r="EP155" s="72"/>
      <c r="EQ155" s="72"/>
      <c r="ER155" s="72"/>
      <c r="ES155" s="72"/>
      <c r="ET155" s="72"/>
    </row>
    <row r="156"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/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/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2"/>
      <c r="EB156" s="72"/>
      <c r="EC156" s="72"/>
      <c r="ED156" s="72"/>
      <c r="EE156" s="72"/>
      <c r="EF156" s="72"/>
      <c r="EG156" s="72"/>
      <c r="EH156" s="72"/>
      <c r="EI156" s="129"/>
      <c r="EJ156" s="129"/>
      <c r="EK156" s="129"/>
      <c r="EL156" s="129"/>
      <c r="EM156" s="72"/>
      <c r="EN156" s="72"/>
      <c r="EO156" s="72"/>
      <c r="EP156" s="72"/>
      <c r="EQ156" s="72"/>
      <c r="ER156" s="72"/>
      <c r="ES156" s="72"/>
      <c r="ET156" s="72"/>
    </row>
    <row r="157"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2"/>
      <c r="EB157" s="72"/>
      <c r="EC157" s="72"/>
      <c r="ED157" s="72"/>
      <c r="EE157" s="72"/>
      <c r="EF157" s="72"/>
      <c r="EG157" s="72"/>
      <c r="EH157" s="72"/>
      <c r="EI157" s="129"/>
      <c r="EJ157" s="129"/>
      <c r="EK157" s="129"/>
      <c r="EL157" s="129"/>
      <c r="EM157" s="72"/>
      <c r="EN157" s="72"/>
      <c r="EO157" s="72"/>
      <c r="EP157" s="72"/>
      <c r="EQ157" s="72"/>
      <c r="ER157" s="72"/>
      <c r="ES157" s="72"/>
      <c r="ET157" s="72"/>
    </row>
    <row r="158"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2"/>
      <c r="EB158" s="72"/>
      <c r="EC158" s="72"/>
      <c r="ED158" s="72"/>
      <c r="EE158" s="72"/>
      <c r="EF158" s="72"/>
      <c r="EG158" s="72"/>
      <c r="EH158" s="72"/>
      <c r="EI158" s="129"/>
      <c r="EJ158" s="129"/>
      <c r="EK158" s="129"/>
      <c r="EL158" s="129"/>
      <c r="EM158" s="72"/>
      <c r="EN158" s="72"/>
      <c r="EO158" s="72"/>
      <c r="EP158" s="72"/>
      <c r="EQ158" s="72"/>
      <c r="ER158" s="72"/>
      <c r="ES158" s="72"/>
      <c r="ET158" s="72"/>
    </row>
    <row r="159"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2"/>
      <c r="EB159" s="72"/>
      <c r="EC159" s="72"/>
      <c r="ED159" s="72"/>
      <c r="EE159" s="72"/>
      <c r="EF159" s="72"/>
      <c r="EG159" s="72"/>
      <c r="EH159" s="72"/>
      <c r="EI159" s="129"/>
      <c r="EJ159" s="129"/>
      <c r="EK159" s="129"/>
      <c r="EL159" s="129"/>
      <c r="EM159" s="72"/>
      <c r="EN159" s="72"/>
      <c r="EO159" s="72"/>
      <c r="EP159" s="72"/>
      <c r="EQ159" s="72"/>
      <c r="ER159" s="72"/>
      <c r="ES159" s="72"/>
      <c r="ET159" s="72"/>
    </row>
    <row r="160"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2"/>
      <c r="EB160" s="72"/>
      <c r="EC160" s="72"/>
      <c r="ED160" s="72"/>
      <c r="EE160" s="72"/>
      <c r="EF160" s="72"/>
      <c r="EG160" s="72"/>
      <c r="EH160" s="72"/>
      <c r="EI160" s="129"/>
      <c r="EJ160" s="129"/>
      <c r="EK160" s="129"/>
      <c r="EL160" s="129"/>
      <c r="EM160" s="72"/>
      <c r="EN160" s="72"/>
      <c r="EO160" s="72"/>
      <c r="EP160" s="72"/>
      <c r="EQ160" s="72"/>
      <c r="ER160" s="72"/>
      <c r="ES160" s="72"/>
      <c r="ET160" s="72"/>
    </row>
    <row r="161"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2"/>
      <c r="EB161" s="72"/>
      <c r="EC161" s="72"/>
      <c r="ED161" s="72"/>
      <c r="EE161" s="72"/>
      <c r="EF161" s="72"/>
      <c r="EG161" s="72"/>
      <c r="EH161" s="72"/>
      <c r="EI161" s="129"/>
      <c r="EJ161" s="129"/>
      <c r="EK161" s="129"/>
      <c r="EL161" s="129"/>
      <c r="EM161" s="72"/>
      <c r="EN161" s="72"/>
      <c r="EO161" s="72"/>
      <c r="EP161" s="72"/>
      <c r="EQ161" s="72"/>
      <c r="ER161" s="72"/>
      <c r="ES161" s="72"/>
      <c r="ET161" s="72"/>
    </row>
    <row r="162"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2"/>
      <c r="EB162" s="72"/>
      <c r="EC162" s="72"/>
      <c r="ED162" s="72"/>
      <c r="EE162" s="72"/>
      <c r="EF162" s="72"/>
      <c r="EG162" s="72"/>
      <c r="EH162" s="72"/>
      <c r="EI162" s="129"/>
      <c r="EJ162" s="129"/>
      <c r="EK162" s="129"/>
      <c r="EL162" s="129"/>
      <c r="EM162" s="72"/>
      <c r="EN162" s="72"/>
      <c r="EO162" s="72"/>
      <c r="EP162" s="72"/>
      <c r="EQ162" s="72"/>
      <c r="ER162" s="72"/>
      <c r="ES162" s="72"/>
      <c r="ET162" s="72"/>
    </row>
    <row r="163"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2"/>
      <c r="EB163" s="72"/>
      <c r="EC163" s="72"/>
      <c r="ED163" s="72"/>
      <c r="EE163" s="72"/>
      <c r="EF163" s="72"/>
      <c r="EG163" s="72"/>
      <c r="EH163" s="72"/>
      <c r="EI163" s="129"/>
      <c r="EJ163" s="129"/>
      <c r="EK163" s="129"/>
      <c r="EL163" s="129"/>
      <c r="EM163" s="72"/>
      <c r="EN163" s="72"/>
      <c r="EO163" s="72"/>
      <c r="EP163" s="72"/>
      <c r="EQ163" s="72"/>
      <c r="ER163" s="72"/>
      <c r="ES163" s="72"/>
      <c r="ET163" s="72"/>
    </row>
    <row r="164">
      <c r="CD164" s="72"/>
      <c r="CE164" s="72"/>
      <c r="CF164" s="72"/>
      <c r="CG164" s="72"/>
      <c r="CH164" s="72"/>
      <c r="CI164" s="72"/>
      <c r="CJ164" s="72"/>
      <c r="CK164" s="72"/>
      <c r="CL164" s="72"/>
      <c r="CM164" s="72"/>
      <c r="CN164" s="72"/>
      <c r="CO164" s="72"/>
      <c r="CP164" s="72"/>
      <c r="CQ164" s="72"/>
      <c r="CR164" s="72"/>
      <c r="CS164" s="72"/>
      <c r="CT164" s="72"/>
      <c r="CU164" s="72"/>
      <c r="CV164" s="72"/>
      <c r="CW164" s="72"/>
      <c r="CX164" s="72"/>
      <c r="CY164" s="72"/>
      <c r="CZ164" s="72"/>
      <c r="DA164" s="72"/>
      <c r="DB164" s="72"/>
      <c r="DC164" s="72"/>
      <c r="DD164" s="72"/>
      <c r="DE164" s="72"/>
      <c r="DF164" s="72"/>
      <c r="DG164" s="72"/>
      <c r="DH164" s="72"/>
      <c r="DI164" s="72"/>
      <c r="DJ164" s="72"/>
      <c r="DK164" s="72"/>
      <c r="DL164" s="72"/>
      <c r="DM164" s="72"/>
      <c r="DN164" s="72"/>
      <c r="DO164" s="72"/>
      <c r="DP164" s="72"/>
      <c r="DQ164" s="72"/>
      <c r="DR164" s="72"/>
      <c r="DS164" s="72"/>
      <c r="DT164" s="72"/>
      <c r="DU164" s="72"/>
      <c r="DV164" s="72"/>
      <c r="DW164" s="72"/>
      <c r="DX164" s="72"/>
      <c r="DY164" s="72"/>
      <c r="DZ164" s="72"/>
      <c r="EA164" s="72"/>
      <c r="EB164" s="72"/>
      <c r="EC164" s="72"/>
      <c r="ED164" s="72"/>
      <c r="EE164" s="72"/>
      <c r="EF164" s="72"/>
      <c r="EG164" s="72"/>
      <c r="EH164" s="72"/>
      <c r="EI164" s="129"/>
      <c r="EJ164" s="129"/>
      <c r="EK164" s="129"/>
      <c r="EL164" s="129"/>
      <c r="EM164" s="72"/>
      <c r="EN164" s="72"/>
      <c r="EO164" s="72"/>
      <c r="EP164" s="72"/>
      <c r="EQ164" s="72"/>
      <c r="ER164" s="72"/>
      <c r="ES164" s="72"/>
      <c r="ET164" s="72"/>
    </row>
    <row r="165"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129"/>
      <c r="EJ165" s="129"/>
      <c r="EK165" s="129"/>
      <c r="EL165" s="129"/>
      <c r="EM165" s="72"/>
      <c r="EN165" s="72"/>
      <c r="EO165" s="72"/>
      <c r="EP165" s="72"/>
      <c r="EQ165" s="72"/>
      <c r="ER165" s="72"/>
      <c r="ES165" s="72"/>
      <c r="ET165" s="72"/>
    </row>
    <row r="166"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2"/>
      <c r="EB166" s="72"/>
      <c r="EC166" s="72"/>
      <c r="ED166" s="72"/>
      <c r="EE166" s="72"/>
      <c r="EF166" s="72"/>
      <c r="EG166" s="72"/>
      <c r="EH166" s="72"/>
      <c r="EI166" s="129"/>
      <c r="EJ166" s="129"/>
      <c r="EK166" s="129"/>
      <c r="EL166" s="129"/>
      <c r="EM166" s="72"/>
      <c r="EN166" s="72"/>
      <c r="EO166" s="72"/>
      <c r="EP166" s="72"/>
      <c r="EQ166" s="72"/>
      <c r="ER166" s="72"/>
      <c r="ES166" s="72"/>
      <c r="ET166" s="72"/>
    </row>
    <row r="167"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2"/>
      <c r="EB167" s="72"/>
      <c r="EC167" s="72"/>
      <c r="ED167" s="72"/>
      <c r="EE167" s="72"/>
      <c r="EF167" s="72"/>
      <c r="EG167" s="72"/>
      <c r="EH167" s="72"/>
      <c r="EI167" s="129"/>
      <c r="EJ167" s="129"/>
      <c r="EK167" s="129"/>
      <c r="EL167" s="129"/>
      <c r="EM167" s="72"/>
      <c r="EN167" s="72"/>
      <c r="EO167" s="72"/>
      <c r="EP167" s="72"/>
      <c r="EQ167" s="72"/>
      <c r="ER167" s="72"/>
      <c r="ES167" s="72"/>
      <c r="ET167" s="72"/>
    </row>
    <row r="168"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2"/>
      <c r="EB168" s="72"/>
      <c r="EC168" s="72"/>
      <c r="ED168" s="72"/>
      <c r="EE168" s="72"/>
      <c r="EF168" s="72"/>
      <c r="EG168" s="72"/>
      <c r="EH168" s="72"/>
      <c r="EI168" s="129"/>
      <c r="EJ168" s="129"/>
      <c r="EK168" s="129"/>
      <c r="EL168" s="129"/>
      <c r="EM168" s="72"/>
      <c r="EN168" s="72"/>
      <c r="EO168" s="72"/>
      <c r="EP168" s="72"/>
      <c r="EQ168" s="72"/>
      <c r="ER168" s="72"/>
      <c r="ES168" s="72"/>
      <c r="ET168" s="72"/>
    </row>
    <row r="169"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2"/>
      <c r="EB169" s="72"/>
      <c r="EC169" s="72"/>
      <c r="ED169" s="72"/>
      <c r="EE169" s="72"/>
      <c r="EF169" s="72"/>
      <c r="EG169" s="72"/>
      <c r="EH169" s="72"/>
      <c r="EI169" s="129"/>
      <c r="EJ169" s="129"/>
      <c r="EK169" s="129"/>
      <c r="EL169" s="129"/>
      <c r="EM169" s="72"/>
      <c r="EN169" s="72"/>
      <c r="EO169" s="72"/>
      <c r="EP169" s="72"/>
      <c r="EQ169" s="72"/>
      <c r="ER169" s="72"/>
      <c r="ES169" s="72"/>
      <c r="ET169" s="72"/>
    </row>
    <row r="170"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2"/>
      <c r="EB170" s="72"/>
      <c r="EC170" s="72"/>
      <c r="ED170" s="72"/>
      <c r="EE170" s="72"/>
      <c r="EF170" s="72"/>
      <c r="EG170" s="72"/>
      <c r="EH170" s="72"/>
      <c r="EI170" s="129"/>
      <c r="EJ170" s="129"/>
      <c r="EK170" s="129"/>
      <c r="EL170" s="129"/>
      <c r="EM170" s="72"/>
      <c r="EN170" s="72"/>
      <c r="EO170" s="72"/>
      <c r="EP170" s="72"/>
      <c r="EQ170" s="72"/>
      <c r="ER170" s="72"/>
      <c r="ES170" s="72"/>
      <c r="ET170" s="72"/>
    </row>
    <row r="171"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2"/>
      <c r="EB171" s="72"/>
      <c r="EC171" s="72"/>
      <c r="ED171" s="72"/>
      <c r="EE171" s="72"/>
      <c r="EF171" s="72"/>
      <c r="EG171" s="72"/>
      <c r="EH171" s="72"/>
      <c r="EI171" s="129"/>
      <c r="EJ171" s="129"/>
      <c r="EK171" s="129"/>
      <c r="EL171" s="129"/>
      <c r="EM171" s="72"/>
      <c r="EN171" s="72"/>
      <c r="EO171" s="72"/>
      <c r="EP171" s="72"/>
      <c r="EQ171" s="72"/>
      <c r="ER171" s="72"/>
      <c r="ES171" s="72"/>
      <c r="ET171" s="72"/>
    </row>
    <row r="172"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2"/>
      <c r="EB172" s="72"/>
      <c r="EC172" s="72"/>
      <c r="ED172" s="72"/>
      <c r="EE172" s="72"/>
      <c r="EF172" s="72"/>
      <c r="EG172" s="72"/>
      <c r="EH172" s="72"/>
      <c r="EI172" s="129"/>
      <c r="EJ172" s="129"/>
      <c r="EK172" s="129"/>
      <c r="EL172" s="129"/>
      <c r="EM172" s="72"/>
      <c r="EN172" s="72"/>
      <c r="EO172" s="72"/>
      <c r="EP172" s="72"/>
      <c r="EQ172" s="72"/>
      <c r="ER172" s="72"/>
      <c r="ES172" s="72"/>
      <c r="ET172" s="72"/>
    </row>
    <row r="173"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2"/>
      <c r="EB173" s="72"/>
      <c r="EC173" s="72"/>
      <c r="ED173" s="72"/>
      <c r="EE173" s="72"/>
      <c r="EF173" s="72"/>
      <c r="EG173" s="72"/>
      <c r="EH173" s="72"/>
      <c r="EI173" s="129"/>
      <c r="EJ173" s="129"/>
      <c r="EK173" s="129"/>
      <c r="EL173" s="129"/>
      <c r="EM173" s="72"/>
      <c r="EN173" s="72"/>
      <c r="EO173" s="72"/>
      <c r="EP173" s="72"/>
      <c r="EQ173" s="72"/>
      <c r="ER173" s="72"/>
      <c r="ES173" s="72"/>
      <c r="ET173" s="72"/>
    </row>
    <row r="174"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2"/>
      <c r="EB174" s="72"/>
      <c r="EC174" s="72"/>
      <c r="ED174" s="72"/>
      <c r="EE174" s="72"/>
      <c r="EF174" s="72"/>
      <c r="EG174" s="72"/>
      <c r="EH174" s="72"/>
      <c r="EI174" s="129"/>
      <c r="EJ174" s="129"/>
      <c r="EK174" s="129"/>
      <c r="EL174" s="129"/>
      <c r="EM174" s="72"/>
      <c r="EN174" s="72"/>
      <c r="EO174" s="72"/>
      <c r="EP174" s="72"/>
      <c r="EQ174" s="72"/>
      <c r="ER174" s="72"/>
      <c r="ES174" s="72"/>
      <c r="ET174" s="72"/>
    </row>
    <row r="175"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2"/>
      <c r="EB175" s="72"/>
      <c r="EC175" s="72"/>
      <c r="ED175" s="72"/>
      <c r="EE175" s="72"/>
      <c r="EF175" s="72"/>
      <c r="EG175" s="72"/>
      <c r="EH175" s="72"/>
      <c r="EI175" s="129"/>
      <c r="EJ175" s="129"/>
      <c r="EK175" s="129"/>
      <c r="EL175" s="129"/>
      <c r="EM175" s="72"/>
      <c r="EN175" s="72"/>
      <c r="EO175" s="72"/>
      <c r="EP175" s="72"/>
      <c r="EQ175" s="72"/>
      <c r="ER175" s="72"/>
      <c r="ES175" s="72"/>
      <c r="ET175" s="72"/>
    </row>
    <row r="176"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2"/>
      <c r="EB176" s="72"/>
      <c r="EC176" s="72"/>
      <c r="ED176" s="72"/>
      <c r="EE176" s="72"/>
      <c r="EF176" s="72"/>
      <c r="EG176" s="72"/>
      <c r="EH176" s="72"/>
      <c r="EI176" s="129"/>
      <c r="EJ176" s="129"/>
      <c r="EK176" s="129"/>
      <c r="EL176" s="129"/>
      <c r="EM176" s="72"/>
      <c r="EN176" s="72"/>
      <c r="EO176" s="72"/>
      <c r="EP176" s="72"/>
      <c r="EQ176" s="72"/>
      <c r="ER176" s="72"/>
      <c r="ES176" s="72"/>
      <c r="ET176" s="72"/>
    </row>
    <row r="177"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2"/>
      <c r="EB177" s="72"/>
      <c r="EC177" s="72"/>
      <c r="ED177" s="72"/>
      <c r="EE177" s="72"/>
      <c r="EF177" s="72"/>
      <c r="EG177" s="72"/>
      <c r="EH177" s="72"/>
      <c r="EI177" s="129"/>
      <c r="EJ177" s="129"/>
      <c r="EK177" s="129"/>
      <c r="EL177" s="129"/>
      <c r="EM177" s="72"/>
      <c r="EN177" s="72"/>
      <c r="EO177" s="72"/>
      <c r="EP177" s="72"/>
      <c r="EQ177" s="72"/>
      <c r="ER177" s="72"/>
      <c r="ES177" s="72"/>
      <c r="ET177" s="72"/>
    </row>
    <row r="178"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2"/>
      <c r="EB178" s="72"/>
      <c r="EC178" s="72"/>
      <c r="ED178" s="72"/>
      <c r="EE178" s="72"/>
      <c r="EF178" s="72"/>
      <c r="EG178" s="72"/>
      <c r="EH178" s="72"/>
      <c r="EI178" s="129"/>
      <c r="EJ178" s="129"/>
      <c r="EK178" s="129"/>
      <c r="EL178" s="129"/>
      <c r="EM178" s="72"/>
      <c r="EN178" s="72"/>
      <c r="EO178" s="72"/>
      <c r="EP178" s="72"/>
      <c r="EQ178" s="72"/>
      <c r="ER178" s="72"/>
      <c r="ES178" s="72"/>
      <c r="ET178" s="72"/>
    </row>
    <row r="179"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2"/>
      <c r="EB179" s="72"/>
      <c r="EC179" s="72"/>
      <c r="ED179" s="72"/>
      <c r="EE179" s="72"/>
      <c r="EF179" s="72"/>
      <c r="EG179" s="72"/>
      <c r="EH179" s="72"/>
      <c r="EI179" s="129"/>
      <c r="EJ179" s="129"/>
      <c r="EK179" s="129"/>
      <c r="EL179" s="129"/>
      <c r="EM179" s="72"/>
      <c r="EN179" s="72"/>
      <c r="EO179" s="72"/>
      <c r="EP179" s="72"/>
      <c r="EQ179" s="72"/>
      <c r="ER179" s="72"/>
      <c r="ES179" s="72"/>
      <c r="ET179" s="72"/>
    </row>
    <row r="180"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2"/>
      <c r="EB180" s="72"/>
      <c r="EC180" s="72"/>
      <c r="ED180" s="72"/>
      <c r="EE180" s="72"/>
      <c r="EF180" s="72"/>
      <c r="EG180" s="72"/>
      <c r="EH180" s="72"/>
      <c r="EI180" s="129"/>
      <c r="EJ180" s="129"/>
      <c r="EK180" s="129"/>
      <c r="EL180" s="129"/>
      <c r="EM180" s="72"/>
      <c r="EN180" s="72"/>
      <c r="EO180" s="72"/>
      <c r="EP180" s="72"/>
      <c r="EQ180" s="72"/>
      <c r="ER180" s="72"/>
      <c r="ES180" s="72"/>
      <c r="ET180" s="72"/>
    </row>
    <row r="181"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2"/>
      <c r="EB181" s="72"/>
      <c r="EC181" s="72"/>
      <c r="ED181" s="72"/>
      <c r="EE181" s="72"/>
      <c r="EF181" s="72"/>
      <c r="EG181" s="72"/>
      <c r="EH181" s="72"/>
      <c r="EI181" s="129"/>
      <c r="EJ181" s="129"/>
      <c r="EK181" s="129"/>
      <c r="EL181" s="129"/>
      <c r="EM181" s="72"/>
      <c r="EN181" s="72"/>
      <c r="EO181" s="72"/>
      <c r="EP181" s="72"/>
      <c r="EQ181" s="72"/>
      <c r="ER181" s="72"/>
      <c r="ES181" s="72"/>
      <c r="ET181" s="72"/>
    </row>
    <row r="182"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2"/>
      <c r="EB182" s="72"/>
      <c r="EC182" s="72"/>
      <c r="ED182" s="72"/>
      <c r="EE182" s="72"/>
      <c r="EF182" s="72"/>
      <c r="EG182" s="72"/>
      <c r="EH182" s="72"/>
      <c r="EI182" s="129"/>
      <c r="EJ182" s="129"/>
      <c r="EK182" s="129"/>
      <c r="EL182" s="129"/>
      <c r="EM182" s="72"/>
      <c r="EN182" s="72"/>
      <c r="EO182" s="72"/>
      <c r="EP182" s="72"/>
      <c r="EQ182" s="72"/>
      <c r="ER182" s="72"/>
      <c r="ES182" s="72"/>
      <c r="ET182" s="72"/>
    </row>
    <row r="183"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2"/>
      <c r="EB183" s="72"/>
      <c r="EC183" s="72"/>
      <c r="ED183" s="72"/>
      <c r="EE183" s="72"/>
      <c r="EF183" s="72"/>
      <c r="EG183" s="72"/>
      <c r="EH183" s="72"/>
      <c r="EI183" s="129"/>
      <c r="EJ183" s="129"/>
      <c r="EK183" s="129"/>
      <c r="EL183" s="129"/>
      <c r="EM183" s="72"/>
      <c r="EN183" s="72"/>
      <c r="EO183" s="72"/>
      <c r="EP183" s="72"/>
      <c r="EQ183" s="72"/>
      <c r="ER183" s="72"/>
      <c r="ES183" s="72"/>
      <c r="ET183" s="72"/>
    </row>
    <row r="184">
      <c r="CD184" s="72"/>
      <c r="CE184" s="72"/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/>
      <c r="CX184" s="72"/>
      <c r="CY184" s="72"/>
      <c r="CZ184" s="72"/>
      <c r="DA184" s="72"/>
      <c r="DB184" s="72"/>
      <c r="DC184" s="72"/>
      <c r="DD184" s="72"/>
      <c r="DE184" s="72"/>
      <c r="DF184" s="72"/>
      <c r="DG184" s="72"/>
      <c r="DH184" s="72"/>
      <c r="DI184" s="72"/>
      <c r="DJ184" s="72"/>
      <c r="DK184" s="72"/>
      <c r="DL184" s="72"/>
      <c r="DM184" s="72"/>
      <c r="DN184" s="72"/>
      <c r="DO184" s="72"/>
      <c r="DP184" s="72"/>
      <c r="DQ184" s="72"/>
      <c r="DR184" s="72"/>
      <c r="DS184" s="72"/>
      <c r="DT184" s="72"/>
      <c r="DU184" s="72"/>
      <c r="DV184" s="72"/>
      <c r="DW184" s="72"/>
      <c r="DX184" s="72"/>
      <c r="DY184" s="72"/>
      <c r="DZ184" s="72"/>
      <c r="EA184" s="72"/>
      <c r="EB184" s="72"/>
      <c r="EC184" s="72"/>
      <c r="ED184" s="72"/>
      <c r="EE184" s="72"/>
      <c r="EF184" s="72"/>
      <c r="EG184" s="72"/>
      <c r="EH184" s="72"/>
      <c r="EI184" s="129"/>
      <c r="EJ184" s="129"/>
      <c r="EK184" s="129"/>
      <c r="EL184" s="129"/>
      <c r="EM184" s="72"/>
      <c r="EN184" s="72"/>
      <c r="EO184" s="72"/>
      <c r="EP184" s="72"/>
      <c r="EQ184" s="72"/>
      <c r="ER184" s="72"/>
      <c r="ES184" s="72"/>
      <c r="ET184" s="72"/>
    </row>
    <row r="185"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2"/>
      <c r="EB185" s="72"/>
      <c r="EC185" s="72"/>
      <c r="ED185" s="72"/>
      <c r="EE185" s="72"/>
      <c r="EF185" s="72"/>
      <c r="EG185" s="72"/>
      <c r="EH185" s="72"/>
      <c r="EI185" s="129"/>
      <c r="EJ185" s="129"/>
      <c r="EK185" s="129"/>
      <c r="EL185" s="129"/>
      <c r="EM185" s="72"/>
      <c r="EN185" s="72"/>
      <c r="EO185" s="72"/>
      <c r="EP185" s="72"/>
      <c r="EQ185" s="72"/>
      <c r="ER185" s="72"/>
      <c r="ES185" s="72"/>
      <c r="ET185" s="72"/>
    </row>
    <row r="186"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2"/>
      <c r="EB186" s="72"/>
      <c r="EC186" s="72"/>
      <c r="ED186" s="72"/>
      <c r="EE186" s="72"/>
      <c r="EF186" s="72"/>
      <c r="EG186" s="72"/>
      <c r="EH186" s="72"/>
      <c r="EI186" s="129"/>
      <c r="EJ186" s="129"/>
      <c r="EK186" s="129"/>
      <c r="EL186" s="129"/>
      <c r="EM186" s="72"/>
      <c r="EN186" s="72"/>
      <c r="EO186" s="72"/>
      <c r="EP186" s="72"/>
      <c r="EQ186" s="72"/>
      <c r="ER186" s="72"/>
      <c r="ES186" s="72"/>
      <c r="ET186" s="72"/>
    </row>
    <row r="187"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2"/>
      <c r="EB187" s="72"/>
      <c r="EC187" s="72"/>
      <c r="ED187" s="72"/>
      <c r="EE187" s="72"/>
      <c r="EF187" s="72"/>
      <c r="EG187" s="72"/>
      <c r="EH187" s="72"/>
      <c r="EI187" s="129"/>
      <c r="EJ187" s="129"/>
      <c r="EK187" s="129"/>
      <c r="EL187" s="129"/>
      <c r="EM187" s="72"/>
      <c r="EN187" s="72"/>
      <c r="EO187" s="72"/>
      <c r="EP187" s="72"/>
      <c r="EQ187" s="72"/>
      <c r="ER187" s="72"/>
      <c r="ES187" s="72"/>
      <c r="ET187" s="72"/>
    </row>
    <row r="188"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2"/>
      <c r="EB188" s="72"/>
      <c r="EC188" s="72"/>
      <c r="ED188" s="72"/>
      <c r="EE188" s="72"/>
      <c r="EF188" s="72"/>
      <c r="EG188" s="72"/>
      <c r="EH188" s="72"/>
      <c r="EI188" s="129"/>
      <c r="EJ188" s="129"/>
      <c r="EK188" s="129"/>
      <c r="EL188" s="129"/>
      <c r="EM188" s="72"/>
      <c r="EN188" s="72"/>
      <c r="EO188" s="72"/>
      <c r="EP188" s="72"/>
      <c r="EQ188" s="72"/>
      <c r="ER188" s="72"/>
      <c r="ES188" s="72"/>
      <c r="ET188" s="72"/>
    </row>
    <row r="189"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2"/>
      <c r="EB189" s="72"/>
      <c r="EC189" s="72"/>
      <c r="ED189" s="72"/>
      <c r="EE189" s="72"/>
      <c r="EF189" s="72"/>
      <c r="EG189" s="72"/>
      <c r="EH189" s="72"/>
      <c r="EI189" s="129"/>
      <c r="EJ189" s="129"/>
      <c r="EK189" s="129"/>
      <c r="EL189" s="129"/>
      <c r="EM189" s="72"/>
      <c r="EN189" s="72"/>
      <c r="EO189" s="72"/>
      <c r="EP189" s="72"/>
      <c r="EQ189" s="72"/>
      <c r="ER189" s="72"/>
      <c r="ES189" s="72"/>
      <c r="ET189" s="72"/>
    </row>
    <row r="190"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2"/>
      <c r="EB190" s="72"/>
      <c r="EC190" s="72"/>
      <c r="ED190" s="72"/>
      <c r="EE190" s="72"/>
      <c r="EF190" s="72"/>
      <c r="EG190" s="72"/>
      <c r="EH190" s="72"/>
      <c r="EI190" s="129"/>
      <c r="EJ190" s="129"/>
      <c r="EK190" s="129"/>
      <c r="EL190" s="129"/>
      <c r="EM190" s="72"/>
      <c r="EN190" s="72"/>
      <c r="EO190" s="72"/>
      <c r="EP190" s="72"/>
      <c r="EQ190" s="72"/>
      <c r="ER190" s="72"/>
      <c r="ES190" s="72"/>
      <c r="ET190" s="72"/>
    </row>
    <row r="191"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2"/>
      <c r="EB191" s="72"/>
      <c r="EC191" s="72"/>
      <c r="ED191" s="72"/>
      <c r="EE191" s="72"/>
      <c r="EF191" s="72"/>
      <c r="EG191" s="72"/>
      <c r="EH191" s="72"/>
      <c r="EI191" s="129"/>
      <c r="EJ191" s="129"/>
      <c r="EK191" s="129"/>
      <c r="EL191" s="129"/>
      <c r="EM191" s="72"/>
      <c r="EN191" s="72"/>
      <c r="EO191" s="72"/>
      <c r="EP191" s="72"/>
      <c r="EQ191" s="72"/>
      <c r="ER191" s="72"/>
      <c r="ES191" s="72"/>
      <c r="ET191" s="72"/>
    </row>
    <row r="192"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2"/>
      <c r="EB192" s="72"/>
      <c r="EC192" s="72"/>
      <c r="ED192" s="72"/>
      <c r="EE192" s="72"/>
      <c r="EF192" s="72"/>
      <c r="EG192" s="72"/>
      <c r="EH192" s="72"/>
      <c r="EI192" s="129"/>
      <c r="EJ192" s="129"/>
      <c r="EK192" s="129"/>
      <c r="EL192" s="129"/>
      <c r="EM192" s="72"/>
      <c r="EN192" s="72"/>
      <c r="EO192" s="72"/>
      <c r="EP192" s="72"/>
      <c r="EQ192" s="72"/>
      <c r="ER192" s="72"/>
      <c r="ES192" s="72"/>
      <c r="ET192" s="72"/>
    </row>
    <row r="193"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2"/>
      <c r="EB193" s="72"/>
      <c r="EC193" s="72"/>
      <c r="ED193" s="72"/>
      <c r="EE193" s="72"/>
      <c r="EF193" s="72"/>
      <c r="EG193" s="72"/>
      <c r="EH193" s="72"/>
      <c r="EI193" s="129"/>
      <c r="EJ193" s="129"/>
      <c r="EK193" s="129"/>
      <c r="EL193" s="129"/>
      <c r="EM193" s="72"/>
      <c r="EN193" s="72"/>
      <c r="EO193" s="72"/>
      <c r="EP193" s="72"/>
      <c r="EQ193" s="72"/>
      <c r="ER193" s="72"/>
      <c r="ES193" s="72"/>
      <c r="ET193" s="72"/>
    </row>
    <row r="194"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2"/>
      <c r="EB194" s="72"/>
      <c r="EC194" s="72"/>
      <c r="ED194" s="72"/>
      <c r="EE194" s="72"/>
      <c r="EF194" s="72"/>
      <c r="EG194" s="72"/>
      <c r="EH194" s="72"/>
      <c r="EI194" s="129"/>
      <c r="EJ194" s="129"/>
      <c r="EK194" s="129"/>
      <c r="EL194" s="129"/>
      <c r="EM194" s="72"/>
      <c r="EN194" s="72"/>
      <c r="EO194" s="72"/>
      <c r="EP194" s="72"/>
      <c r="EQ194" s="72"/>
      <c r="ER194" s="72"/>
      <c r="ES194" s="72"/>
      <c r="ET194" s="72"/>
    </row>
    <row r="195"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2"/>
      <c r="EB195" s="72"/>
      <c r="EC195" s="72"/>
      <c r="ED195" s="72"/>
      <c r="EE195" s="72"/>
      <c r="EF195" s="72"/>
      <c r="EG195" s="72"/>
      <c r="EH195" s="72"/>
      <c r="EI195" s="129"/>
      <c r="EJ195" s="129"/>
      <c r="EK195" s="129"/>
      <c r="EL195" s="129"/>
      <c r="EM195" s="72"/>
      <c r="EN195" s="72"/>
      <c r="EO195" s="72"/>
      <c r="EP195" s="72"/>
      <c r="EQ195" s="72"/>
      <c r="ER195" s="72"/>
      <c r="ES195" s="72"/>
      <c r="ET195" s="72"/>
    </row>
    <row r="196"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  <c r="DY196" s="72"/>
      <c r="DZ196" s="72"/>
      <c r="EA196" s="72"/>
      <c r="EB196" s="72"/>
      <c r="EC196" s="72"/>
      <c r="ED196" s="72"/>
      <c r="EE196" s="72"/>
      <c r="EF196" s="72"/>
      <c r="EG196" s="72"/>
      <c r="EH196" s="72"/>
      <c r="EI196" s="129"/>
      <c r="EJ196" s="129"/>
      <c r="EK196" s="129"/>
      <c r="EL196" s="129"/>
      <c r="EM196" s="72"/>
      <c r="EN196" s="72"/>
      <c r="EO196" s="72"/>
      <c r="EP196" s="72"/>
      <c r="EQ196" s="72"/>
      <c r="ER196" s="72"/>
      <c r="ES196" s="72"/>
      <c r="ET196" s="72"/>
    </row>
    <row r="197"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  <c r="DY197" s="72"/>
      <c r="DZ197" s="72"/>
      <c r="EA197" s="72"/>
      <c r="EB197" s="72"/>
      <c r="EC197" s="72"/>
      <c r="ED197" s="72"/>
      <c r="EE197" s="72"/>
      <c r="EF197" s="72"/>
      <c r="EG197" s="72"/>
      <c r="EH197" s="72"/>
      <c r="EI197" s="129"/>
      <c r="EJ197" s="129"/>
      <c r="EK197" s="129"/>
      <c r="EL197" s="129"/>
      <c r="EM197" s="72"/>
      <c r="EN197" s="72"/>
      <c r="EO197" s="72"/>
      <c r="EP197" s="72"/>
      <c r="EQ197" s="72"/>
      <c r="ER197" s="72"/>
      <c r="ES197" s="72"/>
      <c r="ET197" s="72"/>
    </row>
    <row r="198"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  <c r="DY198" s="72"/>
      <c r="DZ198" s="72"/>
      <c r="EA198" s="72"/>
      <c r="EB198" s="72"/>
      <c r="EC198" s="72"/>
      <c r="ED198" s="72"/>
      <c r="EE198" s="72"/>
      <c r="EF198" s="72"/>
      <c r="EG198" s="72"/>
      <c r="EH198" s="72"/>
      <c r="EI198" s="129"/>
      <c r="EJ198" s="129"/>
      <c r="EK198" s="129"/>
      <c r="EL198" s="129"/>
      <c r="EM198" s="72"/>
      <c r="EN198" s="72"/>
      <c r="EO198" s="72"/>
      <c r="EP198" s="72"/>
      <c r="EQ198" s="72"/>
      <c r="ER198" s="72"/>
      <c r="ES198" s="72"/>
      <c r="ET198" s="72"/>
    </row>
    <row r="199"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  <c r="DY199" s="72"/>
      <c r="DZ199" s="72"/>
      <c r="EA199" s="72"/>
      <c r="EB199" s="72"/>
      <c r="EC199" s="72"/>
      <c r="ED199" s="72"/>
      <c r="EE199" s="72"/>
      <c r="EF199" s="72"/>
      <c r="EG199" s="72"/>
      <c r="EH199" s="72"/>
      <c r="EI199" s="129"/>
      <c r="EJ199" s="129"/>
      <c r="EK199" s="129"/>
      <c r="EL199" s="129"/>
      <c r="EM199" s="72"/>
      <c r="EN199" s="72"/>
      <c r="EO199" s="72"/>
      <c r="EP199" s="72"/>
      <c r="EQ199" s="72"/>
      <c r="ER199" s="72"/>
      <c r="ES199" s="72"/>
      <c r="ET199" s="72"/>
    </row>
    <row r="200"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129"/>
      <c r="EJ200" s="129"/>
      <c r="EK200" s="129"/>
      <c r="EL200" s="129"/>
      <c r="EM200" s="72"/>
      <c r="EN200" s="72"/>
      <c r="EO200" s="72"/>
      <c r="EP200" s="72"/>
      <c r="EQ200" s="72"/>
      <c r="ER200" s="72"/>
      <c r="ES200" s="72"/>
      <c r="ET200" s="72"/>
    </row>
    <row r="201"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  <c r="DY201" s="72"/>
      <c r="DZ201" s="72"/>
      <c r="EA201" s="72"/>
      <c r="EB201" s="72"/>
      <c r="EC201" s="72"/>
      <c r="ED201" s="72"/>
      <c r="EE201" s="72"/>
      <c r="EF201" s="72"/>
      <c r="EG201" s="72"/>
      <c r="EH201" s="72"/>
      <c r="EI201" s="129"/>
      <c r="EJ201" s="129"/>
      <c r="EK201" s="129"/>
      <c r="EL201" s="129"/>
      <c r="EM201" s="72"/>
      <c r="EN201" s="72"/>
      <c r="EO201" s="72"/>
      <c r="EP201" s="72"/>
      <c r="EQ201" s="72"/>
      <c r="ER201" s="72"/>
      <c r="ES201" s="72"/>
      <c r="ET201" s="72"/>
    </row>
    <row r="202"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  <c r="DY202" s="72"/>
      <c r="DZ202" s="72"/>
      <c r="EA202" s="72"/>
      <c r="EB202" s="72"/>
      <c r="EC202" s="72"/>
      <c r="ED202" s="72"/>
      <c r="EE202" s="72"/>
      <c r="EF202" s="72"/>
      <c r="EG202" s="72"/>
      <c r="EH202" s="72"/>
      <c r="EI202" s="129"/>
      <c r="EJ202" s="129"/>
      <c r="EK202" s="129"/>
      <c r="EL202" s="129"/>
      <c r="EM202" s="72"/>
      <c r="EN202" s="72"/>
      <c r="EO202" s="72"/>
      <c r="EP202" s="72"/>
      <c r="EQ202" s="72"/>
      <c r="ER202" s="72"/>
      <c r="ES202" s="72"/>
      <c r="ET202" s="72"/>
    </row>
    <row r="203"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  <c r="DY203" s="72"/>
      <c r="DZ203" s="72"/>
      <c r="EA203" s="72"/>
      <c r="EB203" s="72"/>
      <c r="EC203" s="72"/>
      <c r="ED203" s="72"/>
      <c r="EE203" s="72"/>
      <c r="EF203" s="72"/>
      <c r="EG203" s="72"/>
      <c r="EH203" s="72"/>
      <c r="EI203" s="129"/>
      <c r="EJ203" s="129"/>
      <c r="EK203" s="129"/>
      <c r="EL203" s="129"/>
      <c r="EM203" s="72"/>
      <c r="EN203" s="72"/>
      <c r="EO203" s="72"/>
      <c r="EP203" s="72"/>
      <c r="EQ203" s="72"/>
      <c r="ER203" s="72"/>
      <c r="ES203" s="72"/>
      <c r="ET203" s="72"/>
    </row>
    <row r="204"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  <c r="DY204" s="72"/>
      <c r="DZ204" s="72"/>
      <c r="EA204" s="72"/>
      <c r="EB204" s="72"/>
      <c r="EC204" s="72"/>
      <c r="ED204" s="72"/>
      <c r="EE204" s="72"/>
      <c r="EF204" s="72"/>
      <c r="EG204" s="72"/>
      <c r="EH204" s="72"/>
      <c r="EI204" s="129"/>
      <c r="EJ204" s="129"/>
      <c r="EK204" s="129"/>
      <c r="EL204" s="129"/>
      <c r="EM204" s="72"/>
      <c r="EN204" s="72"/>
      <c r="EO204" s="72"/>
      <c r="EP204" s="72"/>
      <c r="EQ204" s="72"/>
      <c r="ER204" s="72"/>
      <c r="ES204" s="72"/>
      <c r="ET204" s="72"/>
    </row>
    <row r="205"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  <c r="DY205" s="72"/>
      <c r="DZ205" s="72"/>
      <c r="EA205" s="72"/>
      <c r="EB205" s="72"/>
      <c r="EC205" s="72"/>
      <c r="ED205" s="72"/>
      <c r="EE205" s="72"/>
      <c r="EF205" s="72"/>
      <c r="EG205" s="72"/>
      <c r="EH205" s="72"/>
      <c r="EI205" s="129"/>
      <c r="EJ205" s="129"/>
      <c r="EK205" s="129"/>
      <c r="EL205" s="129"/>
      <c r="EM205" s="72"/>
      <c r="EN205" s="72"/>
      <c r="EO205" s="72"/>
      <c r="EP205" s="72"/>
      <c r="EQ205" s="72"/>
      <c r="ER205" s="72"/>
      <c r="ES205" s="72"/>
      <c r="ET205" s="72"/>
    </row>
    <row r="206"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  <c r="DY206" s="72"/>
      <c r="DZ206" s="72"/>
      <c r="EA206" s="72"/>
      <c r="EB206" s="72"/>
      <c r="EC206" s="72"/>
      <c r="ED206" s="72"/>
      <c r="EE206" s="72"/>
      <c r="EF206" s="72"/>
      <c r="EG206" s="72"/>
      <c r="EH206" s="72"/>
      <c r="EI206" s="129"/>
      <c r="EJ206" s="129"/>
      <c r="EK206" s="129"/>
      <c r="EL206" s="129"/>
      <c r="EM206" s="72"/>
      <c r="EN206" s="72"/>
      <c r="EO206" s="72"/>
      <c r="EP206" s="72"/>
      <c r="EQ206" s="72"/>
      <c r="ER206" s="72"/>
      <c r="ES206" s="72"/>
      <c r="ET206" s="72"/>
    </row>
    <row r="207"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  <c r="CV207" s="72"/>
      <c r="CW207" s="72"/>
      <c r="CX207" s="72"/>
      <c r="CY207" s="72"/>
      <c r="CZ207" s="72"/>
      <c r="DA207" s="72"/>
      <c r="DB207" s="72"/>
      <c r="DC207" s="72"/>
      <c r="DD207" s="72"/>
      <c r="DE207" s="72"/>
      <c r="DF207" s="72"/>
      <c r="DG207" s="72"/>
      <c r="DH207" s="72"/>
      <c r="DI207" s="72"/>
      <c r="DJ207" s="72"/>
      <c r="DK207" s="72"/>
      <c r="DL207" s="72"/>
      <c r="DM207" s="72"/>
      <c r="DN207" s="72"/>
      <c r="DO207" s="72"/>
      <c r="DP207" s="72"/>
      <c r="DQ207" s="72"/>
      <c r="DR207" s="72"/>
      <c r="DS207" s="72"/>
      <c r="DT207" s="72"/>
      <c r="DU207" s="72"/>
      <c r="DV207" s="72"/>
      <c r="DW207" s="72"/>
      <c r="DX207" s="72"/>
      <c r="DY207" s="72"/>
      <c r="DZ207" s="72"/>
      <c r="EA207" s="72"/>
      <c r="EB207" s="72"/>
      <c r="EC207" s="72"/>
      <c r="ED207" s="72"/>
      <c r="EE207" s="72"/>
      <c r="EF207" s="72"/>
      <c r="EG207" s="72"/>
      <c r="EH207" s="72"/>
      <c r="EI207" s="129"/>
      <c r="EJ207" s="129"/>
      <c r="EK207" s="129"/>
      <c r="EL207" s="129"/>
      <c r="EM207" s="72"/>
      <c r="EN207" s="72"/>
      <c r="EO207" s="72"/>
      <c r="EP207" s="72"/>
      <c r="EQ207" s="72"/>
      <c r="ER207" s="72"/>
      <c r="ES207" s="72"/>
      <c r="ET207" s="72"/>
    </row>
    <row r="208">
      <c r="CD208" s="72"/>
      <c r="CE208" s="72"/>
      <c r="CF208" s="72"/>
      <c r="CG208" s="72"/>
      <c r="CH208" s="72"/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  <c r="DY208" s="72"/>
      <c r="DZ208" s="72"/>
      <c r="EA208" s="72"/>
      <c r="EB208" s="72"/>
      <c r="EC208" s="72"/>
      <c r="ED208" s="72"/>
      <c r="EE208" s="72"/>
      <c r="EF208" s="72"/>
      <c r="EG208" s="72"/>
      <c r="EH208" s="72"/>
      <c r="EI208" s="129"/>
      <c r="EJ208" s="129"/>
      <c r="EK208" s="129"/>
      <c r="EL208" s="129"/>
      <c r="EM208" s="72"/>
      <c r="EN208" s="72"/>
      <c r="EO208" s="72"/>
      <c r="EP208" s="72"/>
      <c r="EQ208" s="72"/>
      <c r="ER208" s="72"/>
      <c r="ES208" s="72"/>
      <c r="ET208" s="72"/>
    </row>
    <row r="209"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  <c r="DY209" s="72"/>
      <c r="DZ209" s="72"/>
      <c r="EA209" s="72"/>
      <c r="EB209" s="72"/>
      <c r="EC209" s="72"/>
      <c r="ED209" s="72"/>
      <c r="EE209" s="72"/>
      <c r="EF209" s="72"/>
      <c r="EG209" s="72"/>
      <c r="EH209" s="72"/>
      <c r="EI209" s="129"/>
      <c r="EJ209" s="129"/>
      <c r="EK209" s="129"/>
      <c r="EL209" s="129"/>
      <c r="EM209" s="72"/>
      <c r="EN209" s="72"/>
      <c r="EO209" s="72"/>
      <c r="EP209" s="72"/>
      <c r="EQ209" s="72"/>
      <c r="ER209" s="72"/>
      <c r="ES209" s="72"/>
      <c r="ET209" s="72"/>
    </row>
    <row r="210"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  <c r="DY210" s="72"/>
      <c r="DZ210" s="72"/>
      <c r="EA210" s="72"/>
      <c r="EB210" s="72"/>
      <c r="EC210" s="72"/>
      <c r="ED210" s="72"/>
      <c r="EE210" s="72"/>
      <c r="EF210" s="72"/>
      <c r="EG210" s="72"/>
      <c r="EH210" s="72"/>
      <c r="EI210" s="129"/>
      <c r="EJ210" s="129"/>
      <c r="EK210" s="129"/>
      <c r="EL210" s="129"/>
      <c r="EM210" s="72"/>
      <c r="EN210" s="72"/>
      <c r="EO210" s="72"/>
      <c r="EP210" s="72"/>
      <c r="EQ210" s="72"/>
      <c r="ER210" s="72"/>
      <c r="ES210" s="72"/>
      <c r="ET210" s="72"/>
    </row>
    <row r="211"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  <c r="DY211" s="72"/>
      <c r="DZ211" s="72"/>
      <c r="EA211" s="72"/>
      <c r="EB211" s="72"/>
      <c r="EC211" s="72"/>
      <c r="ED211" s="72"/>
      <c r="EE211" s="72"/>
      <c r="EF211" s="72"/>
      <c r="EG211" s="72"/>
      <c r="EH211" s="72"/>
      <c r="EI211" s="129"/>
      <c r="EJ211" s="129"/>
      <c r="EK211" s="129"/>
      <c r="EL211" s="129"/>
      <c r="EM211" s="72"/>
      <c r="EN211" s="72"/>
      <c r="EO211" s="72"/>
      <c r="EP211" s="72"/>
      <c r="EQ211" s="72"/>
      <c r="ER211" s="72"/>
      <c r="ES211" s="72"/>
      <c r="ET211" s="72"/>
    </row>
    <row r="212"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  <c r="DY212" s="72"/>
      <c r="DZ212" s="72"/>
      <c r="EA212" s="72"/>
      <c r="EB212" s="72"/>
      <c r="EC212" s="72"/>
      <c r="ED212" s="72"/>
      <c r="EE212" s="72"/>
      <c r="EF212" s="72"/>
      <c r="EG212" s="72"/>
      <c r="EH212" s="72"/>
      <c r="EI212" s="129"/>
      <c r="EJ212" s="129"/>
      <c r="EK212" s="129"/>
      <c r="EL212" s="129"/>
      <c r="EM212" s="72"/>
      <c r="EN212" s="72"/>
      <c r="EO212" s="72"/>
      <c r="EP212" s="72"/>
      <c r="EQ212" s="72"/>
      <c r="ER212" s="72"/>
      <c r="ES212" s="72"/>
      <c r="ET212" s="72"/>
    </row>
    <row r="213"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  <c r="DY213" s="72"/>
      <c r="DZ213" s="72"/>
      <c r="EA213" s="72"/>
      <c r="EB213" s="72"/>
      <c r="EC213" s="72"/>
      <c r="ED213" s="72"/>
      <c r="EE213" s="72"/>
      <c r="EF213" s="72"/>
      <c r="EG213" s="72"/>
      <c r="EH213" s="72"/>
      <c r="EI213" s="129"/>
      <c r="EJ213" s="129"/>
      <c r="EK213" s="129"/>
      <c r="EL213" s="129"/>
      <c r="EM213" s="72"/>
      <c r="EN213" s="72"/>
      <c r="EO213" s="72"/>
      <c r="EP213" s="72"/>
      <c r="EQ213" s="72"/>
      <c r="ER213" s="72"/>
      <c r="ES213" s="72"/>
      <c r="ET213" s="72"/>
    </row>
    <row r="214"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  <c r="DY214" s="72"/>
      <c r="DZ214" s="72"/>
      <c r="EA214" s="72"/>
      <c r="EB214" s="72"/>
      <c r="EC214" s="72"/>
      <c r="ED214" s="72"/>
      <c r="EE214" s="72"/>
      <c r="EF214" s="72"/>
      <c r="EG214" s="72"/>
      <c r="EH214" s="72"/>
      <c r="EI214" s="129"/>
      <c r="EJ214" s="129"/>
      <c r="EK214" s="129"/>
      <c r="EL214" s="129"/>
      <c r="EM214" s="72"/>
      <c r="EN214" s="72"/>
      <c r="EO214" s="72"/>
      <c r="EP214" s="72"/>
      <c r="EQ214" s="72"/>
      <c r="ER214" s="72"/>
      <c r="ES214" s="72"/>
      <c r="ET214" s="72"/>
    </row>
    <row r="215"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  <c r="DY215" s="72"/>
      <c r="DZ215" s="72"/>
      <c r="EA215" s="72"/>
      <c r="EB215" s="72"/>
      <c r="EC215" s="72"/>
      <c r="ED215" s="72"/>
      <c r="EE215" s="72"/>
      <c r="EF215" s="72"/>
      <c r="EG215" s="72"/>
      <c r="EH215" s="72"/>
      <c r="EI215" s="129"/>
      <c r="EJ215" s="129"/>
      <c r="EK215" s="129"/>
      <c r="EL215" s="129"/>
      <c r="EM215" s="72"/>
      <c r="EN215" s="72"/>
      <c r="EO215" s="72"/>
      <c r="EP215" s="72"/>
      <c r="EQ215" s="72"/>
      <c r="ER215" s="72"/>
      <c r="ES215" s="72"/>
      <c r="ET215" s="72"/>
    </row>
    <row r="216"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  <c r="DY216" s="72"/>
      <c r="DZ216" s="72"/>
      <c r="EA216" s="72"/>
      <c r="EB216" s="72"/>
      <c r="EC216" s="72"/>
      <c r="ED216" s="72"/>
      <c r="EE216" s="72"/>
      <c r="EF216" s="72"/>
      <c r="EG216" s="72"/>
      <c r="EH216" s="72"/>
      <c r="EI216" s="129"/>
      <c r="EJ216" s="129"/>
      <c r="EK216" s="129"/>
      <c r="EL216" s="129"/>
      <c r="EM216" s="72"/>
      <c r="EN216" s="72"/>
      <c r="EO216" s="72"/>
      <c r="EP216" s="72"/>
      <c r="EQ216" s="72"/>
      <c r="ER216" s="72"/>
      <c r="ES216" s="72"/>
      <c r="ET216" s="72"/>
    </row>
    <row r="217"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  <c r="DY217" s="72"/>
      <c r="DZ217" s="72"/>
      <c r="EA217" s="72"/>
      <c r="EB217" s="72"/>
      <c r="EC217" s="72"/>
      <c r="ED217" s="72"/>
      <c r="EE217" s="72"/>
      <c r="EF217" s="72"/>
      <c r="EG217" s="72"/>
      <c r="EH217" s="72"/>
      <c r="EI217" s="129"/>
      <c r="EJ217" s="129"/>
      <c r="EK217" s="129"/>
      <c r="EL217" s="129"/>
      <c r="EM217" s="72"/>
      <c r="EN217" s="72"/>
      <c r="EO217" s="72"/>
      <c r="EP217" s="72"/>
      <c r="EQ217" s="72"/>
      <c r="ER217" s="72"/>
      <c r="ES217" s="72"/>
      <c r="ET217" s="72"/>
    </row>
    <row r="218"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  <c r="DY218" s="72"/>
      <c r="DZ218" s="72"/>
      <c r="EA218" s="72"/>
      <c r="EB218" s="72"/>
      <c r="EC218" s="72"/>
      <c r="ED218" s="72"/>
      <c r="EE218" s="72"/>
      <c r="EF218" s="72"/>
      <c r="EG218" s="72"/>
      <c r="EH218" s="72"/>
      <c r="EI218" s="129"/>
      <c r="EJ218" s="129"/>
      <c r="EK218" s="129"/>
      <c r="EL218" s="129"/>
      <c r="EM218" s="72"/>
      <c r="EN218" s="72"/>
      <c r="EO218" s="72"/>
      <c r="EP218" s="72"/>
      <c r="EQ218" s="72"/>
      <c r="ER218" s="72"/>
      <c r="ES218" s="72"/>
      <c r="ET218" s="72"/>
    </row>
    <row r="219"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/>
      <c r="DG219" s="72"/>
      <c r="DH219" s="72"/>
      <c r="DI219" s="72"/>
      <c r="DJ219" s="72"/>
      <c r="DK219" s="72"/>
      <c r="DL219" s="72"/>
      <c r="DM219" s="72"/>
      <c r="DN219" s="72"/>
      <c r="DO219" s="72"/>
      <c r="DP219" s="72"/>
      <c r="DQ219" s="72"/>
      <c r="DR219" s="72"/>
      <c r="DS219" s="72"/>
      <c r="DT219" s="72"/>
      <c r="DU219" s="72"/>
      <c r="DV219" s="72"/>
      <c r="DW219" s="72"/>
      <c r="DX219" s="72"/>
      <c r="DY219" s="72"/>
      <c r="DZ219" s="72"/>
      <c r="EA219" s="72"/>
      <c r="EB219" s="72"/>
      <c r="EC219" s="72"/>
      <c r="ED219" s="72"/>
      <c r="EE219" s="72"/>
      <c r="EF219" s="72"/>
      <c r="EG219" s="72"/>
      <c r="EH219" s="72"/>
      <c r="EI219" s="129"/>
      <c r="EJ219" s="129"/>
      <c r="EK219" s="129"/>
      <c r="EL219" s="129"/>
      <c r="EM219" s="72"/>
      <c r="EN219" s="72"/>
      <c r="EO219" s="72"/>
      <c r="EP219" s="72"/>
      <c r="EQ219" s="72"/>
      <c r="ER219" s="72"/>
      <c r="ES219" s="72"/>
      <c r="ET219" s="72"/>
    </row>
    <row r="220"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2"/>
      <c r="EG220" s="72"/>
      <c r="EH220" s="72"/>
      <c r="EI220" s="129"/>
      <c r="EJ220" s="129"/>
      <c r="EK220" s="129"/>
      <c r="EL220" s="129"/>
      <c r="EM220" s="72"/>
      <c r="EN220" s="72"/>
      <c r="EO220" s="72"/>
      <c r="EP220" s="72"/>
      <c r="EQ220" s="72"/>
      <c r="ER220" s="72"/>
      <c r="ES220" s="72"/>
      <c r="ET220" s="72"/>
    </row>
    <row r="221"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2"/>
      <c r="EG221" s="72"/>
      <c r="EH221" s="72"/>
      <c r="EI221" s="129"/>
      <c r="EJ221" s="129"/>
      <c r="EK221" s="129"/>
      <c r="EL221" s="129"/>
      <c r="EM221" s="72"/>
      <c r="EN221" s="72"/>
      <c r="EO221" s="72"/>
      <c r="EP221" s="72"/>
      <c r="EQ221" s="72"/>
      <c r="ER221" s="72"/>
      <c r="ES221" s="72"/>
      <c r="ET221" s="72"/>
    </row>
    <row r="222"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2"/>
      <c r="EG222" s="72"/>
      <c r="EH222" s="72"/>
      <c r="EI222" s="129"/>
      <c r="EJ222" s="129"/>
      <c r="EK222" s="129"/>
      <c r="EL222" s="129"/>
      <c r="EM222" s="72"/>
      <c r="EN222" s="72"/>
      <c r="EO222" s="72"/>
      <c r="EP222" s="72"/>
      <c r="EQ222" s="72"/>
      <c r="ER222" s="72"/>
      <c r="ES222" s="72"/>
      <c r="ET222" s="72"/>
    </row>
    <row r="223"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2"/>
      <c r="EG223" s="72"/>
      <c r="EH223" s="72"/>
      <c r="EI223" s="129"/>
      <c r="EJ223" s="129"/>
      <c r="EK223" s="129"/>
      <c r="EL223" s="129"/>
      <c r="EM223" s="72"/>
      <c r="EN223" s="72"/>
      <c r="EO223" s="72"/>
      <c r="EP223" s="72"/>
      <c r="EQ223" s="72"/>
      <c r="ER223" s="72"/>
      <c r="ES223" s="72"/>
      <c r="ET223" s="72"/>
    </row>
    <row r="224"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2"/>
      <c r="EG224" s="72"/>
      <c r="EH224" s="72"/>
      <c r="EI224" s="129"/>
      <c r="EJ224" s="129"/>
      <c r="EK224" s="129"/>
      <c r="EL224" s="129"/>
      <c r="EM224" s="72"/>
      <c r="EN224" s="72"/>
      <c r="EO224" s="72"/>
      <c r="EP224" s="72"/>
      <c r="EQ224" s="72"/>
      <c r="ER224" s="72"/>
      <c r="ES224" s="72"/>
      <c r="ET224" s="72"/>
    </row>
    <row r="225"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  <c r="DY225" s="72"/>
      <c r="DZ225" s="72"/>
      <c r="EA225" s="72"/>
      <c r="EB225" s="72"/>
      <c r="EC225" s="72"/>
      <c r="ED225" s="72"/>
      <c r="EE225" s="72"/>
      <c r="EF225" s="72"/>
      <c r="EG225" s="72"/>
      <c r="EH225" s="72"/>
      <c r="EI225" s="129"/>
      <c r="EJ225" s="129"/>
      <c r="EK225" s="129"/>
      <c r="EL225" s="129"/>
      <c r="EM225" s="72"/>
      <c r="EN225" s="72"/>
      <c r="EO225" s="72"/>
      <c r="EP225" s="72"/>
      <c r="EQ225" s="72"/>
      <c r="ER225" s="72"/>
      <c r="ES225" s="72"/>
      <c r="ET225" s="72"/>
    </row>
    <row r="226"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  <c r="DY226" s="72"/>
      <c r="DZ226" s="72"/>
      <c r="EA226" s="72"/>
      <c r="EB226" s="72"/>
      <c r="EC226" s="72"/>
      <c r="ED226" s="72"/>
      <c r="EE226" s="72"/>
      <c r="EF226" s="72"/>
      <c r="EG226" s="72"/>
      <c r="EH226" s="72"/>
      <c r="EI226" s="129"/>
      <c r="EJ226" s="129"/>
      <c r="EK226" s="129"/>
      <c r="EL226" s="129"/>
      <c r="EM226" s="72"/>
      <c r="EN226" s="72"/>
      <c r="EO226" s="72"/>
      <c r="EP226" s="72"/>
      <c r="EQ226" s="72"/>
      <c r="ER226" s="72"/>
      <c r="ES226" s="72"/>
      <c r="ET226" s="72"/>
    </row>
    <row r="227"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  <c r="DY227" s="72"/>
      <c r="DZ227" s="72"/>
      <c r="EA227" s="72"/>
      <c r="EB227" s="72"/>
      <c r="EC227" s="72"/>
      <c r="ED227" s="72"/>
      <c r="EE227" s="72"/>
      <c r="EF227" s="72"/>
      <c r="EG227" s="72"/>
      <c r="EH227" s="72"/>
      <c r="EI227" s="129"/>
      <c r="EJ227" s="129"/>
      <c r="EK227" s="129"/>
      <c r="EL227" s="129"/>
      <c r="EM227" s="72"/>
      <c r="EN227" s="72"/>
      <c r="EO227" s="72"/>
      <c r="EP227" s="72"/>
      <c r="EQ227" s="72"/>
      <c r="ER227" s="72"/>
      <c r="ES227" s="72"/>
      <c r="ET227" s="72"/>
    </row>
    <row r="228"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  <c r="DY228" s="72"/>
      <c r="DZ228" s="72"/>
      <c r="EA228" s="72"/>
      <c r="EB228" s="72"/>
      <c r="EC228" s="72"/>
      <c r="ED228" s="72"/>
      <c r="EE228" s="72"/>
      <c r="EF228" s="72"/>
      <c r="EG228" s="72"/>
      <c r="EH228" s="72"/>
      <c r="EI228" s="129"/>
      <c r="EJ228" s="129"/>
      <c r="EK228" s="129"/>
      <c r="EL228" s="129"/>
      <c r="EM228" s="72"/>
      <c r="EN228" s="72"/>
      <c r="EO228" s="72"/>
      <c r="EP228" s="72"/>
      <c r="EQ228" s="72"/>
      <c r="ER228" s="72"/>
      <c r="ES228" s="72"/>
      <c r="ET228" s="72"/>
    </row>
    <row r="229"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  <c r="DY229" s="72"/>
      <c r="DZ229" s="72"/>
      <c r="EA229" s="72"/>
      <c r="EB229" s="72"/>
      <c r="EC229" s="72"/>
      <c r="ED229" s="72"/>
      <c r="EE229" s="72"/>
      <c r="EF229" s="72"/>
      <c r="EG229" s="72"/>
      <c r="EH229" s="72"/>
      <c r="EI229" s="129"/>
      <c r="EJ229" s="129"/>
      <c r="EK229" s="129"/>
      <c r="EL229" s="129"/>
      <c r="EM229" s="72"/>
      <c r="EN229" s="72"/>
      <c r="EO229" s="72"/>
      <c r="EP229" s="72"/>
      <c r="EQ229" s="72"/>
      <c r="ER229" s="72"/>
      <c r="ES229" s="72"/>
      <c r="ET229" s="72"/>
    </row>
    <row r="230"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  <c r="DY230" s="72"/>
      <c r="DZ230" s="72"/>
      <c r="EA230" s="72"/>
      <c r="EB230" s="72"/>
      <c r="EC230" s="72"/>
      <c r="ED230" s="72"/>
      <c r="EE230" s="72"/>
      <c r="EF230" s="72"/>
      <c r="EG230" s="72"/>
      <c r="EH230" s="72"/>
      <c r="EI230" s="129"/>
      <c r="EJ230" s="129"/>
      <c r="EK230" s="129"/>
      <c r="EL230" s="129"/>
      <c r="EM230" s="72"/>
      <c r="EN230" s="72"/>
      <c r="EO230" s="72"/>
      <c r="EP230" s="72"/>
      <c r="EQ230" s="72"/>
      <c r="ER230" s="72"/>
      <c r="ES230" s="72"/>
      <c r="ET230" s="72"/>
    </row>
    <row r="231"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  <c r="CV231" s="72"/>
      <c r="CW231" s="72"/>
      <c r="CX231" s="72"/>
      <c r="CY231" s="72"/>
      <c r="CZ231" s="72"/>
      <c r="DA231" s="72"/>
      <c r="DB231" s="72"/>
      <c r="DC231" s="72"/>
      <c r="DD231" s="72"/>
      <c r="DE231" s="72"/>
      <c r="DF231" s="72"/>
      <c r="DG231" s="72"/>
      <c r="DH231" s="72"/>
      <c r="DI231" s="72"/>
      <c r="DJ231" s="72"/>
      <c r="DK231" s="72"/>
      <c r="DL231" s="72"/>
      <c r="DM231" s="72"/>
      <c r="DN231" s="72"/>
      <c r="DO231" s="72"/>
      <c r="DP231" s="72"/>
      <c r="DQ231" s="72"/>
      <c r="DR231" s="72"/>
      <c r="DS231" s="72"/>
      <c r="DT231" s="72"/>
      <c r="DU231" s="72"/>
      <c r="DV231" s="72"/>
      <c r="DW231" s="72"/>
      <c r="DX231" s="72"/>
      <c r="DY231" s="72"/>
      <c r="DZ231" s="72"/>
      <c r="EA231" s="72"/>
      <c r="EB231" s="72"/>
      <c r="EC231" s="72"/>
      <c r="ED231" s="72"/>
      <c r="EE231" s="72"/>
      <c r="EF231" s="72"/>
      <c r="EG231" s="72"/>
      <c r="EH231" s="72"/>
      <c r="EI231" s="129"/>
      <c r="EJ231" s="129"/>
      <c r="EK231" s="129"/>
      <c r="EL231" s="129"/>
      <c r="EM231" s="72"/>
      <c r="EN231" s="72"/>
      <c r="EO231" s="72"/>
      <c r="EP231" s="72"/>
      <c r="EQ231" s="72"/>
      <c r="ER231" s="72"/>
      <c r="ES231" s="72"/>
      <c r="ET231" s="72"/>
    </row>
    <row r="232"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  <c r="DY232" s="72"/>
      <c r="DZ232" s="72"/>
      <c r="EA232" s="72"/>
      <c r="EB232" s="72"/>
      <c r="EC232" s="72"/>
      <c r="ED232" s="72"/>
      <c r="EE232" s="72"/>
      <c r="EF232" s="72"/>
      <c r="EG232" s="72"/>
      <c r="EH232" s="72"/>
      <c r="EI232" s="129"/>
      <c r="EJ232" s="129"/>
      <c r="EK232" s="129"/>
      <c r="EL232" s="129"/>
      <c r="EM232" s="72"/>
      <c r="EN232" s="72"/>
      <c r="EO232" s="72"/>
      <c r="EP232" s="72"/>
      <c r="EQ232" s="72"/>
      <c r="ER232" s="72"/>
      <c r="ES232" s="72"/>
      <c r="ET232" s="72"/>
    </row>
    <row r="233"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  <c r="DY233" s="72"/>
      <c r="DZ233" s="72"/>
      <c r="EA233" s="72"/>
      <c r="EB233" s="72"/>
      <c r="EC233" s="72"/>
      <c r="ED233" s="72"/>
      <c r="EE233" s="72"/>
      <c r="EF233" s="72"/>
      <c r="EG233" s="72"/>
      <c r="EH233" s="72"/>
      <c r="EI233" s="129"/>
      <c r="EJ233" s="129"/>
      <c r="EK233" s="129"/>
      <c r="EL233" s="129"/>
      <c r="EM233" s="72"/>
      <c r="EN233" s="72"/>
      <c r="EO233" s="72"/>
      <c r="EP233" s="72"/>
      <c r="EQ233" s="72"/>
      <c r="ER233" s="72"/>
      <c r="ES233" s="72"/>
      <c r="ET233" s="72"/>
    </row>
    <row r="234">
      <c r="CD234" s="72"/>
      <c r="CE234" s="72"/>
      <c r="CF234" s="72"/>
      <c r="CG234" s="72"/>
      <c r="CH234" s="72"/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  <c r="DY234" s="72"/>
      <c r="DZ234" s="72"/>
      <c r="EA234" s="72"/>
      <c r="EB234" s="72"/>
      <c r="EC234" s="72"/>
      <c r="ED234" s="72"/>
      <c r="EE234" s="72"/>
      <c r="EF234" s="72"/>
      <c r="EG234" s="72"/>
      <c r="EH234" s="72"/>
      <c r="EI234" s="129"/>
      <c r="EJ234" s="129"/>
      <c r="EK234" s="129"/>
      <c r="EL234" s="129"/>
      <c r="EM234" s="72"/>
      <c r="EN234" s="72"/>
      <c r="EO234" s="72"/>
      <c r="EP234" s="72"/>
      <c r="EQ234" s="72"/>
      <c r="ER234" s="72"/>
      <c r="ES234" s="72"/>
      <c r="ET234" s="72"/>
    </row>
    <row r="235"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  <c r="DY235" s="72"/>
      <c r="DZ235" s="72"/>
      <c r="EA235" s="72"/>
      <c r="EB235" s="72"/>
      <c r="EC235" s="72"/>
      <c r="ED235" s="72"/>
      <c r="EE235" s="72"/>
      <c r="EF235" s="72"/>
      <c r="EG235" s="72"/>
      <c r="EH235" s="72"/>
      <c r="EI235" s="129"/>
      <c r="EJ235" s="129"/>
      <c r="EK235" s="129"/>
      <c r="EL235" s="129"/>
      <c r="EM235" s="72"/>
      <c r="EN235" s="72"/>
      <c r="EO235" s="72"/>
      <c r="EP235" s="72"/>
      <c r="EQ235" s="72"/>
      <c r="ER235" s="72"/>
      <c r="ES235" s="72"/>
      <c r="ET235" s="72"/>
    </row>
    <row r="236"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  <c r="DY236" s="72"/>
      <c r="DZ236" s="72"/>
      <c r="EA236" s="72"/>
      <c r="EB236" s="72"/>
      <c r="EC236" s="72"/>
      <c r="ED236" s="72"/>
      <c r="EE236" s="72"/>
      <c r="EF236" s="72"/>
      <c r="EG236" s="72"/>
      <c r="EH236" s="72"/>
      <c r="EI236" s="129"/>
      <c r="EJ236" s="129"/>
      <c r="EK236" s="129"/>
      <c r="EL236" s="129"/>
      <c r="EM236" s="72"/>
      <c r="EN236" s="72"/>
      <c r="EO236" s="72"/>
      <c r="EP236" s="72"/>
      <c r="EQ236" s="72"/>
      <c r="ER236" s="72"/>
      <c r="ES236" s="72"/>
      <c r="ET236" s="72"/>
    </row>
    <row r="237"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  <c r="CV237" s="72"/>
      <c r="CW237" s="72"/>
      <c r="CX237" s="72"/>
      <c r="CY237" s="72"/>
      <c r="CZ237" s="72"/>
      <c r="DA237" s="72"/>
      <c r="DB237" s="72"/>
      <c r="DC237" s="72"/>
      <c r="DD237" s="72"/>
      <c r="DE237" s="72"/>
      <c r="DF237" s="72"/>
      <c r="DG237" s="72"/>
      <c r="DH237" s="72"/>
      <c r="DI237" s="72"/>
      <c r="DJ237" s="72"/>
      <c r="DK237" s="72"/>
      <c r="DL237" s="72"/>
      <c r="DM237" s="72"/>
      <c r="DN237" s="72"/>
      <c r="DO237" s="72"/>
      <c r="DP237" s="72"/>
      <c r="DQ237" s="72"/>
      <c r="DR237" s="72"/>
      <c r="DS237" s="72"/>
      <c r="DT237" s="72"/>
      <c r="DU237" s="72"/>
      <c r="DV237" s="72"/>
      <c r="DW237" s="72"/>
      <c r="DX237" s="72"/>
      <c r="DY237" s="72"/>
      <c r="DZ237" s="72"/>
      <c r="EA237" s="72"/>
      <c r="EB237" s="72"/>
      <c r="EC237" s="72"/>
      <c r="ED237" s="72"/>
      <c r="EE237" s="72"/>
      <c r="EF237" s="72"/>
      <c r="EG237" s="72"/>
      <c r="EH237" s="72"/>
      <c r="EI237" s="129"/>
      <c r="EJ237" s="129"/>
      <c r="EK237" s="129"/>
      <c r="EL237" s="129"/>
      <c r="EM237" s="72"/>
      <c r="EN237" s="72"/>
      <c r="EO237" s="72"/>
      <c r="EP237" s="72"/>
      <c r="EQ237" s="72"/>
      <c r="ER237" s="72"/>
      <c r="ES237" s="72"/>
      <c r="ET237" s="72"/>
    </row>
    <row r="238"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  <c r="DY238" s="72"/>
      <c r="DZ238" s="72"/>
      <c r="EA238" s="72"/>
      <c r="EB238" s="72"/>
      <c r="EC238" s="72"/>
      <c r="ED238" s="72"/>
      <c r="EE238" s="72"/>
      <c r="EF238" s="72"/>
      <c r="EG238" s="72"/>
      <c r="EH238" s="72"/>
      <c r="EI238" s="129"/>
      <c r="EJ238" s="129"/>
      <c r="EK238" s="129"/>
      <c r="EL238" s="129"/>
      <c r="EM238" s="72"/>
      <c r="EN238" s="72"/>
      <c r="EO238" s="72"/>
      <c r="EP238" s="72"/>
      <c r="EQ238" s="72"/>
      <c r="ER238" s="72"/>
      <c r="ES238" s="72"/>
      <c r="ET238" s="72"/>
    </row>
    <row r="239"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  <c r="DY239" s="72"/>
      <c r="DZ239" s="72"/>
      <c r="EA239" s="72"/>
      <c r="EB239" s="72"/>
      <c r="EC239" s="72"/>
      <c r="ED239" s="72"/>
      <c r="EE239" s="72"/>
      <c r="EF239" s="72"/>
      <c r="EG239" s="72"/>
      <c r="EH239" s="72"/>
      <c r="EI239" s="129"/>
      <c r="EJ239" s="129"/>
      <c r="EK239" s="129"/>
      <c r="EL239" s="129"/>
      <c r="EM239" s="72"/>
      <c r="EN239" s="72"/>
      <c r="EO239" s="72"/>
      <c r="EP239" s="72"/>
      <c r="EQ239" s="72"/>
      <c r="ER239" s="72"/>
      <c r="ES239" s="72"/>
      <c r="ET239" s="72"/>
    </row>
    <row r="240"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  <c r="DY240" s="72"/>
      <c r="DZ240" s="72"/>
      <c r="EA240" s="72"/>
      <c r="EB240" s="72"/>
      <c r="EC240" s="72"/>
      <c r="ED240" s="72"/>
      <c r="EE240" s="72"/>
      <c r="EF240" s="72"/>
      <c r="EG240" s="72"/>
      <c r="EH240" s="72"/>
      <c r="EI240" s="129"/>
      <c r="EJ240" s="129"/>
      <c r="EK240" s="129"/>
      <c r="EL240" s="129"/>
      <c r="EM240" s="72"/>
      <c r="EN240" s="72"/>
      <c r="EO240" s="72"/>
      <c r="EP240" s="72"/>
      <c r="EQ240" s="72"/>
      <c r="ER240" s="72"/>
      <c r="ES240" s="72"/>
      <c r="ET240" s="72"/>
    </row>
    <row r="241"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  <c r="DY241" s="72"/>
      <c r="DZ241" s="72"/>
      <c r="EA241" s="72"/>
      <c r="EB241" s="72"/>
      <c r="EC241" s="72"/>
      <c r="ED241" s="72"/>
      <c r="EE241" s="72"/>
      <c r="EF241" s="72"/>
      <c r="EG241" s="72"/>
      <c r="EH241" s="72"/>
      <c r="EI241" s="129"/>
      <c r="EJ241" s="129"/>
      <c r="EK241" s="129"/>
      <c r="EL241" s="129"/>
      <c r="EM241" s="72"/>
      <c r="EN241" s="72"/>
      <c r="EO241" s="72"/>
      <c r="EP241" s="72"/>
      <c r="EQ241" s="72"/>
      <c r="ER241" s="72"/>
      <c r="ES241" s="72"/>
      <c r="ET241" s="72"/>
    </row>
    <row r="242"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  <c r="DY242" s="72"/>
      <c r="DZ242" s="72"/>
      <c r="EA242" s="72"/>
      <c r="EB242" s="72"/>
      <c r="EC242" s="72"/>
      <c r="ED242" s="72"/>
      <c r="EE242" s="72"/>
      <c r="EF242" s="72"/>
      <c r="EG242" s="72"/>
      <c r="EH242" s="72"/>
      <c r="EI242" s="129"/>
      <c r="EJ242" s="129"/>
      <c r="EK242" s="129"/>
      <c r="EL242" s="129"/>
      <c r="EM242" s="72"/>
      <c r="EN242" s="72"/>
      <c r="EO242" s="72"/>
      <c r="EP242" s="72"/>
      <c r="EQ242" s="72"/>
      <c r="ER242" s="72"/>
      <c r="ES242" s="72"/>
      <c r="ET242" s="72"/>
    </row>
    <row r="243"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  <c r="CV243" s="72"/>
      <c r="CW243" s="72"/>
      <c r="CX243" s="72"/>
      <c r="CY243" s="72"/>
      <c r="CZ243" s="72"/>
      <c r="DA243" s="72"/>
      <c r="DB243" s="72"/>
      <c r="DC243" s="72"/>
      <c r="DD243" s="72"/>
      <c r="DE243" s="72"/>
      <c r="DF243" s="72"/>
      <c r="DG243" s="72"/>
      <c r="DH243" s="72"/>
      <c r="DI243" s="72"/>
      <c r="DJ243" s="72"/>
      <c r="DK243" s="72"/>
      <c r="DL243" s="72"/>
      <c r="DM243" s="72"/>
      <c r="DN243" s="72"/>
      <c r="DO243" s="72"/>
      <c r="DP243" s="72"/>
      <c r="DQ243" s="72"/>
      <c r="DR243" s="72"/>
      <c r="DS243" s="72"/>
      <c r="DT243" s="72"/>
      <c r="DU243" s="72"/>
      <c r="DV243" s="72"/>
      <c r="DW243" s="72"/>
      <c r="DX243" s="72"/>
      <c r="DY243" s="72"/>
      <c r="DZ243" s="72"/>
      <c r="EA243" s="72"/>
      <c r="EB243" s="72"/>
      <c r="EC243" s="72"/>
      <c r="ED243" s="72"/>
      <c r="EE243" s="72"/>
      <c r="EF243" s="72"/>
      <c r="EG243" s="72"/>
      <c r="EH243" s="72"/>
      <c r="EI243" s="129"/>
      <c r="EJ243" s="129"/>
      <c r="EK243" s="129"/>
      <c r="EL243" s="129"/>
      <c r="EM243" s="72"/>
      <c r="EN243" s="72"/>
      <c r="EO243" s="72"/>
      <c r="EP243" s="72"/>
      <c r="EQ243" s="72"/>
      <c r="ER243" s="72"/>
      <c r="ES243" s="72"/>
      <c r="ET243" s="72"/>
    </row>
    <row r="244"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  <c r="DY244" s="72"/>
      <c r="DZ244" s="72"/>
      <c r="EA244" s="72"/>
      <c r="EB244" s="72"/>
      <c r="EC244" s="72"/>
      <c r="ED244" s="72"/>
      <c r="EE244" s="72"/>
      <c r="EF244" s="72"/>
      <c r="EG244" s="72"/>
      <c r="EH244" s="72"/>
      <c r="EI244" s="129"/>
      <c r="EJ244" s="129"/>
      <c r="EK244" s="129"/>
      <c r="EL244" s="129"/>
      <c r="EM244" s="72"/>
      <c r="EN244" s="72"/>
      <c r="EO244" s="72"/>
      <c r="EP244" s="72"/>
      <c r="EQ244" s="72"/>
      <c r="ER244" s="72"/>
      <c r="ES244" s="72"/>
      <c r="ET244" s="72"/>
    </row>
    <row r="245"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/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  <c r="DY245" s="72"/>
      <c r="DZ245" s="72"/>
      <c r="EA245" s="72"/>
      <c r="EB245" s="72"/>
      <c r="EC245" s="72"/>
      <c r="ED245" s="72"/>
      <c r="EE245" s="72"/>
      <c r="EF245" s="72"/>
      <c r="EG245" s="72"/>
      <c r="EH245" s="72"/>
      <c r="EI245" s="129"/>
      <c r="EJ245" s="129"/>
      <c r="EK245" s="129"/>
      <c r="EL245" s="129"/>
      <c r="EM245" s="72"/>
      <c r="EN245" s="72"/>
      <c r="EO245" s="72"/>
      <c r="EP245" s="72"/>
      <c r="EQ245" s="72"/>
      <c r="ER245" s="72"/>
      <c r="ES245" s="72"/>
      <c r="ET245" s="72"/>
    </row>
    <row r="246">
      <c r="CD246" s="72"/>
      <c r="CE246" s="72"/>
      <c r="CF246" s="72"/>
      <c r="CG246" s="72"/>
      <c r="CH246" s="72"/>
      <c r="CI246" s="72"/>
      <c r="CJ246" s="72"/>
      <c r="CK246" s="72"/>
      <c r="CL246" s="72"/>
      <c r="CM246" s="72"/>
      <c r="CN246" s="72"/>
      <c r="CO246" s="72"/>
      <c r="CP246" s="72"/>
      <c r="CQ246" s="72"/>
      <c r="CR246" s="72"/>
      <c r="CS246" s="72"/>
      <c r="CT246" s="72"/>
      <c r="CU246" s="72"/>
      <c r="CV246" s="72"/>
      <c r="CW246" s="72"/>
      <c r="CX246" s="72"/>
      <c r="CY246" s="72"/>
      <c r="CZ246" s="72"/>
      <c r="DA246" s="72"/>
      <c r="DB246" s="72"/>
      <c r="DC246" s="72"/>
      <c r="DD246" s="72"/>
      <c r="DE246" s="72"/>
      <c r="DF246" s="72"/>
      <c r="DG246" s="72"/>
      <c r="DH246" s="72"/>
      <c r="DI246" s="72"/>
      <c r="DJ246" s="72"/>
      <c r="DK246" s="72"/>
      <c r="DL246" s="72"/>
      <c r="DM246" s="72"/>
      <c r="DN246" s="72"/>
      <c r="DO246" s="72"/>
      <c r="DP246" s="72"/>
      <c r="DQ246" s="72"/>
      <c r="DR246" s="72"/>
      <c r="DS246" s="72"/>
      <c r="DT246" s="72"/>
      <c r="DU246" s="72"/>
      <c r="DV246" s="72"/>
      <c r="DW246" s="72"/>
      <c r="DX246" s="72"/>
      <c r="DY246" s="72"/>
      <c r="DZ246" s="72"/>
      <c r="EA246" s="72"/>
      <c r="EB246" s="72"/>
      <c r="EC246" s="72"/>
      <c r="ED246" s="72"/>
      <c r="EE246" s="72"/>
      <c r="EF246" s="72"/>
      <c r="EG246" s="72"/>
      <c r="EH246" s="72"/>
      <c r="EI246" s="129"/>
      <c r="EJ246" s="129"/>
      <c r="EK246" s="129"/>
      <c r="EL246" s="129"/>
      <c r="EM246" s="72"/>
      <c r="EN246" s="72"/>
      <c r="EO246" s="72"/>
      <c r="EP246" s="72"/>
      <c r="EQ246" s="72"/>
      <c r="ER246" s="72"/>
      <c r="ES246" s="72"/>
      <c r="ET246" s="72"/>
    </row>
    <row r="247"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  <c r="CV247" s="72"/>
      <c r="CW247" s="72"/>
      <c r="CX247" s="72"/>
      <c r="CY247" s="72"/>
      <c r="CZ247" s="72"/>
      <c r="DA247" s="72"/>
      <c r="DB247" s="72"/>
      <c r="DC247" s="72"/>
      <c r="DD247" s="72"/>
      <c r="DE247" s="72"/>
      <c r="DF247" s="72"/>
      <c r="DG247" s="72"/>
      <c r="DH247" s="72"/>
      <c r="DI247" s="72"/>
      <c r="DJ247" s="72"/>
      <c r="DK247" s="72"/>
      <c r="DL247" s="72"/>
      <c r="DM247" s="72"/>
      <c r="DN247" s="72"/>
      <c r="DO247" s="72"/>
      <c r="DP247" s="72"/>
      <c r="DQ247" s="72"/>
      <c r="DR247" s="72"/>
      <c r="DS247" s="72"/>
      <c r="DT247" s="72"/>
      <c r="DU247" s="72"/>
      <c r="DV247" s="72"/>
      <c r="DW247" s="72"/>
      <c r="DX247" s="72"/>
      <c r="DY247" s="72"/>
      <c r="DZ247" s="72"/>
      <c r="EA247" s="72"/>
      <c r="EB247" s="72"/>
      <c r="EC247" s="72"/>
      <c r="ED247" s="72"/>
      <c r="EE247" s="72"/>
      <c r="EF247" s="72"/>
      <c r="EG247" s="72"/>
      <c r="EH247" s="72"/>
      <c r="EI247" s="129"/>
      <c r="EJ247" s="129"/>
      <c r="EK247" s="129"/>
      <c r="EL247" s="129"/>
      <c r="EM247" s="72"/>
      <c r="EN247" s="72"/>
      <c r="EO247" s="72"/>
      <c r="EP247" s="72"/>
      <c r="EQ247" s="72"/>
      <c r="ER247" s="72"/>
      <c r="ES247" s="72"/>
      <c r="ET247" s="72"/>
    </row>
    <row r="248"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  <c r="DY248" s="72"/>
      <c r="DZ248" s="72"/>
      <c r="EA248" s="72"/>
      <c r="EB248" s="72"/>
      <c r="EC248" s="72"/>
      <c r="ED248" s="72"/>
      <c r="EE248" s="72"/>
      <c r="EF248" s="72"/>
      <c r="EG248" s="72"/>
      <c r="EH248" s="72"/>
      <c r="EI248" s="129"/>
      <c r="EJ248" s="129"/>
      <c r="EK248" s="129"/>
      <c r="EL248" s="129"/>
      <c r="EM248" s="72"/>
      <c r="EN248" s="72"/>
      <c r="EO248" s="72"/>
      <c r="EP248" s="72"/>
      <c r="EQ248" s="72"/>
      <c r="ER248" s="72"/>
      <c r="ES248" s="72"/>
      <c r="ET248" s="72"/>
    </row>
    <row r="249"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  <c r="DY249" s="72"/>
      <c r="DZ249" s="72"/>
      <c r="EA249" s="72"/>
      <c r="EB249" s="72"/>
      <c r="EC249" s="72"/>
      <c r="ED249" s="72"/>
      <c r="EE249" s="72"/>
      <c r="EF249" s="72"/>
      <c r="EG249" s="72"/>
      <c r="EH249" s="72"/>
      <c r="EI249" s="129"/>
      <c r="EJ249" s="129"/>
      <c r="EK249" s="129"/>
      <c r="EL249" s="129"/>
      <c r="EM249" s="72"/>
      <c r="EN249" s="72"/>
      <c r="EO249" s="72"/>
      <c r="EP249" s="72"/>
      <c r="EQ249" s="72"/>
      <c r="ER249" s="72"/>
      <c r="ES249" s="72"/>
      <c r="ET249" s="72"/>
    </row>
    <row r="250"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  <c r="DY250" s="72"/>
      <c r="DZ250" s="72"/>
      <c r="EA250" s="72"/>
      <c r="EB250" s="72"/>
      <c r="EC250" s="72"/>
      <c r="ED250" s="72"/>
      <c r="EE250" s="72"/>
      <c r="EF250" s="72"/>
      <c r="EG250" s="72"/>
      <c r="EH250" s="72"/>
      <c r="EI250" s="129"/>
      <c r="EJ250" s="129"/>
      <c r="EK250" s="129"/>
      <c r="EL250" s="129"/>
      <c r="EM250" s="72"/>
      <c r="EN250" s="72"/>
      <c r="EO250" s="72"/>
      <c r="EP250" s="72"/>
      <c r="EQ250" s="72"/>
      <c r="ER250" s="72"/>
      <c r="ES250" s="72"/>
      <c r="ET250" s="72"/>
    </row>
    <row r="251"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/>
      <c r="DY251" s="72"/>
      <c r="DZ251" s="72"/>
      <c r="EA251" s="72"/>
      <c r="EB251" s="72"/>
      <c r="EC251" s="72"/>
      <c r="ED251" s="72"/>
      <c r="EE251" s="72"/>
      <c r="EF251" s="72"/>
      <c r="EG251" s="72"/>
      <c r="EH251" s="72"/>
      <c r="EI251" s="129"/>
      <c r="EJ251" s="129"/>
      <c r="EK251" s="129"/>
      <c r="EL251" s="129"/>
      <c r="EM251" s="72"/>
      <c r="EN251" s="72"/>
      <c r="EO251" s="72"/>
      <c r="EP251" s="72"/>
      <c r="EQ251" s="72"/>
      <c r="ER251" s="72"/>
      <c r="ES251" s="72"/>
      <c r="ET251" s="72"/>
    </row>
    <row r="252"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/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  <c r="DY252" s="72"/>
      <c r="DZ252" s="72"/>
      <c r="EA252" s="72"/>
      <c r="EB252" s="72"/>
      <c r="EC252" s="72"/>
      <c r="ED252" s="72"/>
      <c r="EE252" s="72"/>
      <c r="EF252" s="72"/>
      <c r="EG252" s="72"/>
      <c r="EH252" s="72"/>
      <c r="EI252" s="129"/>
      <c r="EJ252" s="129"/>
      <c r="EK252" s="129"/>
      <c r="EL252" s="129"/>
      <c r="EM252" s="72"/>
      <c r="EN252" s="72"/>
      <c r="EO252" s="72"/>
      <c r="EP252" s="72"/>
      <c r="EQ252" s="72"/>
      <c r="ER252" s="72"/>
      <c r="ES252" s="72"/>
      <c r="ET252" s="72"/>
    </row>
    <row r="253"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  <c r="DY253" s="72"/>
      <c r="DZ253" s="72"/>
      <c r="EA253" s="72"/>
      <c r="EB253" s="72"/>
      <c r="EC253" s="72"/>
      <c r="ED253" s="72"/>
      <c r="EE253" s="72"/>
      <c r="EF253" s="72"/>
      <c r="EG253" s="72"/>
      <c r="EH253" s="72"/>
      <c r="EI253" s="129"/>
      <c r="EJ253" s="129"/>
      <c r="EK253" s="129"/>
      <c r="EL253" s="129"/>
      <c r="EM253" s="72"/>
      <c r="EN253" s="72"/>
      <c r="EO253" s="72"/>
      <c r="EP253" s="72"/>
      <c r="EQ253" s="72"/>
      <c r="ER253" s="72"/>
      <c r="ES253" s="72"/>
      <c r="ET253" s="72"/>
    </row>
    <row r="254"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  <c r="DY254" s="72"/>
      <c r="DZ254" s="72"/>
      <c r="EA254" s="72"/>
      <c r="EB254" s="72"/>
      <c r="EC254" s="72"/>
      <c r="ED254" s="72"/>
      <c r="EE254" s="72"/>
      <c r="EF254" s="72"/>
      <c r="EG254" s="72"/>
      <c r="EH254" s="72"/>
      <c r="EI254" s="129"/>
      <c r="EJ254" s="129"/>
      <c r="EK254" s="129"/>
      <c r="EL254" s="129"/>
      <c r="EM254" s="72"/>
      <c r="EN254" s="72"/>
      <c r="EO254" s="72"/>
      <c r="EP254" s="72"/>
      <c r="EQ254" s="72"/>
      <c r="ER254" s="72"/>
      <c r="ES254" s="72"/>
      <c r="ET254" s="72"/>
    </row>
    <row r="255"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  <c r="DY255" s="72"/>
      <c r="DZ255" s="72"/>
      <c r="EA255" s="72"/>
      <c r="EB255" s="72"/>
      <c r="EC255" s="72"/>
      <c r="ED255" s="72"/>
      <c r="EE255" s="72"/>
      <c r="EF255" s="72"/>
      <c r="EG255" s="72"/>
      <c r="EH255" s="72"/>
      <c r="EI255" s="129"/>
      <c r="EJ255" s="129"/>
      <c r="EK255" s="129"/>
      <c r="EL255" s="129"/>
      <c r="EM255" s="72"/>
      <c r="EN255" s="72"/>
      <c r="EO255" s="72"/>
      <c r="EP255" s="72"/>
      <c r="EQ255" s="72"/>
      <c r="ER255" s="72"/>
      <c r="ES255" s="72"/>
      <c r="ET255" s="72"/>
    </row>
    <row r="256"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  <c r="DY256" s="72"/>
      <c r="DZ256" s="72"/>
      <c r="EA256" s="72"/>
      <c r="EB256" s="72"/>
      <c r="EC256" s="72"/>
      <c r="ED256" s="72"/>
      <c r="EE256" s="72"/>
      <c r="EF256" s="72"/>
      <c r="EG256" s="72"/>
      <c r="EH256" s="72"/>
      <c r="EI256" s="129"/>
      <c r="EJ256" s="129"/>
      <c r="EK256" s="129"/>
      <c r="EL256" s="129"/>
      <c r="EM256" s="72"/>
      <c r="EN256" s="72"/>
      <c r="EO256" s="72"/>
      <c r="EP256" s="72"/>
      <c r="EQ256" s="72"/>
      <c r="ER256" s="72"/>
      <c r="ES256" s="72"/>
      <c r="ET256" s="72"/>
    </row>
    <row r="257"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  <c r="DY257" s="72"/>
      <c r="DZ257" s="72"/>
      <c r="EA257" s="72"/>
      <c r="EB257" s="72"/>
      <c r="EC257" s="72"/>
      <c r="ED257" s="72"/>
      <c r="EE257" s="72"/>
      <c r="EF257" s="72"/>
      <c r="EG257" s="72"/>
      <c r="EH257" s="72"/>
      <c r="EI257" s="129"/>
      <c r="EJ257" s="129"/>
      <c r="EK257" s="129"/>
      <c r="EL257" s="129"/>
      <c r="EM257" s="72"/>
      <c r="EN257" s="72"/>
      <c r="EO257" s="72"/>
      <c r="EP257" s="72"/>
      <c r="EQ257" s="72"/>
      <c r="ER257" s="72"/>
      <c r="ES257" s="72"/>
      <c r="ET257" s="72"/>
    </row>
    <row r="258"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129"/>
      <c r="EJ258" s="129"/>
      <c r="EK258" s="129"/>
      <c r="EL258" s="129"/>
      <c r="EM258" s="72"/>
      <c r="EN258" s="72"/>
      <c r="EO258" s="72"/>
      <c r="EP258" s="72"/>
      <c r="EQ258" s="72"/>
      <c r="ER258" s="72"/>
      <c r="ES258" s="72"/>
      <c r="ET258" s="72"/>
    </row>
    <row r="259"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/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/>
      <c r="DU259" s="72"/>
      <c r="DV259" s="72"/>
      <c r="DW259" s="72"/>
      <c r="DX259" s="72"/>
      <c r="DY259" s="72"/>
      <c r="DZ259" s="72"/>
      <c r="EA259" s="72"/>
      <c r="EB259" s="72"/>
      <c r="EC259" s="72"/>
      <c r="ED259" s="72"/>
      <c r="EE259" s="72"/>
      <c r="EF259" s="72"/>
      <c r="EG259" s="72"/>
      <c r="EH259" s="72"/>
      <c r="EI259" s="129"/>
      <c r="EJ259" s="129"/>
      <c r="EK259" s="129"/>
      <c r="EL259" s="129"/>
      <c r="EM259" s="72"/>
      <c r="EN259" s="72"/>
      <c r="EO259" s="72"/>
      <c r="EP259" s="72"/>
      <c r="EQ259" s="72"/>
      <c r="ER259" s="72"/>
      <c r="ES259" s="72"/>
      <c r="ET259" s="72"/>
    </row>
    <row r="260"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  <c r="DY260" s="72"/>
      <c r="DZ260" s="72"/>
      <c r="EA260" s="72"/>
      <c r="EB260" s="72"/>
      <c r="EC260" s="72"/>
      <c r="ED260" s="72"/>
      <c r="EE260" s="72"/>
      <c r="EF260" s="72"/>
      <c r="EG260" s="72"/>
      <c r="EH260" s="72"/>
      <c r="EI260" s="129"/>
      <c r="EJ260" s="129"/>
      <c r="EK260" s="129"/>
      <c r="EL260" s="129"/>
      <c r="EM260" s="72"/>
      <c r="EN260" s="72"/>
      <c r="EO260" s="72"/>
      <c r="EP260" s="72"/>
      <c r="EQ260" s="72"/>
      <c r="ER260" s="72"/>
      <c r="ES260" s="72"/>
      <c r="ET260" s="72"/>
    </row>
    <row r="261"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  <c r="DY261" s="72"/>
      <c r="DZ261" s="72"/>
      <c r="EA261" s="72"/>
      <c r="EB261" s="72"/>
      <c r="EC261" s="72"/>
      <c r="ED261" s="72"/>
      <c r="EE261" s="72"/>
      <c r="EF261" s="72"/>
      <c r="EG261" s="72"/>
      <c r="EH261" s="72"/>
      <c r="EI261" s="129"/>
      <c r="EJ261" s="129"/>
      <c r="EK261" s="129"/>
      <c r="EL261" s="129"/>
      <c r="EM261" s="72"/>
      <c r="EN261" s="72"/>
      <c r="EO261" s="72"/>
      <c r="EP261" s="72"/>
      <c r="EQ261" s="72"/>
      <c r="ER261" s="72"/>
      <c r="ES261" s="72"/>
      <c r="ET261" s="72"/>
    </row>
    <row r="262"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129"/>
      <c r="EJ262" s="129"/>
      <c r="EK262" s="129"/>
      <c r="EL262" s="129"/>
      <c r="EM262" s="72"/>
      <c r="EN262" s="72"/>
      <c r="EO262" s="72"/>
      <c r="EP262" s="72"/>
      <c r="EQ262" s="72"/>
      <c r="ER262" s="72"/>
      <c r="ES262" s="72"/>
      <c r="ET262" s="72"/>
    </row>
    <row r="263"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  <c r="DY263" s="72"/>
      <c r="DZ263" s="72"/>
      <c r="EA263" s="72"/>
      <c r="EB263" s="72"/>
      <c r="EC263" s="72"/>
      <c r="ED263" s="72"/>
      <c r="EE263" s="72"/>
      <c r="EF263" s="72"/>
      <c r="EG263" s="72"/>
      <c r="EH263" s="72"/>
      <c r="EI263" s="129"/>
      <c r="EJ263" s="129"/>
      <c r="EK263" s="129"/>
      <c r="EL263" s="129"/>
      <c r="EM263" s="72"/>
      <c r="EN263" s="72"/>
      <c r="EO263" s="72"/>
      <c r="EP263" s="72"/>
      <c r="EQ263" s="72"/>
      <c r="ER263" s="72"/>
      <c r="ES263" s="72"/>
      <c r="ET263" s="72"/>
    </row>
    <row r="264"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  <c r="DY264" s="72"/>
      <c r="DZ264" s="72"/>
      <c r="EA264" s="72"/>
      <c r="EB264" s="72"/>
      <c r="EC264" s="72"/>
      <c r="ED264" s="72"/>
      <c r="EE264" s="72"/>
      <c r="EF264" s="72"/>
      <c r="EG264" s="72"/>
      <c r="EH264" s="72"/>
      <c r="EI264" s="129"/>
      <c r="EJ264" s="129"/>
      <c r="EK264" s="129"/>
      <c r="EL264" s="129"/>
      <c r="EM264" s="72"/>
      <c r="EN264" s="72"/>
      <c r="EO264" s="72"/>
      <c r="EP264" s="72"/>
      <c r="EQ264" s="72"/>
      <c r="ER264" s="72"/>
      <c r="ES264" s="72"/>
      <c r="ET264" s="72"/>
    </row>
    <row r="265"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  <c r="DY265" s="72"/>
      <c r="DZ265" s="72"/>
      <c r="EA265" s="72"/>
      <c r="EB265" s="72"/>
      <c r="EC265" s="72"/>
      <c r="ED265" s="72"/>
      <c r="EE265" s="72"/>
      <c r="EF265" s="72"/>
      <c r="EG265" s="72"/>
      <c r="EH265" s="72"/>
      <c r="EI265" s="129"/>
      <c r="EJ265" s="129"/>
      <c r="EK265" s="129"/>
      <c r="EL265" s="129"/>
      <c r="EM265" s="72"/>
      <c r="EN265" s="72"/>
      <c r="EO265" s="72"/>
      <c r="EP265" s="72"/>
      <c r="EQ265" s="72"/>
      <c r="ER265" s="72"/>
      <c r="ES265" s="72"/>
      <c r="ET265" s="72"/>
    </row>
    <row r="266">
      <c r="CD266" s="72"/>
      <c r="CE266" s="72"/>
      <c r="CF266" s="72"/>
      <c r="CG266" s="72"/>
      <c r="CH266" s="72"/>
      <c r="CI266" s="72"/>
      <c r="CJ266" s="72"/>
      <c r="CK266" s="72"/>
      <c r="CL266" s="72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C266" s="72"/>
      <c r="DD266" s="72"/>
      <c r="DE266" s="72"/>
      <c r="DF266" s="72"/>
      <c r="DG266" s="72"/>
      <c r="DH266" s="72"/>
      <c r="DI266" s="72"/>
      <c r="DJ266" s="72"/>
      <c r="DK266" s="72"/>
      <c r="DL266" s="72"/>
      <c r="DM266" s="72"/>
      <c r="DN266" s="72"/>
      <c r="DO266" s="72"/>
      <c r="DP266" s="72"/>
      <c r="DQ266" s="72"/>
      <c r="DR266" s="72"/>
      <c r="DS266" s="72"/>
      <c r="DT266" s="72"/>
      <c r="DU266" s="72"/>
      <c r="DV266" s="72"/>
      <c r="DW266" s="72"/>
      <c r="DX266" s="72"/>
      <c r="DY266" s="72"/>
      <c r="DZ266" s="72"/>
      <c r="EA266" s="72"/>
      <c r="EB266" s="72"/>
      <c r="EC266" s="72"/>
      <c r="ED266" s="72"/>
      <c r="EE266" s="72"/>
      <c r="EF266" s="72"/>
      <c r="EG266" s="72"/>
      <c r="EH266" s="72"/>
      <c r="EI266" s="129"/>
      <c r="EJ266" s="129"/>
      <c r="EK266" s="129"/>
      <c r="EL266" s="129"/>
      <c r="EM266" s="72"/>
      <c r="EN266" s="72"/>
      <c r="EO266" s="72"/>
      <c r="EP266" s="72"/>
      <c r="EQ266" s="72"/>
      <c r="ER266" s="72"/>
      <c r="ES266" s="72"/>
      <c r="ET266" s="72"/>
    </row>
    <row r="267"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  <c r="DY267" s="72"/>
      <c r="DZ267" s="72"/>
      <c r="EA267" s="72"/>
      <c r="EB267" s="72"/>
      <c r="EC267" s="72"/>
      <c r="ED267" s="72"/>
      <c r="EE267" s="72"/>
      <c r="EF267" s="72"/>
      <c r="EG267" s="72"/>
      <c r="EH267" s="72"/>
      <c r="EI267" s="129"/>
      <c r="EJ267" s="129"/>
      <c r="EK267" s="129"/>
      <c r="EL267" s="129"/>
      <c r="EM267" s="72"/>
      <c r="EN267" s="72"/>
      <c r="EO267" s="72"/>
      <c r="EP267" s="72"/>
      <c r="EQ267" s="72"/>
      <c r="ER267" s="72"/>
      <c r="ES267" s="72"/>
      <c r="ET267" s="72"/>
    </row>
    <row r="268"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  <c r="DY268" s="72"/>
      <c r="DZ268" s="72"/>
      <c r="EA268" s="72"/>
      <c r="EB268" s="72"/>
      <c r="EC268" s="72"/>
      <c r="ED268" s="72"/>
      <c r="EE268" s="72"/>
      <c r="EF268" s="72"/>
      <c r="EG268" s="72"/>
      <c r="EH268" s="72"/>
      <c r="EI268" s="129"/>
      <c r="EJ268" s="129"/>
      <c r="EK268" s="129"/>
      <c r="EL268" s="129"/>
      <c r="EM268" s="72"/>
      <c r="EN268" s="72"/>
      <c r="EO268" s="72"/>
      <c r="EP268" s="72"/>
      <c r="EQ268" s="72"/>
      <c r="ER268" s="72"/>
      <c r="ES268" s="72"/>
      <c r="ET268" s="72"/>
    </row>
    <row r="269"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  <c r="DY269" s="72"/>
      <c r="DZ269" s="72"/>
      <c r="EA269" s="72"/>
      <c r="EB269" s="72"/>
      <c r="EC269" s="72"/>
      <c r="ED269" s="72"/>
      <c r="EE269" s="72"/>
      <c r="EF269" s="72"/>
      <c r="EG269" s="72"/>
      <c r="EH269" s="72"/>
      <c r="EI269" s="129"/>
      <c r="EJ269" s="129"/>
      <c r="EK269" s="129"/>
      <c r="EL269" s="129"/>
      <c r="EM269" s="72"/>
      <c r="EN269" s="72"/>
      <c r="EO269" s="72"/>
      <c r="EP269" s="72"/>
      <c r="EQ269" s="72"/>
      <c r="ER269" s="72"/>
      <c r="ES269" s="72"/>
      <c r="ET269" s="72"/>
    </row>
    <row r="270"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  <c r="DY270" s="72"/>
      <c r="DZ270" s="72"/>
      <c r="EA270" s="72"/>
      <c r="EB270" s="72"/>
      <c r="EC270" s="72"/>
      <c r="ED270" s="72"/>
      <c r="EE270" s="72"/>
      <c r="EF270" s="72"/>
      <c r="EG270" s="72"/>
      <c r="EH270" s="72"/>
      <c r="EI270" s="129"/>
      <c r="EJ270" s="129"/>
      <c r="EK270" s="129"/>
      <c r="EL270" s="129"/>
      <c r="EM270" s="72"/>
      <c r="EN270" s="72"/>
      <c r="EO270" s="72"/>
      <c r="EP270" s="72"/>
      <c r="EQ270" s="72"/>
      <c r="ER270" s="72"/>
      <c r="ES270" s="72"/>
      <c r="ET270" s="72"/>
    </row>
    <row r="271"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/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  <c r="DY271" s="72"/>
      <c r="DZ271" s="72"/>
      <c r="EA271" s="72"/>
      <c r="EB271" s="72"/>
      <c r="EC271" s="72"/>
      <c r="ED271" s="72"/>
      <c r="EE271" s="72"/>
      <c r="EF271" s="72"/>
      <c r="EG271" s="72"/>
      <c r="EH271" s="72"/>
      <c r="EI271" s="129"/>
      <c r="EJ271" s="129"/>
      <c r="EK271" s="129"/>
      <c r="EL271" s="129"/>
      <c r="EM271" s="72"/>
      <c r="EN271" s="72"/>
      <c r="EO271" s="72"/>
      <c r="EP271" s="72"/>
      <c r="EQ271" s="72"/>
      <c r="ER271" s="72"/>
      <c r="ES271" s="72"/>
      <c r="ET271" s="72"/>
    </row>
    <row r="272"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  <c r="DY272" s="72"/>
      <c r="DZ272" s="72"/>
      <c r="EA272" s="72"/>
      <c r="EB272" s="72"/>
      <c r="EC272" s="72"/>
      <c r="ED272" s="72"/>
      <c r="EE272" s="72"/>
      <c r="EF272" s="72"/>
      <c r="EG272" s="72"/>
      <c r="EH272" s="72"/>
      <c r="EI272" s="129"/>
      <c r="EJ272" s="129"/>
      <c r="EK272" s="129"/>
      <c r="EL272" s="129"/>
      <c r="EM272" s="72"/>
      <c r="EN272" s="72"/>
      <c r="EO272" s="72"/>
      <c r="EP272" s="72"/>
      <c r="EQ272" s="72"/>
      <c r="ER272" s="72"/>
      <c r="ES272" s="72"/>
      <c r="ET272" s="72"/>
    </row>
    <row r="273"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  <c r="DY273" s="72"/>
      <c r="DZ273" s="72"/>
      <c r="EA273" s="72"/>
      <c r="EB273" s="72"/>
      <c r="EC273" s="72"/>
      <c r="ED273" s="72"/>
      <c r="EE273" s="72"/>
      <c r="EF273" s="72"/>
      <c r="EG273" s="72"/>
      <c r="EH273" s="72"/>
      <c r="EI273" s="129"/>
      <c r="EJ273" s="129"/>
      <c r="EK273" s="129"/>
      <c r="EL273" s="129"/>
      <c r="EM273" s="72"/>
      <c r="EN273" s="72"/>
      <c r="EO273" s="72"/>
      <c r="EP273" s="72"/>
      <c r="EQ273" s="72"/>
      <c r="ER273" s="72"/>
      <c r="ES273" s="72"/>
      <c r="ET273" s="72"/>
    </row>
    <row r="274"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/>
      <c r="CZ274" s="72"/>
      <c r="DA274" s="72"/>
      <c r="DB274" s="72"/>
      <c r="DC274" s="72"/>
      <c r="DD274" s="72"/>
      <c r="DE274" s="72"/>
      <c r="DF274" s="72"/>
      <c r="DG274" s="72"/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  <c r="DY274" s="72"/>
      <c r="DZ274" s="72"/>
      <c r="EA274" s="72"/>
      <c r="EB274" s="72"/>
      <c r="EC274" s="72"/>
      <c r="ED274" s="72"/>
      <c r="EE274" s="72"/>
      <c r="EF274" s="72"/>
      <c r="EG274" s="72"/>
      <c r="EH274" s="72"/>
      <c r="EI274" s="129"/>
      <c r="EJ274" s="129"/>
      <c r="EK274" s="129"/>
      <c r="EL274" s="129"/>
      <c r="EM274" s="72"/>
      <c r="EN274" s="72"/>
      <c r="EO274" s="72"/>
      <c r="EP274" s="72"/>
      <c r="EQ274" s="72"/>
      <c r="ER274" s="72"/>
      <c r="ES274" s="72"/>
      <c r="ET274" s="72"/>
    </row>
    <row r="275"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  <c r="DY275" s="72"/>
      <c r="DZ275" s="72"/>
      <c r="EA275" s="72"/>
      <c r="EB275" s="72"/>
      <c r="EC275" s="72"/>
      <c r="ED275" s="72"/>
      <c r="EE275" s="72"/>
      <c r="EF275" s="72"/>
      <c r="EG275" s="72"/>
      <c r="EH275" s="72"/>
      <c r="EI275" s="129"/>
      <c r="EJ275" s="129"/>
      <c r="EK275" s="129"/>
      <c r="EL275" s="129"/>
      <c r="EM275" s="72"/>
      <c r="EN275" s="72"/>
      <c r="EO275" s="72"/>
      <c r="EP275" s="72"/>
      <c r="EQ275" s="72"/>
      <c r="ER275" s="72"/>
      <c r="ES275" s="72"/>
      <c r="ET275" s="72"/>
    </row>
    <row r="276"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129"/>
      <c r="EJ276" s="129"/>
      <c r="EK276" s="129"/>
      <c r="EL276" s="129"/>
      <c r="EM276" s="72"/>
      <c r="EN276" s="72"/>
      <c r="EO276" s="72"/>
      <c r="EP276" s="72"/>
      <c r="EQ276" s="72"/>
      <c r="ER276" s="72"/>
      <c r="ES276" s="72"/>
      <c r="ET276" s="72"/>
    </row>
    <row r="277"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129"/>
      <c r="EJ277" s="129"/>
      <c r="EK277" s="129"/>
      <c r="EL277" s="129"/>
      <c r="EM277" s="72"/>
      <c r="EN277" s="72"/>
      <c r="EO277" s="72"/>
      <c r="EP277" s="72"/>
      <c r="EQ277" s="72"/>
      <c r="ER277" s="72"/>
      <c r="ES277" s="72"/>
      <c r="ET277" s="72"/>
    </row>
    <row r="278"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  <c r="DY278" s="72"/>
      <c r="DZ278" s="72"/>
      <c r="EA278" s="72"/>
      <c r="EB278" s="72"/>
      <c r="EC278" s="72"/>
      <c r="ED278" s="72"/>
      <c r="EE278" s="72"/>
      <c r="EF278" s="72"/>
      <c r="EG278" s="72"/>
      <c r="EH278" s="72"/>
      <c r="EI278" s="129"/>
      <c r="EJ278" s="129"/>
      <c r="EK278" s="129"/>
      <c r="EL278" s="129"/>
      <c r="EM278" s="72"/>
      <c r="EN278" s="72"/>
      <c r="EO278" s="72"/>
      <c r="EP278" s="72"/>
      <c r="EQ278" s="72"/>
      <c r="ER278" s="72"/>
      <c r="ES278" s="72"/>
      <c r="ET278" s="72"/>
    </row>
    <row r="279"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  <c r="DY279" s="72"/>
      <c r="DZ279" s="72"/>
      <c r="EA279" s="72"/>
      <c r="EB279" s="72"/>
      <c r="EC279" s="72"/>
      <c r="ED279" s="72"/>
      <c r="EE279" s="72"/>
      <c r="EF279" s="72"/>
      <c r="EG279" s="72"/>
      <c r="EH279" s="72"/>
      <c r="EI279" s="129"/>
      <c r="EJ279" s="129"/>
      <c r="EK279" s="129"/>
      <c r="EL279" s="129"/>
      <c r="EM279" s="72"/>
      <c r="EN279" s="72"/>
      <c r="EO279" s="72"/>
      <c r="EP279" s="72"/>
      <c r="EQ279" s="72"/>
      <c r="ER279" s="72"/>
      <c r="ES279" s="72"/>
      <c r="ET279" s="72"/>
    </row>
    <row r="280"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  <c r="DY280" s="72"/>
      <c r="DZ280" s="72"/>
      <c r="EA280" s="72"/>
      <c r="EB280" s="72"/>
      <c r="EC280" s="72"/>
      <c r="ED280" s="72"/>
      <c r="EE280" s="72"/>
      <c r="EF280" s="72"/>
      <c r="EG280" s="72"/>
      <c r="EH280" s="72"/>
      <c r="EI280" s="129"/>
      <c r="EJ280" s="129"/>
      <c r="EK280" s="129"/>
      <c r="EL280" s="129"/>
      <c r="EM280" s="72"/>
      <c r="EN280" s="72"/>
      <c r="EO280" s="72"/>
      <c r="EP280" s="72"/>
      <c r="EQ280" s="72"/>
      <c r="ER280" s="72"/>
      <c r="ES280" s="72"/>
      <c r="ET280" s="72"/>
    </row>
    <row r="281"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  <c r="DY281" s="72"/>
      <c r="DZ281" s="72"/>
      <c r="EA281" s="72"/>
      <c r="EB281" s="72"/>
      <c r="EC281" s="72"/>
      <c r="ED281" s="72"/>
      <c r="EE281" s="72"/>
      <c r="EF281" s="72"/>
      <c r="EG281" s="72"/>
      <c r="EH281" s="72"/>
      <c r="EI281" s="129"/>
      <c r="EJ281" s="129"/>
      <c r="EK281" s="129"/>
      <c r="EL281" s="129"/>
      <c r="EM281" s="72"/>
      <c r="EN281" s="72"/>
      <c r="EO281" s="72"/>
      <c r="EP281" s="72"/>
      <c r="EQ281" s="72"/>
      <c r="ER281" s="72"/>
      <c r="ES281" s="72"/>
      <c r="ET281" s="72"/>
    </row>
    <row r="282">
      <c r="CD282" s="72"/>
      <c r="CE282" s="72"/>
      <c r="CF282" s="72"/>
      <c r="CG282" s="72"/>
      <c r="CH282" s="72"/>
      <c r="CI282" s="72"/>
      <c r="CJ282" s="72"/>
      <c r="CK282" s="72"/>
      <c r="CL282" s="72"/>
      <c r="CM282" s="72"/>
      <c r="CN282" s="72"/>
      <c r="CO282" s="72"/>
      <c r="CP282" s="72"/>
      <c r="CQ282" s="72"/>
      <c r="CR282" s="72"/>
      <c r="CS282" s="72"/>
      <c r="CT282" s="72"/>
      <c r="CU282" s="72"/>
      <c r="CV282" s="72"/>
      <c r="CW282" s="72"/>
      <c r="CX282" s="72"/>
      <c r="CY282" s="72"/>
      <c r="CZ282" s="72"/>
      <c r="DA282" s="72"/>
      <c r="DB282" s="72"/>
      <c r="DC282" s="72"/>
      <c r="DD282" s="72"/>
      <c r="DE282" s="72"/>
      <c r="DF282" s="72"/>
      <c r="DG282" s="72"/>
      <c r="DH282" s="72"/>
      <c r="DI282" s="72"/>
      <c r="DJ282" s="72"/>
      <c r="DK282" s="72"/>
      <c r="DL282" s="72"/>
      <c r="DM282" s="72"/>
      <c r="DN282" s="72"/>
      <c r="DO282" s="72"/>
      <c r="DP282" s="72"/>
      <c r="DQ282" s="72"/>
      <c r="DR282" s="72"/>
      <c r="DS282" s="72"/>
      <c r="DT282" s="72"/>
      <c r="DU282" s="72"/>
      <c r="DV282" s="72"/>
      <c r="DW282" s="72"/>
      <c r="DX282" s="72"/>
      <c r="DY282" s="72"/>
      <c r="DZ282" s="72"/>
      <c r="EA282" s="72"/>
      <c r="EB282" s="72"/>
      <c r="EC282" s="72"/>
      <c r="ED282" s="72"/>
      <c r="EE282" s="72"/>
      <c r="EF282" s="72"/>
      <c r="EG282" s="72"/>
      <c r="EH282" s="72"/>
      <c r="EI282" s="129"/>
      <c r="EJ282" s="129"/>
      <c r="EK282" s="129"/>
      <c r="EL282" s="129"/>
      <c r="EM282" s="72"/>
      <c r="EN282" s="72"/>
      <c r="EO282" s="72"/>
      <c r="EP282" s="72"/>
      <c r="EQ282" s="72"/>
      <c r="ER282" s="72"/>
      <c r="ES282" s="72"/>
      <c r="ET282" s="72"/>
    </row>
    <row r="283"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  <c r="DY283" s="72"/>
      <c r="DZ283" s="72"/>
      <c r="EA283" s="72"/>
      <c r="EB283" s="72"/>
      <c r="EC283" s="72"/>
      <c r="ED283" s="72"/>
      <c r="EE283" s="72"/>
      <c r="EF283" s="72"/>
      <c r="EG283" s="72"/>
      <c r="EH283" s="72"/>
      <c r="EI283" s="129"/>
      <c r="EJ283" s="129"/>
      <c r="EK283" s="129"/>
      <c r="EL283" s="129"/>
      <c r="EM283" s="72"/>
      <c r="EN283" s="72"/>
      <c r="EO283" s="72"/>
      <c r="EP283" s="72"/>
      <c r="EQ283" s="72"/>
      <c r="ER283" s="72"/>
      <c r="ES283" s="72"/>
      <c r="ET283" s="72"/>
    </row>
    <row r="284"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  <c r="DY284" s="72"/>
      <c r="DZ284" s="72"/>
      <c r="EA284" s="72"/>
      <c r="EB284" s="72"/>
      <c r="EC284" s="72"/>
      <c r="ED284" s="72"/>
      <c r="EE284" s="72"/>
      <c r="EF284" s="72"/>
      <c r="EG284" s="72"/>
      <c r="EH284" s="72"/>
      <c r="EI284" s="129"/>
      <c r="EJ284" s="129"/>
      <c r="EK284" s="129"/>
      <c r="EL284" s="129"/>
      <c r="EM284" s="72"/>
      <c r="EN284" s="72"/>
      <c r="EO284" s="72"/>
      <c r="EP284" s="72"/>
      <c r="EQ284" s="72"/>
      <c r="ER284" s="72"/>
      <c r="ES284" s="72"/>
      <c r="ET284" s="72"/>
    </row>
    <row r="285"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  <c r="DY285" s="72"/>
      <c r="DZ285" s="72"/>
      <c r="EA285" s="72"/>
      <c r="EB285" s="72"/>
      <c r="EC285" s="72"/>
      <c r="ED285" s="72"/>
      <c r="EE285" s="72"/>
      <c r="EF285" s="72"/>
      <c r="EG285" s="72"/>
      <c r="EH285" s="72"/>
      <c r="EI285" s="129"/>
      <c r="EJ285" s="129"/>
      <c r="EK285" s="129"/>
      <c r="EL285" s="129"/>
      <c r="EM285" s="72"/>
      <c r="EN285" s="72"/>
      <c r="EO285" s="72"/>
      <c r="EP285" s="72"/>
      <c r="EQ285" s="72"/>
      <c r="ER285" s="72"/>
      <c r="ES285" s="72"/>
      <c r="ET285" s="72"/>
    </row>
    <row r="286">
      <c r="CD286" s="72"/>
      <c r="CE286" s="72"/>
      <c r="CF286" s="72"/>
      <c r="CG286" s="72"/>
      <c r="CH286" s="72"/>
      <c r="CI286" s="72"/>
      <c r="CJ286" s="72"/>
      <c r="CK286" s="72"/>
      <c r="CL286" s="72"/>
      <c r="CM286" s="72"/>
      <c r="CN286" s="72"/>
      <c r="CO286" s="72"/>
      <c r="CP286" s="72"/>
      <c r="CQ286" s="72"/>
      <c r="CR286" s="72"/>
      <c r="CS286" s="72"/>
      <c r="CT286" s="72"/>
      <c r="CU286" s="72"/>
      <c r="CV286" s="72"/>
      <c r="CW286" s="72"/>
      <c r="CX286" s="72"/>
      <c r="CY286" s="72"/>
      <c r="CZ286" s="72"/>
      <c r="DA286" s="72"/>
      <c r="DB286" s="72"/>
      <c r="DC286" s="72"/>
      <c r="DD286" s="72"/>
      <c r="DE286" s="72"/>
      <c r="DF286" s="72"/>
      <c r="DG286" s="72"/>
      <c r="DH286" s="72"/>
      <c r="DI286" s="72"/>
      <c r="DJ286" s="72"/>
      <c r="DK286" s="72"/>
      <c r="DL286" s="72"/>
      <c r="DM286" s="72"/>
      <c r="DN286" s="72"/>
      <c r="DO286" s="72"/>
      <c r="DP286" s="72"/>
      <c r="DQ286" s="72"/>
      <c r="DR286" s="72"/>
      <c r="DS286" s="72"/>
      <c r="DT286" s="72"/>
      <c r="DU286" s="72"/>
      <c r="DV286" s="72"/>
      <c r="DW286" s="72"/>
      <c r="DX286" s="72"/>
      <c r="DY286" s="72"/>
      <c r="DZ286" s="72"/>
      <c r="EA286" s="72"/>
      <c r="EB286" s="72"/>
      <c r="EC286" s="72"/>
      <c r="ED286" s="72"/>
      <c r="EE286" s="72"/>
      <c r="EF286" s="72"/>
      <c r="EG286" s="72"/>
      <c r="EH286" s="72"/>
      <c r="EI286" s="129"/>
      <c r="EJ286" s="129"/>
      <c r="EK286" s="129"/>
      <c r="EL286" s="129"/>
      <c r="EM286" s="72"/>
      <c r="EN286" s="72"/>
      <c r="EO286" s="72"/>
      <c r="EP286" s="72"/>
      <c r="EQ286" s="72"/>
      <c r="ER286" s="72"/>
      <c r="ES286" s="72"/>
      <c r="ET286" s="72"/>
    </row>
    <row r="287"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  <c r="DY287" s="72"/>
      <c r="DZ287" s="72"/>
      <c r="EA287" s="72"/>
      <c r="EB287" s="72"/>
      <c r="EC287" s="72"/>
      <c r="ED287" s="72"/>
      <c r="EE287" s="72"/>
      <c r="EF287" s="72"/>
      <c r="EG287" s="72"/>
      <c r="EH287" s="72"/>
      <c r="EI287" s="129"/>
      <c r="EJ287" s="129"/>
      <c r="EK287" s="129"/>
      <c r="EL287" s="129"/>
      <c r="EM287" s="72"/>
      <c r="EN287" s="72"/>
      <c r="EO287" s="72"/>
      <c r="EP287" s="72"/>
      <c r="EQ287" s="72"/>
      <c r="ER287" s="72"/>
      <c r="ES287" s="72"/>
      <c r="ET287" s="72"/>
    </row>
    <row r="288"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  <c r="DY288" s="72"/>
      <c r="DZ288" s="72"/>
      <c r="EA288" s="72"/>
      <c r="EB288" s="72"/>
      <c r="EC288" s="72"/>
      <c r="ED288" s="72"/>
      <c r="EE288" s="72"/>
      <c r="EF288" s="72"/>
      <c r="EG288" s="72"/>
      <c r="EH288" s="72"/>
      <c r="EI288" s="129"/>
      <c r="EJ288" s="129"/>
      <c r="EK288" s="129"/>
      <c r="EL288" s="129"/>
      <c r="EM288" s="72"/>
      <c r="EN288" s="72"/>
      <c r="EO288" s="72"/>
      <c r="EP288" s="72"/>
      <c r="EQ288" s="72"/>
      <c r="ER288" s="72"/>
      <c r="ES288" s="72"/>
      <c r="ET288" s="72"/>
    </row>
    <row r="289"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  <c r="CV289" s="72"/>
      <c r="CW289" s="72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129"/>
      <c r="EJ289" s="129"/>
      <c r="EK289" s="129"/>
      <c r="EL289" s="129"/>
      <c r="EM289" s="72"/>
      <c r="EN289" s="72"/>
      <c r="EO289" s="72"/>
      <c r="EP289" s="72"/>
      <c r="EQ289" s="72"/>
      <c r="ER289" s="72"/>
      <c r="ES289" s="72"/>
      <c r="ET289" s="72"/>
    </row>
    <row r="290">
      <c r="CD290" s="72"/>
      <c r="CE290" s="72"/>
      <c r="CF290" s="72"/>
      <c r="CG290" s="72"/>
      <c r="CH290" s="72"/>
      <c r="CI290" s="72"/>
      <c r="CJ290" s="72"/>
      <c r="CK290" s="72"/>
      <c r="CL290" s="72"/>
      <c r="CM290" s="72"/>
      <c r="CN290" s="72"/>
      <c r="CO290" s="72"/>
      <c r="CP290" s="72"/>
      <c r="CQ290" s="72"/>
      <c r="CR290" s="72"/>
      <c r="CS290" s="72"/>
      <c r="CT290" s="72"/>
      <c r="CU290" s="72"/>
      <c r="CV290" s="72"/>
      <c r="CW290" s="72"/>
      <c r="CX290" s="72"/>
      <c r="CY290" s="72"/>
      <c r="CZ290" s="72"/>
      <c r="DA290" s="72"/>
      <c r="DB290" s="72"/>
      <c r="DC290" s="72"/>
      <c r="DD290" s="72"/>
      <c r="DE290" s="72"/>
      <c r="DF290" s="72"/>
      <c r="DG290" s="72"/>
      <c r="DH290" s="72"/>
      <c r="DI290" s="72"/>
      <c r="DJ290" s="72"/>
      <c r="DK290" s="72"/>
      <c r="DL290" s="72"/>
      <c r="DM290" s="72"/>
      <c r="DN290" s="72"/>
      <c r="DO290" s="72"/>
      <c r="DP290" s="72"/>
      <c r="DQ290" s="72"/>
      <c r="DR290" s="72"/>
      <c r="DS290" s="72"/>
      <c r="DT290" s="72"/>
      <c r="DU290" s="72"/>
      <c r="DV290" s="72"/>
      <c r="DW290" s="72"/>
      <c r="DX290" s="72"/>
      <c r="DY290" s="72"/>
      <c r="DZ290" s="72"/>
      <c r="EA290" s="72"/>
      <c r="EB290" s="72"/>
      <c r="EC290" s="72"/>
      <c r="ED290" s="72"/>
      <c r="EE290" s="72"/>
      <c r="EF290" s="72"/>
      <c r="EG290" s="72"/>
      <c r="EH290" s="72"/>
      <c r="EI290" s="129"/>
      <c r="EJ290" s="129"/>
      <c r="EK290" s="129"/>
      <c r="EL290" s="129"/>
      <c r="EM290" s="72"/>
      <c r="EN290" s="72"/>
      <c r="EO290" s="72"/>
      <c r="EP290" s="72"/>
      <c r="EQ290" s="72"/>
      <c r="ER290" s="72"/>
      <c r="ES290" s="72"/>
      <c r="ET290" s="72"/>
    </row>
    <row r="291"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  <c r="CV291" s="72"/>
      <c r="CW291" s="72"/>
      <c r="CX291" s="72"/>
      <c r="CY291" s="72"/>
      <c r="CZ291" s="72"/>
      <c r="DA291" s="72"/>
      <c r="DB291" s="72"/>
      <c r="DC291" s="72"/>
      <c r="DD291" s="72"/>
      <c r="DE291" s="72"/>
      <c r="DF291" s="72"/>
      <c r="DG291" s="72"/>
      <c r="DH291" s="72"/>
      <c r="DI291" s="72"/>
      <c r="DJ291" s="72"/>
      <c r="DK291" s="72"/>
      <c r="DL291" s="72"/>
      <c r="DM291" s="72"/>
      <c r="DN291" s="72"/>
      <c r="DO291" s="72"/>
      <c r="DP291" s="72"/>
      <c r="DQ291" s="72"/>
      <c r="DR291" s="72"/>
      <c r="DS291" s="72"/>
      <c r="DT291" s="72"/>
      <c r="DU291" s="72"/>
      <c r="DV291" s="72"/>
      <c r="DW291" s="72"/>
      <c r="DX291" s="72"/>
      <c r="DY291" s="72"/>
      <c r="DZ291" s="72"/>
      <c r="EA291" s="72"/>
      <c r="EB291" s="72"/>
      <c r="EC291" s="72"/>
      <c r="ED291" s="72"/>
      <c r="EE291" s="72"/>
      <c r="EF291" s="72"/>
      <c r="EG291" s="72"/>
      <c r="EH291" s="72"/>
      <c r="EI291" s="129"/>
      <c r="EJ291" s="129"/>
      <c r="EK291" s="129"/>
      <c r="EL291" s="129"/>
      <c r="EM291" s="72"/>
      <c r="EN291" s="72"/>
      <c r="EO291" s="72"/>
      <c r="EP291" s="72"/>
      <c r="EQ291" s="72"/>
      <c r="ER291" s="72"/>
      <c r="ES291" s="72"/>
      <c r="ET291" s="72"/>
    </row>
    <row r="292">
      <c r="CD292" s="72"/>
      <c r="CE292" s="72"/>
      <c r="CF292" s="72"/>
      <c r="CG292" s="72"/>
      <c r="CH292" s="72"/>
      <c r="CI292" s="72"/>
      <c r="CJ292" s="72"/>
      <c r="CK292" s="72"/>
      <c r="CL292" s="72"/>
      <c r="CM292" s="72"/>
      <c r="CN292" s="72"/>
      <c r="CO292" s="72"/>
      <c r="CP292" s="72"/>
      <c r="CQ292" s="72"/>
      <c r="CR292" s="72"/>
      <c r="CS292" s="72"/>
      <c r="CT292" s="72"/>
      <c r="CU292" s="72"/>
      <c r="CV292" s="72"/>
      <c r="CW292" s="72"/>
      <c r="CX292" s="72"/>
      <c r="CY292" s="72"/>
      <c r="CZ292" s="72"/>
      <c r="DA292" s="72"/>
      <c r="DB292" s="72"/>
      <c r="DC292" s="72"/>
      <c r="DD292" s="72"/>
      <c r="DE292" s="72"/>
      <c r="DF292" s="72"/>
      <c r="DG292" s="72"/>
      <c r="DH292" s="72"/>
      <c r="DI292" s="72"/>
      <c r="DJ292" s="72"/>
      <c r="DK292" s="72"/>
      <c r="DL292" s="72"/>
      <c r="DM292" s="72"/>
      <c r="DN292" s="72"/>
      <c r="DO292" s="72"/>
      <c r="DP292" s="72"/>
      <c r="DQ292" s="72"/>
      <c r="DR292" s="72"/>
      <c r="DS292" s="72"/>
      <c r="DT292" s="72"/>
      <c r="DU292" s="72"/>
      <c r="DV292" s="72"/>
      <c r="DW292" s="72"/>
      <c r="DX292" s="72"/>
      <c r="DY292" s="72"/>
      <c r="DZ292" s="72"/>
      <c r="EA292" s="72"/>
      <c r="EB292" s="72"/>
      <c r="EC292" s="72"/>
      <c r="ED292" s="72"/>
      <c r="EE292" s="72"/>
      <c r="EF292" s="72"/>
      <c r="EG292" s="72"/>
      <c r="EH292" s="72"/>
      <c r="EI292" s="129"/>
      <c r="EJ292" s="129"/>
      <c r="EK292" s="129"/>
      <c r="EL292" s="129"/>
      <c r="EM292" s="72"/>
      <c r="EN292" s="72"/>
      <c r="EO292" s="72"/>
      <c r="EP292" s="72"/>
      <c r="EQ292" s="72"/>
      <c r="ER292" s="72"/>
      <c r="ES292" s="72"/>
      <c r="ET292" s="72"/>
    </row>
    <row r="293"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  <c r="CV293" s="72"/>
      <c r="CW293" s="72"/>
      <c r="CX293" s="72"/>
      <c r="CY293" s="72"/>
      <c r="CZ293" s="72"/>
      <c r="DA293" s="72"/>
      <c r="DB293" s="72"/>
      <c r="DC293" s="72"/>
      <c r="DD293" s="72"/>
      <c r="DE293" s="72"/>
      <c r="DF293" s="72"/>
      <c r="DG293" s="72"/>
      <c r="DH293" s="72"/>
      <c r="DI293" s="72"/>
      <c r="DJ293" s="72"/>
      <c r="DK293" s="72"/>
      <c r="DL293" s="72"/>
      <c r="DM293" s="72"/>
      <c r="DN293" s="72"/>
      <c r="DO293" s="72"/>
      <c r="DP293" s="72"/>
      <c r="DQ293" s="72"/>
      <c r="DR293" s="72"/>
      <c r="DS293" s="72"/>
      <c r="DT293" s="72"/>
      <c r="DU293" s="72"/>
      <c r="DV293" s="72"/>
      <c r="DW293" s="72"/>
      <c r="DX293" s="72"/>
      <c r="DY293" s="72"/>
      <c r="DZ293" s="72"/>
      <c r="EA293" s="72"/>
      <c r="EB293" s="72"/>
      <c r="EC293" s="72"/>
      <c r="ED293" s="72"/>
      <c r="EE293" s="72"/>
      <c r="EF293" s="72"/>
      <c r="EG293" s="72"/>
      <c r="EH293" s="72"/>
      <c r="EI293" s="129"/>
      <c r="EJ293" s="129"/>
      <c r="EK293" s="129"/>
      <c r="EL293" s="129"/>
      <c r="EM293" s="72"/>
      <c r="EN293" s="72"/>
      <c r="EO293" s="72"/>
      <c r="EP293" s="72"/>
      <c r="EQ293" s="72"/>
      <c r="ER293" s="72"/>
      <c r="ES293" s="72"/>
      <c r="ET293" s="72"/>
    </row>
    <row r="294"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129"/>
      <c r="EJ294" s="129"/>
      <c r="EK294" s="129"/>
      <c r="EL294" s="129"/>
      <c r="EM294" s="72"/>
      <c r="EN294" s="72"/>
      <c r="EO294" s="72"/>
      <c r="EP294" s="72"/>
      <c r="EQ294" s="72"/>
      <c r="ER294" s="72"/>
      <c r="ES294" s="72"/>
      <c r="ET294" s="72"/>
    </row>
    <row r="295"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129"/>
      <c r="EJ295" s="129"/>
      <c r="EK295" s="129"/>
      <c r="EL295" s="129"/>
      <c r="EM295" s="72"/>
      <c r="EN295" s="72"/>
      <c r="EO295" s="72"/>
      <c r="EP295" s="72"/>
      <c r="EQ295" s="72"/>
      <c r="ER295" s="72"/>
      <c r="ES295" s="72"/>
      <c r="ET295" s="72"/>
    </row>
    <row r="296"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129"/>
      <c r="EJ296" s="129"/>
      <c r="EK296" s="129"/>
      <c r="EL296" s="129"/>
      <c r="EM296" s="72"/>
      <c r="EN296" s="72"/>
      <c r="EO296" s="72"/>
      <c r="EP296" s="72"/>
      <c r="EQ296" s="72"/>
      <c r="ER296" s="72"/>
      <c r="ES296" s="72"/>
      <c r="ET296" s="72"/>
    </row>
    <row r="297"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  <c r="DY297" s="72"/>
      <c r="DZ297" s="72"/>
      <c r="EA297" s="72"/>
      <c r="EB297" s="72"/>
      <c r="EC297" s="72"/>
      <c r="ED297" s="72"/>
      <c r="EE297" s="72"/>
      <c r="EF297" s="72"/>
      <c r="EG297" s="72"/>
      <c r="EH297" s="72"/>
      <c r="EI297" s="129"/>
      <c r="EJ297" s="129"/>
      <c r="EK297" s="129"/>
      <c r="EL297" s="129"/>
      <c r="EM297" s="72"/>
      <c r="EN297" s="72"/>
      <c r="EO297" s="72"/>
      <c r="EP297" s="72"/>
      <c r="EQ297" s="72"/>
      <c r="ER297" s="72"/>
      <c r="ES297" s="72"/>
      <c r="ET297" s="72"/>
    </row>
    <row r="298">
      <c r="CD298" s="72"/>
      <c r="CE298" s="72"/>
      <c r="CF298" s="72"/>
      <c r="CG298" s="72"/>
      <c r="CH298" s="72"/>
      <c r="CI298" s="72"/>
      <c r="CJ298" s="72"/>
      <c r="CK298" s="72"/>
      <c r="CL298" s="72"/>
      <c r="CM298" s="72"/>
      <c r="CN298" s="72"/>
      <c r="CO298" s="72"/>
      <c r="CP298" s="72"/>
      <c r="CQ298" s="72"/>
      <c r="CR298" s="72"/>
      <c r="CS298" s="72"/>
      <c r="CT298" s="72"/>
      <c r="CU298" s="72"/>
      <c r="CV298" s="72"/>
      <c r="CW298" s="72"/>
      <c r="CX298" s="72"/>
      <c r="CY298" s="72"/>
      <c r="CZ298" s="72"/>
      <c r="DA298" s="72"/>
      <c r="DB298" s="72"/>
      <c r="DC298" s="72"/>
      <c r="DD298" s="72"/>
      <c r="DE298" s="72"/>
      <c r="DF298" s="72"/>
      <c r="DG298" s="72"/>
      <c r="DH298" s="72"/>
      <c r="DI298" s="72"/>
      <c r="DJ298" s="72"/>
      <c r="DK298" s="72"/>
      <c r="DL298" s="72"/>
      <c r="DM298" s="72"/>
      <c r="DN298" s="72"/>
      <c r="DO298" s="72"/>
      <c r="DP298" s="72"/>
      <c r="DQ298" s="72"/>
      <c r="DR298" s="72"/>
      <c r="DS298" s="72"/>
      <c r="DT298" s="72"/>
      <c r="DU298" s="72"/>
      <c r="DV298" s="72"/>
      <c r="DW298" s="72"/>
      <c r="DX298" s="72"/>
      <c r="DY298" s="72"/>
      <c r="DZ298" s="72"/>
      <c r="EA298" s="72"/>
      <c r="EB298" s="72"/>
      <c r="EC298" s="72"/>
      <c r="ED298" s="72"/>
      <c r="EE298" s="72"/>
      <c r="EF298" s="72"/>
      <c r="EG298" s="72"/>
      <c r="EH298" s="72"/>
      <c r="EI298" s="129"/>
      <c r="EJ298" s="129"/>
      <c r="EK298" s="129"/>
      <c r="EL298" s="129"/>
      <c r="EM298" s="72"/>
      <c r="EN298" s="72"/>
      <c r="EO298" s="72"/>
      <c r="EP298" s="72"/>
      <c r="EQ298" s="72"/>
      <c r="ER298" s="72"/>
      <c r="ES298" s="72"/>
      <c r="ET298" s="72"/>
    </row>
    <row r="299"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  <c r="CV299" s="72"/>
      <c r="CW299" s="72"/>
      <c r="CX299" s="72"/>
      <c r="CY299" s="72"/>
      <c r="CZ299" s="72"/>
      <c r="DA299" s="72"/>
      <c r="DB299" s="72"/>
      <c r="DC299" s="72"/>
      <c r="DD299" s="72"/>
      <c r="DE299" s="72"/>
      <c r="DF299" s="72"/>
      <c r="DG299" s="72"/>
      <c r="DH299" s="72"/>
      <c r="DI299" s="72"/>
      <c r="DJ299" s="72"/>
      <c r="DK299" s="72"/>
      <c r="DL299" s="72"/>
      <c r="DM299" s="72"/>
      <c r="DN299" s="72"/>
      <c r="DO299" s="72"/>
      <c r="DP299" s="72"/>
      <c r="DQ299" s="72"/>
      <c r="DR299" s="72"/>
      <c r="DS299" s="72"/>
      <c r="DT299" s="72"/>
      <c r="DU299" s="72"/>
      <c r="DV299" s="72"/>
      <c r="DW299" s="72"/>
      <c r="DX299" s="72"/>
      <c r="DY299" s="72"/>
      <c r="DZ299" s="72"/>
      <c r="EA299" s="72"/>
      <c r="EB299" s="72"/>
      <c r="EC299" s="72"/>
      <c r="ED299" s="72"/>
      <c r="EE299" s="72"/>
      <c r="EF299" s="72"/>
      <c r="EG299" s="72"/>
      <c r="EH299" s="72"/>
      <c r="EI299" s="129"/>
      <c r="EJ299" s="129"/>
      <c r="EK299" s="129"/>
      <c r="EL299" s="129"/>
      <c r="EM299" s="72"/>
      <c r="EN299" s="72"/>
      <c r="EO299" s="72"/>
      <c r="EP299" s="72"/>
      <c r="EQ299" s="72"/>
      <c r="ER299" s="72"/>
      <c r="ES299" s="72"/>
      <c r="ET299" s="72"/>
    </row>
    <row r="300">
      <c r="CD300" s="72"/>
      <c r="CE300" s="72"/>
      <c r="CF300" s="72"/>
      <c r="CG300" s="72"/>
      <c r="CH300" s="72"/>
      <c r="CI300" s="72"/>
      <c r="CJ300" s="72"/>
      <c r="CK300" s="72"/>
      <c r="CL300" s="72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C300" s="72"/>
      <c r="DD300" s="72"/>
      <c r="DE300" s="72"/>
      <c r="DF300" s="72"/>
      <c r="DG300" s="72"/>
      <c r="DH300" s="72"/>
      <c r="DI300" s="72"/>
      <c r="DJ300" s="72"/>
      <c r="DK300" s="72"/>
      <c r="DL300" s="72"/>
      <c r="DM300" s="72"/>
      <c r="DN300" s="72"/>
      <c r="DO300" s="72"/>
      <c r="DP300" s="72"/>
      <c r="DQ300" s="72"/>
      <c r="DR300" s="72"/>
      <c r="DS300" s="72"/>
      <c r="DT300" s="72"/>
      <c r="DU300" s="72"/>
      <c r="DV300" s="72"/>
      <c r="DW300" s="72"/>
      <c r="DX300" s="72"/>
      <c r="DY300" s="72"/>
      <c r="DZ300" s="72"/>
      <c r="EA300" s="72"/>
      <c r="EB300" s="72"/>
      <c r="EC300" s="72"/>
      <c r="ED300" s="72"/>
      <c r="EE300" s="72"/>
      <c r="EF300" s="72"/>
      <c r="EG300" s="72"/>
      <c r="EH300" s="72"/>
      <c r="EI300" s="129"/>
      <c r="EJ300" s="129"/>
      <c r="EK300" s="129"/>
      <c r="EL300" s="129"/>
      <c r="EM300" s="72"/>
      <c r="EN300" s="72"/>
      <c r="EO300" s="72"/>
      <c r="EP300" s="72"/>
      <c r="EQ300" s="72"/>
      <c r="ER300" s="72"/>
      <c r="ES300" s="72"/>
      <c r="ET300" s="72"/>
    </row>
    <row r="301"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  <c r="CV301" s="72"/>
      <c r="CW301" s="72"/>
      <c r="CX301" s="72"/>
      <c r="CY301" s="72"/>
      <c r="CZ301" s="72"/>
      <c r="DA301" s="72"/>
      <c r="DB301" s="72"/>
      <c r="DC301" s="72"/>
      <c r="DD301" s="72"/>
      <c r="DE301" s="72"/>
      <c r="DF301" s="72"/>
      <c r="DG301" s="72"/>
      <c r="DH301" s="72"/>
      <c r="DI301" s="72"/>
      <c r="DJ301" s="72"/>
      <c r="DK301" s="72"/>
      <c r="DL301" s="72"/>
      <c r="DM301" s="72"/>
      <c r="DN301" s="72"/>
      <c r="DO301" s="72"/>
      <c r="DP301" s="72"/>
      <c r="DQ301" s="72"/>
      <c r="DR301" s="72"/>
      <c r="DS301" s="72"/>
      <c r="DT301" s="72"/>
      <c r="DU301" s="72"/>
      <c r="DV301" s="72"/>
      <c r="DW301" s="72"/>
      <c r="DX301" s="72"/>
      <c r="DY301" s="72"/>
      <c r="DZ301" s="72"/>
      <c r="EA301" s="72"/>
      <c r="EB301" s="72"/>
      <c r="EC301" s="72"/>
      <c r="ED301" s="72"/>
      <c r="EE301" s="72"/>
      <c r="EF301" s="72"/>
      <c r="EG301" s="72"/>
      <c r="EH301" s="72"/>
      <c r="EI301" s="129"/>
      <c r="EJ301" s="129"/>
      <c r="EK301" s="129"/>
      <c r="EL301" s="129"/>
      <c r="EM301" s="72"/>
      <c r="EN301" s="72"/>
      <c r="EO301" s="72"/>
      <c r="EP301" s="72"/>
      <c r="EQ301" s="72"/>
      <c r="ER301" s="72"/>
      <c r="ES301" s="72"/>
      <c r="ET301" s="72"/>
    </row>
    <row r="302"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  <c r="DY302" s="72"/>
      <c r="DZ302" s="72"/>
      <c r="EA302" s="72"/>
      <c r="EB302" s="72"/>
      <c r="EC302" s="72"/>
      <c r="ED302" s="72"/>
      <c r="EE302" s="72"/>
      <c r="EF302" s="72"/>
      <c r="EG302" s="72"/>
      <c r="EH302" s="72"/>
      <c r="EI302" s="129"/>
      <c r="EJ302" s="129"/>
      <c r="EK302" s="129"/>
      <c r="EL302" s="129"/>
      <c r="EM302" s="72"/>
      <c r="EN302" s="72"/>
      <c r="EO302" s="72"/>
      <c r="EP302" s="72"/>
      <c r="EQ302" s="72"/>
      <c r="ER302" s="72"/>
      <c r="ES302" s="72"/>
      <c r="ET302" s="72"/>
    </row>
    <row r="303"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  <c r="CV303" s="72"/>
      <c r="CW303" s="72"/>
      <c r="CX303" s="72"/>
      <c r="CY303" s="72"/>
      <c r="CZ303" s="72"/>
      <c r="DA303" s="72"/>
      <c r="DB303" s="72"/>
      <c r="DC303" s="72"/>
      <c r="DD303" s="72"/>
      <c r="DE303" s="72"/>
      <c r="DF303" s="72"/>
      <c r="DG303" s="72"/>
      <c r="DH303" s="72"/>
      <c r="DI303" s="72"/>
      <c r="DJ303" s="72"/>
      <c r="DK303" s="72"/>
      <c r="DL303" s="72"/>
      <c r="DM303" s="72"/>
      <c r="DN303" s="72"/>
      <c r="DO303" s="72"/>
      <c r="DP303" s="72"/>
      <c r="DQ303" s="72"/>
      <c r="DR303" s="72"/>
      <c r="DS303" s="72"/>
      <c r="DT303" s="72"/>
      <c r="DU303" s="72"/>
      <c r="DV303" s="72"/>
      <c r="DW303" s="72"/>
      <c r="DX303" s="72"/>
      <c r="DY303" s="72"/>
      <c r="DZ303" s="72"/>
      <c r="EA303" s="72"/>
      <c r="EB303" s="72"/>
      <c r="EC303" s="72"/>
      <c r="ED303" s="72"/>
      <c r="EE303" s="72"/>
      <c r="EF303" s="72"/>
      <c r="EG303" s="72"/>
      <c r="EH303" s="72"/>
      <c r="EI303" s="129"/>
      <c r="EJ303" s="129"/>
      <c r="EK303" s="129"/>
      <c r="EL303" s="129"/>
      <c r="EM303" s="72"/>
      <c r="EN303" s="72"/>
      <c r="EO303" s="72"/>
      <c r="EP303" s="72"/>
      <c r="EQ303" s="72"/>
      <c r="ER303" s="72"/>
      <c r="ES303" s="72"/>
      <c r="ET303" s="72"/>
    </row>
    <row r="304"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  <c r="DY304" s="72"/>
      <c r="DZ304" s="72"/>
      <c r="EA304" s="72"/>
      <c r="EB304" s="72"/>
      <c r="EC304" s="72"/>
      <c r="ED304" s="72"/>
      <c r="EE304" s="72"/>
      <c r="EF304" s="72"/>
      <c r="EG304" s="72"/>
      <c r="EH304" s="72"/>
      <c r="EI304" s="129"/>
      <c r="EJ304" s="129"/>
      <c r="EK304" s="129"/>
      <c r="EL304" s="129"/>
      <c r="EM304" s="72"/>
      <c r="EN304" s="72"/>
      <c r="EO304" s="72"/>
      <c r="EP304" s="72"/>
      <c r="EQ304" s="72"/>
      <c r="ER304" s="72"/>
      <c r="ES304" s="72"/>
      <c r="ET304" s="72"/>
    </row>
    <row r="305"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  <c r="DY305" s="72"/>
      <c r="DZ305" s="72"/>
      <c r="EA305" s="72"/>
      <c r="EB305" s="72"/>
      <c r="EC305" s="72"/>
      <c r="ED305" s="72"/>
      <c r="EE305" s="72"/>
      <c r="EF305" s="72"/>
      <c r="EG305" s="72"/>
      <c r="EH305" s="72"/>
      <c r="EI305" s="129"/>
      <c r="EJ305" s="129"/>
      <c r="EK305" s="129"/>
      <c r="EL305" s="129"/>
      <c r="EM305" s="72"/>
      <c r="EN305" s="72"/>
      <c r="EO305" s="72"/>
      <c r="EP305" s="72"/>
      <c r="EQ305" s="72"/>
      <c r="ER305" s="72"/>
      <c r="ES305" s="72"/>
      <c r="ET305" s="72"/>
    </row>
    <row r="306">
      <c r="CD306" s="72"/>
      <c r="CE306" s="72"/>
      <c r="CF306" s="72"/>
      <c r="CG306" s="72"/>
      <c r="CH306" s="72"/>
      <c r="CI306" s="72"/>
      <c r="CJ306" s="72"/>
      <c r="CK306" s="72"/>
      <c r="CL306" s="72"/>
      <c r="CM306" s="72"/>
      <c r="CN306" s="72"/>
      <c r="CO306" s="72"/>
      <c r="CP306" s="72"/>
      <c r="CQ306" s="72"/>
      <c r="CR306" s="72"/>
      <c r="CS306" s="72"/>
      <c r="CT306" s="72"/>
      <c r="CU306" s="72"/>
      <c r="CV306" s="72"/>
      <c r="CW306" s="72"/>
      <c r="CX306" s="72"/>
      <c r="CY306" s="72"/>
      <c r="CZ306" s="72"/>
      <c r="DA306" s="72"/>
      <c r="DB306" s="72"/>
      <c r="DC306" s="72"/>
      <c r="DD306" s="72"/>
      <c r="DE306" s="72"/>
      <c r="DF306" s="72"/>
      <c r="DG306" s="72"/>
      <c r="DH306" s="72"/>
      <c r="DI306" s="72"/>
      <c r="DJ306" s="72"/>
      <c r="DK306" s="72"/>
      <c r="DL306" s="72"/>
      <c r="DM306" s="72"/>
      <c r="DN306" s="72"/>
      <c r="DO306" s="72"/>
      <c r="DP306" s="72"/>
      <c r="DQ306" s="72"/>
      <c r="DR306" s="72"/>
      <c r="DS306" s="72"/>
      <c r="DT306" s="72"/>
      <c r="DU306" s="72"/>
      <c r="DV306" s="72"/>
      <c r="DW306" s="72"/>
      <c r="DX306" s="72"/>
      <c r="DY306" s="72"/>
      <c r="DZ306" s="72"/>
      <c r="EA306" s="72"/>
      <c r="EB306" s="72"/>
      <c r="EC306" s="72"/>
      <c r="ED306" s="72"/>
      <c r="EE306" s="72"/>
      <c r="EF306" s="72"/>
      <c r="EG306" s="72"/>
      <c r="EH306" s="72"/>
      <c r="EI306" s="129"/>
      <c r="EJ306" s="129"/>
      <c r="EK306" s="129"/>
      <c r="EL306" s="129"/>
      <c r="EM306" s="72"/>
      <c r="EN306" s="72"/>
      <c r="EO306" s="72"/>
      <c r="EP306" s="72"/>
      <c r="EQ306" s="72"/>
      <c r="ER306" s="72"/>
      <c r="ES306" s="72"/>
      <c r="ET306" s="72"/>
    </row>
    <row r="307"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  <c r="CV307" s="72"/>
      <c r="CW307" s="72"/>
      <c r="CX307" s="72"/>
      <c r="CY307" s="72"/>
      <c r="CZ307" s="72"/>
      <c r="DA307" s="72"/>
      <c r="DB307" s="72"/>
      <c r="DC307" s="72"/>
      <c r="DD307" s="72"/>
      <c r="DE307" s="72"/>
      <c r="DF307" s="72"/>
      <c r="DG307" s="72"/>
      <c r="DH307" s="72"/>
      <c r="DI307" s="72"/>
      <c r="DJ307" s="72"/>
      <c r="DK307" s="72"/>
      <c r="DL307" s="72"/>
      <c r="DM307" s="72"/>
      <c r="DN307" s="72"/>
      <c r="DO307" s="72"/>
      <c r="DP307" s="72"/>
      <c r="DQ307" s="72"/>
      <c r="DR307" s="72"/>
      <c r="DS307" s="72"/>
      <c r="DT307" s="72"/>
      <c r="DU307" s="72"/>
      <c r="DV307" s="72"/>
      <c r="DW307" s="72"/>
      <c r="DX307" s="72"/>
      <c r="DY307" s="72"/>
      <c r="DZ307" s="72"/>
      <c r="EA307" s="72"/>
      <c r="EB307" s="72"/>
      <c r="EC307" s="72"/>
      <c r="ED307" s="72"/>
      <c r="EE307" s="72"/>
      <c r="EF307" s="72"/>
      <c r="EG307" s="72"/>
      <c r="EH307" s="72"/>
      <c r="EI307" s="129"/>
      <c r="EJ307" s="129"/>
      <c r="EK307" s="129"/>
      <c r="EL307" s="129"/>
      <c r="EM307" s="72"/>
      <c r="EN307" s="72"/>
      <c r="EO307" s="72"/>
      <c r="EP307" s="72"/>
      <c r="EQ307" s="72"/>
      <c r="ER307" s="72"/>
      <c r="ES307" s="72"/>
      <c r="ET307" s="72"/>
    </row>
    <row r="308">
      <c r="CD308" s="72"/>
      <c r="CE308" s="72"/>
      <c r="CF308" s="72"/>
      <c r="CG308" s="72"/>
      <c r="CH308" s="72"/>
      <c r="CI308" s="72"/>
      <c r="CJ308" s="72"/>
      <c r="CK308" s="72"/>
      <c r="CL308" s="72"/>
      <c r="CM308" s="72"/>
      <c r="CN308" s="72"/>
      <c r="CO308" s="72"/>
      <c r="CP308" s="72"/>
      <c r="CQ308" s="72"/>
      <c r="CR308" s="72"/>
      <c r="CS308" s="72"/>
      <c r="CT308" s="72"/>
      <c r="CU308" s="72"/>
      <c r="CV308" s="72"/>
      <c r="CW308" s="72"/>
      <c r="CX308" s="72"/>
      <c r="CY308" s="72"/>
      <c r="CZ308" s="72"/>
      <c r="DA308" s="72"/>
      <c r="DB308" s="72"/>
      <c r="DC308" s="72"/>
      <c r="DD308" s="72"/>
      <c r="DE308" s="72"/>
      <c r="DF308" s="72"/>
      <c r="DG308" s="72"/>
      <c r="DH308" s="72"/>
      <c r="DI308" s="72"/>
      <c r="DJ308" s="72"/>
      <c r="DK308" s="72"/>
      <c r="DL308" s="72"/>
      <c r="DM308" s="72"/>
      <c r="DN308" s="72"/>
      <c r="DO308" s="72"/>
      <c r="DP308" s="72"/>
      <c r="DQ308" s="72"/>
      <c r="DR308" s="72"/>
      <c r="DS308" s="72"/>
      <c r="DT308" s="72"/>
      <c r="DU308" s="72"/>
      <c r="DV308" s="72"/>
      <c r="DW308" s="72"/>
      <c r="DX308" s="72"/>
      <c r="DY308" s="72"/>
      <c r="DZ308" s="72"/>
      <c r="EA308" s="72"/>
      <c r="EB308" s="72"/>
      <c r="EC308" s="72"/>
      <c r="ED308" s="72"/>
      <c r="EE308" s="72"/>
      <c r="EF308" s="72"/>
      <c r="EG308" s="72"/>
      <c r="EH308" s="72"/>
      <c r="EI308" s="129"/>
      <c r="EJ308" s="129"/>
      <c r="EK308" s="129"/>
      <c r="EL308" s="129"/>
      <c r="EM308" s="72"/>
      <c r="EN308" s="72"/>
      <c r="EO308" s="72"/>
      <c r="EP308" s="72"/>
      <c r="EQ308" s="72"/>
      <c r="ER308" s="72"/>
      <c r="ES308" s="72"/>
      <c r="ET308" s="72"/>
    </row>
    <row r="309"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  <c r="DY309" s="72"/>
      <c r="DZ309" s="72"/>
      <c r="EA309" s="72"/>
      <c r="EB309" s="72"/>
      <c r="EC309" s="72"/>
      <c r="ED309" s="72"/>
      <c r="EE309" s="72"/>
      <c r="EF309" s="72"/>
      <c r="EG309" s="72"/>
      <c r="EH309" s="72"/>
      <c r="EI309" s="129"/>
      <c r="EJ309" s="129"/>
      <c r="EK309" s="129"/>
      <c r="EL309" s="129"/>
      <c r="EM309" s="72"/>
      <c r="EN309" s="72"/>
      <c r="EO309" s="72"/>
      <c r="EP309" s="72"/>
      <c r="EQ309" s="72"/>
      <c r="ER309" s="72"/>
      <c r="ES309" s="72"/>
      <c r="ET309" s="72"/>
    </row>
    <row r="310"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  <c r="DY310" s="72"/>
      <c r="DZ310" s="72"/>
      <c r="EA310" s="72"/>
      <c r="EB310" s="72"/>
      <c r="EC310" s="72"/>
      <c r="ED310" s="72"/>
      <c r="EE310" s="72"/>
      <c r="EF310" s="72"/>
      <c r="EG310" s="72"/>
      <c r="EH310" s="72"/>
      <c r="EI310" s="129"/>
      <c r="EJ310" s="129"/>
      <c r="EK310" s="129"/>
      <c r="EL310" s="129"/>
      <c r="EM310" s="72"/>
      <c r="EN310" s="72"/>
      <c r="EO310" s="72"/>
      <c r="EP310" s="72"/>
      <c r="EQ310" s="72"/>
      <c r="ER310" s="72"/>
      <c r="ES310" s="72"/>
      <c r="ET310" s="72"/>
    </row>
    <row r="311"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  <c r="DY311" s="72"/>
      <c r="DZ311" s="72"/>
      <c r="EA311" s="72"/>
      <c r="EB311" s="72"/>
      <c r="EC311" s="72"/>
      <c r="ED311" s="72"/>
      <c r="EE311" s="72"/>
      <c r="EF311" s="72"/>
      <c r="EG311" s="72"/>
      <c r="EH311" s="72"/>
      <c r="EI311" s="129"/>
      <c r="EJ311" s="129"/>
      <c r="EK311" s="129"/>
      <c r="EL311" s="129"/>
      <c r="EM311" s="72"/>
      <c r="EN311" s="72"/>
      <c r="EO311" s="72"/>
      <c r="EP311" s="72"/>
      <c r="EQ311" s="72"/>
      <c r="ER311" s="72"/>
      <c r="ES311" s="72"/>
      <c r="ET311" s="72"/>
    </row>
    <row r="312">
      <c r="CD312" s="72"/>
      <c r="CE312" s="72"/>
      <c r="CF312" s="72"/>
      <c r="CG312" s="72"/>
      <c r="CH312" s="72"/>
      <c r="CI312" s="72"/>
      <c r="CJ312" s="72"/>
      <c r="CK312" s="72"/>
      <c r="CL312" s="72"/>
      <c r="CM312" s="72"/>
      <c r="CN312" s="72"/>
      <c r="CO312" s="72"/>
      <c r="CP312" s="72"/>
      <c r="CQ312" s="72"/>
      <c r="CR312" s="72"/>
      <c r="CS312" s="72"/>
      <c r="CT312" s="72"/>
      <c r="CU312" s="72"/>
      <c r="CV312" s="72"/>
      <c r="CW312" s="72"/>
      <c r="CX312" s="72"/>
      <c r="CY312" s="72"/>
      <c r="CZ312" s="72"/>
      <c r="DA312" s="72"/>
      <c r="DB312" s="72"/>
      <c r="DC312" s="72"/>
      <c r="DD312" s="72"/>
      <c r="DE312" s="72"/>
      <c r="DF312" s="72"/>
      <c r="DG312" s="72"/>
      <c r="DH312" s="72"/>
      <c r="DI312" s="72"/>
      <c r="DJ312" s="72"/>
      <c r="DK312" s="72"/>
      <c r="DL312" s="72"/>
      <c r="DM312" s="72"/>
      <c r="DN312" s="72"/>
      <c r="DO312" s="72"/>
      <c r="DP312" s="72"/>
      <c r="DQ312" s="72"/>
      <c r="DR312" s="72"/>
      <c r="DS312" s="72"/>
      <c r="DT312" s="72"/>
      <c r="DU312" s="72"/>
      <c r="DV312" s="72"/>
      <c r="DW312" s="72"/>
      <c r="DX312" s="72"/>
      <c r="DY312" s="72"/>
      <c r="DZ312" s="72"/>
      <c r="EA312" s="72"/>
      <c r="EB312" s="72"/>
      <c r="EC312" s="72"/>
      <c r="ED312" s="72"/>
      <c r="EE312" s="72"/>
      <c r="EF312" s="72"/>
      <c r="EG312" s="72"/>
      <c r="EH312" s="72"/>
      <c r="EI312" s="129"/>
      <c r="EJ312" s="129"/>
      <c r="EK312" s="129"/>
      <c r="EL312" s="129"/>
      <c r="EM312" s="72"/>
      <c r="EN312" s="72"/>
      <c r="EO312" s="72"/>
      <c r="EP312" s="72"/>
      <c r="EQ312" s="72"/>
      <c r="ER312" s="72"/>
      <c r="ES312" s="72"/>
      <c r="ET312" s="72"/>
    </row>
    <row r="313"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  <c r="DY313" s="72"/>
      <c r="DZ313" s="72"/>
      <c r="EA313" s="72"/>
      <c r="EB313" s="72"/>
      <c r="EC313" s="72"/>
      <c r="ED313" s="72"/>
      <c r="EE313" s="72"/>
      <c r="EF313" s="72"/>
      <c r="EG313" s="72"/>
      <c r="EH313" s="72"/>
      <c r="EI313" s="129"/>
      <c r="EJ313" s="129"/>
      <c r="EK313" s="129"/>
      <c r="EL313" s="129"/>
      <c r="EM313" s="72"/>
      <c r="EN313" s="72"/>
      <c r="EO313" s="72"/>
      <c r="EP313" s="72"/>
      <c r="EQ313" s="72"/>
      <c r="ER313" s="72"/>
      <c r="ES313" s="72"/>
      <c r="ET313" s="72"/>
    </row>
    <row r="314">
      <c r="CD314" s="72"/>
      <c r="CE314" s="72"/>
      <c r="CF314" s="72"/>
      <c r="CG314" s="72"/>
      <c r="CH314" s="72"/>
      <c r="CI314" s="72"/>
      <c r="CJ314" s="72"/>
      <c r="CK314" s="72"/>
      <c r="CL314" s="72"/>
      <c r="CM314" s="72"/>
      <c r="CN314" s="72"/>
      <c r="CO314" s="72"/>
      <c r="CP314" s="72"/>
      <c r="CQ314" s="72"/>
      <c r="CR314" s="72"/>
      <c r="CS314" s="72"/>
      <c r="CT314" s="72"/>
      <c r="CU314" s="72"/>
      <c r="CV314" s="72"/>
      <c r="CW314" s="72"/>
      <c r="CX314" s="72"/>
      <c r="CY314" s="72"/>
      <c r="CZ314" s="72"/>
      <c r="DA314" s="72"/>
      <c r="DB314" s="72"/>
      <c r="DC314" s="72"/>
      <c r="DD314" s="72"/>
      <c r="DE314" s="72"/>
      <c r="DF314" s="72"/>
      <c r="DG314" s="72"/>
      <c r="DH314" s="72"/>
      <c r="DI314" s="72"/>
      <c r="DJ314" s="72"/>
      <c r="DK314" s="72"/>
      <c r="DL314" s="72"/>
      <c r="DM314" s="72"/>
      <c r="DN314" s="72"/>
      <c r="DO314" s="72"/>
      <c r="DP314" s="72"/>
      <c r="DQ314" s="72"/>
      <c r="DR314" s="72"/>
      <c r="DS314" s="72"/>
      <c r="DT314" s="72"/>
      <c r="DU314" s="72"/>
      <c r="DV314" s="72"/>
      <c r="DW314" s="72"/>
      <c r="DX314" s="72"/>
      <c r="DY314" s="72"/>
      <c r="DZ314" s="72"/>
      <c r="EA314" s="72"/>
      <c r="EB314" s="72"/>
      <c r="EC314" s="72"/>
      <c r="ED314" s="72"/>
      <c r="EE314" s="72"/>
      <c r="EF314" s="72"/>
      <c r="EG314" s="72"/>
      <c r="EH314" s="72"/>
      <c r="EI314" s="129"/>
      <c r="EJ314" s="129"/>
      <c r="EK314" s="129"/>
      <c r="EL314" s="129"/>
      <c r="EM314" s="72"/>
      <c r="EN314" s="72"/>
      <c r="EO314" s="72"/>
      <c r="EP314" s="72"/>
      <c r="EQ314" s="72"/>
      <c r="ER314" s="72"/>
      <c r="ES314" s="72"/>
      <c r="ET314" s="72"/>
    </row>
    <row r="315"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  <c r="CV315" s="72"/>
      <c r="CW315" s="72"/>
      <c r="CX315" s="72"/>
      <c r="CY315" s="72"/>
      <c r="CZ315" s="72"/>
      <c r="DA315" s="72"/>
      <c r="DB315" s="72"/>
      <c r="DC315" s="72"/>
      <c r="DD315" s="72"/>
      <c r="DE315" s="72"/>
      <c r="DF315" s="72"/>
      <c r="DG315" s="72"/>
      <c r="DH315" s="72"/>
      <c r="DI315" s="72"/>
      <c r="DJ315" s="72"/>
      <c r="DK315" s="72"/>
      <c r="DL315" s="72"/>
      <c r="DM315" s="72"/>
      <c r="DN315" s="72"/>
      <c r="DO315" s="72"/>
      <c r="DP315" s="72"/>
      <c r="DQ315" s="72"/>
      <c r="DR315" s="72"/>
      <c r="DS315" s="72"/>
      <c r="DT315" s="72"/>
      <c r="DU315" s="72"/>
      <c r="DV315" s="72"/>
      <c r="DW315" s="72"/>
      <c r="DX315" s="72"/>
      <c r="DY315" s="72"/>
      <c r="DZ315" s="72"/>
      <c r="EA315" s="72"/>
      <c r="EB315" s="72"/>
      <c r="EC315" s="72"/>
      <c r="ED315" s="72"/>
      <c r="EE315" s="72"/>
      <c r="EF315" s="72"/>
      <c r="EG315" s="72"/>
      <c r="EH315" s="72"/>
      <c r="EI315" s="129"/>
      <c r="EJ315" s="129"/>
      <c r="EK315" s="129"/>
      <c r="EL315" s="129"/>
      <c r="EM315" s="72"/>
      <c r="EN315" s="72"/>
      <c r="EO315" s="72"/>
      <c r="EP315" s="72"/>
      <c r="EQ315" s="72"/>
      <c r="ER315" s="72"/>
      <c r="ES315" s="72"/>
      <c r="ET315" s="72"/>
    </row>
    <row r="316">
      <c r="CD316" s="72"/>
      <c r="CE316" s="72"/>
      <c r="CF316" s="72"/>
      <c r="CG316" s="72"/>
      <c r="CH316" s="72"/>
      <c r="CI316" s="72"/>
      <c r="CJ316" s="72"/>
      <c r="CK316" s="72"/>
      <c r="CL316" s="72"/>
      <c r="CM316" s="72"/>
      <c r="CN316" s="72"/>
      <c r="CO316" s="72"/>
      <c r="CP316" s="72"/>
      <c r="CQ316" s="72"/>
      <c r="CR316" s="72"/>
      <c r="CS316" s="72"/>
      <c r="CT316" s="72"/>
      <c r="CU316" s="72"/>
      <c r="CV316" s="72"/>
      <c r="CW316" s="72"/>
      <c r="CX316" s="72"/>
      <c r="CY316" s="72"/>
      <c r="CZ316" s="72"/>
      <c r="DA316" s="72"/>
      <c r="DB316" s="72"/>
      <c r="DC316" s="72"/>
      <c r="DD316" s="72"/>
      <c r="DE316" s="72"/>
      <c r="DF316" s="72"/>
      <c r="DG316" s="72"/>
      <c r="DH316" s="72"/>
      <c r="DI316" s="72"/>
      <c r="DJ316" s="72"/>
      <c r="DK316" s="72"/>
      <c r="DL316" s="72"/>
      <c r="DM316" s="72"/>
      <c r="DN316" s="72"/>
      <c r="DO316" s="72"/>
      <c r="DP316" s="72"/>
      <c r="DQ316" s="72"/>
      <c r="DR316" s="72"/>
      <c r="DS316" s="72"/>
      <c r="DT316" s="72"/>
      <c r="DU316" s="72"/>
      <c r="DV316" s="72"/>
      <c r="DW316" s="72"/>
      <c r="DX316" s="72"/>
      <c r="DY316" s="72"/>
      <c r="DZ316" s="72"/>
      <c r="EA316" s="72"/>
      <c r="EB316" s="72"/>
      <c r="EC316" s="72"/>
      <c r="ED316" s="72"/>
      <c r="EE316" s="72"/>
      <c r="EF316" s="72"/>
      <c r="EG316" s="72"/>
      <c r="EH316" s="72"/>
      <c r="EI316" s="129"/>
      <c r="EJ316" s="129"/>
      <c r="EK316" s="129"/>
      <c r="EL316" s="129"/>
      <c r="EM316" s="72"/>
      <c r="EN316" s="72"/>
      <c r="EO316" s="72"/>
      <c r="EP316" s="72"/>
      <c r="EQ316" s="72"/>
      <c r="ER316" s="72"/>
      <c r="ES316" s="72"/>
      <c r="ET316" s="72"/>
    </row>
    <row r="317"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  <c r="CV317" s="72"/>
      <c r="CW317" s="72"/>
      <c r="CX317" s="72"/>
      <c r="CY317" s="72"/>
      <c r="CZ317" s="72"/>
      <c r="DA317" s="72"/>
      <c r="DB317" s="72"/>
      <c r="DC317" s="72"/>
      <c r="DD317" s="72"/>
      <c r="DE317" s="72"/>
      <c r="DF317" s="72"/>
      <c r="DG317" s="72"/>
      <c r="DH317" s="72"/>
      <c r="DI317" s="72"/>
      <c r="DJ317" s="72"/>
      <c r="DK317" s="72"/>
      <c r="DL317" s="72"/>
      <c r="DM317" s="72"/>
      <c r="DN317" s="72"/>
      <c r="DO317" s="72"/>
      <c r="DP317" s="72"/>
      <c r="DQ317" s="72"/>
      <c r="DR317" s="72"/>
      <c r="DS317" s="72"/>
      <c r="DT317" s="72"/>
      <c r="DU317" s="72"/>
      <c r="DV317" s="72"/>
      <c r="DW317" s="72"/>
      <c r="DX317" s="72"/>
      <c r="DY317" s="72"/>
      <c r="DZ317" s="72"/>
      <c r="EA317" s="72"/>
      <c r="EB317" s="72"/>
      <c r="EC317" s="72"/>
      <c r="ED317" s="72"/>
      <c r="EE317" s="72"/>
      <c r="EF317" s="72"/>
      <c r="EG317" s="72"/>
      <c r="EH317" s="72"/>
      <c r="EI317" s="129"/>
      <c r="EJ317" s="129"/>
      <c r="EK317" s="129"/>
      <c r="EL317" s="129"/>
      <c r="EM317" s="72"/>
      <c r="EN317" s="72"/>
      <c r="EO317" s="72"/>
      <c r="EP317" s="72"/>
      <c r="EQ317" s="72"/>
      <c r="ER317" s="72"/>
      <c r="ES317" s="72"/>
      <c r="ET317" s="72"/>
    </row>
    <row r="318">
      <c r="CD318" s="72"/>
      <c r="CE318" s="72"/>
      <c r="CF318" s="72"/>
      <c r="CG318" s="72"/>
      <c r="CH318" s="72"/>
      <c r="CI318" s="72"/>
      <c r="CJ318" s="72"/>
      <c r="CK318" s="72"/>
      <c r="CL318" s="72"/>
      <c r="CM318" s="72"/>
      <c r="CN318" s="72"/>
      <c r="CO318" s="72"/>
      <c r="CP318" s="72"/>
      <c r="CQ318" s="72"/>
      <c r="CR318" s="72"/>
      <c r="CS318" s="72"/>
      <c r="CT318" s="72"/>
      <c r="CU318" s="72"/>
      <c r="CV318" s="72"/>
      <c r="CW318" s="72"/>
      <c r="CX318" s="72"/>
      <c r="CY318" s="72"/>
      <c r="CZ318" s="72"/>
      <c r="DA318" s="72"/>
      <c r="DB318" s="72"/>
      <c r="DC318" s="72"/>
      <c r="DD318" s="72"/>
      <c r="DE318" s="72"/>
      <c r="DF318" s="72"/>
      <c r="DG318" s="72"/>
      <c r="DH318" s="72"/>
      <c r="DI318" s="72"/>
      <c r="DJ318" s="72"/>
      <c r="DK318" s="72"/>
      <c r="DL318" s="72"/>
      <c r="DM318" s="72"/>
      <c r="DN318" s="72"/>
      <c r="DO318" s="72"/>
      <c r="DP318" s="72"/>
      <c r="DQ318" s="72"/>
      <c r="DR318" s="72"/>
      <c r="DS318" s="72"/>
      <c r="DT318" s="72"/>
      <c r="DU318" s="72"/>
      <c r="DV318" s="72"/>
      <c r="DW318" s="72"/>
      <c r="DX318" s="72"/>
      <c r="DY318" s="72"/>
      <c r="DZ318" s="72"/>
      <c r="EA318" s="72"/>
      <c r="EB318" s="72"/>
      <c r="EC318" s="72"/>
      <c r="ED318" s="72"/>
      <c r="EE318" s="72"/>
      <c r="EF318" s="72"/>
      <c r="EG318" s="72"/>
      <c r="EH318" s="72"/>
      <c r="EI318" s="129"/>
      <c r="EJ318" s="129"/>
      <c r="EK318" s="129"/>
      <c r="EL318" s="129"/>
      <c r="EM318" s="72"/>
      <c r="EN318" s="72"/>
      <c r="EO318" s="72"/>
      <c r="EP318" s="72"/>
      <c r="EQ318" s="72"/>
      <c r="ER318" s="72"/>
      <c r="ES318" s="72"/>
      <c r="ET318" s="72"/>
    </row>
    <row r="319"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  <c r="CV319" s="72"/>
      <c r="CW319" s="72"/>
      <c r="CX319" s="72"/>
      <c r="CY319" s="72"/>
      <c r="CZ319" s="72"/>
      <c r="DA319" s="72"/>
      <c r="DB319" s="72"/>
      <c r="DC319" s="72"/>
      <c r="DD319" s="72"/>
      <c r="DE319" s="72"/>
      <c r="DF319" s="72"/>
      <c r="DG319" s="72"/>
      <c r="DH319" s="72"/>
      <c r="DI319" s="72"/>
      <c r="DJ319" s="72"/>
      <c r="DK319" s="72"/>
      <c r="DL319" s="72"/>
      <c r="DM319" s="72"/>
      <c r="DN319" s="72"/>
      <c r="DO319" s="72"/>
      <c r="DP319" s="72"/>
      <c r="DQ319" s="72"/>
      <c r="DR319" s="72"/>
      <c r="DS319" s="72"/>
      <c r="DT319" s="72"/>
      <c r="DU319" s="72"/>
      <c r="DV319" s="72"/>
      <c r="DW319" s="72"/>
      <c r="DX319" s="72"/>
      <c r="DY319" s="72"/>
      <c r="DZ319" s="72"/>
      <c r="EA319" s="72"/>
      <c r="EB319" s="72"/>
      <c r="EC319" s="72"/>
      <c r="ED319" s="72"/>
      <c r="EE319" s="72"/>
      <c r="EF319" s="72"/>
      <c r="EG319" s="72"/>
      <c r="EH319" s="72"/>
      <c r="EI319" s="129"/>
      <c r="EJ319" s="129"/>
      <c r="EK319" s="129"/>
      <c r="EL319" s="129"/>
      <c r="EM319" s="72"/>
      <c r="EN319" s="72"/>
      <c r="EO319" s="72"/>
      <c r="EP319" s="72"/>
      <c r="EQ319" s="72"/>
      <c r="ER319" s="72"/>
      <c r="ES319" s="72"/>
      <c r="ET319" s="72"/>
    </row>
    <row r="320">
      <c r="CD320" s="72"/>
      <c r="CE320" s="72"/>
      <c r="CF320" s="72"/>
      <c r="CG320" s="72"/>
      <c r="CH320" s="72"/>
      <c r="CI320" s="72"/>
      <c r="CJ320" s="72"/>
      <c r="CK320" s="72"/>
      <c r="CL320" s="72"/>
      <c r="CM320" s="72"/>
      <c r="CN320" s="72"/>
      <c r="CO320" s="72"/>
      <c r="CP320" s="72"/>
      <c r="CQ320" s="72"/>
      <c r="CR320" s="72"/>
      <c r="CS320" s="72"/>
      <c r="CT320" s="72"/>
      <c r="CU320" s="72"/>
      <c r="CV320" s="72"/>
      <c r="CW320" s="72"/>
      <c r="CX320" s="72"/>
      <c r="CY320" s="72"/>
      <c r="CZ320" s="72"/>
      <c r="DA320" s="72"/>
      <c r="DB320" s="72"/>
      <c r="DC320" s="72"/>
      <c r="DD320" s="72"/>
      <c r="DE320" s="72"/>
      <c r="DF320" s="72"/>
      <c r="DG320" s="72"/>
      <c r="DH320" s="72"/>
      <c r="DI320" s="72"/>
      <c r="DJ320" s="72"/>
      <c r="DK320" s="72"/>
      <c r="DL320" s="72"/>
      <c r="DM320" s="72"/>
      <c r="DN320" s="72"/>
      <c r="DO320" s="72"/>
      <c r="DP320" s="72"/>
      <c r="DQ320" s="72"/>
      <c r="DR320" s="72"/>
      <c r="DS320" s="72"/>
      <c r="DT320" s="72"/>
      <c r="DU320" s="72"/>
      <c r="DV320" s="72"/>
      <c r="DW320" s="72"/>
      <c r="DX320" s="72"/>
      <c r="DY320" s="72"/>
      <c r="DZ320" s="72"/>
      <c r="EA320" s="72"/>
      <c r="EB320" s="72"/>
      <c r="EC320" s="72"/>
      <c r="ED320" s="72"/>
      <c r="EE320" s="72"/>
      <c r="EF320" s="72"/>
      <c r="EG320" s="72"/>
      <c r="EH320" s="72"/>
      <c r="EI320" s="129"/>
      <c r="EJ320" s="129"/>
      <c r="EK320" s="129"/>
      <c r="EL320" s="129"/>
      <c r="EM320" s="72"/>
      <c r="EN320" s="72"/>
      <c r="EO320" s="72"/>
      <c r="EP320" s="72"/>
      <c r="EQ320" s="72"/>
      <c r="ER320" s="72"/>
      <c r="ES320" s="72"/>
      <c r="ET320" s="72"/>
    </row>
    <row r="321"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C321" s="72"/>
      <c r="DD321" s="72"/>
      <c r="DE321" s="72"/>
      <c r="DF321" s="72"/>
      <c r="DG321" s="72"/>
      <c r="DH321" s="72"/>
      <c r="DI321" s="72"/>
      <c r="DJ321" s="72"/>
      <c r="DK321" s="72"/>
      <c r="DL321" s="72"/>
      <c r="DM321" s="72"/>
      <c r="DN321" s="72"/>
      <c r="DO321" s="72"/>
      <c r="DP321" s="72"/>
      <c r="DQ321" s="72"/>
      <c r="DR321" s="72"/>
      <c r="DS321" s="72"/>
      <c r="DT321" s="72"/>
      <c r="DU321" s="72"/>
      <c r="DV321" s="72"/>
      <c r="DW321" s="72"/>
      <c r="DX321" s="72"/>
      <c r="DY321" s="72"/>
      <c r="DZ321" s="72"/>
      <c r="EA321" s="72"/>
      <c r="EB321" s="72"/>
      <c r="EC321" s="72"/>
      <c r="ED321" s="72"/>
      <c r="EE321" s="72"/>
      <c r="EF321" s="72"/>
      <c r="EG321" s="72"/>
      <c r="EH321" s="72"/>
      <c r="EI321" s="129"/>
      <c r="EJ321" s="129"/>
      <c r="EK321" s="129"/>
      <c r="EL321" s="129"/>
      <c r="EM321" s="72"/>
      <c r="EN321" s="72"/>
      <c r="EO321" s="72"/>
      <c r="EP321" s="72"/>
      <c r="EQ321" s="72"/>
      <c r="ER321" s="72"/>
      <c r="ES321" s="72"/>
      <c r="ET321" s="72"/>
    </row>
    <row r="322">
      <c r="CD322" s="72"/>
      <c r="CE322" s="72"/>
      <c r="CF322" s="72"/>
      <c r="CG322" s="72"/>
      <c r="CH322" s="72"/>
      <c r="CI322" s="72"/>
      <c r="CJ322" s="72"/>
      <c r="CK322" s="72"/>
      <c r="CL322" s="72"/>
      <c r="CM322" s="72"/>
      <c r="CN322" s="72"/>
      <c r="CO322" s="72"/>
      <c r="CP322" s="72"/>
      <c r="CQ322" s="72"/>
      <c r="CR322" s="72"/>
      <c r="CS322" s="72"/>
      <c r="CT322" s="72"/>
      <c r="CU322" s="72"/>
      <c r="CV322" s="72"/>
      <c r="CW322" s="72"/>
      <c r="CX322" s="72"/>
      <c r="CY322" s="72"/>
      <c r="CZ322" s="72"/>
      <c r="DA322" s="72"/>
      <c r="DB322" s="72"/>
      <c r="DC322" s="72"/>
      <c r="DD322" s="72"/>
      <c r="DE322" s="72"/>
      <c r="DF322" s="72"/>
      <c r="DG322" s="72"/>
      <c r="DH322" s="72"/>
      <c r="DI322" s="72"/>
      <c r="DJ322" s="72"/>
      <c r="DK322" s="72"/>
      <c r="DL322" s="72"/>
      <c r="DM322" s="72"/>
      <c r="DN322" s="72"/>
      <c r="DO322" s="72"/>
      <c r="DP322" s="72"/>
      <c r="DQ322" s="72"/>
      <c r="DR322" s="72"/>
      <c r="DS322" s="72"/>
      <c r="DT322" s="72"/>
      <c r="DU322" s="72"/>
      <c r="DV322" s="72"/>
      <c r="DW322" s="72"/>
      <c r="DX322" s="72"/>
      <c r="DY322" s="72"/>
      <c r="DZ322" s="72"/>
      <c r="EA322" s="72"/>
      <c r="EB322" s="72"/>
      <c r="EC322" s="72"/>
      <c r="ED322" s="72"/>
      <c r="EE322" s="72"/>
      <c r="EF322" s="72"/>
      <c r="EG322" s="72"/>
      <c r="EH322" s="72"/>
      <c r="EI322" s="129"/>
      <c r="EJ322" s="129"/>
      <c r="EK322" s="129"/>
      <c r="EL322" s="129"/>
      <c r="EM322" s="72"/>
      <c r="EN322" s="72"/>
      <c r="EO322" s="72"/>
      <c r="EP322" s="72"/>
      <c r="EQ322" s="72"/>
      <c r="ER322" s="72"/>
      <c r="ES322" s="72"/>
      <c r="ET322" s="72"/>
    </row>
    <row r="323"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  <c r="CV323" s="72"/>
      <c r="CW323" s="72"/>
      <c r="CX323" s="72"/>
      <c r="CY323" s="72"/>
      <c r="CZ323" s="72"/>
      <c r="DA323" s="72"/>
      <c r="DB323" s="72"/>
      <c r="DC323" s="72"/>
      <c r="DD323" s="72"/>
      <c r="DE323" s="72"/>
      <c r="DF323" s="72"/>
      <c r="DG323" s="72"/>
      <c r="DH323" s="72"/>
      <c r="DI323" s="72"/>
      <c r="DJ323" s="72"/>
      <c r="DK323" s="72"/>
      <c r="DL323" s="72"/>
      <c r="DM323" s="72"/>
      <c r="DN323" s="72"/>
      <c r="DO323" s="72"/>
      <c r="DP323" s="72"/>
      <c r="DQ323" s="72"/>
      <c r="DR323" s="72"/>
      <c r="DS323" s="72"/>
      <c r="DT323" s="72"/>
      <c r="DU323" s="72"/>
      <c r="DV323" s="72"/>
      <c r="DW323" s="72"/>
      <c r="DX323" s="72"/>
      <c r="DY323" s="72"/>
      <c r="DZ323" s="72"/>
      <c r="EA323" s="72"/>
      <c r="EB323" s="72"/>
      <c r="EC323" s="72"/>
      <c r="ED323" s="72"/>
      <c r="EE323" s="72"/>
      <c r="EF323" s="72"/>
      <c r="EG323" s="72"/>
      <c r="EH323" s="72"/>
      <c r="EI323" s="129"/>
      <c r="EJ323" s="129"/>
      <c r="EK323" s="129"/>
      <c r="EL323" s="129"/>
      <c r="EM323" s="72"/>
      <c r="EN323" s="72"/>
      <c r="EO323" s="72"/>
      <c r="EP323" s="72"/>
      <c r="EQ323" s="72"/>
      <c r="ER323" s="72"/>
      <c r="ES323" s="72"/>
      <c r="ET323" s="72"/>
    </row>
    <row r="324">
      <c r="CD324" s="72"/>
      <c r="CE324" s="72"/>
      <c r="CF324" s="72"/>
      <c r="CG324" s="72"/>
      <c r="CH324" s="72"/>
      <c r="CI324" s="72"/>
      <c r="CJ324" s="72"/>
      <c r="CK324" s="72"/>
      <c r="CL324" s="72"/>
      <c r="CM324" s="72"/>
      <c r="CN324" s="72"/>
      <c r="CO324" s="72"/>
      <c r="CP324" s="72"/>
      <c r="CQ324" s="72"/>
      <c r="CR324" s="72"/>
      <c r="CS324" s="72"/>
      <c r="CT324" s="72"/>
      <c r="CU324" s="72"/>
      <c r="CV324" s="72"/>
      <c r="CW324" s="72"/>
      <c r="CX324" s="72"/>
      <c r="CY324" s="72"/>
      <c r="CZ324" s="72"/>
      <c r="DA324" s="72"/>
      <c r="DB324" s="72"/>
      <c r="DC324" s="72"/>
      <c r="DD324" s="72"/>
      <c r="DE324" s="72"/>
      <c r="DF324" s="72"/>
      <c r="DG324" s="72"/>
      <c r="DH324" s="72"/>
      <c r="DI324" s="72"/>
      <c r="DJ324" s="72"/>
      <c r="DK324" s="72"/>
      <c r="DL324" s="72"/>
      <c r="DM324" s="72"/>
      <c r="DN324" s="72"/>
      <c r="DO324" s="72"/>
      <c r="DP324" s="72"/>
      <c r="DQ324" s="72"/>
      <c r="DR324" s="72"/>
      <c r="DS324" s="72"/>
      <c r="DT324" s="72"/>
      <c r="DU324" s="72"/>
      <c r="DV324" s="72"/>
      <c r="DW324" s="72"/>
      <c r="DX324" s="72"/>
      <c r="DY324" s="72"/>
      <c r="DZ324" s="72"/>
      <c r="EA324" s="72"/>
      <c r="EB324" s="72"/>
      <c r="EC324" s="72"/>
      <c r="ED324" s="72"/>
      <c r="EE324" s="72"/>
      <c r="EF324" s="72"/>
      <c r="EG324" s="72"/>
      <c r="EH324" s="72"/>
      <c r="EI324" s="129"/>
      <c r="EJ324" s="129"/>
      <c r="EK324" s="129"/>
      <c r="EL324" s="129"/>
      <c r="EM324" s="72"/>
      <c r="EN324" s="72"/>
      <c r="EO324" s="72"/>
      <c r="EP324" s="72"/>
      <c r="EQ324" s="72"/>
      <c r="ER324" s="72"/>
      <c r="ES324" s="72"/>
      <c r="ET324" s="72"/>
    </row>
    <row r="325"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  <c r="CV325" s="72"/>
      <c r="CW325" s="72"/>
      <c r="CX325" s="72"/>
      <c r="CY325" s="72"/>
      <c r="CZ325" s="72"/>
      <c r="DA325" s="72"/>
      <c r="DB325" s="72"/>
      <c r="DC325" s="72"/>
      <c r="DD325" s="72"/>
      <c r="DE325" s="72"/>
      <c r="DF325" s="72"/>
      <c r="DG325" s="72"/>
      <c r="DH325" s="72"/>
      <c r="DI325" s="72"/>
      <c r="DJ325" s="72"/>
      <c r="DK325" s="72"/>
      <c r="DL325" s="72"/>
      <c r="DM325" s="72"/>
      <c r="DN325" s="72"/>
      <c r="DO325" s="72"/>
      <c r="DP325" s="72"/>
      <c r="DQ325" s="72"/>
      <c r="DR325" s="72"/>
      <c r="DS325" s="72"/>
      <c r="DT325" s="72"/>
      <c r="DU325" s="72"/>
      <c r="DV325" s="72"/>
      <c r="DW325" s="72"/>
      <c r="DX325" s="72"/>
      <c r="DY325" s="72"/>
      <c r="DZ325" s="72"/>
      <c r="EA325" s="72"/>
      <c r="EB325" s="72"/>
      <c r="EC325" s="72"/>
      <c r="ED325" s="72"/>
      <c r="EE325" s="72"/>
      <c r="EF325" s="72"/>
      <c r="EG325" s="72"/>
      <c r="EH325" s="72"/>
      <c r="EI325" s="129"/>
      <c r="EJ325" s="129"/>
      <c r="EK325" s="129"/>
      <c r="EL325" s="129"/>
      <c r="EM325" s="72"/>
      <c r="EN325" s="72"/>
      <c r="EO325" s="72"/>
      <c r="EP325" s="72"/>
      <c r="EQ325" s="72"/>
      <c r="ER325" s="72"/>
      <c r="ES325" s="72"/>
      <c r="ET325" s="72"/>
    </row>
    <row r="326">
      <c r="CD326" s="72"/>
      <c r="CE326" s="72"/>
      <c r="CF326" s="72"/>
      <c r="CG326" s="72"/>
      <c r="CH326" s="72"/>
      <c r="CI326" s="72"/>
      <c r="CJ326" s="72"/>
      <c r="CK326" s="72"/>
      <c r="CL326" s="72"/>
      <c r="CM326" s="72"/>
      <c r="CN326" s="72"/>
      <c r="CO326" s="72"/>
      <c r="CP326" s="72"/>
      <c r="CQ326" s="72"/>
      <c r="CR326" s="72"/>
      <c r="CS326" s="72"/>
      <c r="CT326" s="72"/>
      <c r="CU326" s="72"/>
      <c r="CV326" s="72"/>
      <c r="CW326" s="72"/>
      <c r="CX326" s="72"/>
      <c r="CY326" s="72"/>
      <c r="CZ326" s="72"/>
      <c r="DA326" s="72"/>
      <c r="DB326" s="72"/>
      <c r="DC326" s="72"/>
      <c r="DD326" s="72"/>
      <c r="DE326" s="72"/>
      <c r="DF326" s="72"/>
      <c r="DG326" s="72"/>
      <c r="DH326" s="72"/>
      <c r="DI326" s="72"/>
      <c r="DJ326" s="72"/>
      <c r="DK326" s="72"/>
      <c r="DL326" s="72"/>
      <c r="DM326" s="72"/>
      <c r="DN326" s="72"/>
      <c r="DO326" s="72"/>
      <c r="DP326" s="72"/>
      <c r="DQ326" s="72"/>
      <c r="DR326" s="72"/>
      <c r="DS326" s="72"/>
      <c r="DT326" s="72"/>
      <c r="DU326" s="72"/>
      <c r="DV326" s="72"/>
      <c r="DW326" s="72"/>
      <c r="DX326" s="72"/>
      <c r="DY326" s="72"/>
      <c r="DZ326" s="72"/>
      <c r="EA326" s="72"/>
      <c r="EB326" s="72"/>
      <c r="EC326" s="72"/>
      <c r="ED326" s="72"/>
      <c r="EE326" s="72"/>
      <c r="EF326" s="72"/>
      <c r="EG326" s="72"/>
      <c r="EH326" s="72"/>
      <c r="EI326" s="129"/>
      <c r="EJ326" s="129"/>
      <c r="EK326" s="129"/>
      <c r="EL326" s="129"/>
      <c r="EM326" s="72"/>
      <c r="EN326" s="72"/>
      <c r="EO326" s="72"/>
      <c r="EP326" s="72"/>
      <c r="EQ326" s="72"/>
      <c r="ER326" s="72"/>
      <c r="ES326" s="72"/>
      <c r="ET326" s="72"/>
    </row>
    <row r="327"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  <c r="CV327" s="72"/>
      <c r="CW327" s="72"/>
      <c r="CX327" s="72"/>
      <c r="CY327" s="72"/>
      <c r="CZ327" s="72"/>
      <c r="DA327" s="72"/>
      <c r="DB327" s="72"/>
      <c r="DC327" s="72"/>
      <c r="DD327" s="72"/>
      <c r="DE327" s="72"/>
      <c r="DF327" s="72"/>
      <c r="DG327" s="72"/>
      <c r="DH327" s="72"/>
      <c r="DI327" s="72"/>
      <c r="DJ327" s="72"/>
      <c r="DK327" s="72"/>
      <c r="DL327" s="72"/>
      <c r="DM327" s="72"/>
      <c r="DN327" s="72"/>
      <c r="DO327" s="72"/>
      <c r="DP327" s="72"/>
      <c r="DQ327" s="72"/>
      <c r="DR327" s="72"/>
      <c r="DS327" s="72"/>
      <c r="DT327" s="72"/>
      <c r="DU327" s="72"/>
      <c r="DV327" s="72"/>
      <c r="DW327" s="72"/>
      <c r="DX327" s="72"/>
      <c r="DY327" s="72"/>
      <c r="DZ327" s="72"/>
      <c r="EA327" s="72"/>
      <c r="EB327" s="72"/>
      <c r="EC327" s="72"/>
      <c r="ED327" s="72"/>
      <c r="EE327" s="72"/>
      <c r="EF327" s="72"/>
      <c r="EG327" s="72"/>
      <c r="EH327" s="72"/>
      <c r="EI327" s="129"/>
      <c r="EJ327" s="129"/>
      <c r="EK327" s="129"/>
      <c r="EL327" s="129"/>
      <c r="EM327" s="72"/>
      <c r="EN327" s="72"/>
      <c r="EO327" s="72"/>
      <c r="EP327" s="72"/>
      <c r="EQ327" s="72"/>
      <c r="ER327" s="72"/>
      <c r="ES327" s="72"/>
      <c r="ET327" s="72"/>
    </row>
    <row r="328">
      <c r="CD328" s="72"/>
      <c r="CE328" s="72"/>
      <c r="CF328" s="72"/>
      <c r="CG328" s="72"/>
      <c r="CH328" s="72"/>
      <c r="CI328" s="72"/>
      <c r="CJ328" s="72"/>
      <c r="CK328" s="72"/>
      <c r="CL328" s="72"/>
      <c r="CM328" s="72"/>
      <c r="CN328" s="72"/>
      <c r="CO328" s="72"/>
      <c r="CP328" s="72"/>
      <c r="CQ328" s="72"/>
      <c r="CR328" s="72"/>
      <c r="CS328" s="72"/>
      <c r="CT328" s="72"/>
      <c r="CU328" s="72"/>
      <c r="CV328" s="72"/>
      <c r="CW328" s="72"/>
      <c r="CX328" s="72"/>
      <c r="CY328" s="72"/>
      <c r="CZ328" s="72"/>
      <c r="DA328" s="72"/>
      <c r="DB328" s="72"/>
      <c r="DC328" s="72"/>
      <c r="DD328" s="72"/>
      <c r="DE328" s="72"/>
      <c r="DF328" s="72"/>
      <c r="DG328" s="72"/>
      <c r="DH328" s="72"/>
      <c r="DI328" s="72"/>
      <c r="DJ328" s="72"/>
      <c r="DK328" s="72"/>
      <c r="DL328" s="72"/>
      <c r="DM328" s="72"/>
      <c r="DN328" s="72"/>
      <c r="DO328" s="72"/>
      <c r="DP328" s="72"/>
      <c r="DQ328" s="72"/>
      <c r="DR328" s="72"/>
      <c r="DS328" s="72"/>
      <c r="DT328" s="72"/>
      <c r="DU328" s="72"/>
      <c r="DV328" s="72"/>
      <c r="DW328" s="72"/>
      <c r="DX328" s="72"/>
      <c r="DY328" s="72"/>
      <c r="DZ328" s="72"/>
      <c r="EA328" s="72"/>
      <c r="EB328" s="72"/>
      <c r="EC328" s="72"/>
      <c r="ED328" s="72"/>
      <c r="EE328" s="72"/>
      <c r="EF328" s="72"/>
      <c r="EG328" s="72"/>
      <c r="EH328" s="72"/>
      <c r="EI328" s="129"/>
      <c r="EJ328" s="129"/>
      <c r="EK328" s="129"/>
      <c r="EL328" s="129"/>
      <c r="EM328" s="72"/>
      <c r="EN328" s="72"/>
      <c r="EO328" s="72"/>
      <c r="EP328" s="72"/>
      <c r="EQ328" s="72"/>
      <c r="ER328" s="72"/>
      <c r="ES328" s="72"/>
      <c r="ET328" s="72"/>
    </row>
    <row r="329"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  <c r="CV329" s="72"/>
      <c r="CW329" s="72"/>
      <c r="CX329" s="72"/>
      <c r="CY329" s="72"/>
      <c r="CZ329" s="72"/>
      <c r="DA329" s="72"/>
      <c r="DB329" s="72"/>
      <c r="DC329" s="72"/>
      <c r="DD329" s="72"/>
      <c r="DE329" s="72"/>
      <c r="DF329" s="72"/>
      <c r="DG329" s="72"/>
      <c r="DH329" s="72"/>
      <c r="DI329" s="72"/>
      <c r="DJ329" s="72"/>
      <c r="DK329" s="72"/>
      <c r="DL329" s="72"/>
      <c r="DM329" s="72"/>
      <c r="DN329" s="72"/>
      <c r="DO329" s="72"/>
      <c r="DP329" s="72"/>
      <c r="DQ329" s="72"/>
      <c r="DR329" s="72"/>
      <c r="DS329" s="72"/>
      <c r="DT329" s="72"/>
      <c r="DU329" s="72"/>
      <c r="DV329" s="72"/>
      <c r="DW329" s="72"/>
      <c r="DX329" s="72"/>
      <c r="DY329" s="72"/>
      <c r="DZ329" s="72"/>
      <c r="EA329" s="72"/>
      <c r="EB329" s="72"/>
      <c r="EC329" s="72"/>
      <c r="ED329" s="72"/>
      <c r="EE329" s="72"/>
      <c r="EF329" s="72"/>
      <c r="EG329" s="72"/>
      <c r="EH329" s="72"/>
      <c r="EI329" s="129"/>
      <c r="EJ329" s="129"/>
      <c r="EK329" s="129"/>
      <c r="EL329" s="129"/>
      <c r="EM329" s="72"/>
      <c r="EN329" s="72"/>
      <c r="EO329" s="72"/>
      <c r="EP329" s="72"/>
      <c r="EQ329" s="72"/>
      <c r="ER329" s="72"/>
      <c r="ES329" s="72"/>
      <c r="ET329" s="72"/>
    </row>
    <row r="330">
      <c r="CD330" s="72"/>
      <c r="CE330" s="72"/>
      <c r="CF330" s="72"/>
      <c r="CG330" s="72"/>
      <c r="CH330" s="72"/>
      <c r="CI330" s="72"/>
      <c r="CJ330" s="72"/>
      <c r="CK330" s="72"/>
      <c r="CL330" s="72"/>
      <c r="CM330" s="72"/>
      <c r="CN330" s="72"/>
      <c r="CO330" s="72"/>
      <c r="CP330" s="72"/>
      <c r="CQ330" s="72"/>
      <c r="CR330" s="72"/>
      <c r="CS330" s="72"/>
      <c r="CT330" s="72"/>
      <c r="CU330" s="72"/>
      <c r="CV330" s="72"/>
      <c r="CW330" s="72"/>
      <c r="CX330" s="72"/>
      <c r="CY330" s="72"/>
      <c r="CZ330" s="72"/>
      <c r="DA330" s="72"/>
      <c r="DB330" s="72"/>
      <c r="DC330" s="72"/>
      <c r="DD330" s="72"/>
      <c r="DE330" s="72"/>
      <c r="DF330" s="72"/>
      <c r="DG330" s="72"/>
      <c r="DH330" s="72"/>
      <c r="DI330" s="72"/>
      <c r="DJ330" s="72"/>
      <c r="DK330" s="72"/>
      <c r="DL330" s="72"/>
      <c r="DM330" s="72"/>
      <c r="DN330" s="72"/>
      <c r="DO330" s="72"/>
      <c r="DP330" s="72"/>
      <c r="DQ330" s="72"/>
      <c r="DR330" s="72"/>
      <c r="DS330" s="72"/>
      <c r="DT330" s="72"/>
      <c r="DU330" s="72"/>
      <c r="DV330" s="72"/>
      <c r="DW330" s="72"/>
      <c r="DX330" s="72"/>
      <c r="DY330" s="72"/>
      <c r="DZ330" s="72"/>
      <c r="EA330" s="72"/>
      <c r="EB330" s="72"/>
      <c r="EC330" s="72"/>
      <c r="ED330" s="72"/>
      <c r="EE330" s="72"/>
      <c r="EF330" s="72"/>
      <c r="EG330" s="72"/>
      <c r="EH330" s="72"/>
      <c r="EI330" s="129"/>
      <c r="EJ330" s="129"/>
      <c r="EK330" s="129"/>
      <c r="EL330" s="129"/>
      <c r="EM330" s="72"/>
      <c r="EN330" s="72"/>
      <c r="EO330" s="72"/>
      <c r="EP330" s="72"/>
      <c r="EQ330" s="72"/>
      <c r="ER330" s="72"/>
      <c r="ES330" s="72"/>
      <c r="ET330" s="72"/>
    </row>
    <row r="331"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  <c r="CV331" s="72"/>
      <c r="CW331" s="72"/>
      <c r="CX331" s="72"/>
      <c r="CY331" s="72"/>
      <c r="CZ331" s="72"/>
      <c r="DA331" s="72"/>
      <c r="DB331" s="72"/>
      <c r="DC331" s="72"/>
      <c r="DD331" s="72"/>
      <c r="DE331" s="72"/>
      <c r="DF331" s="72"/>
      <c r="DG331" s="72"/>
      <c r="DH331" s="72"/>
      <c r="DI331" s="72"/>
      <c r="DJ331" s="72"/>
      <c r="DK331" s="72"/>
      <c r="DL331" s="72"/>
      <c r="DM331" s="72"/>
      <c r="DN331" s="72"/>
      <c r="DO331" s="72"/>
      <c r="DP331" s="72"/>
      <c r="DQ331" s="72"/>
      <c r="DR331" s="72"/>
      <c r="DS331" s="72"/>
      <c r="DT331" s="72"/>
      <c r="DU331" s="72"/>
      <c r="DV331" s="72"/>
      <c r="DW331" s="72"/>
      <c r="DX331" s="72"/>
      <c r="DY331" s="72"/>
      <c r="DZ331" s="72"/>
      <c r="EA331" s="72"/>
      <c r="EB331" s="72"/>
      <c r="EC331" s="72"/>
      <c r="ED331" s="72"/>
      <c r="EE331" s="72"/>
      <c r="EF331" s="72"/>
      <c r="EG331" s="72"/>
      <c r="EH331" s="72"/>
      <c r="EI331" s="129"/>
      <c r="EJ331" s="129"/>
      <c r="EK331" s="129"/>
      <c r="EL331" s="129"/>
      <c r="EM331" s="72"/>
      <c r="EN331" s="72"/>
      <c r="EO331" s="72"/>
      <c r="EP331" s="72"/>
      <c r="EQ331" s="72"/>
      <c r="ER331" s="72"/>
      <c r="ES331" s="72"/>
      <c r="ET331" s="72"/>
    </row>
    <row r="332">
      <c r="CD332" s="72"/>
      <c r="CE332" s="72"/>
      <c r="CF332" s="72"/>
      <c r="CG332" s="72"/>
      <c r="CH332" s="72"/>
      <c r="CI332" s="72"/>
      <c r="CJ332" s="72"/>
      <c r="CK332" s="72"/>
      <c r="CL332" s="72"/>
      <c r="CM332" s="72"/>
      <c r="CN332" s="72"/>
      <c r="CO332" s="72"/>
      <c r="CP332" s="72"/>
      <c r="CQ332" s="72"/>
      <c r="CR332" s="72"/>
      <c r="CS332" s="72"/>
      <c r="CT332" s="72"/>
      <c r="CU332" s="72"/>
      <c r="CV332" s="72"/>
      <c r="CW332" s="72"/>
      <c r="CX332" s="72"/>
      <c r="CY332" s="72"/>
      <c r="CZ332" s="72"/>
      <c r="DA332" s="72"/>
      <c r="DB332" s="72"/>
      <c r="DC332" s="72"/>
      <c r="DD332" s="72"/>
      <c r="DE332" s="72"/>
      <c r="DF332" s="72"/>
      <c r="DG332" s="72"/>
      <c r="DH332" s="72"/>
      <c r="DI332" s="72"/>
      <c r="DJ332" s="72"/>
      <c r="DK332" s="72"/>
      <c r="DL332" s="72"/>
      <c r="DM332" s="72"/>
      <c r="DN332" s="72"/>
      <c r="DO332" s="72"/>
      <c r="DP332" s="72"/>
      <c r="DQ332" s="72"/>
      <c r="DR332" s="72"/>
      <c r="DS332" s="72"/>
      <c r="DT332" s="72"/>
      <c r="DU332" s="72"/>
      <c r="DV332" s="72"/>
      <c r="DW332" s="72"/>
      <c r="DX332" s="72"/>
      <c r="DY332" s="72"/>
      <c r="DZ332" s="72"/>
      <c r="EA332" s="72"/>
      <c r="EB332" s="72"/>
      <c r="EC332" s="72"/>
      <c r="ED332" s="72"/>
      <c r="EE332" s="72"/>
      <c r="EF332" s="72"/>
      <c r="EG332" s="72"/>
      <c r="EH332" s="72"/>
      <c r="EI332" s="129"/>
      <c r="EJ332" s="129"/>
      <c r="EK332" s="129"/>
      <c r="EL332" s="129"/>
      <c r="EM332" s="72"/>
      <c r="EN332" s="72"/>
      <c r="EO332" s="72"/>
      <c r="EP332" s="72"/>
      <c r="EQ332" s="72"/>
      <c r="ER332" s="72"/>
      <c r="ES332" s="72"/>
      <c r="ET332" s="72"/>
    </row>
    <row r="333"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  <c r="CV333" s="72"/>
      <c r="CW333" s="72"/>
      <c r="CX333" s="72"/>
      <c r="CY333" s="72"/>
      <c r="CZ333" s="72"/>
      <c r="DA333" s="72"/>
      <c r="DB333" s="72"/>
      <c r="DC333" s="72"/>
      <c r="DD333" s="72"/>
      <c r="DE333" s="72"/>
      <c r="DF333" s="72"/>
      <c r="DG333" s="72"/>
      <c r="DH333" s="72"/>
      <c r="DI333" s="72"/>
      <c r="DJ333" s="72"/>
      <c r="DK333" s="72"/>
      <c r="DL333" s="72"/>
      <c r="DM333" s="72"/>
      <c r="DN333" s="72"/>
      <c r="DO333" s="72"/>
      <c r="DP333" s="72"/>
      <c r="DQ333" s="72"/>
      <c r="DR333" s="72"/>
      <c r="DS333" s="72"/>
      <c r="DT333" s="72"/>
      <c r="DU333" s="72"/>
      <c r="DV333" s="72"/>
      <c r="DW333" s="72"/>
      <c r="DX333" s="72"/>
      <c r="DY333" s="72"/>
      <c r="DZ333" s="72"/>
      <c r="EA333" s="72"/>
      <c r="EB333" s="72"/>
      <c r="EC333" s="72"/>
      <c r="ED333" s="72"/>
      <c r="EE333" s="72"/>
      <c r="EF333" s="72"/>
      <c r="EG333" s="72"/>
      <c r="EH333" s="72"/>
      <c r="EI333" s="129"/>
      <c r="EJ333" s="129"/>
      <c r="EK333" s="129"/>
      <c r="EL333" s="129"/>
      <c r="EM333" s="72"/>
      <c r="EN333" s="72"/>
      <c r="EO333" s="72"/>
      <c r="EP333" s="72"/>
      <c r="EQ333" s="72"/>
      <c r="ER333" s="72"/>
      <c r="ES333" s="72"/>
      <c r="ET333" s="72"/>
    </row>
    <row r="334">
      <c r="CD334" s="72"/>
      <c r="CE334" s="72"/>
      <c r="CF334" s="72"/>
      <c r="CG334" s="72"/>
      <c r="CH334" s="72"/>
      <c r="CI334" s="72"/>
      <c r="CJ334" s="72"/>
      <c r="CK334" s="72"/>
      <c r="CL334" s="72"/>
      <c r="CM334" s="72"/>
      <c r="CN334" s="72"/>
      <c r="CO334" s="72"/>
      <c r="CP334" s="72"/>
      <c r="CQ334" s="72"/>
      <c r="CR334" s="72"/>
      <c r="CS334" s="72"/>
      <c r="CT334" s="72"/>
      <c r="CU334" s="72"/>
      <c r="CV334" s="72"/>
      <c r="CW334" s="72"/>
      <c r="CX334" s="72"/>
      <c r="CY334" s="72"/>
      <c r="CZ334" s="72"/>
      <c r="DA334" s="72"/>
      <c r="DB334" s="72"/>
      <c r="DC334" s="72"/>
      <c r="DD334" s="72"/>
      <c r="DE334" s="72"/>
      <c r="DF334" s="72"/>
      <c r="DG334" s="72"/>
      <c r="DH334" s="72"/>
      <c r="DI334" s="72"/>
      <c r="DJ334" s="72"/>
      <c r="DK334" s="72"/>
      <c r="DL334" s="72"/>
      <c r="DM334" s="72"/>
      <c r="DN334" s="72"/>
      <c r="DO334" s="72"/>
      <c r="DP334" s="72"/>
      <c r="DQ334" s="72"/>
      <c r="DR334" s="72"/>
      <c r="DS334" s="72"/>
      <c r="DT334" s="72"/>
      <c r="DU334" s="72"/>
      <c r="DV334" s="72"/>
      <c r="DW334" s="72"/>
      <c r="DX334" s="72"/>
      <c r="DY334" s="72"/>
      <c r="DZ334" s="72"/>
      <c r="EA334" s="72"/>
      <c r="EB334" s="72"/>
      <c r="EC334" s="72"/>
      <c r="ED334" s="72"/>
      <c r="EE334" s="72"/>
      <c r="EF334" s="72"/>
      <c r="EG334" s="72"/>
      <c r="EH334" s="72"/>
      <c r="EI334" s="129"/>
      <c r="EJ334" s="129"/>
      <c r="EK334" s="129"/>
      <c r="EL334" s="129"/>
      <c r="EM334" s="72"/>
      <c r="EN334" s="72"/>
      <c r="EO334" s="72"/>
      <c r="EP334" s="72"/>
      <c r="EQ334" s="72"/>
      <c r="ER334" s="72"/>
      <c r="ES334" s="72"/>
      <c r="ET334" s="72"/>
    </row>
    <row r="335"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  <c r="CV335" s="72"/>
      <c r="CW335" s="72"/>
      <c r="CX335" s="72"/>
      <c r="CY335" s="72"/>
      <c r="CZ335" s="72"/>
      <c r="DA335" s="72"/>
      <c r="DB335" s="72"/>
      <c r="DC335" s="72"/>
      <c r="DD335" s="72"/>
      <c r="DE335" s="72"/>
      <c r="DF335" s="72"/>
      <c r="DG335" s="72"/>
      <c r="DH335" s="72"/>
      <c r="DI335" s="72"/>
      <c r="DJ335" s="72"/>
      <c r="DK335" s="72"/>
      <c r="DL335" s="72"/>
      <c r="DM335" s="72"/>
      <c r="DN335" s="72"/>
      <c r="DO335" s="72"/>
      <c r="DP335" s="72"/>
      <c r="DQ335" s="72"/>
      <c r="DR335" s="72"/>
      <c r="DS335" s="72"/>
      <c r="DT335" s="72"/>
      <c r="DU335" s="72"/>
      <c r="DV335" s="72"/>
      <c r="DW335" s="72"/>
      <c r="DX335" s="72"/>
      <c r="DY335" s="72"/>
      <c r="DZ335" s="72"/>
      <c r="EA335" s="72"/>
      <c r="EB335" s="72"/>
      <c r="EC335" s="72"/>
      <c r="ED335" s="72"/>
      <c r="EE335" s="72"/>
      <c r="EF335" s="72"/>
      <c r="EG335" s="72"/>
      <c r="EH335" s="72"/>
      <c r="EI335" s="129"/>
      <c r="EJ335" s="129"/>
      <c r="EK335" s="129"/>
      <c r="EL335" s="129"/>
      <c r="EM335" s="72"/>
      <c r="EN335" s="72"/>
      <c r="EO335" s="72"/>
      <c r="EP335" s="72"/>
      <c r="EQ335" s="72"/>
      <c r="ER335" s="72"/>
      <c r="ES335" s="72"/>
      <c r="ET335" s="72"/>
    </row>
    <row r="336">
      <c r="CD336" s="72"/>
      <c r="CE336" s="72"/>
      <c r="CF336" s="72"/>
      <c r="CG336" s="72"/>
      <c r="CH336" s="72"/>
      <c r="CI336" s="72"/>
      <c r="CJ336" s="72"/>
      <c r="CK336" s="72"/>
      <c r="CL336" s="72"/>
      <c r="CM336" s="72"/>
      <c r="CN336" s="72"/>
      <c r="CO336" s="72"/>
      <c r="CP336" s="72"/>
      <c r="CQ336" s="72"/>
      <c r="CR336" s="72"/>
      <c r="CS336" s="72"/>
      <c r="CT336" s="72"/>
      <c r="CU336" s="72"/>
      <c r="CV336" s="72"/>
      <c r="CW336" s="72"/>
      <c r="CX336" s="72"/>
      <c r="CY336" s="72"/>
      <c r="CZ336" s="72"/>
      <c r="DA336" s="72"/>
      <c r="DB336" s="72"/>
      <c r="DC336" s="72"/>
      <c r="DD336" s="72"/>
      <c r="DE336" s="72"/>
      <c r="DF336" s="72"/>
      <c r="DG336" s="72"/>
      <c r="DH336" s="72"/>
      <c r="DI336" s="72"/>
      <c r="DJ336" s="72"/>
      <c r="DK336" s="72"/>
      <c r="DL336" s="72"/>
      <c r="DM336" s="72"/>
      <c r="DN336" s="72"/>
      <c r="DO336" s="72"/>
      <c r="DP336" s="72"/>
      <c r="DQ336" s="72"/>
      <c r="DR336" s="72"/>
      <c r="DS336" s="72"/>
      <c r="DT336" s="72"/>
      <c r="DU336" s="72"/>
      <c r="DV336" s="72"/>
      <c r="DW336" s="72"/>
      <c r="DX336" s="72"/>
      <c r="DY336" s="72"/>
      <c r="DZ336" s="72"/>
      <c r="EA336" s="72"/>
      <c r="EB336" s="72"/>
      <c r="EC336" s="72"/>
      <c r="ED336" s="72"/>
      <c r="EE336" s="72"/>
      <c r="EF336" s="72"/>
      <c r="EG336" s="72"/>
      <c r="EH336" s="72"/>
      <c r="EI336" s="129"/>
      <c r="EJ336" s="129"/>
      <c r="EK336" s="129"/>
      <c r="EL336" s="129"/>
      <c r="EM336" s="72"/>
      <c r="EN336" s="72"/>
      <c r="EO336" s="72"/>
      <c r="EP336" s="72"/>
      <c r="EQ336" s="72"/>
      <c r="ER336" s="72"/>
      <c r="ES336" s="72"/>
      <c r="ET336" s="72"/>
    </row>
    <row r="337"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  <c r="CV337" s="72"/>
      <c r="CW337" s="72"/>
      <c r="CX337" s="72"/>
      <c r="CY337" s="72"/>
      <c r="CZ337" s="72"/>
      <c r="DA337" s="72"/>
      <c r="DB337" s="72"/>
      <c r="DC337" s="72"/>
      <c r="DD337" s="72"/>
      <c r="DE337" s="72"/>
      <c r="DF337" s="72"/>
      <c r="DG337" s="72"/>
      <c r="DH337" s="72"/>
      <c r="DI337" s="72"/>
      <c r="DJ337" s="72"/>
      <c r="DK337" s="72"/>
      <c r="DL337" s="72"/>
      <c r="DM337" s="72"/>
      <c r="DN337" s="72"/>
      <c r="DO337" s="72"/>
      <c r="DP337" s="72"/>
      <c r="DQ337" s="72"/>
      <c r="DR337" s="72"/>
      <c r="DS337" s="72"/>
      <c r="DT337" s="72"/>
      <c r="DU337" s="72"/>
      <c r="DV337" s="72"/>
      <c r="DW337" s="72"/>
      <c r="DX337" s="72"/>
      <c r="DY337" s="72"/>
      <c r="DZ337" s="72"/>
      <c r="EA337" s="72"/>
      <c r="EB337" s="72"/>
      <c r="EC337" s="72"/>
      <c r="ED337" s="72"/>
      <c r="EE337" s="72"/>
      <c r="EF337" s="72"/>
      <c r="EG337" s="72"/>
      <c r="EH337" s="72"/>
      <c r="EI337" s="129"/>
      <c r="EJ337" s="129"/>
      <c r="EK337" s="129"/>
      <c r="EL337" s="129"/>
      <c r="EM337" s="72"/>
      <c r="EN337" s="72"/>
      <c r="EO337" s="72"/>
      <c r="EP337" s="72"/>
      <c r="EQ337" s="72"/>
      <c r="ER337" s="72"/>
      <c r="ES337" s="72"/>
      <c r="ET337" s="72"/>
    </row>
    <row r="338">
      <c r="CD338" s="72"/>
      <c r="CE338" s="72"/>
      <c r="CF338" s="72"/>
      <c r="CG338" s="72"/>
      <c r="CH338" s="72"/>
      <c r="CI338" s="72"/>
      <c r="CJ338" s="72"/>
      <c r="CK338" s="72"/>
      <c r="CL338" s="72"/>
      <c r="CM338" s="72"/>
      <c r="CN338" s="72"/>
      <c r="CO338" s="72"/>
      <c r="CP338" s="72"/>
      <c r="CQ338" s="72"/>
      <c r="CR338" s="72"/>
      <c r="CS338" s="72"/>
      <c r="CT338" s="72"/>
      <c r="CU338" s="72"/>
      <c r="CV338" s="72"/>
      <c r="CW338" s="72"/>
      <c r="CX338" s="72"/>
      <c r="CY338" s="72"/>
      <c r="CZ338" s="72"/>
      <c r="DA338" s="72"/>
      <c r="DB338" s="72"/>
      <c r="DC338" s="72"/>
      <c r="DD338" s="72"/>
      <c r="DE338" s="72"/>
      <c r="DF338" s="72"/>
      <c r="DG338" s="72"/>
      <c r="DH338" s="72"/>
      <c r="DI338" s="72"/>
      <c r="DJ338" s="72"/>
      <c r="DK338" s="72"/>
      <c r="DL338" s="72"/>
      <c r="DM338" s="72"/>
      <c r="DN338" s="72"/>
      <c r="DO338" s="72"/>
      <c r="DP338" s="72"/>
      <c r="DQ338" s="72"/>
      <c r="DR338" s="72"/>
      <c r="DS338" s="72"/>
      <c r="DT338" s="72"/>
      <c r="DU338" s="72"/>
      <c r="DV338" s="72"/>
      <c r="DW338" s="72"/>
      <c r="DX338" s="72"/>
      <c r="DY338" s="72"/>
      <c r="DZ338" s="72"/>
      <c r="EA338" s="72"/>
      <c r="EB338" s="72"/>
      <c r="EC338" s="72"/>
      <c r="ED338" s="72"/>
      <c r="EE338" s="72"/>
      <c r="EF338" s="72"/>
      <c r="EG338" s="72"/>
      <c r="EH338" s="72"/>
      <c r="EI338" s="129"/>
      <c r="EJ338" s="129"/>
      <c r="EK338" s="129"/>
      <c r="EL338" s="129"/>
      <c r="EM338" s="72"/>
      <c r="EN338" s="72"/>
      <c r="EO338" s="72"/>
      <c r="EP338" s="72"/>
      <c r="EQ338" s="72"/>
      <c r="ER338" s="72"/>
      <c r="ES338" s="72"/>
      <c r="ET338" s="72"/>
    </row>
    <row r="339"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  <c r="CV339" s="72"/>
      <c r="CW339" s="72"/>
      <c r="CX339" s="72"/>
      <c r="CY339" s="72"/>
      <c r="CZ339" s="72"/>
      <c r="DA339" s="72"/>
      <c r="DB339" s="72"/>
      <c r="DC339" s="72"/>
      <c r="DD339" s="72"/>
      <c r="DE339" s="72"/>
      <c r="DF339" s="72"/>
      <c r="DG339" s="72"/>
      <c r="DH339" s="72"/>
      <c r="DI339" s="72"/>
      <c r="DJ339" s="72"/>
      <c r="DK339" s="72"/>
      <c r="DL339" s="72"/>
      <c r="DM339" s="72"/>
      <c r="DN339" s="72"/>
      <c r="DO339" s="72"/>
      <c r="DP339" s="72"/>
      <c r="DQ339" s="72"/>
      <c r="DR339" s="72"/>
      <c r="DS339" s="72"/>
      <c r="DT339" s="72"/>
      <c r="DU339" s="72"/>
      <c r="DV339" s="72"/>
      <c r="DW339" s="72"/>
      <c r="DX339" s="72"/>
      <c r="DY339" s="72"/>
      <c r="DZ339" s="72"/>
      <c r="EA339" s="72"/>
      <c r="EB339" s="72"/>
      <c r="EC339" s="72"/>
      <c r="ED339" s="72"/>
      <c r="EE339" s="72"/>
      <c r="EF339" s="72"/>
      <c r="EG339" s="72"/>
      <c r="EH339" s="72"/>
      <c r="EI339" s="129"/>
      <c r="EJ339" s="129"/>
      <c r="EK339" s="129"/>
      <c r="EL339" s="129"/>
      <c r="EM339" s="72"/>
      <c r="EN339" s="72"/>
      <c r="EO339" s="72"/>
      <c r="EP339" s="72"/>
      <c r="EQ339" s="72"/>
      <c r="ER339" s="72"/>
      <c r="ES339" s="72"/>
      <c r="ET339" s="72"/>
    </row>
    <row r="340"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72"/>
      <c r="DQ340" s="72"/>
      <c r="DR340" s="72"/>
      <c r="DS340" s="72"/>
      <c r="DT340" s="72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129"/>
      <c r="EJ340" s="129"/>
      <c r="EK340" s="129"/>
      <c r="EL340" s="129"/>
      <c r="EM340" s="72"/>
      <c r="EN340" s="72"/>
      <c r="EO340" s="72"/>
      <c r="EP340" s="72"/>
      <c r="EQ340" s="72"/>
      <c r="ER340" s="72"/>
      <c r="ES340" s="72"/>
      <c r="ET340" s="72"/>
    </row>
    <row r="341"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  <c r="CV341" s="72"/>
      <c r="CW341" s="72"/>
      <c r="CX341" s="72"/>
      <c r="CY341" s="72"/>
      <c r="CZ341" s="72"/>
      <c r="DA341" s="72"/>
      <c r="DB341" s="72"/>
      <c r="DC341" s="72"/>
      <c r="DD341" s="72"/>
      <c r="DE341" s="72"/>
      <c r="DF341" s="72"/>
      <c r="DG341" s="72"/>
      <c r="DH341" s="72"/>
      <c r="DI341" s="72"/>
      <c r="DJ341" s="72"/>
      <c r="DK341" s="72"/>
      <c r="DL341" s="72"/>
      <c r="DM341" s="72"/>
      <c r="DN341" s="72"/>
      <c r="DO341" s="72"/>
      <c r="DP341" s="72"/>
      <c r="DQ341" s="72"/>
      <c r="DR341" s="72"/>
      <c r="DS341" s="72"/>
      <c r="DT341" s="72"/>
      <c r="DU341" s="72"/>
      <c r="DV341" s="72"/>
      <c r="DW341" s="72"/>
      <c r="DX341" s="72"/>
      <c r="DY341" s="72"/>
      <c r="DZ341" s="72"/>
      <c r="EA341" s="72"/>
      <c r="EB341" s="72"/>
      <c r="EC341" s="72"/>
      <c r="ED341" s="72"/>
      <c r="EE341" s="72"/>
      <c r="EF341" s="72"/>
      <c r="EG341" s="72"/>
      <c r="EH341" s="72"/>
      <c r="EI341" s="129"/>
      <c r="EJ341" s="129"/>
      <c r="EK341" s="129"/>
      <c r="EL341" s="129"/>
      <c r="EM341" s="72"/>
      <c r="EN341" s="72"/>
      <c r="EO341" s="72"/>
      <c r="EP341" s="72"/>
      <c r="EQ341" s="72"/>
      <c r="ER341" s="72"/>
      <c r="ES341" s="72"/>
      <c r="ET341" s="72"/>
    </row>
    <row r="342">
      <c r="CD342" s="72"/>
      <c r="CE342" s="72"/>
      <c r="CF342" s="72"/>
      <c r="CG342" s="72"/>
      <c r="CH342" s="72"/>
      <c r="CI342" s="72"/>
      <c r="CJ342" s="72"/>
      <c r="CK342" s="72"/>
      <c r="CL342" s="72"/>
      <c r="CM342" s="72"/>
      <c r="CN342" s="72"/>
      <c r="CO342" s="72"/>
      <c r="CP342" s="72"/>
      <c r="CQ342" s="72"/>
      <c r="CR342" s="72"/>
      <c r="CS342" s="72"/>
      <c r="CT342" s="72"/>
      <c r="CU342" s="72"/>
      <c r="CV342" s="72"/>
      <c r="CW342" s="72"/>
      <c r="CX342" s="72"/>
      <c r="CY342" s="72"/>
      <c r="CZ342" s="72"/>
      <c r="DA342" s="72"/>
      <c r="DB342" s="72"/>
      <c r="DC342" s="72"/>
      <c r="DD342" s="72"/>
      <c r="DE342" s="72"/>
      <c r="DF342" s="72"/>
      <c r="DG342" s="72"/>
      <c r="DH342" s="72"/>
      <c r="DI342" s="72"/>
      <c r="DJ342" s="72"/>
      <c r="DK342" s="72"/>
      <c r="DL342" s="72"/>
      <c r="DM342" s="72"/>
      <c r="DN342" s="72"/>
      <c r="DO342" s="72"/>
      <c r="DP342" s="72"/>
      <c r="DQ342" s="72"/>
      <c r="DR342" s="72"/>
      <c r="DS342" s="72"/>
      <c r="DT342" s="72"/>
      <c r="DU342" s="72"/>
      <c r="DV342" s="72"/>
      <c r="DW342" s="72"/>
      <c r="DX342" s="72"/>
      <c r="DY342" s="72"/>
      <c r="DZ342" s="72"/>
      <c r="EA342" s="72"/>
      <c r="EB342" s="72"/>
      <c r="EC342" s="72"/>
      <c r="ED342" s="72"/>
      <c r="EE342" s="72"/>
      <c r="EF342" s="72"/>
      <c r="EG342" s="72"/>
      <c r="EH342" s="72"/>
      <c r="EI342" s="129"/>
      <c r="EJ342" s="129"/>
      <c r="EK342" s="129"/>
      <c r="EL342" s="129"/>
      <c r="EM342" s="72"/>
      <c r="EN342" s="72"/>
      <c r="EO342" s="72"/>
      <c r="EP342" s="72"/>
      <c r="EQ342" s="72"/>
      <c r="ER342" s="72"/>
      <c r="ES342" s="72"/>
      <c r="ET342" s="72"/>
    </row>
    <row r="343"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  <c r="CV343" s="72"/>
      <c r="CW343" s="72"/>
      <c r="CX343" s="72"/>
      <c r="CY343" s="72"/>
      <c r="CZ343" s="72"/>
      <c r="DA343" s="72"/>
      <c r="DB343" s="72"/>
      <c r="DC343" s="72"/>
      <c r="DD343" s="72"/>
      <c r="DE343" s="72"/>
      <c r="DF343" s="72"/>
      <c r="DG343" s="72"/>
      <c r="DH343" s="72"/>
      <c r="DI343" s="72"/>
      <c r="DJ343" s="72"/>
      <c r="DK343" s="72"/>
      <c r="DL343" s="72"/>
      <c r="DM343" s="72"/>
      <c r="DN343" s="72"/>
      <c r="DO343" s="72"/>
      <c r="DP343" s="72"/>
      <c r="DQ343" s="72"/>
      <c r="DR343" s="72"/>
      <c r="DS343" s="72"/>
      <c r="DT343" s="72"/>
      <c r="DU343" s="72"/>
      <c r="DV343" s="72"/>
      <c r="DW343" s="72"/>
      <c r="DX343" s="72"/>
      <c r="DY343" s="72"/>
      <c r="DZ343" s="72"/>
      <c r="EA343" s="72"/>
      <c r="EB343" s="72"/>
      <c r="EC343" s="72"/>
      <c r="ED343" s="72"/>
      <c r="EE343" s="72"/>
      <c r="EF343" s="72"/>
      <c r="EG343" s="72"/>
      <c r="EH343" s="72"/>
      <c r="EI343" s="129"/>
      <c r="EJ343" s="129"/>
      <c r="EK343" s="129"/>
      <c r="EL343" s="129"/>
      <c r="EM343" s="72"/>
      <c r="EN343" s="72"/>
      <c r="EO343" s="72"/>
      <c r="EP343" s="72"/>
      <c r="EQ343" s="72"/>
      <c r="ER343" s="72"/>
      <c r="ES343" s="72"/>
      <c r="ET343" s="72"/>
    </row>
    <row r="344">
      <c r="CD344" s="72"/>
      <c r="CE344" s="72"/>
      <c r="CF344" s="72"/>
      <c r="CG344" s="72"/>
      <c r="CH344" s="72"/>
      <c r="CI344" s="72"/>
      <c r="CJ344" s="72"/>
      <c r="CK344" s="72"/>
      <c r="CL344" s="72"/>
      <c r="CM344" s="72"/>
      <c r="CN344" s="72"/>
      <c r="CO344" s="72"/>
      <c r="CP344" s="72"/>
      <c r="CQ344" s="72"/>
      <c r="CR344" s="72"/>
      <c r="CS344" s="72"/>
      <c r="CT344" s="72"/>
      <c r="CU344" s="72"/>
      <c r="CV344" s="72"/>
      <c r="CW344" s="72"/>
      <c r="CX344" s="72"/>
      <c r="CY344" s="72"/>
      <c r="CZ344" s="72"/>
      <c r="DA344" s="72"/>
      <c r="DB344" s="72"/>
      <c r="DC344" s="72"/>
      <c r="DD344" s="72"/>
      <c r="DE344" s="72"/>
      <c r="DF344" s="72"/>
      <c r="DG344" s="72"/>
      <c r="DH344" s="72"/>
      <c r="DI344" s="72"/>
      <c r="DJ344" s="72"/>
      <c r="DK344" s="72"/>
      <c r="DL344" s="72"/>
      <c r="DM344" s="72"/>
      <c r="DN344" s="72"/>
      <c r="DO344" s="72"/>
      <c r="DP344" s="72"/>
      <c r="DQ344" s="72"/>
      <c r="DR344" s="72"/>
      <c r="DS344" s="72"/>
      <c r="DT344" s="72"/>
      <c r="DU344" s="72"/>
      <c r="DV344" s="72"/>
      <c r="DW344" s="72"/>
      <c r="DX344" s="72"/>
      <c r="DY344" s="72"/>
      <c r="DZ344" s="72"/>
      <c r="EA344" s="72"/>
      <c r="EB344" s="72"/>
      <c r="EC344" s="72"/>
      <c r="ED344" s="72"/>
      <c r="EE344" s="72"/>
      <c r="EF344" s="72"/>
      <c r="EG344" s="72"/>
      <c r="EH344" s="72"/>
      <c r="EI344" s="129"/>
      <c r="EJ344" s="129"/>
      <c r="EK344" s="129"/>
      <c r="EL344" s="129"/>
      <c r="EM344" s="72"/>
      <c r="EN344" s="72"/>
      <c r="EO344" s="72"/>
      <c r="EP344" s="72"/>
      <c r="EQ344" s="72"/>
      <c r="ER344" s="72"/>
      <c r="ES344" s="72"/>
      <c r="ET344" s="72"/>
    </row>
    <row r="345"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  <c r="CV345" s="72"/>
      <c r="CW345" s="72"/>
      <c r="CX345" s="72"/>
      <c r="CY345" s="72"/>
      <c r="CZ345" s="72"/>
      <c r="DA345" s="72"/>
      <c r="DB345" s="72"/>
      <c r="DC345" s="72"/>
      <c r="DD345" s="72"/>
      <c r="DE345" s="72"/>
      <c r="DF345" s="72"/>
      <c r="DG345" s="72"/>
      <c r="DH345" s="72"/>
      <c r="DI345" s="72"/>
      <c r="DJ345" s="72"/>
      <c r="DK345" s="72"/>
      <c r="DL345" s="72"/>
      <c r="DM345" s="72"/>
      <c r="DN345" s="72"/>
      <c r="DO345" s="72"/>
      <c r="DP345" s="72"/>
      <c r="DQ345" s="72"/>
      <c r="DR345" s="72"/>
      <c r="DS345" s="72"/>
      <c r="DT345" s="72"/>
      <c r="DU345" s="72"/>
      <c r="DV345" s="72"/>
      <c r="DW345" s="72"/>
      <c r="DX345" s="72"/>
      <c r="DY345" s="72"/>
      <c r="DZ345" s="72"/>
      <c r="EA345" s="72"/>
      <c r="EB345" s="72"/>
      <c r="EC345" s="72"/>
      <c r="ED345" s="72"/>
      <c r="EE345" s="72"/>
      <c r="EF345" s="72"/>
      <c r="EG345" s="72"/>
      <c r="EH345" s="72"/>
      <c r="EI345" s="129"/>
      <c r="EJ345" s="129"/>
      <c r="EK345" s="129"/>
      <c r="EL345" s="129"/>
      <c r="EM345" s="72"/>
      <c r="EN345" s="72"/>
      <c r="EO345" s="72"/>
      <c r="EP345" s="72"/>
      <c r="EQ345" s="72"/>
      <c r="ER345" s="72"/>
      <c r="ES345" s="72"/>
      <c r="ET345" s="72"/>
    </row>
    <row r="346">
      <c r="CD346" s="72"/>
      <c r="CE346" s="72"/>
      <c r="CF346" s="72"/>
      <c r="CG346" s="72"/>
      <c r="CH346" s="72"/>
      <c r="CI346" s="72"/>
      <c r="CJ346" s="72"/>
      <c r="CK346" s="72"/>
      <c r="CL346" s="72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C346" s="72"/>
      <c r="DD346" s="72"/>
      <c r="DE346" s="72"/>
      <c r="DF346" s="72"/>
      <c r="DG346" s="72"/>
      <c r="DH346" s="72"/>
      <c r="DI346" s="72"/>
      <c r="DJ346" s="72"/>
      <c r="DK346" s="72"/>
      <c r="DL346" s="72"/>
      <c r="DM346" s="72"/>
      <c r="DN346" s="72"/>
      <c r="DO346" s="72"/>
      <c r="DP346" s="72"/>
      <c r="DQ346" s="72"/>
      <c r="DR346" s="72"/>
      <c r="DS346" s="72"/>
      <c r="DT346" s="72"/>
      <c r="DU346" s="72"/>
      <c r="DV346" s="72"/>
      <c r="DW346" s="72"/>
      <c r="DX346" s="72"/>
      <c r="DY346" s="72"/>
      <c r="DZ346" s="72"/>
      <c r="EA346" s="72"/>
      <c r="EB346" s="72"/>
      <c r="EC346" s="72"/>
      <c r="ED346" s="72"/>
      <c r="EE346" s="72"/>
      <c r="EF346" s="72"/>
      <c r="EG346" s="72"/>
      <c r="EH346" s="72"/>
      <c r="EI346" s="129"/>
      <c r="EJ346" s="129"/>
      <c r="EK346" s="129"/>
      <c r="EL346" s="129"/>
      <c r="EM346" s="72"/>
      <c r="EN346" s="72"/>
      <c r="EO346" s="72"/>
      <c r="EP346" s="72"/>
      <c r="EQ346" s="72"/>
      <c r="ER346" s="72"/>
      <c r="ES346" s="72"/>
      <c r="ET346" s="72"/>
    </row>
    <row r="347"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  <c r="CV347" s="72"/>
      <c r="CW347" s="72"/>
      <c r="CX347" s="72"/>
      <c r="CY347" s="72"/>
      <c r="CZ347" s="72"/>
      <c r="DA347" s="72"/>
      <c r="DB347" s="72"/>
      <c r="DC347" s="72"/>
      <c r="DD347" s="72"/>
      <c r="DE347" s="72"/>
      <c r="DF347" s="72"/>
      <c r="DG347" s="72"/>
      <c r="DH347" s="72"/>
      <c r="DI347" s="72"/>
      <c r="DJ347" s="72"/>
      <c r="DK347" s="72"/>
      <c r="DL347" s="72"/>
      <c r="DM347" s="72"/>
      <c r="DN347" s="72"/>
      <c r="DO347" s="72"/>
      <c r="DP347" s="72"/>
      <c r="DQ347" s="72"/>
      <c r="DR347" s="72"/>
      <c r="DS347" s="72"/>
      <c r="DT347" s="72"/>
      <c r="DU347" s="72"/>
      <c r="DV347" s="72"/>
      <c r="DW347" s="72"/>
      <c r="DX347" s="72"/>
      <c r="DY347" s="72"/>
      <c r="DZ347" s="72"/>
      <c r="EA347" s="72"/>
      <c r="EB347" s="72"/>
      <c r="EC347" s="72"/>
      <c r="ED347" s="72"/>
      <c r="EE347" s="72"/>
      <c r="EF347" s="72"/>
      <c r="EG347" s="72"/>
      <c r="EH347" s="72"/>
      <c r="EI347" s="129"/>
      <c r="EJ347" s="129"/>
      <c r="EK347" s="129"/>
      <c r="EL347" s="129"/>
      <c r="EM347" s="72"/>
      <c r="EN347" s="72"/>
      <c r="EO347" s="72"/>
      <c r="EP347" s="72"/>
      <c r="EQ347" s="72"/>
      <c r="ER347" s="72"/>
      <c r="ES347" s="72"/>
      <c r="ET347" s="72"/>
    </row>
    <row r="348"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72"/>
      <c r="CY348" s="72"/>
      <c r="CZ348" s="72"/>
      <c r="DA348" s="72"/>
      <c r="DB348" s="72"/>
      <c r="DC348" s="72"/>
      <c r="DD348" s="72"/>
      <c r="DE348" s="72"/>
      <c r="DF348" s="72"/>
      <c r="DG348" s="72"/>
      <c r="DH348" s="72"/>
      <c r="DI348" s="72"/>
      <c r="DJ348" s="72"/>
      <c r="DK348" s="72"/>
      <c r="DL348" s="72"/>
      <c r="DM348" s="72"/>
      <c r="DN348" s="72"/>
      <c r="DO348" s="72"/>
      <c r="DP348" s="72"/>
      <c r="DQ348" s="72"/>
      <c r="DR348" s="72"/>
      <c r="DS348" s="72"/>
      <c r="DT348" s="72"/>
      <c r="DU348" s="72"/>
      <c r="DV348" s="72"/>
      <c r="DW348" s="72"/>
      <c r="DX348" s="72"/>
      <c r="DY348" s="72"/>
      <c r="DZ348" s="72"/>
      <c r="EA348" s="72"/>
      <c r="EB348" s="72"/>
      <c r="EC348" s="72"/>
      <c r="ED348" s="72"/>
      <c r="EE348" s="72"/>
      <c r="EF348" s="72"/>
      <c r="EG348" s="72"/>
      <c r="EH348" s="72"/>
      <c r="EI348" s="129"/>
      <c r="EJ348" s="129"/>
      <c r="EK348" s="129"/>
      <c r="EL348" s="129"/>
      <c r="EM348" s="72"/>
      <c r="EN348" s="72"/>
      <c r="EO348" s="72"/>
      <c r="EP348" s="72"/>
      <c r="EQ348" s="72"/>
      <c r="ER348" s="72"/>
      <c r="ES348" s="72"/>
      <c r="ET348" s="72"/>
    </row>
    <row r="349"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  <c r="CV349" s="72"/>
      <c r="CW349" s="72"/>
      <c r="CX349" s="72"/>
      <c r="CY349" s="72"/>
      <c r="CZ349" s="72"/>
      <c r="DA349" s="72"/>
      <c r="DB349" s="72"/>
      <c r="DC349" s="72"/>
      <c r="DD349" s="72"/>
      <c r="DE349" s="72"/>
      <c r="DF349" s="72"/>
      <c r="DG349" s="72"/>
      <c r="DH349" s="72"/>
      <c r="DI349" s="72"/>
      <c r="DJ349" s="72"/>
      <c r="DK349" s="72"/>
      <c r="DL349" s="72"/>
      <c r="DM349" s="72"/>
      <c r="DN349" s="72"/>
      <c r="DO349" s="72"/>
      <c r="DP349" s="72"/>
      <c r="DQ349" s="72"/>
      <c r="DR349" s="72"/>
      <c r="DS349" s="72"/>
      <c r="DT349" s="72"/>
      <c r="DU349" s="72"/>
      <c r="DV349" s="72"/>
      <c r="DW349" s="72"/>
      <c r="DX349" s="72"/>
      <c r="DY349" s="72"/>
      <c r="DZ349" s="72"/>
      <c r="EA349" s="72"/>
      <c r="EB349" s="72"/>
      <c r="EC349" s="72"/>
      <c r="ED349" s="72"/>
      <c r="EE349" s="72"/>
      <c r="EF349" s="72"/>
      <c r="EG349" s="72"/>
      <c r="EH349" s="72"/>
      <c r="EI349" s="129"/>
      <c r="EJ349" s="129"/>
      <c r="EK349" s="129"/>
      <c r="EL349" s="129"/>
      <c r="EM349" s="72"/>
      <c r="EN349" s="72"/>
      <c r="EO349" s="72"/>
      <c r="EP349" s="72"/>
      <c r="EQ349" s="72"/>
      <c r="ER349" s="72"/>
      <c r="ES349" s="72"/>
      <c r="ET349" s="72"/>
    </row>
    <row r="350">
      <c r="CD350" s="72"/>
      <c r="CE350" s="72"/>
      <c r="CF350" s="72"/>
      <c r="CG350" s="72"/>
      <c r="CH350" s="72"/>
      <c r="CI350" s="72"/>
      <c r="CJ350" s="72"/>
      <c r="CK350" s="72"/>
      <c r="CL350" s="72"/>
      <c r="CM350" s="72"/>
      <c r="CN350" s="72"/>
      <c r="CO350" s="72"/>
      <c r="CP350" s="72"/>
      <c r="CQ350" s="72"/>
      <c r="CR350" s="72"/>
      <c r="CS350" s="72"/>
      <c r="CT350" s="72"/>
      <c r="CU350" s="72"/>
      <c r="CV350" s="72"/>
      <c r="CW350" s="72"/>
      <c r="CX350" s="72"/>
      <c r="CY350" s="72"/>
      <c r="CZ350" s="72"/>
      <c r="DA350" s="72"/>
      <c r="DB350" s="72"/>
      <c r="DC350" s="72"/>
      <c r="DD350" s="72"/>
      <c r="DE350" s="72"/>
      <c r="DF350" s="72"/>
      <c r="DG350" s="72"/>
      <c r="DH350" s="72"/>
      <c r="DI350" s="72"/>
      <c r="DJ350" s="72"/>
      <c r="DK350" s="72"/>
      <c r="DL350" s="72"/>
      <c r="DM350" s="72"/>
      <c r="DN350" s="72"/>
      <c r="DO350" s="72"/>
      <c r="DP350" s="72"/>
      <c r="DQ350" s="72"/>
      <c r="DR350" s="72"/>
      <c r="DS350" s="72"/>
      <c r="DT350" s="72"/>
      <c r="DU350" s="72"/>
      <c r="DV350" s="72"/>
      <c r="DW350" s="72"/>
      <c r="DX350" s="72"/>
      <c r="DY350" s="72"/>
      <c r="DZ350" s="72"/>
      <c r="EA350" s="72"/>
      <c r="EB350" s="72"/>
      <c r="EC350" s="72"/>
      <c r="ED350" s="72"/>
      <c r="EE350" s="72"/>
      <c r="EF350" s="72"/>
      <c r="EG350" s="72"/>
      <c r="EH350" s="72"/>
      <c r="EI350" s="129"/>
      <c r="EJ350" s="129"/>
      <c r="EK350" s="129"/>
      <c r="EL350" s="129"/>
      <c r="EM350" s="72"/>
      <c r="EN350" s="72"/>
      <c r="EO350" s="72"/>
      <c r="EP350" s="72"/>
      <c r="EQ350" s="72"/>
      <c r="ER350" s="72"/>
      <c r="ES350" s="72"/>
      <c r="ET350" s="72"/>
    </row>
    <row r="351"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  <c r="CV351" s="72"/>
      <c r="CW351" s="72"/>
      <c r="CX351" s="72"/>
      <c r="CY351" s="72"/>
      <c r="CZ351" s="72"/>
      <c r="DA351" s="72"/>
      <c r="DB351" s="72"/>
      <c r="DC351" s="72"/>
      <c r="DD351" s="72"/>
      <c r="DE351" s="72"/>
      <c r="DF351" s="72"/>
      <c r="DG351" s="72"/>
      <c r="DH351" s="72"/>
      <c r="DI351" s="72"/>
      <c r="DJ351" s="72"/>
      <c r="DK351" s="72"/>
      <c r="DL351" s="72"/>
      <c r="DM351" s="72"/>
      <c r="DN351" s="72"/>
      <c r="DO351" s="72"/>
      <c r="DP351" s="72"/>
      <c r="DQ351" s="72"/>
      <c r="DR351" s="72"/>
      <c r="DS351" s="72"/>
      <c r="DT351" s="72"/>
      <c r="DU351" s="72"/>
      <c r="DV351" s="72"/>
      <c r="DW351" s="72"/>
      <c r="DX351" s="72"/>
      <c r="DY351" s="72"/>
      <c r="DZ351" s="72"/>
      <c r="EA351" s="72"/>
      <c r="EB351" s="72"/>
      <c r="EC351" s="72"/>
      <c r="ED351" s="72"/>
      <c r="EE351" s="72"/>
      <c r="EF351" s="72"/>
      <c r="EG351" s="72"/>
      <c r="EH351" s="72"/>
      <c r="EI351" s="129"/>
      <c r="EJ351" s="129"/>
      <c r="EK351" s="129"/>
      <c r="EL351" s="129"/>
      <c r="EM351" s="72"/>
      <c r="EN351" s="72"/>
      <c r="EO351" s="72"/>
      <c r="EP351" s="72"/>
      <c r="EQ351" s="72"/>
      <c r="ER351" s="72"/>
      <c r="ES351" s="72"/>
      <c r="ET351" s="72"/>
    </row>
    <row r="352">
      <c r="CD352" s="72"/>
      <c r="CE352" s="72"/>
      <c r="CF352" s="72"/>
      <c r="CG352" s="72"/>
      <c r="CH352" s="72"/>
      <c r="CI352" s="72"/>
      <c r="CJ352" s="72"/>
      <c r="CK352" s="72"/>
      <c r="CL352" s="72"/>
      <c r="CM352" s="72"/>
      <c r="CN352" s="72"/>
      <c r="CO352" s="72"/>
      <c r="CP352" s="72"/>
      <c r="CQ352" s="72"/>
      <c r="CR352" s="72"/>
      <c r="CS352" s="72"/>
      <c r="CT352" s="72"/>
      <c r="CU352" s="72"/>
      <c r="CV352" s="72"/>
      <c r="CW352" s="72"/>
      <c r="CX352" s="72"/>
      <c r="CY352" s="72"/>
      <c r="CZ352" s="72"/>
      <c r="DA352" s="72"/>
      <c r="DB352" s="72"/>
      <c r="DC352" s="72"/>
      <c r="DD352" s="72"/>
      <c r="DE352" s="72"/>
      <c r="DF352" s="72"/>
      <c r="DG352" s="72"/>
      <c r="DH352" s="72"/>
      <c r="DI352" s="72"/>
      <c r="DJ352" s="72"/>
      <c r="DK352" s="72"/>
      <c r="DL352" s="72"/>
      <c r="DM352" s="72"/>
      <c r="DN352" s="72"/>
      <c r="DO352" s="72"/>
      <c r="DP352" s="72"/>
      <c r="DQ352" s="72"/>
      <c r="DR352" s="72"/>
      <c r="DS352" s="72"/>
      <c r="DT352" s="72"/>
      <c r="DU352" s="72"/>
      <c r="DV352" s="72"/>
      <c r="DW352" s="72"/>
      <c r="DX352" s="72"/>
      <c r="DY352" s="72"/>
      <c r="DZ352" s="72"/>
      <c r="EA352" s="72"/>
      <c r="EB352" s="72"/>
      <c r="EC352" s="72"/>
      <c r="ED352" s="72"/>
      <c r="EE352" s="72"/>
      <c r="EF352" s="72"/>
      <c r="EG352" s="72"/>
      <c r="EH352" s="72"/>
      <c r="EI352" s="129"/>
      <c r="EJ352" s="129"/>
      <c r="EK352" s="129"/>
      <c r="EL352" s="129"/>
      <c r="EM352" s="72"/>
      <c r="EN352" s="72"/>
      <c r="EO352" s="72"/>
      <c r="EP352" s="72"/>
      <c r="EQ352" s="72"/>
      <c r="ER352" s="72"/>
      <c r="ES352" s="72"/>
      <c r="ET352" s="72"/>
    </row>
    <row r="353"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  <c r="CV353" s="72"/>
      <c r="CW353" s="72"/>
      <c r="CX353" s="72"/>
      <c r="CY353" s="72"/>
      <c r="CZ353" s="72"/>
      <c r="DA353" s="72"/>
      <c r="DB353" s="72"/>
      <c r="DC353" s="72"/>
      <c r="DD353" s="72"/>
      <c r="DE353" s="72"/>
      <c r="DF353" s="72"/>
      <c r="DG353" s="72"/>
      <c r="DH353" s="72"/>
      <c r="DI353" s="72"/>
      <c r="DJ353" s="72"/>
      <c r="DK353" s="72"/>
      <c r="DL353" s="72"/>
      <c r="DM353" s="72"/>
      <c r="DN353" s="72"/>
      <c r="DO353" s="72"/>
      <c r="DP353" s="72"/>
      <c r="DQ353" s="72"/>
      <c r="DR353" s="72"/>
      <c r="DS353" s="72"/>
      <c r="DT353" s="72"/>
      <c r="DU353" s="72"/>
      <c r="DV353" s="72"/>
      <c r="DW353" s="72"/>
      <c r="DX353" s="72"/>
      <c r="DY353" s="72"/>
      <c r="DZ353" s="72"/>
      <c r="EA353" s="72"/>
      <c r="EB353" s="72"/>
      <c r="EC353" s="72"/>
      <c r="ED353" s="72"/>
      <c r="EE353" s="72"/>
      <c r="EF353" s="72"/>
      <c r="EG353" s="72"/>
      <c r="EH353" s="72"/>
      <c r="EI353" s="129"/>
      <c r="EJ353" s="129"/>
      <c r="EK353" s="129"/>
      <c r="EL353" s="129"/>
      <c r="EM353" s="72"/>
      <c r="EN353" s="72"/>
      <c r="EO353" s="72"/>
      <c r="EP353" s="72"/>
      <c r="EQ353" s="72"/>
      <c r="ER353" s="72"/>
      <c r="ES353" s="72"/>
      <c r="ET353" s="72"/>
    </row>
    <row r="354">
      <c r="CD354" s="72"/>
      <c r="CE354" s="72"/>
      <c r="CF354" s="72"/>
      <c r="CG354" s="72"/>
      <c r="CH354" s="72"/>
      <c r="CI354" s="72"/>
      <c r="CJ354" s="72"/>
      <c r="CK354" s="72"/>
      <c r="CL354" s="72"/>
      <c r="CM354" s="72"/>
      <c r="CN354" s="72"/>
      <c r="CO354" s="72"/>
      <c r="CP354" s="72"/>
      <c r="CQ354" s="72"/>
      <c r="CR354" s="72"/>
      <c r="CS354" s="72"/>
      <c r="CT354" s="72"/>
      <c r="CU354" s="72"/>
      <c r="CV354" s="72"/>
      <c r="CW354" s="72"/>
      <c r="CX354" s="72"/>
      <c r="CY354" s="72"/>
      <c r="CZ354" s="72"/>
      <c r="DA354" s="72"/>
      <c r="DB354" s="72"/>
      <c r="DC354" s="72"/>
      <c r="DD354" s="72"/>
      <c r="DE354" s="72"/>
      <c r="DF354" s="72"/>
      <c r="DG354" s="72"/>
      <c r="DH354" s="72"/>
      <c r="DI354" s="72"/>
      <c r="DJ354" s="72"/>
      <c r="DK354" s="72"/>
      <c r="DL354" s="72"/>
      <c r="DM354" s="72"/>
      <c r="DN354" s="72"/>
      <c r="DO354" s="72"/>
      <c r="DP354" s="72"/>
      <c r="DQ354" s="72"/>
      <c r="DR354" s="72"/>
      <c r="DS354" s="72"/>
      <c r="DT354" s="72"/>
      <c r="DU354" s="72"/>
      <c r="DV354" s="72"/>
      <c r="DW354" s="72"/>
      <c r="DX354" s="72"/>
      <c r="DY354" s="72"/>
      <c r="DZ354" s="72"/>
      <c r="EA354" s="72"/>
      <c r="EB354" s="72"/>
      <c r="EC354" s="72"/>
      <c r="ED354" s="72"/>
      <c r="EE354" s="72"/>
      <c r="EF354" s="72"/>
      <c r="EG354" s="72"/>
      <c r="EH354" s="72"/>
      <c r="EI354" s="129"/>
      <c r="EJ354" s="129"/>
      <c r="EK354" s="129"/>
      <c r="EL354" s="129"/>
      <c r="EM354" s="72"/>
      <c r="EN354" s="72"/>
      <c r="EO354" s="72"/>
      <c r="EP354" s="72"/>
      <c r="EQ354" s="72"/>
      <c r="ER354" s="72"/>
      <c r="ES354" s="72"/>
      <c r="ET354" s="72"/>
    </row>
    <row r="355"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  <c r="CV355" s="72"/>
      <c r="CW355" s="72"/>
      <c r="CX355" s="72"/>
      <c r="CY355" s="72"/>
      <c r="CZ355" s="72"/>
      <c r="DA355" s="72"/>
      <c r="DB355" s="72"/>
      <c r="DC355" s="72"/>
      <c r="DD355" s="72"/>
      <c r="DE355" s="72"/>
      <c r="DF355" s="72"/>
      <c r="DG355" s="72"/>
      <c r="DH355" s="72"/>
      <c r="DI355" s="72"/>
      <c r="DJ355" s="72"/>
      <c r="DK355" s="72"/>
      <c r="DL355" s="72"/>
      <c r="DM355" s="72"/>
      <c r="DN355" s="72"/>
      <c r="DO355" s="72"/>
      <c r="DP355" s="72"/>
      <c r="DQ355" s="72"/>
      <c r="DR355" s="72"/>
      <c r="DS355" s="72"/>
      <c r="DT355" s="72"/>
      <c r="DU355" s="72"/>
      <c r="DV355" s="72"/>
      <c r="DW355" s="72"/>
      <c r="DX355" s="72"/>
      <c r="DY355" s="72"/>
      <c r="DZ355" s="72"/>
      <c r="EA355" s="72"/>
      <c r="EB355" s="72"/>
      <c r="EC355" s="72"/>
      <c r="ED355" s="72"/>
      <c r="EE355" s="72"/>
      <c r="EF355" s="72"/>
      <c r="EG355" s="72"/>
      <c r="EH355" s="72"/>
      <c r="EI355" s="129"/>
      <c r="EJ355" s="129"/>
      <c r="EK355" s="129"/>
      <c r="EL355" s="129"/>
      <c r="EM355" s="72"/>
      <c r="EN355" s="72"/>
      <c r="EO355" s="72"/>
      <c r="EP355" s="72"/>
      <c r="EQ355" s="72"/>
      <c r="ER355" s="72"/>
      <c r="ES355" s="72"/>
      <c r="ET355" s="72"/>
    </row>
    <row r="356">
      <c r="CD356" s="72"/>
      <c r="CE356" s="72"/>
      <c r="CF356" s="72"/>
      <c r="CG356" s="72"/>
      <c r="CH356" s="72"/>
      <c r="CI356" s="72"/>
      <c r="CJ356" s="72"/>
      <c r="CK356" s="72"/>
      <c r="CL356" s="72"/>
      <c r="CM356" s="72"/>
      <c r="CN356" s="72"/>
      <c r="CO356" s="72"/>
      <c r="CP356" s="72"/>
      <c r="CQ356" s="72"/>
      <c r="CR356" s="72"/>
      <c r="CS356" s="72"/>
      <c r="CT356" s="72"/>
      <c r="CU356" s="72"/>
      <c r="CV356" s="72"/>
      <c r="CW356" s="72"/>
      <c r="CX356" s="72"/>
      <c r="CY356" s="72"/>
      <c r="CZ356" s="72"/>
      <c r="DA356" s="72"/>
      <c r="DB356" s="72"/>
      <c r="DC356" s="72"/>
      <c r="DD356" s="72"/>
      <c r="DE356" s="72"/>
      <c r="DF356" s="72"/>
      <c r="DG356" s="72"/>
      <c r="DH356" s="72"/>
      <c r="DI356" s="72"/>
      <c r="DJ356" s="72"/>
      <c r="DK356" s="72"/>
      <c r="DL356" s="72"/>
      <c r="DM356" s="72"/>
      <c r="DN356" s="72"/>
      <c r="DO356" s="72"/>
      <c r="DP356" s="72"/>
      <c r="DQ356" s="72"/>
      <c r="DR356" s="72"/>
      <c r="DS356" s="72"/>
      <c r="DT356" s="72"/>
      <c r="DU356" s="72"/>
      <c r="DV356" s="72"/>
      <c r="DW356" s="72"/>
      <c r="DX356" s="72"/>
      <c r="DY356" s="72"/>
      <c r="DZ356" s="72"/>
      <c r="EA356" s="72"/>
      <c r="EB356" s="72"/>
      <c r="EC356" s="72"/>
      <c r="ED356" s="72"/>
      <c r="EE356" s="72"/>
      <c r="EF356" s="72"/>
      <c r="EG356" s="72"/>
      <c r="EH356" s="72"/>
      <c r="EI356" s="129"/>
      <c r="EJ356" s="129"/>
      <c r="EK356" s="129"/>
      <c r="EL356" s="129"/>
      <c r="EM356" s="72"/>
      <c r="EN356" s="72"/>
      <c r="EO356" s="72"/>
      <c r="EP356" s="72"/>
      <c r="EQ356" s="72"/>
      <c r="ER356" s="72"/>
      <c r="ES356" s="72"/>
      <c r="ET356" s="72"/>
    </row>
    <row r="357"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  <c r="CV357" s="72"/>
      <c r="CW357" s="72"/>
      <c r="CX357" s="72"/>
      <c r="CY357" s="72"/>
      <c r="CZ357" s="72"/>
      <c r="DA357" s="72"/>
      <c r="DB357" s="72"/>
      <c r="DC357" s="72"/>
      <c r="DD357" s="72"/>
      <c r="DE357" s="72"/>
      <c r="DF357" s="72"/>
      <c r="DG357" s="72"/>
      <c r="DH357" s="72"/>
      <c r="DI357" s="72"/>
      <c r="DJ357" s="72"/>
      <c r="DK357" s="72"/>
      <c r="DL357" s="72"/>
      <c r="DM357" s="72"/>
      <c r="DN357" s="72"/>
      <c r="DO357" s="72"/>
      <c r="DP357" s="72"/>
      <c r="DQ357" s="72"/>
      <c r="DR357" s="72"/>
      <c r="DS357" s="72"/>
      <c r="DT357" s="72"/>
      <c r="DU357" s="72"/>
      <c r="DV357" s="72"/>
      <c r="DW357" s="72"/>
      <c r="DX357" s="72"/>
      <c r="DY357" s="72"/>
      <c r="DZ357" s="72"/>
      <c r="EA357" s="72"/>
      <c r="EB357" s="72"/>
      <c r="EC357" s="72"/>
      <c r="ED357" s="72"/>
      <c r="EE357" s="72"/>
      <c r="EF357" s="72"/>
      <c r="EG357" s="72"/>
      <c r="EH357" s="72"/>
      <c r="EI357" s="129"/>
      <c r="EJ357" s="129"/>
      <c r="EK357" s="129"/>
      <c r="EL357" s="129"/>
      <c r="EM357" s="72"/>
      <c r="EN357" s="72"/>
      <c r="EO357" s="72"/>
      <c r="EP357" s="72"/>
      <c r="EQ357" s="72"/>
      <c r="ER357" s="72"/>
      <c r="ES357" s="72"/>
      <c r="ET357" s="72"/>
    </row>
    <row r="358">
      <c r="CD358" s="72"/>
      <c r="CE358" s="72"/>
      <c r="CF358" s="72"/>
      <c r="CG358" s="72"/>
      <c r="CH358" s="72"/>
      <c r="CI358" s="72"/>
      <c r="CJ358" s="72"/>
      <c r="CK358" s="72"/>
      <c r="CL358" s="72"/>
      <c r="CM358" s="72"/>
      <c r="CN358" s="72"/>
      <c r="CO358" s="72"/>
      <c r="CP358" s="72"/>
      <c r="CQ358" s="72"/>
      <c r="CR358" s="72"/>
      <c r="CS358" s="72"/>
      <c r="CT358" s="72"/>
      <c r="CU358" s="72"/>
      <c r="CV358" s="72"/>
      <c r="CW358" s="72"/>
      <c r="CX358" s="72"/>
      <c r="CY358" s="72"/>
      <c r="CZ358" s="72"/>
      <c r="DA358" s="72"/>
      <c r="DB358" s="72"/>
      <c r="DC358" s="72"/>
      <c r="DD358" s="72"/>
      <c r="DE358" s="72"/>
      <c r="DF358" s="72"/>
      <c r="DG358" s="72"/>
      <c r="DH358" s="72"/>
      <c r="DI358" s="72"/>
      <c r="DJ358" s="72"/>
      <c r="DK358" s="72"/>
      <c r="DL358" s="72"/>
      <c r="DM358" s="72"/>
      <c r="DN358" s="72"/>
      <c r="DO358" s="72"/>
      <c r="DP358" s="72"/>
      <c r="DQ358" s="72"/>
      <c r="DR358" s="72"/>
      <c r="DS358" s="72"/>
      <c r="DT358" s="72"/>
      <c r="DU358" s="72"/>
      <c r="DV358" s="72"/>
      <c r="DW358" s="72"/>
      <c r="DX358" s="72"/>
      <c r="DY358" s="72"/>
      <c r="DZ358" s="72"/>
      <c r="EA358" s="72"/>
      <c r="EB358" s="72"/>
      <c r="EC358" s="72"/>
      <c r="ED358" s="72"/>
      <c r="EE358" s="72"/>
      <c r="EF358" s="72"/>
      <c r="EG358" s="72"/>
      <c r="EH358" s="72"/>
      <c r="EI358" s="129"/>
      <c r="EJ358" s="129"/>
      <c r="EK358" s="129"/>
      <c r="EL358" s="129"/>
      <c r="EM358" s="72"/>
      <c r="EN358" s="72"/>
      <c r="EO358" s="72"/>
      <c r="EP358" s="72"/>
      <c r="EQ358" s="72"/>
      <c r="ER358" s="72"/>
      <c r="ES358" s="72"/>
      <c r="ET358" s="72"/>
    </row>
    <row r="359"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  <c r="CV359" s="72"/>
      <c r="CW359" s="72"/>
      <c r="CX359" s="72"/>
      <c r="CY359" s="72"/>
      <c r="CZ359" s="72"/>
      <c r="DA359" s="72"/>
      <c r="DB359" s="72"/>
      <c r="DC359" s="72"/>
      <c r="DD359" s="72"/>
      <c r="DE359" s="72"/>
      <c r="DF359" s="72"/>
      <c r="DG359" s="72"/>
      <c r="DH359" s="72"/>
      <c r="DI359" s="72"/>
      <c r="DJ359" s="72"/>
      <c r="DK359" s="72"/>
      <c r="DL359" s="72"/>
      <c r="DM359" s="72"/>
      <c r="DN359" s="72"/>
      <c r="DO359" s="72"/>
      <c r="DP359" s="72"/>
      <c r="DQ359" s="72"/>
      <c r="DR359" s="72"/>
      <c r="DS359" s="72"/>
      <c r="DT359" s="72"/>
      <c r="DU359" s="72"/>
      <c r="DV359" s="72"/>
      <c r="DW359" s="72"/>
      <c r="DX359" s="72"/>
      <c r="DY359" s="72"/>
      <c r="DZ359" s="72"/>
      <c r="EA359" s="72"/>
      <c r="EB359" s="72"/>
      <c r="EC359" s="72"/>
      <c r="ED359" s="72"/>
      <c r="EE359" s="72"/>
      <c r="EF359" s="72"/>
      <c r="EG359" s="72"/>
      <c r="EH359" s="72"/>
      <c r="EI359" s="129"/>
      <c r="EJ359" s="129"/>
      <c r="EK359" s="129"/>
      <c r="EL359" s="129"/>
      <c r="EM359" s="72"/>
      <c r="EN359" s="72"/>
      <c r="EO359" s="72"/>
      <c r="EP359" s="72"/>
      <c r="EQ359" s="72"/>
      <c r="ER359" s="72"/>
      <c r="ES359" s="72"/>
      <c r="ET359" s="72"/>
    </row>
    <row r="360">
      <c r="CD360" s="72"/>
      <c r="CE360" s="72"/>
      <c r="CF360" s="72"/>
      <c r="CG360" s="72"/>
      <c r="CH360" s="72"/>
      <c r="CI360" s="72"/>
      <c r="CJ360" s="72"/>
      <c r="CK360" s="72"/>
      <c r="CL360" s="72"/>
      <c r="CM360" s="72"/>
      <c r="CN360" s="72"/>
      <c r="CO360" s="72"/>
      <c r="CP360" s="72"/>
      <c r="CQ360" s="72"/>
      <c r="CR360" s="72"/>
      <c r="CS360" s="72"/>
      <c r="CT360" s="72"/>
      <c r="CU360" s="72"/>
      <c r="CV360" s="72"/>
      <c r="CW360" s="72"/>
      <c r="CX360" s="72"/>
      <c r="CY360" s="72"/>
      <c r="CZ360" s="72"/>
      <c r="DA360" s="72"/>
      <c r="DB360" s="72"/>
      <c r="DC360" s="72"/>
      <c r="DD360" s="72"/>
      <c r="DE360" s="72"/>
      <c r="DF360" s="72"/>
      <c r="DG360" s="72"/>
      <c r="DH360" s="72"/>
      <c r="DI360" s="72"/>
      <c r="DJ360" s="72"/>
      <c r="DK360" s="72"/>
      <c r="DL360" s="72"/>
      <c r="DM360" s="72"/>
      <c r="DN360" s="72"/>
      <c r="DO360" s="72"/>
      <c r="DP360" s="72"/>
      <c r="DQ360" s="72"/>
      <c r="DR360" s="72"/>
      <c r="DS360" s="72"/>
      <c r="DT360" s="72"/>
      <c r="DU360" s="72"/>
      <c r="DV360" s="72"/>
      <c r="DW360" s="72"/>
      <c r="DX360" s="72"/>
      <c r="DY360" s="72"/>
      <c r="DZ360" s="72"/>
      <c r="EA360" s="72"/>
      <c r="EB360" s="72"/>
      <c r="EC360" s="72"/>
      <c r="ED360" s="72"/>
      <c r="EE360" s="72"/>
      <c r="EF360" s="72"/>
      <c r="EG360" s="72"/>
      <c r="EH360" s="72"/>
      <c r="EI360" s="129"/>
      <c r="EJ360" s="129"/>
      <c r="EK360" s="129"/>
      <c r="EL360" s="129"/>
      <c r="EM360" s="72"/>
      <c r="EN360" s="72"/>
      <c r="EO360" s="72"/>
      <c r="EP360" s="72"/>
      <c r="EQ360" s="72"/>
      <c r="ER360" s="72"/>
      <c r="ES360" s="72"/>
      <c r="ET360" s="72"/>
    </row>
    <row r="361"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  <c r="CV361" s="72"/>
      <c r="CW361" s="72"/>
      <c r="CX361" s="72"/>
      <c r="CY361" s="72"/>
      <c r="CZ361" s="72"/>
      <c r="DA361" s="72"/>
      <c r="DB361" s="72"/>
      <c r="DC361" s="72"/>
      <c r="DD361" s="72"/>
      <c r="DE361" s="72"/>
      <c r="DF361" s="72"/>
      <c r="DG361" s="72"/>
      <c r="DH361" s="72"/>
      <c r="DI361" s="72"/>
      <c r="DJ361" s="72"/>
      <c r="DK361" s="72"/>
      <c r="DL361" s="72"/>
      <c r="DM361" s="72"/>
      <c r="DN361" s="72"/>
      <c r="DO361" s="72"/>
      <c r="DP361" s="72"/>
      <c r="DQ361" s="72"/>
      <c r="DR361" s="72"/>
      <c r="DS361" s="72"/>
      <c r="DT361" s="72"/>
      <c r="DU361" s="72"/>
      <c r="DV361" s="72"/>
      <c r="DW361" s="72"/>
      <c r="DX361" s="72"/>
      <c r="DY361" s="72"/>
      <c r="DZ361" s="72"/>
      <c r="EA361" s="72"/>
      <c r="EB361" s="72"/>
      <c r="EC361" s="72"/>
      <c r="ED361" s="72"/>
      <c r="EE361" s="72"/>
      <c r="EF361" s="72"/>
      <c r="EG361" s="72"/>
      <c r="EH361" s="72"/>
      <c r="EI361" s="129"/>
      <c r="EJ361" s="129"/>
      <c r="EK361" s="129"/>
      <c r="EL361" s="129"/>
      <c r="EM361" s="72"/>
      <c r="EN361" s="72"/>
      <c r="EO361" s="72"/>
      <c r="EP361" s="72"/>
      <c r="EQ361" s="72"/>
      <c r="ER361" s="72"/>
      <c r="ES361" s="72"/>
      <c r="ET361" s="72"/>
    </row>
    <row r="362">
      <c r="CD362" s="72"/>
      <c r="CE362" s="72"/>
      <c r="CF362" s="72"/>
      <c r="CG362" s="72"/>
      <c r="CH362" s="72"/>
      <c r="CI362" s="72"/>
      <c r="CJ362" s="72"/>
      <c r="CK362" s="72"/>
      <c r="CL362" s="72"/>
      <c r="CM362" s="72"/>
      <c r="CN362" s="72"/>
      <c r="CO362" s="72"/>
      <c r="CP362" s="72"/>
      <c r="CQ362" s="72"/>
      <c r="CR362" s="72"/>
      <c r="CS362" s="72"/>
      <c r="CT362" s="72"/>
      <c r="CU362" s="72"/>
      <c r="CV362" s="72"/>
      <c r="CW362" s="72"/>
      <c r="CX362" s="72"/>
      <c r="CY362" s="72"/>
      <c r="CZ362" s="72"/>
      <c r="DA362" s="72"/>
      <c r="DB362" s="72"/>
      <c r="DC362" s="72"/>
      <c r="DD362" s="72"/>
      <c r="DE362" s="72"/>
      <c r="DF362" s="72"/>
      <c r="DG362" s="72"/>
      <c r="DH362" s="72"/>
      <c r="DI362" s="72"/>
      <c r="DJ362" s="72"/>
      <c r="DK362" s="72"/>
      <c r="DL362" s="72"/>
      <c r="DM362" s="72"/>
      <c r="DN362" s="72"/>
      <c r="DO362" s="72"/>
      <c r="DP362" s="72"/>
      <c r="DQ362" s="72"/>
      <c r="DR362" s="72"/>
      <c r="DS362" s="72"/>
      <c r="DT362" s="72"/>
      <c r="DU362" s="72"/>
      <c r="DV362" s="72"/>
      <c r="DW362" s="72"/>
      <c r="DX362" s="72"/>
      <c r="DY362" s="72"/>
      <c r="DZ362" s="72"/>
      <c r="EA362" s="72"/>
      <c r="EB362" s="72"/>
      <c r="EC362" s="72"/>
      <c r="ED362" s="72"/>
      <c r="EE362" s="72"/>
      <c r="EF362" s="72"/>
      <c r="EG362" s="72"/>
      <c r="EH362" s="72"/>
      <c r="EI362" s="129"/>
      <c r="EJ362" s="129"/>
      <c r="EK362" s="129"/>
      <c r="EL362" s="129"/>
      <c r="EM362" s="72"/>
      <c r="EN362" s="72"/>
      <c r="EO362" s="72"/>
      <c r="EP362" s="72"/>
      <c r="EQ362" s="72"/>
      <c r="ER362" s="72"/>
      <c r="ES362" s="72"/>
      <c r="ET362" s="72"/>
    </row>
    <row r="363"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  <c r="CV363" s="72"/>
      <c r="CW363" s="72"/>
      <c r="CX363" s="72"/>
      <c r="CY363" s="72"/>
      <c r="CZ363" s="72"/>
      <c r="DA363" s="72"/>
      <c r="DB363" s="72"/>
      <c r="DC363" s="72"/>
      <c r="DD363" s="72"/>
      <c r="DE363" s="72"/>
      <c r="DF363" s="72"/>
      <c r="DG363" s="72"/>
      <c r="DH363" s="72"/>
      <c r="DI363" s="72"/>
      <c r="DJ363" s="72"/>
      <c r="DK363" s="72"/>
      <c r="DL363" s="72"/>
      <c r="DM363" s="72"/>
      <c r="DN363" s="72"/>
      <c r="DO363" s="72"/>
      <c r="DP363" s="72"/>
      <c r="DQ363" s="72"/>
      <c r="DR363" s="72"/>
      <c r="DS363" s="72"/>
      <c r="DT363" s="72"/>
      <c r="DU363" s="72"/>
      <c r="DV363" s="72"/>
      <c r="DW363" s="72"/>
      <c r="DX363" s="72"/>
      <c r="DY363" s="72"/>
      <c r="DZ363" s="72"/>
      <c r="EA363" s="72"/>
      <c r="EB363" s="72"/>
      <c r="EC363" s="72"/>
      <c r="ED363" s="72"/>
      <c r="EE363" s="72"/>
      <c r="EF363" s="72"/>
      <c r="EG363" s="72"/>
      <c r="EH363" s="72"/>
      <c r="EI363" s="129"/>
      <c r="EJ363" s="129"/>
      <c r="EK363" s="129"/>
      <c r="EL363" s="129"/>
      <c r="EM363" s="72"/>
      <c r="EN363" s="72"/>
      <c r="EO363" s="72"/>
      <c r="EP363" s="72"/>
      <c r="EQ363" s="72"/>
      <c r="ER363" s="72"/>
      <c r="ES363" s="72"/>
      <c r="ET363" s="72"/>
    </row>
    <row r="364">
      <c r="CD364" s="72"/>
      <c r="CE364" s="72"/>
      <c r="CF364" s="72"/>
      <c r="CG364" s="72"/>
      <c r="CH364" s="72"/>
      <c r="CI364" s="72"/>
      <c r="CJ364" s="72"/>
      <c r="CK364" s="72"/>
      <c r="CL364" s="72"/>
      <c r="CM364" s="72"/>
      <c r="CN364" s="72"/>
      <c r="CO364" s="72"/>
      <c r="CP364" s="72"/>
      <c r="CQ364" s="72"/>
      <c r="CR364" s="72"/>
      <c r="CS364" s="72"/>
      <c r="CT364" s="72"/>
      <c r="CU364" s="72"/>
      <c r="CV364" s="72"/>
      <c r="CW364" s="72"/>
      <c r="CX364" s="72"/>
      <c r="CY364" s="72"/>
      <c r="CZ364" s="72"/>
      <c r="DA364" s="72"/>
      <c r="DB364" s="72"/>
      <c r="DC364" s="72"/>
      <c r="DD364" s="72"/>
      <c r="DE364" s="72"/>
      <c r="DF364" s="72"/>
      <c r="DG364" s="72"/>
      <c r="DH364" s="72"/>
      <c r="DI364" s="72"/>
      <c r="DJ364" s="72"/>
      <c r="DK364" s="72"/>
      <c r="DL364" s="72"/>
      <c r="DM364" s="72"/>
      <c r="DN364" s="72"/>
      <c r="DO364" s="72"/>
      <c r="DP364" s="72"/>
      <c r="DQ364" s="72"/>
      <c r="DR364" s="72"/>
      <c r="DS364" s="72"/>
      <c r="DT364" s="72"/>
      <c r="DU364" s="72"/>
      <c r="DV364" s="72"/>
      <c r="DW364" s="72"/>
      <c r="DX364" s="72"/>
      <c r="DY364" s="72"/>
      <c r="DZ364" s="72"/>
      <c r="EA364" s="72"/>
      <c r="EB364" s="72"/>
      <c r="EC364" s="72"/>
      <c r="ED364" s="72"/>
      <c r="EE364" s="72"/>
      <c r="EF364" s="72"/>
      <c r="EG364" s="72"/>
      <c r="EH364" s="72"/>
      <c r="EI364" s="129"/>
      <c r="EJ364" s="129"/>
      <c r="EK364" s="129"/>
      <c r="EL364" s="129"/>
      <c r="EM364" s="72"/>
      <c r="EN364" s="72"/>
      <c r="EO364" s="72"/>
      <c r="EP364" s="72"/>
      <c r="EQ364" s="72"/>
      <c r="ER364" s="72"/>
      <c r="ES364" s="72"/>
      <c r="ET364" s="72"/>
    </row>
    <row r="365"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  <c r="CV365" s="72"/>
      <c r="CW365" s="72"/>
      <c r="CX365" s="72"/>
      <c r="CY365" s="72"/>
      <c r="CZ365" s="72"/>
      <c r="DA365" s="72"/>
      <c r="DB365" s="72"/>
      <c r="DC365" s="72"/>
      <c r="DD365" s="72"/>
      <c r="DE365" s="72"/>
      <c r="DF365" s="72"/>
      <c r="DG365" s="72"/>
      <c r="DH365" s="72"/>
      <c r="DI365" s="72"/>
      <c r="DJ365" s="72"/>
      <c r="DK365" s="72"/>
      <c r="DL365" s="72"/>
      <c r="DM365" s="72"/>
      <c r="DN365" s="72"/>
      <c r="DO365" s="72"/>
      <c r="DP365" s="72"/>
      <c r="DQ365" s="72"/>
      <c r="DR365" s="72"/>
      <c r="DS365" s="72"/>
      <c r="DT365" s="72"/>
      <c r="DU365" s="72"/>
      <c r="DV365" s="72"/>
      <c r="DW365" s="72"/>
      <c r="DX365" s="72"/>
      <c r="DY365" s="72"/>
      <c r="DZ365" s="72"/>
      <c r="EA365" s="72"/>
      <c r="EB365" s="72"/>
      <c r="EC365" s="72"/>
      <c r="ED365" s="72"/>
      <c r="EE365" s="72"/>
      <c r="EF365" s="72"/>
      <c r="EG365" s="72"/>
      <c r="EH365" s="72"/>
      <c r="EI365" s="129"/>
      <c r="EJ365" s="129"/>
      <c r="EK365" s="129"/>
      <c r="EL365" s="129"/>
      <c r="EM365" s="72"/>
      <c r="EN365" s="72"/>
      <c r="EO365" s="72"/>
      <c r="EP365" s="72"/>
      <c r="EQ365" s="72"/>
      <c r="ER365" s="72"/>
      <c r="ES365" s="72"/>
      <c r="ET365" s="72"/>
    </row>
    <row r="366">
      <c r="CD366" s="72"/>
      <c r="CE366" s="72"/>
      <c r="CF366" s="72"/>
      <c r="CG366" s="72"/>
      <c r="CH366" s="72"/>
      <c r="CI366" s="72"/>
      <c r="CJ366" s="72"/>
      <c r="CK366" s="72"/>
      <c r="CL366" s="72"/>
      <c r="CM366" s="72"/>
      <c r="CN366" s="72"/>
      <c r="CO366" s="72"/>
      <c r="CP366" s="72"/>
      <c r="CQ366" s="72"/>
      <c r="CR366" s="72"/>
      <c r="CS366" s="72"/>
      <c r="CT366" s="72"/>
      <c r="CU366" s="72"/>
      <c r="CV366" s="72"/>
      <c r="CW366" s="72"/>
      <c r="CX366" s="72"/>
      <c r="CY366" s="72"/>
      <c r="CZ366" s="72"/>
      <c r="DA366" s="72"/>
      <c r="DB366" s="72"/>
      <c r="DC366" s="72"/>
      <c r="DD366" s="72"/>
      <c r="DE366" s="72"/>
      <c r="DF366" s="72"/>
      <c r="DG366" s="72"/>
      <c r="DH366" s="72"/>
      <c r="DI366" s="72"/>
      <c r="DJ366" s="72"/>
      <c r="DK366" s="72"/>
      <c r="DL366" s="72"/>
      <c r="DM366" s="72"/>
      <c r="DN366" s="72"/>
      <c r="DO366" s="72"/>
      <c r="DP366" s="72"/>
      <c r="DQ366" s="72"/>
      <c r="DR366" s="72"/>
      <c r="DS366" s="72"/>
      <c r="DT366" s="72"/>
      <c r="DU366" s="72"/>
      <c r="DV366" s="72"/>
      <c r="DW366" s="72"/>
      <c r="DX366" s="72"/>
      <c r="DY366" s="72"/>
      <c r="DZ366" s="72"/>
      <c r="EA366" s="72"/>
      <c r="EB366" s="72"/>
      <c r="EC366" s="72"/>
      <c r="ED366" s="72"/>
      <c r="EE366" s="72"/>
      <c r="EF366" s="72"/>
      <c r="EG366" s="72"/>
      <c r="EH366" s="72"/>
      <c r="EI366" s="129"/>
      <c r="EJ366" s="129"/>
      <c r="EK366" s="129"/>
      <c r="EL366" s="129"/>
      <c r="EM366" s="72"/>
      <c r="EN366" s="72"/>
      <c r="EO366" s="72"/>
      <c r="EP366" s="72"/>
      <c r="EQ366" s="72"/>
      <c r="ER366" s="72"/>
      <c r="ES366" s="72"/>
      <c r="ET366" s="72"/>
    </row>
    <row r="367"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  <c r="CV367" s="72"/>
      <c r="CW367" s="72"/>
      <c r="CX367" s="72"/>
      <c r="CY367" s="72"/>
      <c r="CZ367" s="72"/>
      <c r="DA367" s="72"/>
      <c r="DB367" s="72"/>
      <c r="DC367" s="72"/>
      <c r="DD367" s="72"/>
      <c r="DE367" s="72"/>
      <c r="DF367" s="72"/>
      <c r="DG367" s="72"/>
      <c r="DH367" s="72"/>
      <c r="DI367" s="72"/>
      <c r="DJ367" s="72"/>
      <c r="DK367" s="72"/>
      <c r="DL367" s="72"/>
      <c r="DM367" s="72"/>
      <c r="DN367" s="72"/>
      <c r="DO367" s="72"/>
      <c r="DP367" s="72"/>
      <c r="DQ367" s="72"/>
      <c r="DR367" s="72"/>
      <c r="DS367" s="72"/>
      <c r="DT367" s="72"/>
      <c r="DU367" s="72"/>
      <c r="DV367" s="72"/>
      <c r="DW367" s="72"/>
      <c r="DX367" s="72"/>
      <c r="DY367" s="72"/>
      <c r="DZ367" s="72"/>
      <c r="EA367" s="72"/>
      <c r="EB367" s="72"/>
      <c r="EC367" s="72"/>
      <c r="ED367" s="72"/>
      <c r="EE367" s="72"/>
      <c r="EF367" s="72"/>
      <c r="EG367" s="72"/>
      <c r="EH367" s="72"/>
      <c r="EI367" s="129"/>
      <c r="EJ367" s="129"/>
      <c r="EK367" s="129"/>
      <c r="EL367" s="129"/>
      <c r="EM367" s="72"/>
      <c r="EN367" s="72"/>
      <c r="EO367" s="72"/>
      <c r="EP367" s="72"/>
      <c r="EQ367" s="72"/>
      <c r="ER367" s="72"/>
      <c r="ES367" s="72"/>
      <c r="ET367" s="72"/>
    </row>
    <row r="368">
      <c r="CD368" s="72"/>
      <c r="CE368" s="72"/>
      <c r="CF368" s="72"/>
      <c r="CG368" s="72"/>
      <c r="CH368" s="72"/>
      <c r="CI368" s="72"/>
      <c r="CJ368" s="72"/>
      <c r="CK368" s="72"/>
      <c r="CL368" s="72"/>
      <c r="CM368" s="72"/>
      <c r="CN368" s="72"/>
      <c r="CO368" s="72"/>
      <c r="CP368" s="72"/>
      <c r="CQ368" s="72"/>
      <c r="CR368" s="72"/>
      <c r="CS368" s="72"/>
      <c r="CT368" s="72"/>
      <c r="CU368" s="72"/>
      <c r="CV368" s="72"/>
      <c r="CW368" s="72"/>
      <c r="CX368" s="72"/>
      <c r="CY368" s="72"/>
      <c r="CZ368" s="72"/>
      <c r="DA368" s="72"/>
      <c r="DB368" s="72"/>
      <c r="DC368" s="72"/>
      <c r="DD368" s="72"/>
      <c r="DE368" s="72"/>
      <c r="DF368" s="72"/>
      <c r="DG368" s="72"/>
      <c r="DH368" s="72"/>
      <c r="DI368" s="72"/>
      <c r="DJ368" s="72"/>
      <c r="DK368" s="72"/>
      <c r="DL368" s="72"/>
      <c r="DM368" s="72"/>
      <c r="DN368" s="72"/>
      <c r="DO368" s="72"/>
      <c r="DP368" s="72"/>
      <c r="DQ368" s="72"/>
      <c r="DR368" s="72"/>
      <c r="DS368" s="72"/>
      <c r="DT368" s="72"/>
      <c r="DU368" s="72"/>
      <c r="DV368" s="72"/>
      <c r="DW368" s="72"/>
      <c r="DX368" s="72"/>
      <c r="DY368" s="72"/>
      <c r="DZ368" s="72"/>
      <c r="EA368" s="72"/>
      <c r="EB368" s="72"/>
      <c r="EC368" s="72"/>
      <c r="ED368" s="72"/>
      <c r="EE368" s="72"/>
      <c r="EF368" s="72"/>
      <c r="EG368" s="72"/>
      <c r="EH368" s="72"/>
      <c r="EI368" s="129"/>
      <c r="EJ368" s="129"/>
      <c r="EK368" s="129"/>
      <c r="EL368" s="129"/>
      <c r="EM368" s="72"/>
      <c r="EN368" s="72"/>
      <c r="EO368" s="72"/>
      <c r="EP368" s="72"/>
      <c r="EQ368" s="72"/>
      <c r="ER368" s="72"/>
      <c r="ES368" s="72"/>
      <c r="ET368" s="72"/>
    </row>
    <row r="369"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  <c r="CV369" s="72"/>
      <c r="CW369" s="72"/>
      <c r="CX369" s="72"/>
      <c r="CY369" s="72"/>
      <c r="CZ369" s="72"/>
      <c r="DA369" s="72"/>
      <c r="DB369" s="72"/>
      <c r="DC369" s="72"/>
      <c r="DD369" s="72"/>
      <c r="DE369" s="72"/>
      <c r="DF369" s="72"/>
      <c r="DG369" s="72"/>
      <c r="DH369" s="72"/>
      <c r="DI369" s="72"/>
      <c r="DJ369" s="72"/>
      <c r="DK369" s="72"/>
      <c r="DL369" s="72"/>
      <c r="DM369" s="72"/>
      <c r="DN369" s="72"/>
      <c r="DO369" s="72"/>
      <c r="DP369" s="72"/>
      <c r="DQ369" s="72"/>
      <c r="DR369" s="72"/>
      <c r="DS369" s="72"/>
      <c r="DT369" s="72"/>
      <c r="DU369" s="72"/>
      <c r="DV369" s="72"/>
      <c r="DW369" s="72"/>
      <c r="DX369" s="72"/>
      <c r="DY369" s="72"/>
      <c r="DZ369" s="72"/>
      <c r="EA369" s="72"/>
      <c r="EB369" s="72"/>
      <c r="EC369" s="72"/>
      <c r="ED369" s="72"/>
      <c r="EE369" s="72"/>
      <c r="EF369" s="72"/>
      <c r="EG369" s="72"/>
      <c r="EH369" s="72"/>
      <c r="EI369" s="129"/>
      <c r="EJ369" s="129"/>
      <c r="EK369" s="129"/>
      <c r="EL369" s="129"/>
      <c r="EM369" s="72"/>
      <c r="EN369" s="72"/>
      <c r="EO369" s="72"/>
      <c r="EP369" s="72"/>
      <c r="EQ369" s="72"/>
      <c r="ER369" s="72"/>
      <c r="ES369" s="72"/>
      <c r="ET369" s="72"/>
    </row>
    <row r="370">
      <c r="CD370" s="72"/>
      <c r="CE370" s="72"/>
      <c r="CF370" s="72"/>
      <c r="CG370" s="72"/>
      <c r="CH370" s="72"/>
      <c r="CI370" s="72"/>
      <c r="CJ370" s="72"/>
      <c r="CK370" s="72"/>
      <c r="CL370" s="72"/>
      <c r="CM370" s="72"/>
      <c r="CN370" s="72"/>
      <c r="CO370" s="72"/>
      <c r="CP370" s="72"/>
      <c r="CQ370" s="72"/>
      <c r="CR370" s="72"/>
      <c r="CS370" s="72"/>
      <c r="CT370" s="72"/>
      <c r="CU370" s="72"/>
      <c r="CV370" s="72"/>
      <c r="CW370" s="72"/>
      <c r="CX370" s="72"/>
      <c r="CY370" s="72"/>
      <c r="CZ370" s="72"/>
      <c r="DA370" s="72"/>
      <c r="DB370" s="72"/>
      <c r="DC370" s="72"/>
      <c r="DD370" s="72"/>
      <c r="DE370" s="72"/>
      <c r="DF370" s="72"/>
      <c r="DG370" s="72"/>
      <c r="DH370" s="72"/>
      <c r="DI370" s="72"/>
      <c r="DJ370" s="72"/>
      <c r="DK370" s="72"/>
      <c r="DL370" s="72"/>
      <c r="DM370" s="72"/>
      <c r="DN370" s="72"/>
      <c r="DO370" s="72"/>
      <c r="DP370" s="72"/>
      <c r="DQ370" s="72"/>
      <c r="DR370" s="72"/>
      <c r="DS370" s="72"/>
      <c r="DT370" s="72"/>
      <c r="DU370" s="72"/>
      <c r="DV370" s="72"/>
      <c r="DW370" s="72"/>
      <c r="DX370" s="72"/>
      <c r="DY370" s="72"/>
      <c r="DZ370" s="72"/>
      <c r="EA370" s="72"/>
      <c r="EB370" s="72"/>
      <c r="EC370" s="72"/>
      <c r="ED370" s="72"/>
      <c r="EE370" s="72"/>
      <c r="EF370" s="72"/>
      <c r="EG370" s="72"/>
      <c r="EH370" s="72"/>
      <c r="EI370" s="129"/>
      <c r="EJ370" s="129"/>
      <c r="EK370" s="129"/>
      <c r="EL370" s="129"/>
      <c r="EM370" s="72"/>
      <c r="EN370" s="72"/>
      <c r="EO370" s="72"/>
      <c r="EP370" s="72"/>
      <c r="EQ370" s="72"/>
      <c r="ER370" s="72"/>
      <c r="ES370" s="72"/>
      <c r="ET370" s="72"/>
    </row>
    <row r="371"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  <c r="CV371" s="72"/>
      <c r="CW371" s="72"/>
      <c r="CX371" s="72"/>
      <c r="CY371" s="72"/>
      <c r="CZ371" s="72"/>
      <c r="DA371" s="72"/>
      <c r="DB371" s="72"/>
      <c r="DC371" s="72"/>
      <c r="DD371" s="72"/>
      <c r="DE371" s="72"/>
      <c r="DF371" s="72"/>
      <c r="DG371" s="72"/>
      <c r="DH371" s="72"/>
      <c r="DI371" s="72"/>
      <c r="DJ371" s="72"/>
      <c r="DK371" s="72"/>
      <c r="DL371" s="72"/>
      <c r="DM371" s="72"/>
      <c r="DN371" s="72"/>
      <c r="DO371" s="72"/>
      <c r="DP371" s="72"/>
      <c r="DQ371" s="72"/>
      <c r="DR371" s="72"/>
      <c r="DS371" s="72"/>
      <c r="DT371" s="72"/>
      <c r="DU371" s="72"/>
      <c r="DV371" s="72"/>
      <c r="DW371" s="72"/>
      <c r="DX371" s="72"/>
      <c r="DY371" s="72"/>
      <c r="DZ371" s="72"/>
      <c r="EA371" s="72"/>
      <c r="EB371" s="72"/>
      <c r="EC371" s="72"/>
      <c r="ED371" s="72"/>
      <c r="EE371" s="72"/>
      <c r="EF371" s="72"/>
      <c r="EG371" s="72"/>
      <c r="EH371" s="72"/>
      <c r="EI371" s="129"/>
      <c r="EJ371" s="129"/>
      <c r="EK371" s="129"/>
      <c r="EL371" s="129"/>
      <c r="EM371" s="72"/>
      <c r="EN371" s="72"/>
      <c r="EO371" s="72"/>
      <c r="EP371" s="72"/>
      <c r="EQ371" s="72"/>
      <c r="ER371" s="72"/>
      <c r="ES371" s="72"/>
      <c r="ET371" s="72"/>
    </row>
    <row r="372">
      <c r="CD372" s="72"/>
      <c r="CE372" s="72"/>
      <c r="CF372" s="72"/>
      <c r="CG372" s="72"/>
      <c r="CH372" s="72"/>
      <c r="CI372" s="72"/>
      <c r="CJ372" s="72"/>
      <c r="CK372" s="72"/>
      <c r="CL372" s="72"/>
      <c r="CM372" s="72"/>
      <c r="CN372" s="72"/>
      <c r="CO372" s="72"/>
      <c r="CP372" s="72"/>
      <c r="CQ372" s="72"/>
      <c r="CR372" s="72"/>
      <c r="CS372" s="72"/>
      <c r="CT372" s="72"/>
      <c r="CU372" s="72"/>
      <c r="CV372" s="72"/>
      <c r="CW372" s="72"/>
      <c r="CX372" s="72"/>
      <c r="CY372" s="72"/>
      <c r="CZ372" s="72"/>
      <c r="DA372" s="72"/>
      <c r="DB372" s="72"/>
      <c r="DC372" s="72"/>
      <c r="DD372" s="72"/>
      <c r="DE372" s="72"/>
      <c r="DF372" s="72"/>
      <c r="DG372" s="72"/>
      <c r="DH372" s="72"/>
      <c r="DI372" s="72"/>
      <c r="DJ372" s="72"/>
      <c r="DK372" s="72"/>
      <c r="DL372" s="72"/>
      <c r="DM372" s="72"/>
      <c r="DN372" s="72"/>
      <c r="DO372" s="72"/>
      <c r="DP372" s="72"/>
      <c r="DQ372" s="72"/>
      <c r="DR372" s="72"/>
      <c r="DS372" s="72"/>
      <c r="DT372" s="72"/>
      <c r="DU372" s="72"/>
      <c r="DV372" s="72"/>
      <c r="DW372" s="72"/>
      <c r="DX372" s="72"/>
      <c r="DY372" s="72"/>
      <c r="DZ372" s="72"/>
      <c r="EA372" s="72"/>
      <c r="EB372" s="72"/>
      <c r="EC372" s="72"/>
      <c r="ED372" s="72"/>
      <c r="EE372" s="72"/>
      <c r="EF372" s="72"/>
      <c r="EG372" s="72"/>
      <c r="EH372" s="72"/>
      <c r="EI372" s="129"/>
      <c r="EJ372" s="129"/>
      <c r="EK372" s="129"/>
      <c r="EL372" s="129"/>
      <c r="EM372" s="72"/>
      <c r="EN372" s="72"/>
      <c r="EO372" s="72"/>
      <c r="EP372" s="72"/>
      <c r="EQ372" s="72"/>
      <c r="ER372" s="72"/>
      <c r="ES372" s="72"/>
      <c r="ET372" s="72"/>
    </row>
    <row r="373"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  <c r="CV373" s="72"/>
      <c r="CW373" s="72"/>
      <c r="CX373" s="72"/>
      <c r="CY373" s="72"/>
      <c r="CZ373" s="72"/>
      <c r="DA373" s="72"/>
      <c r="DB373" s="72"/>
      <c r="DC373" s="72"/>
      <c r="DD373" s="72"/>
      <c r="DE373" s="72"/>
      <c r="DF373" s="72"/>
      <c r="DG373" s="72"/>
      <c r="DH373" s="72"/>
      <c r="DI373" s="72"/>
      <c r="DJ373" s="72"/>
      <c r="DK373" s="72"/>
      <c r="DL373" s="72"/>
      <c r="DM373" s="72"/>
      <c r="DN373" s="72"/>
      <c r="DO373" s="72"/>
      <c r="DP373" s="72"/>
      <c r="DQ373" s="72"/>
      <c r="DR373" s="72"/>
      <c r="DS373" s="72"/>
      <c r="DT373" s="72"/>
      <c r="DU373" s="72"/>
      <c r="DV373" s="72"/>
      <c r="DW373" s="72"/>
      <c r="DX373" s="72"/>
      <c r="DY373" s="72"/>
      <c r="DZ373" s="72"/>
      <c r="EA373" s="72"/>
      <c r="EB373" s="72"/>
      <c r="EC373" s="72"/>
      <c r="ED373" s="72"/>
      <c r="EE373" s="72"/>
      <c r="EF373" s="72"/>
      <c r="EG373" s="72"/>
      <c r="EH373" s="72"/>
      <c r="EI373" s="129"/>
      <c r="EJ373" s="129"/>
      <c r="EK373" s="129"/>
      <c r="EL373" s="129"/>
      <c r="EM373" s="72"/>
      <c r="EN373" s="72"/>
      <c r="EO373" s="72"/>
      <c r="EP373" s="72"/>
      <c r="EQ373" s="72"/>
      <c r="ER373" s="72"/>
      <c r="ES373" s="72"/>
      <c r="ET373" s="72"/>
    </row>
    <row r="374">
      <c r="CD374" s="72"/>
      <c r="CE374" s="72"/>
      <c r="CF374" s="72"/>
      <c r="CG374" s="72"/>
      <c r="CH374" s="72"/>
      <c r="CI374" s="72"/>
      <c r="CJ374" s="72"/>
      <c r="CK374" s="72"/>
      <c r="CL374" s="72"/>
      <c r="CM374" s="72"/>
      <c r="CN374" s="72"/>
      <c r="CO374" s="72"/>
      <c r="CP374" s="72"/>
      <c r="CQ374" s="72"/>
      <c r="CR374" s="72"/>
      <c r="CS374" s="72"/>
      <c r="CT374" s="72"/>
      <c r="CU374" s="72"/>
      <c r="CV374" s="72"/>
      <c r="CW374" s="72"/>
      <c r="CX374" s="72"/>
      <c r="CY374" s="72"/>
      <c r="CZ374" s="72"/>
      <c r="DA374" s="72"/>
      <c r="DB374" s="72"/>
      <c r="DC374" s="72"/>
      <c r="DD374" s="72"/>
      <c r="DE374" s="72"/>
      <c r="DF374" s="72"/>
      <c r="DG374" s="72"/>
      <c r="DH374" s="72"/>
      <c r="DI374" s="72"/>
      <c r="DJ374" s="72"/>
      <c r="DK374" s="72"/>
      <c r="DL374" s="72"/>
      <c r="DM374" s="72"/>
      <c r="DN374" s="72"/>
      <c r="DO374" s="72"/>
      <c r="DP374" s="72"/>
      <c r="DQ374" s="72"/>
      <c r="DR374" s="72"/>
      <c r="DS374" s="72"/>
      <c r="DT374" s="72"/>
      <c r="DU374" s="72"/>
      <c r="DV374" s="72"/>
      <c r="DW374" s="72"/>
      <c r="DX374" s="72"/>
      <c r="DY374" s="72"/>
      <c r="DZ374" s="72"/>
      <c r="EA374" s="72"/>
      <c r="EB374" s="72"/>
      <c r="EC374" s="72"/>
      <c r="ED374" s="72"/>
      <c r="EE374" s="72"/>
      <c r="EF374" s="72"/>
      <c r="EG374" s="72"/>
      <c r="EH374" s="72"/>
      <c r="EI374" s="129"/>
      <c r="EJ374" s="129"/>
      <c r="EK374" s="129"/>
      <c r="EL374" s="129"/>
      <c r="EM374" s="72"/>
      <c r="EN374" s="72"/>
      <c r="EO374" s="72"/>
      <c r="EP374" s="72"/>
      <c r="EQ374" s="72"/>
      <c r="ER374" s="72"/>
      <c r="ES374" s="72"/>
      <c r="ET374" s="72"/>
    </row>
    <row r="375"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  <c r="CV375" s="72"/>
      <c r="CW375" s="72"/>
      <c r="CX375" s="72"/>
      <c r="CY375" s="72"/>
      <c r="CZ375" s="72"/>
      <c r="DA375" s="72"/>
      <c r="DB375" s="72"/>
      <c r="DC375" s="72"/>
      <c r="DD375" s="72"/>
      <c r="DE375" s="72"/>
      <c r="DF375" s="72"/>
      <c r="DG375" s="72"/>
      <c r="DH375" s="72"/>
      <c r="DI375" s="72"/>
      <c r="DJ375" s="72"/>
      <c r="DK375" s="72"/>
      <c r="DL375" s="72"/>
      <c r="DM375" s="72"/>
      <c r="DN375" s="72"/>
      <c r="DO375" s="72"/>
      <c r="DP375" s="72"/>
      <c r="DQ375" s="72"/>
      <c r="DR375" s="72"/>
      <c r="DS375" s="72"/>
      <c r="DT375" s="72"/>
      <c r="DU375" s="72"/>
      <c r="DV375" s="72"/>
      <c r="DW375" s="72"/>
      <c r="DX375" s="72"/>
      <c r="DY375" s="72"/>
      <c r="DZ375" s="72"/>
      <c r="EA375" s="72"/>
      <c r="EB375" s="72"/>
      <c r="EC375" s="72"/>
      <c r="ED375" s="72"/>
      <c r="EE375" s="72"/>
      <c r="EF375" s="72"/>
      <c r="EG375" s="72"/>
      <c r="EH375" s="72"/>
      <c r="EI375" s="129"/>
      <c r="EJ375" s="129"/>
      <c r="EK375" s="129"/>
      <c r="EL375" s="129"/>
      <c r="EM375" s="72"/>
      <c r="EN375" s="72"/>
      <c r="EO375" s="72"/>
      <c r="EP375" s="72"/>
      <c r="EQ375" s="72"/>
      <c r="ER375" s="72"/>
      <c r="ES375" s="72"/>
      <c r="ET375" s="72"/>
    </row>
    <row r="376">
      <c r="CD376" s="72"/>
      <c r="CE376" s="72"/>
      <c r="CF376" s="72"/>
      <c r="CG376" s="72"/>
      <c r="CH376" s="72"/>
      <c r="CI376" s="72"/>
      <c r="CJ376" s="72"/>
      <c r="CK376" s="72"/>
      <c r="CL376" s="72"/>
      <c r="CM376" s="72"/>
      <c r="CN376" s="72"/>
      <c r="CO376" s="72"/>
      <c r="CP376" s="72"/>
      <c r="CQ376" s="72"/>
      <c r="CR376" s="72"/>
      <c r="CS376" s="72"/>
      <c r="CT376" s="72"/>
      <c r="CU376" s="72"/>
      <c r="CV376" s="72"/>
      <c r="CW376" s="72"/>
      <c r="CX376" s="72"/>
      <c r="CY376" s="72"/>
      <c r="CZ376" s="72"/>
      <c r="DA376" s="72"/>
      <c r="DB376" s="72"/>
      <c r="DC376" s="72"/>
      <c r="DD376" s="72"/>
      <c r="DE376" s="72"/>
      <c r="DF376" s="72"/>
      <c r="DG376" s="72"/>
      <c r="DH376" s="72"/>
      <c r="DI376" s="72"/>
      <c r="DJ376" s="72"/>
      <c r="DK376" s="72"/>
      <c r="DL376" s="72"/>
      <c r="DM376" s="72"/>
      <c r="DN376" s="72"/>
      <c r="DO376" s="72"/>
      <c r="DP376" s="72"/>
      <c r="DQ376" s="72"/>
      <c r="DR376" s="72"/>
      <c r="DS376" s="72"/>
      <c r="DT376" s="72"/>
      <c r="DU376" s="72"/>
      <c r="DV376" s="72"/>
      <c r="DW376" s="72"/>
      <c r="DX376" s="72"/>
      <c r="DY376" s="72"/>
      <c r="DZ376" s="72"/>
      <c r="EA376" s="72"/>
      <c r="EB376" s="72"/>
      <c r="EC376" s="72"/>
      <c r="ED376" s="72"/>
      <c r="EE376" s="72"/>
      <c r="EF376" s="72"/>
      <c r="EG376" s="72"/>
      <c r="EH376" s="72"/>
      <c r="EI376" s="129"/>
      <c r="EJ376" s="129"/>
      <c r="EK376" s="129"/>
      <c r="EL376" s="129"/>
      <c r="EM376" s="72"/>
      <c r="EN376" s="72"/>
      <c r="EO376" s="72"/>
      <c r="EP376" s="72"/>
      <c r="EQ376" s="72"/>
      <c r="ER376" s="72"/>
      <c r="ES376" s="72"/>
      <c r="ET376" s="72"/>
    </row>
    <row r="377"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  <c r="CV377" s="72"/>
      <c r="CW377" s="72"/>
      <c r="CX377" s="72"/>
      <c r="CY377" s="72"/>
      <c r="CZ377" s="72"/>
      <c r="DA377" s="72"/>
      <c r="DB377" s="72"/>
      <c r="DC377" s="72"/>
      <c r="DD377" s="72"/>
      <c r="DE377" s="72"/>
      <c r="DF377" s="72"/>
      <c r="DG377" s="72"/>
      <c r="DH377" s="72"/>
      <c r="DI377" s="72"/>
      <c r="DJ377" s="72"/>
      <c r="DK377" s="72"/>
      <c r="DL377" s="72"/>
      <c r="DM377" s="72"/>
      <c r="DN377" s="72"/>
      <c r="DO377" s="72"/>
      <c r="DP377" s="72"/>
      <c r="DQ377" s="72"/>
      <c r="DR377" s="72"/>
      <c r="DS377" s="72"/>
      <c r="DT377" s="72"/>
      <c r="DU377" s="72"/>
      <c r="DV377" s="72"/>
      <c r="DW377" s="72"/>
      <c r="DX377" s="72"/>
      <c r="DY377" s="72"/>
      <c r="DZ377" s="72"/>
      <c r="EA377" s="72"/>
      <c r="EB377" s="72"/>
      <c r="EC377" s="72"/>
      <c r="ED377" s="72"/>
      <c r="EE377" s="72"/>
      <c r="EF377" s="72"/>
      <c r="EG377" s="72"/>
      <c r="EH377" s="72"/>
      <c r="EI377" s="129"/>
      <c r="EJ377" s="129"/>
      <c r="EK377" s="129"/>
      <c r="EL377" s="129"/>
      <c r="EM377" s="72"/>
      <c r="EN377" s="72"/>
      <c r="EO377" s="72"/>
      <c r="EP377" s="72"/>
      <c r="EQ377" s="72"/>
      <c r="ER377" s="72"/>
      <c r="ES377" s="72"/>
      <c r="ET377" s="72"/>
    </row>
    <row r="378">
      <c r="CD378" s="72"/>
      <c r="CE378" s="72"/>
      <c r="CF378" s="72"/>
      <c r="CG378" s="72"/>
      <c r="CH378" s="72"/>
      <c r="CI378" s="72"/>
      <c r="CJ378" s="72"/>
      <c r="CK378" s="72"/>
      <c r="CL378" s="72"/>
      <c r="CM378" s="72"/>
      <c r="CN378" s="72"/>
      <c r="CO378" s="72"/>
      <c r="CP378" s="72"/>
      <c r="CQ378" s="72"/>
      <c r="CR378" s="72"/>
      <c r="CS378" s="72"/>
      <c r="CT378" s="72"/>
      <c r="CU378" s="72"/>
      <c r="CV378" s="72"/>
      <c r="CW378" s="72"/>
      <c r="CX378" s="72"/>
      <c r="CY378" s="72"/>
      <c r="CZ378" s="72"/>
      <c r="DA378" s="72"/>
      <c r="DB378" s="72"/>
      <c r="DC378" s="72"/>
      <c r="DD378" s="72"/>
      <c r="DE378" s="72"/>
      <c r="DF378" s="72"/>
      <c r="DG378" s="72"/>
      <c r="DH378" s="72"/>
      <c r="DI378" s="72"/>
      <c r="DJ378" s="72"/>
      <c r="DK378" s="72"/>
      <c r="DL378" s="72"/>
      <c r="DM378" s="72"/>
      <c r="DN378" s="72"/>
      <c r="DO378" s="72"/>
      <c r="DP378" s="72"/>
      <c r="DQ378" s="72"/>
      <c r="DR378" s="72"/>
      <c r="DS378" s="72"/>
      <c r="DT378" s="72"/>
      <c r="DU378" s="72"/>
      <c r="DV378" s="72"/>
      <c r="DW378" s="72"/>
      <c r="DX378" s="72"/>
      <c r="DY378" s="72"/>
      <c r="DZ378" s="72"/>
      <c r="EA378" s="72"/>
      <c r="EB378" s="72"/>
      <c r="EC378" s="72"/>
      <c r="ED378" s="72"/>
      <c r="EE378" s="72"/>
      <c r="EF378" s="72"/>
      <c r="EG378" s="72"/>
      <c r="EH378" s="72"/>
      <c r="EI378" s="129"/>
      <c r="EJ378" s="129"/>
      <c r="EK378" s="129"/>
      <c r="EL378" s="129"/>
      <c r="EM378" s="72"/>
      <c r="EN378" s="72"/>
      <c r="EO378" s="72"/>
      <c r="EP378" s="72"/>
      <c r="EQ378" s="72"/>
      <c r="ER378" s="72"/>
      <c r="ES378" s="72"/>
      <c r="ET378" s="72"/>
    </row>
    <row r="379"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  <c r="CV379" s="72"/>
      <c r="CW379" s="72"/>
      <c r="CX379" s="72"/>
      <c r="CY379" s="72"/>
      <c r="CZ379" s="72"/>
      <c r="DA379" s="72"/>
      <c r="DB379" s="72"/>
      <c r="DC379" s="72"/>
      <c r="DD379" s="72"/>
      <c r="DE379" s="72"/>
      <c r="DF379" s="72"/>
      <c r="DG379" s="72"/>
      <c r="DH379" s="72"/>
      <c r="DI379" s="72"/>
      <c r="DJ379" s="72"/>
      <c r="DK379" s="72"/>
      <c r="DL379" s="72"/>
      <c r="DM379" s="72"/>
      <c r="DN379" s="72"/>
      <c r="DO379" s="72"/>
      <c r="DP379" s="72"/>
      <c r="DQ379" s="72"/>
      <c r="DR379" s="72"/>
      <c r="DS379" s="72"/>
      <c r="DT379" s="72"/>
      <c r="DU379" s="72"/>
      <c r="DV379" s="72"/>
      <c r="DW379" s="72"/>
      <c r="DX379" s="72"/>
      <c r="DY379" s="72"/>
      <c r="DZ379" s="72"/>
      <c r="EA379" s="72"/>
      <c r="EB379" s="72"/>
      <c r="EC379" s="72"/>
      <c r="ED379" s="72"/>
      <c r="EE379" s="72"/>
      <c r="EF379" s="72"/>
      <c r="EG379" s="72"/>
      <c r="EH379" s="72"/>
      <c r="EI379" s="129"/>
      <c r="EJ379" s="129"/>
      <c r="EK379" s="129"/>
      <c r="EL379" s="129"/>
      <c r="EM379" s="72"/>
      <c r="EN379" s="72"/>
      <c r="EO379" s="72"/>
      <c r="EP379" s="72"/>
      <c r="EQ379" s="72"/>
      <c r="ER379" s="72"/>
      <c r="ES379" s="72"/>
      <c r="ET379" s="72"/>
    </row>
    <row r="380">
      <c r="CD380" s="72"/>
      <c r="CE380" s="72"/>
      <c r="CF380" s="72"/>
      <c r="CG380" s="72"/>
      <c r="CH380" s="72"/>
      <c r="CI380" s="72"/>
      <c r="CJ380" s="72"/>
      <c r="CK380" s="72"/>
      <c r="CL380" s="72"/>
      <c r="CM380" s="72"/>
      <c r="CN380" s="72"/>
      <c r="CO380" s="72"/>
      <c r="CP380" s="72"/>
      <c r="CQ380" s="72"/>
      <c r="CR380" s="72"/>
      <c r="CS380" s="72"/>
      <c r="CT380" s="72"/>
      <c r="CU380" s="72"/>
      <c r="CV380" s="72"/>
      <c r="CW380" s="72"/>
      <c r="CX380" s="72"/>
      <c r="CY380" s="72"/>
      <c r="CZ380" s="72"/>
      <c r="DA380" s="72"/>
      <c r="DB380" s="72"/>
      <c r="DC380" s="72"/>
      <c r="DD380" s="72"/>
      <c r="DE380" s="72"/>
      <c r="DF380" s="72"/>
      <c r="DG380" s="72"/>
      <c r="DH380" s="72"/>
      <c r="DI380" s="72"/>
      <c r="DJ380" s="72"/>
      <c r="DK380" s="72"/>
      <c r="DL380" s="72"/>
      <c r="DM380" s="72"/>
      <c r="DN380" s="72"/>
      <c r="DO380" s="72"/>
      <c r="DP380" s="72"/>
      <c r="DQ380" s="72"/>
      <c r="DR380" s="72"/>
      <c r="DS380" s="72"/>
      <c r="DT380" s="72"/>
      <c r="DU380" s="72"/>
      <c r="DV380" s="72"/>
      <c r="DW380" s="72"/>
      <c r="DX380" s="72"/>
      <c r="DY380" s="72"/>
      <c r="DZ380" s="72"/>
      <c r="EA380" s="72"/>
      <c r="EB380" s="72"/>
      <c r="EC380" s="72"/>
      <c r="ED380" s="72"/>
      <c r="EE380" s="72"/>
      <c r="EF380" s="72"/>
      <c r="EG380" s="72"/>
      <c r="EH380" s="72"/>
      <c r="EI380" s="129"/>
      <c r="EJ380" s="129"/>
      <c r="EK380" s="129"/>
      <c r="EL380" s="129"/>
      <c r="EM380" s="72"/>
      <c r="EN380" s="72"/>
      <c r="EO380" s="72"/>
      <c r="EP380" s="72"/>
      <c r="EQ380" s="72"/>
      <c r="ER380" s="72"/>
      <c r="ES380" s="72"/>
      <c r="ET380" s="72"/>
    </row>
    <row r="381"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  <c r="CV381" s="72"/>
      <c r="CW381" s="72"/>
      <c r="CX381" s="72"/>
      <c r="CY381" s="72"/>
      <c r="CZ381" s="72"/>
      <c r="DA381" s="72"/>
      <c r="DB381" s="72"/>
      <c r="DC381" s="72"/>
      <c r="DD381" s="72"/>
      <c r="DE381" s="72"/>
      <c r="DF381" s="72"/>
      <c r="DG381" s="72"/>
      <c r="DH381" s="72"/>
      <c r="DI381" s="72"/>
      <c r="DJ381" s="72"/>
      <c r="DK381" s="72"/>
      <c r="DL381" s="72"/>
      <c r="DM381" s="72"/>
      <c r="DN381" s="72"/>
      <c r="DO381" s="72"/>
      <c r="DP381" s="72"/>
      <c r="DQ381" s="72"/>
      <c r="DR381" s="72"/>
      <c r="DS381" s="72"/>
      <c r="DT381" s="72"/>
      <c r="DU381" s="72"/>
      <c r="DV381" s="72"/>
      <c r="DW381" s="72"/>
      <c r="DX381" s="72"/>
      <c r="DY381" s="72"/>
      <c r="DZ381" s="72"/>
      <c r="EA381" s="72"/>
      <c r="EB381" s="72"/>
      <c r="EC381" s="72"/>
      <c r="ED381" s="72"/>
      <c r="EE381" s="72"/>
      <c r="EF381" s="72"/>
      <c r="EG381" s="72"/>
      <c r="EH381" s="72"/>
      <c r="EI381" s="129"/>
      <c r="EJ381" s="129"/>
      <c r="EK381" s="129"/>
      <c r="EL381" s="129"/>
      <c r="EM381" s="72"/>
      <c r="EN381" s="72"/>
      <c r="EO381" s="72"/>
      <c r="EP381" s="72"/>
      <c r="EQ381" s="72"/>
      <c r="ER381" s="72"/>
      <c r="ES381" s="72"/>
      <c r="ET381" s="72"/>
    </row>
    <row r="382">
      <c r="CD382" s="72"/>
      <c r="CE382" s="72"/>
      <c r="CF382" s="72"/>
      <c r="CG382" s="72"/>
      <c r="CH382" s="72"/>
      <c r="CI382" s="72"/>
      <c r="CJ382" s="72"/>
      <c r="CK382" s="72"/>
      <c r="CL382" s="72"/>
      <c r="CM382" s="72"/>
      <c r="CN382" s="72"/>
      <c r="CO382" s="72"/>
      <c r="CP382" s="72"/>
      <c r="CQ382" s="72"/>
      <c r="CR382" s="72"/>
      <c r="CS382" s="72"/>
      <c r="CT382" s="72"/>
      <c r="CU382" s="72"/>
      <c r="CV382" s="72"/>
      <c r="CW382" s="72"/>
      <c r="CX382" s="72"/>
      <c r="CY382" s="72"/>
      <c r="CZ382" s="72"/>
      <c r="DA382" s="72"/>
      <c r="DB382" s="72"/>
      <c r="DC382" s="72"/>
      <c r="DD382" s="72"/>
      <c r="DE382" s="72"/>
      <c r="DF382" s="72"/>
      <c r="DG382" s="72"/>
      <c r="DH382" s="72"/>
      <c r="DI382" s="72"/>
      <c r="DJ382" s="72"/>
      <c r="DK382" s="72"/>
      <c r="DL382" s="72"/>
      <c r="DM382" s="72"/>
      <c r="DN382" s="72"/>
      <c r="DO382" s="72"/>
      <c r="DP382" s="72"/>
      <c r="DQ382" s="72"/>
      <c r="DR382" s="72"/>
      <c r="DS382" s="72"/>
      <c r="DT382" s="72"/>
      <c r="DU382" s="72"/>
      <c r="DV382" s="72"/>
      <c r="DW382" s="72"/>
      <c r="DX382" s="72"/>
      <c r="DY382" s="72"/>
      <c r="DZ382" s="72"/>
      <c r="EA382" s="72"/>
      <c r="EB382" s="72"/>
      <c r="EC382" s="72"/>
      <c r="ED382" s="72"/>
      <c r="EE382" s="72"/>
      <c r="EF382" s="72"/>
      <c r="EG382" s="72"/>
      <c r="EH382" s="72"/>
      <c r="EI382" s="129"/>
      <c r="EJ382" s="129"/>
      <c r="EK382" s="129"/>
      <c r="EL382" s="129"/>
      <c r="EM382" s="72"/>
      <c r="EN382" s="72"/>
      <c r="EO382" s="72"/>
      <c r="EP382" s="72"/>
      <c r="EQ382" s="72"/>
      <c r="ER382" s="72"/>
      <c r="ES382" s="72"/>
      <c r="ET382" s="72"/>
    </row>
    <row r="383"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  <c r="CV383" s="72"/>
      <c r="CW383" s="72"/>
      <c r="CX383" s="72"/>
      <c r="CY383" s="72"/>
      <c r="CZ383" s="72"/>
      <c r="DA383" s="72"/>
      <c r="DB383" s="72"/>
      <c r="DC383" s="72"/>
      <c r="DD383" s="72"/>
      <c r="DE383" s="72"/>
      <c r="DF383" s="72"/>
      <c r="DG383" s="72"/>
      <c r="DH383" s="72"/>
      <c r="DI383" s="72"/>
      <c r="DJ383" s="72"/>
      <c r="DK383" s="72"/>
      <c r="DL383" s="72"/>
      <c r="DM383" s="72"/>
      <c r="DN383" s="72"/>
      <c r="DO383" s="72"/>
      <c r="DP383" s="72"/>
      <c r="DQ383" s="72"/>
      <c r="DR383" s="72"/>
      <c r="DS383" s="72"/>
      <c r="DT383" s="72"/>
      <c r="DU383" s="72"/>
      <c r="DV383" s="72"/>
      <c r="DW383" s="72"/>
      <c r="DX383" s="72"/>
      <c r="DY383" s="72"/>
      <c r="DZ383" s="72"/>
      <c r="EA383" s="72"/>
      <c r="EB383" s="72"/>
      <c r="EC383" s="72"/>
      <c r="ED383" s="72"/>
      <c r="EE383" s="72"/>
      <c r="EF383" s="72"/>
      <c r="EG383" s="72"/>
      <c r="EH383" s="72"/>
      <c r="EI383" s="129"/>
      <c r="EJ383" s="129"/>
      <c r="EK383" s="129"/>
      <c r="EL383" s="129"/>
      <c r="EM383" s="72"/>
      <c r="EN383" s="72"/>
      <c r="EO383" s="72"/>
      <c r="EP383" s="72"/>
      <c r="EQ383" s="72"/>
      <c r="ER383" s="72"/>
      <c r="ES383" s="72"/>
      <c r="ET383" s="72"/>
    </row>
    <row r="384">
      <c r="CD384" s="72"/>
      <c r="CE384" s="72"/>
      <c r="CF384" s="72"/>
      <c r="CG384" s="72"/>
      <c r="CH384" s="72"/>
      <c r="CI384" s="72"/>
      <c r="CJ384" s="72"/>
      <c r="CK384" s="72"/>
      <c r="CL384" s="72"/>
      <c r="CM384" s="72"/>
      <c r="CN384" s="72"/>
      <c r="CO384" s="72"/>
      <c r="CP384" s="72"/>
      <c r="CQ384" s="72"/>
      <c r="CR384" s="72"/>
      <c r="CS384" s="72"/>
      <c r="CT384" s="72"/>
      <c r="CU384" s="72"/>
      <c r="CV384" s="72"/>
      <c r="CW384" s="72"/>
      <c r="CX384" s="72"/>
      <c r="CY384" s="72"/>
      <c r="CZ384" s="72"/>
      <c r="DA384" s="72"/>
      <c r="DB384" s="72"/>
      <c r="DC384" s="72"/>
      <c r="DD384" s="72"/>
      <c r="DE384" s="72"/>
      <c r="DF384" s="72"/>
      <c r="DG384" s="72"/>
      <c r="DH384" s="72"/>
      <c r="DI384" s="72"/>
      <c r="DJ384" s="72"/>
      <c r="DK384" s="72"/>
      <c r="DL384" s="72"/>
      <c r="DM384" s="72"/>
      <c r="DN384" s="72"/>
      <c r="DO384" s="72"/>
      <c r="DP384" s="72"/>
      <c r="DQ384" s="72"/>
      <c r="DR384" s="72"/>
      <c r="DS384" s="72"/>
      <c r="DT384" s="72"/>
      <c r="DU384" s="72"/>
      <c r="DV384" s="72"/>
      <c r="DW384" s="72"/>
      <c r="DX384" s="72"/>
      <c r="DY384" s="72"/>
      <c r="DZ384" s="72"/>
      <c r="EA384" s="72"/>
      <c r="EB384" s="72"/>
      <c r="EC384" s="72"/>
      <c r="ED384" s="72"/>
      <c r="EE384" s="72"/>
      <c r="EF384" s="72"/>
      <c r="EG384" s="72"/>
      <c r="EH384" s="72"/>
      <c r="EI384" s="129"/>
      <c r="EJ384" s="129"/>
      <c r="EK384" s="129"/>
      <c r="EL384" s="129"/>
      <c r="EM384" s="72"/>
      <c r="EN384" s="72"/>
      <c r="EO384" s="72"/>
      <c r="EP384" s="72"/>
      <c r="EQ384" s="72"/>
      <c r="ER384" s="72"/>
      <c r="ES384" s="72"/>
      <c r="ET384" s="72"/>
    </row>
    <row r="385"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  <c r="CV385" s="72"/>
      <c r="CW385" s="72"/>
      <c r="CX385" s="72"/>
      <c r="CY385" s="72"/>
      <c r="CZ385" s="72"/>
      <c r="DA385" s="72"/>
      <c r="DB385" s="72"/>
      <c r="DC385" s="72"/>
      <c r="DD385" s="72"/>
      <c r="DE385" s="72"/>
      <c r="DF385" s="72"/>
      <c r="DG385" s="72"/>
      <c r="DH385" s="72"/>
      <c r="DI385" s="72"/>
      <c r="DJ385" s="72"/>
      <c r="DK385" s="72"/>
      <c r="DL385" s="72"/>
      <c r="DM385" s="72"/>
      <c r="DN385" s="72"/>
      <c r="DO385" s="72"/>
      <c r="DP385" s="72"/>
      <c r="DQ385" s="72"/>
      <c r="DR385" s="72"/>
      <c r="DS385" s="72"/>
      <c r="DT385" s="72"/>
      <c r="DU385" s="72"/>
      <c r="DV385" s="72"/>
      <c r="DW385" s="72"/>
      <c r="DX385" s="72"/>
      <c r="DY385" s="72"/>
      <c r="DZ385" s="72"/>
      <c r="EA385" s="72"/>
      <c r="EB385" s="72"/>
      <c r="EC385" s="72"/>
      <c r="ED385" s="72"/>
      <c r="EE385" s="72"/>
      <c r="EF385" s="72"/>
      <c r="EG385" s="72"/>
      <c r="EH385" s="72"/>
      <c r="EI385" s="129"/>
      <c r="EJ385" s="129"/>
      <c r="EK385" s="129"/>
      <c r="EL385" s="129"/>
      <c r="EM385" s="72"/>
      <c r="EN385" s="72"/>
      <c r="EO385" s="72"/>
      <c r="EP385" s="72"/>
      <c r="EQ385" s="72"/>
      <c r="ER385" s="72"/>
      <c r="ES385" s="72"/>
      <c r="ET385" s="72"/>
    </row>
    <row r="386">
      <c r="CD386" s="72"/>
      <c r="CE386" s="72"/>
      <c r="CF386" s="72"/>
      <c r="CG386" s="72"/>
      <c r="CH386" s="72"/>
      <c r="CI386" s="72"/>
      <c r="CJ386" s="72"/>
      <c r="CK386" s="72"/>
      <c r="CL386" s="72"/>
      <c r="CM386" s="72"/>
      <c r="CN386" s="72"/>
      <c r="CO386" s="72"/>
      <c r="CP386" s="72"/>
      <c r="CQ386" s="72"/>
      <c r="CR386" s="72"/>
      <c r="CS386" s="72"/>
      <c r="CT386" s="72"/>
      <c r="CU386" s="72"/>
      <c r="CV386" s="72"/>
      <c r="CW386" s="72"/>
      <c r="CX386" s="72"/>
      <c r="CY386" s="72"/>
      <c r="CZ386" s="72"/>
      <c r="DA386" s="72"/>
      <c r="DB386" s="72"/>
      <c r="DC386" s="72"/>
      <c r="DD386" s="72"/>
      <c r="DE386" s="72"/>
      <c r="DF386" s="72"/>
      <c r="DG386" s="72"/>
      <c r="DH386" s="72"/>
      <c r="DI386" s="72"/>
      <c r="DJ386" s="72"/>
      <c r="DK386" s="72"/>
      <c r="DL386" s="72"/>
      <c r="DM386" s="72"/>
      <c r="DN386" s="72"/>
      <c r="DO386" s="72"/>
      <c r="DP386" s="72"/>
      <c r="DQ386" s="72"/>
      <c r="DR386" s="72"/>
      <c r="DS386" s="72"/>
      <c r="DT386" s="72"/>
      <c r="DU386" s="72"/>
      <c r="DV386" s="72"/>
      <c r="DW386" s="72"/>
      <c r="DX386" s="72"/>
      <c r="DY386" s="72"/>
      <c r="DZ386" s="72"/>
      <c r="EA386" s="72"/>
      <c r="EB386" s="72"/>
      <c r="EC386" s="72"/>
      <c r="ED386" s="72"/>
      <c r="EE386" s="72"/>
      <c r="EF386" s="72"/>
      <c r="EG386" s="72"/>
      <c r="EH386" s="72"/>
      <c r="EI386" s="129"/>
      <c r="EJ386" s="129"/>
      <c r="EK386" s="129"/>
      <c r="EL386" s="129"/>
      <c r="EM386" s="72"/>
      <c r="EN386" s="72"/>
      <c r="EO386" s="72"/>
      <c r="EP386" s="72"/>
      <c r="EQ386" s="72"/>
      <c r="ER386" s="72"/>
      <c r="ES386" s="72"/>
      <c r="ET386" s="72"/>
    </row>
    <row r="387"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  <c r="CV387" s="72"/>
      <c r="CW387" s="72"/>
      <c r="CX387" s="72"/>
      <c r="CY387" s="72"/>
      <c r="CZ387" s="72"/>
      <c r="DA387" s="72"/>
      <c r="DB387" s="72"/>
      <c r="DC387" s="72"/>
      <c r="DD387" s="72"/>
      <c r="DE387" s="72"/>
      <c r="DF387" s="72"/>
      <c r="DG387" s="72"/>
      <c r="DH387" s="72"/>
      <c r="DI387" s="72"/>
      <c r="DJ387" s="72"/>
      <c r="DK387" s="72"/>
      <c r="DL387" s="72"/>
      <c r="DM387" s="72"/>
      <c r="DN387" s="72"/>
      <c r="DO387" s="72"/>
      <c r="DP387" s="72"/>
      <c r="DQ387" s="72"/>
      <c r="DR387" s="72"/>
      <c r="DS387" s="72"/>
      <c r="DT387" s="72"/>
      <c r="DU387" s="72"/>
      <c r="DV387" s="72"/>
      <c r="DW387" s="72"/>
      <c r="DX387" s="72"/>
      <c r="DY387" s="72"/>
      <c r="DZ387" s="72"/>
      <c r="EA387" s="72"/>
      <c r="EB387" s="72"/>
      <c r="EC387" s="72"/>
      <c r="ED387" s="72"/>
      <c r="EE387" s="72"/>
      <c r="EF387" s="72"/>
      <c r="EG387" s="72"/>
      <c r="EH387" s="72"/>
      <c r="EI387" s="129"/>
      <c r="EJ387" s="129"/>
      <c r="EK387" s="129"/>
      <c r="EL387" s="129"/>
      <c r="EM387" s="72"/>
      <c r="EN387" s="72"/>
      <c r="EO387" s="72"/>
      <c r="EP387" s="72"/>
      <c r="EQ387" s="72"/>
      <c r="ER387" s="72"/>
      <c r="ES387" s="72"/>
      <c r="ET387" s="72"/>
    </row>
    <row r="388">
      <c r="CD388" s="72"/>
      <c r="CE388" s="72"/>
      <c r="CF388" s="72"/>
      <c r="CG388" s="72"/>
      <c r="CH388" s="72"/>
      <c r="CI388" s="72"/>
      <c r="CJ388" s="72"/>
      <c r="CK388" s="72"/>
      <c r="CL388" s="72"/>
      <c r="CM388" s="72"/>
      <c r="CN388" s="72"/>
      <c r="CO388" s="72"/>
      <c r="CP388" s="72"/>
      <c r="CQ388" s="72"/>
      <c r="CR388" s="72"/>
      <c r="CS388" s="72"/>
      <c r="CT388" s="72"/>
      <c r="CU388" s="72"/>
      <c r="CV388" s="72"/>
      <c r="CW388" s="72"/>
      <c r="CX388" s="72"/>
      <c r="CY388" s="72"/>
      <c r="CZ388" s="72"/>
      <c r="DA388" s="72"/>
      <c r="DB388" s="72"/>
      <c r="DC388" s="72"/>
      <c r="DD388" s="72"/>
      <c r="DE388" s="72"/>
      <c r="DF388" s="72"/>
      <c r="DG388" s="72"/>
      <c r="DH388" s="72"/>
      <c r="DI388" s="72"/>
      <c r="DJ388" s="72"/>
      <c r="DK388" s="72"/>
      <c r="DL388" s="72"/>
      <c r="DM388" s="72"/>
      <c r="DN388" s="72"/>
      <c r="DO388" s="72"/>
      <c r="DP388" s="72"/>
      <c r="DQ388" s="72"/>
      <c r="DR388" s="72"/>
      <c r="DS388" s="72"/>
      <c r="DT388" s="72"/>
      <c r="DU388" s="72"/>
      <c r="DV388" s="72"/>
      <c r="DW388" s="72"/>
      <c r="DX388" s="72"/>
      <c r="DY388" s="72"/>
      <c r="DZ388" s="72"/>
      <c r="EA388" s="72"/>
      <c r="EB388" s="72"/>
      <c r="EC388" s="72"/>
      <c r="ED388" s="72"/>
      <c r="EE388" s="72"/>
      <c r="EF388" s="72"/>
      <c r="EG388" s="72"/>
      <c r="EH388" s="72"/>
      <c r="EI388" s="129"/>
      <c r="EJ388" s="129"/>
      <c r="EK388" s="129"/>
      <c r="EL388" s="129"/>
      <c r="EM388" s="72"/>
      <c r="EN388" s="72"/>
      <c r="EO388" s="72"/>
      <c r="EP388" s="72"/>
      <c r="EQ388" s="72"/>
      <c r="ER388" s="72"/>
      <c r="ES388" s="72"/>
      <c r="ET388" s="72"/>
    </row>
    <row r="389"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  <c r="CV389" s="72"/>
      <c r="CW389" s="72"/>
      <c r="CX389" s="72"/>
      <c r="CY389" s="72"/>
      <c r="CZ389" s="72"/>
      <c r="DA389" s="72"/>
      <c r="DB389" s="72"/>
      <c r="DC389" s="72"/>
      <c r="DD389" s="72"/>
      <c r="DE389" s="72"/>
      <c r="DF389" s="72"/>
      <c r="DG389" s="72"/>
      <c r="DH389" s="72"/>
      <c r="DI389" s="72"/>
      <c r="DJ389" s="72"/>
      <c r="DK389" s="72"/>
      <c r="DL389" s="72"/>
      <c r="DM389" s="72"/>
      <c r="DN389" s="72"/>
      <c r="DO389" s="72"/>
      <c r="DP389" s="72"/>
      <c r="DQ389" s="72"/>
      <c r="DR389" s="72"/>
      <c r="DS389" s="72"/>
      <c r="DT389" s="72"/>
      <c r="DU389" s="72"/>
      <c r="DV389" s="72"/>
      <c r="DW389" s="72"/>
      <c r="DX389" s="72"/>
      <c r="DY389" s="72"/>
      <c r="DZ389" s="72"/>
      <c r="EA389" s="72"/>
      <c r="EB389" s="72"/>
      <c r="EC389" s="72"/>
      <c r="ED389" s="72"/>
      <c r="EE389" s="72"/>
      <c r="EF389" s="72"/>
      <c r="EG389" s="72"/>
      <c r="EH389" s="72"/>
      <c r="EI389" s="129"/>
      <c r="EJ389" s="129"/>
      <c r="EK389" s="129"/>
      <c r="EL389" s="129"/>
      <c r="EM389" s="72"/>
      <c r="EN389" s="72"/>
      <c r="EO389" s="72"/>
      <c r="EP389" s="72"/>
      <c r="EQ389" s="72"/>
      <c r="ER389" s="72"/>
      <c r="ES389" s="72"/>
      <c r="ET389" s="72"/>
    </row>
    <row r="390">
      <c r="CD390" s="72"/>
      <c r="CE390" s="72"/>
      <c r="CF390" s="72"/>
      <c r="CG390" s="72"/>
      <c r="CH390" s="72"/>
      <c r="CI390" s="72"/>
      <c r="CJ390" s="72"/>
      <c r="CK390" s="72"/>
      <c r="CL390" s="72"/>
      <c r="CM390" s="72"/>
      <c r="CN390" s="72"/>
      <c r="CO390" s="72"/>
      <c r="CP390" s="72"/>
      <c r="CQ390" s="72"/>
      <c r="CR390" s="72"/>
      <c r="CS390" s="72"/>
      <c r="CT390" s="72"/>
      <c r="CU390" s="72"/>
      <c r="CV390" s="72"/>
      <c r="CW390" s="72"/>
      <c r="CX390" s="72"/>
      <c r="CY390" s="72"/>
      <c r="CZ390" s="72"/>
      <c r="DA390" s="72"/>
      <c r="DB390" s="72"/>
      <c r="DC390" s="72"/>
      <c r="DD390" s="72"/>
      <c r="DE390" s="72"/>
      <c r="DF390" s="72"/>
      <c r="DG390" s="72"/>
      <c r="DH390" s="72"/>
      <c r="DI390" s="72"/>
      <c r="DJ390" s="72"/>
      <c r="DK390" s="72"/>
      <c r="DL390" s="72"/>
      <c r="DM390" s="72"/>
      <c r="DN390" s="72"/>
      <c r="DO390" s="72"/>
      <c r="DP390" s="72"/>
      <c r="DQ390" s="72"/>
      <c r="DR390" s="72"/>
      <c r="DS390" s="72"/>
      <c r="DT390" s="72"/>
      <c r="DU390" s="72"/>
      <c r="DV390" s="72"/>
      <c r="DW390" s="72"/>
      <c r="DX390" s="72"/>
      <c r="DY390" s="72"/>
      <c r="DZ390" s="72"/>
      <c r="EA390" s="72"/>
      <c r="EB390" s="72"/>
      <c r="EC390" s="72"/>
      <c r="ED390" s="72"/>
      <c r="EE390" s="72"/>
      <c r="EF390" s="72"/>
      <c r="EG390" s="72"/>
      <c r="EH390" s="72"/>
      <c r="EI390" s="129"/>
      <c r="EJ390" s="129"/>
      <c r="EK390" s="129"/>
      <c r="EL390" s="129"/>
      <c r="EM390" s="72"/>
      <c r="EN390" s="72"/>
      <c r="EO390" s="72"/>
      <c r="EP390" s="72"/>
      <c r="EQ390" s="72"/>
      <c r="ER390" s="72"/>
      <c r="ES390" s="72"/>
      <c r="ET390" s="72"/>
    </row>
    <row r="391"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  <c r="CV391" s="72"/>
      <c r="CW391" s="72"/>
      <c r="CX391" s="72"/>
      <c r="CY391" s="72"/>
      <c r="CZ391" s="72"/>
      <c r="DA391" s="72"/>
      <c r="DB391" s="72"/>
      <c r="DC391" s="72"/>
      <c r="DD391" s="72"/>
      <c r="DE391" s="72"/>
      <c r="DF391" s="72"/>
      <c r="DG391" s="72"/>
      <c r="DH391" s="72"/>
      <c r="DI391" s="72"/>
      <c r="DJ391" s="72"/>
      <c r="DK391" s="72"/>
      <c r="DL391" s="72"/>
      <c r="DM391" s="72"/>
      <c r="DN391" s="72"/>
      <c r="DO391" s="72"/>
      <c r="DP391" s="72"/>
      <c r="DQ391" s="72"/>
      <c r="DR391" s="72"/>
      <c r="DS391" s="72"/>
      <c r="DT391" s="72"/>
      <c r="DU391" s="72"/>
      <c r="DV391" s="72"/>
      <c r="DW391" s="72"/>
      <c r="DX391" s="72"/>
      <c r="DY391" s="72"/>
      <c r="DZ391" s="72"/>
      <c r="EA391" s="72"/>
      <c r="EB391" s="72"/>
      <c r="EC391" s="72"/>
      <c r="ED391" s="72"/>
      <c r="EE391" s="72"/>
      <c r="EF391" s="72"/>
      <c r="EG391" s="72"/>
      <c r="EH391" s="72"/>
      <c r="EI391" s="129"/>
      <c r="EJ391" s="129"/>
      <c r="EK391" s="129"/>
      <c r="EL391" s="129"/>
      <c r="EM391" s="72"/>
      <c r="EN391" s="72"/>
      <c r="EO391" s="72"/>
      <c r="EP391" s="72"/>
      <c r="EQ391" s="72"/>
      <c r="ER391" s="72"/>
      <c r="ES391" s="72"/>
      <c r="ET391" s="72"/>
    </row>
    <row r="392">
      <c r="CD392" s="72"/>
      <c r="CE392" s="72"/>
      <c r="CF392" s="72"/>
      <c r="CG392" s="72"/>
      <c r="CH392" s="72"/>
      <c r="CI392" s="72"/>
      <c r="CJ392" s="72"/>
      <c r="CK392" s="72"/>
      <c r="CL392" s="72"/>
      <c r="CM392" s="72"/>
      <c r="CN392" s="72"/>
      <c r="CO392" s="72"/>
      <c r="CP392" s="72"/>
      <c r="CQ392" s="72"/>
      <c r="CR392" s="72"/>
      <c r="CS392" s="72"/>
      <c r="CT392" s="72"/>
      <c r="CU392" s="72"/>
      <c r="CV392" s="72"/>
      <c r="CW392" s="72"/>
      <c r="CX392" s="72"/>
      <c r="CY392" s="72"/>
      <c r="CZ392" s="72"/>
      <c r="DA392" s="72"/>
      <c r="DB392" s="72"/>
      <c r="DC392" s="72"/>
      <c r="DD392" s="72"/>
      <c r="DE392" s="72"/>
      <c r="DF392" s="72"/>
      <c r="DG392" s="72"/>
      <c r="DH392" s="72"/>
      <c r="DI392" s="72"/>
      <c r="DJ392" s="72"/>
      <c r="DK392" s="72"/>
      <c r="DL392" s="72"/>
      <c r="DM392" s="72"/>
      <c r="DN392" s="72"/>
      <c r="DO392" s="72"/>
      <c r="DP392" s="72"/>
      <c r="DQ392" s="72"/>
      <c r="DR392" s="72"/>
      <c r="DS392" s="72"/>
      <c r="DT392" s="72"/>
      <c r="DU392" s="72"/>
      <c r="DV392" s="72"/>
      <c r="DW392" s="72"/>
      <c r="DX392" s="72"/>
      <c r="DY392" s="72"/>
      <c r="DZ392" s="72"/>
      <c r="EA392" s="72"/>
      <c r="EB392" s="72"/>
      <c r="EC392" s="72"/>
      <c r="ED392" s="72"/>
      <c r="EE392" s="72"/>
      <c r="EF392" s="72"/>
      <c r="EG392" s="72"/>
      <c r="EH392" s="72"/>
      <c r="EI392" s="129"/>
      <c r="EJ392" s="129"/>
      <c r="EK392" s="129"/>
      <c r="EL392" s="129"/>
      <c r="EM392" s="72"/>
      <c r="EN392" s="72"/>
      <c r="EO392" s="72"/>
      <c r="EP392" s="72"/>
      <c r="EQ392" s="72"/>
      <c r="ER392" s="72"/>
      <c r="ES392" s="72"/>
      <c r="ET392" s="72"/>
    </row>
    <row r="393"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  <c r="CV393" s="72"/>
      <c r="CW393" s="72"/>
      <c r="CX393" s="72"/>
      <c r="CY393" s="72"/>
      <c r="CZ393" s="72"/>
      <c r="DA393" s="72"/>
      <c r="DB393" s="72"/>
      <c r="DC393" s="72"/>
      <c r="DD393" s="72"/>
      <c r="DE393" s="72"/>
      <c r="DF393" s="72"/>
      <c r="DG393" s="72"/>
      <c r="DH393" s="72"/>
      <c r="DI393" s="72"/>
      <c r="DJ393" s="72"/>
      <c r="DK393" s="72"/>
      <c r="DL393" s="72"/>
      <c r="DM393" s="72"/>
      <c r="DN393" s="72"/>
      <c r="DO393" s="72"/>
      <c r="DP393" s="72"/>
      <c r="DQ393" s="72"/>
      <c r="DR393" s="72"/>
      <c r="DS393" s="72"/>
      <c r="DT393" s="72"/>
      <c r="DU393" s="72"/>
      <c r="DV393" s="72"/>
      <c r="DW393" s="72"/>
      <c r="DX393" s="72"/>
      <c r="DY393" s="72"/>
      <c r="DZ393" s="72"/>
      <c r="EA393" s="72"/>
      <c r="EB393" s="72"/>
      <c r="EC393" s="72"/>
      <c r="ED393" s="72"/>
      <c r="EE393" s="72"/>
      <c r="EF393" s="72"/>
      <c r="EG393" s="72"/>
      <c r="EH393" s="72"/>
      <c r="EI393" s="129"/>
      <c r="EJ393" s="129"/>
      <c r="EK393" s="129"/>
      <c r="EL393" s="129"/>
      <c r="EM393" s="72"/>
      <c r="EN393" s="72"/>
      <c r="EO393" s="72"/>
      <c r="EP393" s="72"/>
      <c r="EQ393" s="72"/>
      <c r="ER393" s="72"/>
      <c r="ES393" s="72"/>
      <c r="ET393" s="72"/>
    </row>
    <row r="394">
      <c r="CD394" s="72"/>
      <c r="CE394" s="72"/>
      <c r="CF394" s="72"/>
      <c r="CG394" s="72"/>
      <c r="CH394" s="72"/>
      <c r="CI394" s="72"/>
      <c r="CJ394" s="72"/>
      <c r="CK394" s="72"/>
      <c r="CL394" s="72"/>
      <c r="CM394" s="72"/>
      <c r="CN394" s="72"/>
      <c r="CO394" s="72"/>
      <c r="CP394" s="72"/>
      <c r="CQ394" s="72"/>
      <c r="CR394" s="72"/>
      <c r="CS394" s="72"/>
      <c r="CT394" s="72"/>
      <c r="CU394" s="72"/>
      <c r="CV394" s="72"/>
      <c r="CW394" s="72"/>
      <c r="CX394" s="72"/>
      <c r="CY394" s="72"/>
      <c r="CZ394" s="72"/>
      <c r="DA394" s="72"/>
      <c r="DB394" s="72"/>
      <c r="DC394" s="72"/>
      <c r="DD394" s="72"/>
      <c r="DE394" s="72"/>
      <c r="DF394" s="72"/>
      <c r="DG394" s="72"/>
      <c r="DH394" s="72"/>
      <c r="DI394" s="72"/>
      <c r="DJ394" s="72"/>
      <c r="DK394" s="72"/>
      <c r="DL394" s="72"/>
      <c r="DM394" s="72"/>
      <c r="DN394" s="72"/>
      <c r="DO394" s="72"/>
      <c r="DP394" s="72"/>
      <c r="DQ394" s="72"/>
      <c r="DR394" s="72"/>
      <c r="DS394" s="72"/>
      <c r="DT394" s="72"/>
      <c r="DU394" s="72"/>
      <c r="DV394" s="72"/>
      <c r="DW394" s="72"/>
      <c r="DX394" s="72"/>
      <c r="DY394" s="72"/>
      <c r="DZ394" s="72"/>
      <c r="EA394" s="72"/>
      <c r="EB394" s="72"/>
      <c r="EC394" s="72"/>
      <c r="ED394" s="72"/>
      <c r="EE394" s="72"/>
      <c r="EF394" s="72"/>
      <c r="EG394" s="72"/>
      <c r="EH394" s="72"/>
      <c r="EI394" s="129"/>
      <c r="EJ394" s="129"/>
      <c r="EK394" s="129"/>
      <c r="EL394" s="129"/>
      <c r="EM394" s="72"/>
      <c r="EN394" s="72"/>
      <c r="EO394" s="72"/>
      <c r="EP394" s="72"/>
      <c r="EQ394" s="72"/>
      <c r="ER394" s="72"/>
      <c r="ES394" s="72"/>
      <c r="ET394" s="72"/>
    </row>
    <row r="395"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  <c r="CV395" s="72"/>
      <c r="CW395" s="72"/>
      <c r="CX395" s="72"/>
      <c r="CY395" s="72"/>
      <c r="CZ395" s="72"/>
      <c r="DA395" s="72"/>
      <c r="DB395" s="72"/>
      <c r="DC395" s="72"/>
      <c r="DD395" s="72"/>
      <c r="DE395" s="72"/>
      <c r="DF395" s="72"/>
      <c r="DG395" s="72"/>
      <c r="DH395" s="72"/>
      <c r="DI395" s="72"/>
      <c r="DJ395" s="72"/>
      <c r="DK395" s="72"/>
      <c r="DL395" s="72"/>
      <c r="DM395" s="72"/>
      <c r="DN395" s="72"/>
      <c r="DO395" s="72"/>
      <c r="DP395" s="72"/>
      <c r="DQ395" s="72"/>
      <c r="DR395" s="72"/>
      <c r="DS395" s="72"/>
      <c r="DT395" s="72"/>
      <c r="DU395" s="72"/>
      <c r="DV395" s="72"/>
      <c r="DW395" s="72"/>
      <c r="DX395" s="72"/>
      <c r="DY395" s="72"/>
      <c r="DZ395" s="72"/>
      <c r="EA395" s="72"/>
      <c r="EB395" s="72"/>
      <c r="EC395" s="72"/>
      <c r="ED395" s="72"/>
      <c r="EE395" s="72"/>
      <c r="EF395" s="72"/>
      <c r="EG395" s="72"/>
      <c r="EH395" s="72"/>
      <c r="EI395" s="129"/>
      <c r="EJ395" s="129"/>
      <c r="EK395" s="129"/>
      <c r="EL395" s="129"/>
      <c r="EM395" s="72"/>
      <c r="EN395" s="72"/>
      <c r="EO395" s="72"/>
      <c r="EP395" s="72"/>
      <c r="EQ395" s="72"/>
      <c r="ER395" s="72"/>
      <c r="ES395" s="72"/>
      <c r="ET395" s="72"/>
    </row>
    <row r="396">
      <c r="CD396" s="72"/>
      <c r="CE396" s="72"/>
      <c r="CF396" s="72"/>
      <c r="CG396" s="72"/>
      <c r="CH396" s="72"/>
      <c r="CI396" s="72"/>
      <c r="CJ396" s="72"/>
      <c r="CK396" s="72"/>
      <c r="CL396" s="72"/>
      <c r="CM396" s="72"/>
      <c r="CN396" s="72"/>
      <c r="CO396" s="72"/>
      <c r="CP396" s="72"/>
      <c r="CQ396" s="72"/>
      <c r="CR396" s="72"/>
      <c r="CS396" s="72"/>
      <c r="CT396" s="72"/>
      <c r="CU396" s="72"/>
      <c r="CV396" s="72"/>
      <c r="CW396" s="72"/>
      <c r="CX396" s="72"/>
      <c r="CY396" s="72"/>
      <c r="CZ396" s="72"/>
      <c r="DA396" s="72"/>
      <c r="DB396" s="72"/>
      <c r="DC396" s="72"/>
      <c r="DD396" s="72"/>
      <c r="DE396" s="72"/>
      <c r="DF396" s="72"/>
      <c r="DG396" s="72"/>
      <c r="DH396" s="72"/>
      <c r="DI396" s="72"/>
      <c r="DJ396" s="72"/>
      <c r="DK396" s="72"/>
      <c r="DL396" s="72"/>
      <c r="DM396" s="72"/>
      <c r="DN396" s="72"/>
      <c r="DO396" s="72"/>
      <c r="DP396" s="72"/>
      <c r="DQ396" s="72"/>
      <c r="DR396" s="72"/>
      <c r="DS396" s="72"/>
      <c r="DT396" s="72"/>
      <c r="DU396" s="72"/>
      <c r="DV396" s="72"/>
      <c r="DW396" s="72"/>
      <c r="DX396" s="72"/>
      <c r="DY396" s="72"/>
      <c r="DZ396" s="72"/>
      <c r="EA396" s="72"/>
      <c r="EB396" s="72"/>
      <c r="EC396" s="72"/>
      <c r="ED396" s="72"/>
      <c r="EE396" s="72"/>
      <c r="EF396" s="72"/>
      <c r="EG396" s="72"/>
      <c r="EH396" s="72"/>
      <c r="EI396" s="129"/>
      <c r="EJ396" s="129"/>
      <c r="EK396" s="129"/>
      <c r="EL396" s="129"/>
      <c r="EM396" s="72"/>
      <c r="EN396" s="72"/>
      <c r="EO396" s="72"/>
      <c r="EP396" s="72"/>
      <c r="EQ396" s="72"/>
      <c r="ER396" s="72"/>
      <c r="ES396" s="72"/>
      <c r="ET396" s="72"/>
    </row>
    <row r="397"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  <c r="CV397" s="72"/>
      <c r="CW397" s="72"/>
      <c r="CX397" s="72"/>
      <c r="CY397" s="72"/>
      <c r="CZ397" s="72"/>
      <c r="DA397" s="72"/>
      <c r="DB397" s="72"/>
      <c r="DC397" s="72"/>
      <c r="DD397" s="72"/>
      <c r="DE397" s="72"/>
      <c r="DF397" s="72"/>
      <c r="DG397" s="72"/>
      <c r="DH397" s="72"/>
      <c r="DI397" s="72"/>
      <c r="DJ397" s="72"/>
      <c r="DK397" s="72"/>
      <c r="DL397" s="72"/>
      <c r="DM397" s="72"/>
      <c r="DN397" s="72"/>
      <c r="DO397" s="72"/>
      <c r="DP397" s="72"/>
      <c r="DQ397" s="72"/>
      <c r="DR397" s="72"/>
      <c r="DS397" s="72"/>
      <c r="DT397" s="72"/>
      <c r="DU397" s="72"/>
      <c r="DV397" s="72"/>
      <c r="DW397" s="72"/>
      <c r="DX397" s="72"/>
      <c r="DY397" s="72"/>
      <c r="DZ397" s="72"/>
      <c r="EA397" s="72"/>
      <c r="EB397" s="72"/>
      <c r="EC397" s="72"/>
      <c r="ED397" s="72"/>
      <c r="EE397" s="72"/>
      <c r="EF397" s="72"/>
      <c r="EG397" s="72"/>
      <c r="EH397" s="72"/>
      <c r="EI397" s="129"/>
      <c r="EJ397" s="129"/>
      <c r="EK397" s="129"/>
      <c r="EL397" s="129"/>
      <c r="EM397" s="72"/>
      <c r="EN397" s="72"/>
      <c r="EO397" s="72"/>
      <c r="EP397" s="72"/>
      <c r="EQ397" s="72"/>
      <c r="ER397" s="72"/>
      <c r="ES397" s="72"/>
      <c r="ET397" s="72"/>
    </row>
    <row r="398">
      <c r="CD398" s="72"/>
      <c r="CE398" s="72"/>
      <c r="CF398" s="72"/>
      <c r="CG398" s="72"/>
      <c r="CH398" s="72"/>
      <c r="CI398" s="72"/>
      <c r="CJ398" s="72"/>
      <c r="CK398" s="72"/>
      <c r="CL398" s="72"/>
      <c r="CM398" s="72"/>
      <c r="CN398" s="72"/>
      <c r="CO398" s="72"/>
      <c r="CP398" s="72"/>
      <c r="CQ398" s="72"/>
      <c r="CR398" s="72"/>
      <c r="CS398" s="72"/>
      <c r="CT398" s="72"/>
      <c r="CU398" s="72"/>
      <c r="CV398" s="72"/>
      <c r="CW398" s="72"/>
      <c r="CX398" s="72"/>
      <c r="CY398" s="72"/>
      <c r="CZ398" s="72"/>
      <c r="DA398" s="72"/>
      <c r="DB398" s="72"/>
      <c r="DC398" s="72"/>
      <c r="DD398" s="72"/>
      <c r="DE398" s="72"/>
      <c r="DF398" s="72"/>
      <c r="DG398" s="72"/>
      <c r="DH398" s="72"/>
      <c r="DI398" s="72"/>
      <c r="DJ398" s="72"/>
      <c r="DK398" s="72"/>
      <c r="DL398" s="72"/>
      <c r="DM398" s="72"/>
      <c r="DN398" s="72"/>
      <c r="DO398" s="72"/>
      <c r="DP398" s="72"/>
      <c r="DQ398" s="72"/>
      <c r="DR398" s="72"/>
      <c r="DS398" s="72"/>
      <c r="DT398" s="72"/>
      <c r="DU398" s="72"/>
      <c r="DV398" s="72"/>
      <c r="DW398" s="72"/>
      <c r="DX398" s="72"/>
      <c r="DY398" s="72"/>
      <c r="DZ398" s="72"/>
      <c r="EA398" s="72"/>
      <c r="EB398" s="72"/>
      <c r="EC398" s="72"/>
      <c r="ED398" s="72"/>
      <c r="EE398" s="72"/>
      <c r="EF398" s="72"/>
      <c r="EG398" s="72"/>
      <c r="EH398" s="72"/>
      <c r="EI398" s="129"/>
      <c r="EJ398" s="129"/>
      <c r="EK398" s="129"/>
      <c r="EL398" s="129"/>
      <c r="EM398" s="72"/>
      <c r="EN398" s="72"/>
      <c r="EO398" s="72"/>
      <c r="EP398" s="72"/>
      <c r="EQ398" s="72"/>
      <c r="ER398" s="72"/>
      <c r="ES398" s="72"/>
      <c r="ET398" s="72"/>
    </row>
    <row r="399"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  <c r="CV399" s="72"/>
      <c r="CW399" s="72"/>
      <c r="CX399" s="72"/>
      <c r="CY399" s="72"/>
      <c r="CZ399" s="72"/>
      <c r="DA399" s="72"/>
      <c r="DB399" s="72"/>
      <c r="DC399" s="72"/>
      <c r="DD399" s="72"/>
      <c r="DE399" s="72"/>
      <c r="DF399" s="72"/>
      <c r="DG399" s="72"/>
      <c r="DH399" s="72"/>
      <c r="DI399" s="72"/>
      <c r="DJ399" s="72"/>
      <c r="DK399" s="72"/>
      <c r="DL399" s="72"/>
      <c r="DM399" s="72"/>
      <c r="DN399" s="72"/>
      <c r="DO399" s="72"/>
      <c r="DP399" s="72"/>
      <c r="DQ399" s="72"/>
      <c r="DR399" s="72"/>
      <c r="DS399" s="72"/>
      <c r="DT399" s="72"/>
      <c r="DU399" s="72"/>
      <c r="DV399" s="72"/>
      <c r="DW399" s="72"/>
      <c r="DX399" s="72"/>
      <c r="DY399" s="72"/>
      <c r="DZ399" s="72"/>
      <c r="EA399" s="72"/>
      <c r="EB399" s="72"/>
      <c r="EC399" s="72"/>
      <c r="ED399" s="72"/>
      <c r="EE399" s="72"/>
      <c r="EF399" s="72"/>
      <c r="EG399" s="72"/>
      <c r="EH399" s="72"/>
      <c r="EI399" s="129"/>
      <c r="EJ399" s="129"/>
      <c r="EK399" s="129"/>
      <c r="EL399" s="129"/>
      <c r="EM399" s="72"/>
      <c r="EN399" s="72"/>
      <c r="EO399" s="72"/>
      <c r="EP399" s="72"/>
      <c r="EQ399" s="72"/>
      <c r="ER399" s="72"/>
      <c r="ES399" s="72"/>
      <c r="ET399" s="72"/>
    </row>
    <row r="400">
      <c r="CD400" s="72"/>
      <c r="CE400" s="72"/>
      <c r="CF400" s="72"/>
      <c r="CG400" s="72"/>
      <c r="CH400" s="72"/>
      <c r="CI400" s="72"/>
      <c r="CJ400" s="72"/>
      <c r="CK400" s="72"/>
      <c r="CL400" s="72"/>
      <c r="CM400" s="72"/>
      <c r="CN400" s="72"/>
      <c r="CO400" s="72"/>
      <c r="CP400" s="72"/>
      <c r="CQ400" s="72"/>
      <c r="CR400" s="72"/>
      <c r="CS400" s="72"/>
      <c r="CT400" s="72"/>
      <c r="CU400" s="72"/>
      <c r="CV400" s="72"/>
      <c r="CW400" s="72"/>
      <c r="CX400" s="72"/>
      <c r="CY400" s="72"/>
      <c r="CZ400" s="72"/>
      <c r="DA400" s="72"/>
      <c r="DB400" s="72"/>
      <c r="DC400" s="72"/>
      <c r="DD400" s="72"/>
      <c r="DE400" s="72"/>
      <c r="DF400" s="72"/>
      <c r="DG400" s="72"/>
      <c r="DH400" s="72"/>
      <c r="DI400" s="72"/>
      <c r="DJ400" s="72"/>
      <c r="DK400" s="72"/>
      <c r="DL400" s="72"/>
      <c r="DM400" s="72"/>
      <c r="DN400" s="72"/>
      <c r="DO400" s="72"/>
      <c r="DP400" s="72"/>
      <c r="DQ400" s="72"/>
      <c r="DR400" s="72"/>
      <c r="DS400" s="72"/>
      <c r="DT400" s="72"/>
      <c r="DU400" s="72"/>
      <c r="DV400" s="72"/>
      <c r="DW400" s="72"/>
      <c r="DX400" s="72"/>
      <c r="DY400" s="72"/>
      <c r="DZ400" s="72"/>
      <c r="EA400" s="72"/>
      <c r="EB400" s="72"/>
      <c r="EC400" s="72"/>
      <c r="ED400" s="72"/>
      <c r="EE400" s="72"/>
      <c r="EF400" s="72"/>
      <c r="EG400" s="72"/>
      <c r="EH400" s="72"/>
      <c r="EI400" s="129"/>
      <c r="EJ400" s="129"/>
      <c r="EK400" s="129"/>
      <c r="EL400" s="129"/>
      <c r="EM400" s="72"/>
      <c r="EN400" s="72"/>
      <c r="EO400" s="72"/>
      <c r="EP400" s="72"/>
      <c r="EQ400" s="72"/>
      <c r="ER400" s="72"/>
      <c r="ES400" s="72"/>
      <c r="ET400" s="72"/>
    </row>
    <row r="401"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  <c r="CV401" s="72"/>
      <c r="CW401" s="72"/>
      <c r="CX401" s="72"/>
      <c r="CY401" s="72"/>
      <c r="CZ401" s="72"/>
      <c r="DA401" s="72"/>
      <c r="DB401" s="72"/>
      <c r="DC401" s="72"/>
      <c r="DD401" s="72"/>
      <c r="DE401" s="72"/>
      <c r="DF401" s="72"/>
      <c r="DG401" s="72"/>
      <c r="DH401" s="72"/>
      <c r="DI401" s="72"/>
      <c r="DJ401" s="72"/>
      <c r="DK401" s="72"/>
      <c r="DL401" s="72"/>
      <c r="DM401" s="72"/>
      <c r="DN401" s="72"/>
      <c r="DO401" s="72"/>
      <c r="DP401" s="72"/>
      <c r="DQ401" s="72"/>
      <c r="DR401" s="72"/>
      <c r="DS401" s="72"/>
      <c r="DT401" s="72"/>
      <c r="DU401" s="72"/>
      <c r="DV401" s="72"/>
      <c r="DW401" s="72"/>
      <c r="DX401" s="72"/>
      <c r="DY401" s="72"/>
      <c r="DZ401" s="72"/>
      <c r="EA401" s="72"/>
      <c r="EB401" s="72"/>
      <c r="EC401" s="72"/>
      <c r="ED401" s="72"/>
      <c r="EE401" s="72"/>
      <c r="EF401" s="72"/>
      <c r="EG401" s="72"/>
      <c r="EH401" s="72"/>
      <c r="EI401" s="129"/>
      <c r="EJ401" s="129"/>
      <c r="EK401" s="129"/>
      <c r="EL401" s="129"/>
      <c r="EM401" s="72"/>
      <c r="EN401" s="72"/>
      <c r="EO401" s="72"/>
      <c r="EP401" s="72"/>
      <c r="EQ401" s="72"/>
      <c r="ER401" s="72"/>
      <c r="ES401" s="72"/>
      <c r="ET401" s="72"/>
    </row>
    <row r="402">
      <c r="CD402" s="72"/>
      <c r="CE402" s="72"/>
      <c r="CF402" s="72"/>
      <c r="CG402" s="72"/>
      <c r="CH402" s="72"/>
      <c r="CI402" s="72"/>
      <c r="CJ402" s="72"/>
      <c r="CK402" s="72"/>
      <c r="CL402" s="72"/>
      <c r="CM402" s="72"/>
      <c r="CN402" s="72"/>
      <c r="CO402" s="72"/>
      <c r="CP402" s="72"/>
      <c r="CQ402" s="72"/>
      <c r="CR402" s="72"/>
      <c r="CS402" s="72"/>
      <c r="CT402" s="72"/>
      <c r="CU402" s="72"/>
      <c r="CV402" s="72"/>
      <c r="CW402" s="72"/>
      <c r="CX402" s="72"/>
      <c r="CY402" s="72"/>
      <c r="CZ402" s="72"/>
      <c r="DA402" s="72"/>
      <c r="DB402" s="72"/>
      <c r="DC402" s="72"/>
      <c r="DD402" s="72"/>
      <c r="DE402" s="72"/>
      <c r="DF402" s="72"/>
      <c r="DG402" s="72"/>
      <c r="DH402" s="72"/>
      <c r="DI402" s="72"/>
      <c r="DJ402" s="72"/>
      <c r="DK402" s="72"/>
      <c r="DL402" s="72"/>
      <c r="DM402" s="72"/>
      <c r="DN402" s="72"/>
      <c r="DO402" s="72"/>
      <c r="DP402" s="72"/>
      <c r="DQ402" s="72"/>
      <c r="DR402" s="72"/>
      <c r="DS402" s="72"/>
      <c r="DT402" s="72"/>
      <c r="DU402" s="72"/>
      <c r="DV402" s="72"/>
      <c r="DW402" s="72"/>
      <c r="DX402" s="72"/>
      <c r="DY402" s="72"/>
      <c r="DZ402" s="72"/>
      <c r="EA402" s="72"/>
      <c r="EB402" s="72"/>
      <c r="EC402" s="72"/>
      <c r="ED402" s="72"/>
      <c r="EE402" s="72"/>
      <c r="EF402" s="72"/>
      <c r="EG402" s="72"/>
      <c r="EH402" s="72"/>
      <c r="EI402" s="129"/>
      <c r="EJ402" s="129"/>
      <c r="EK402" s="129"/>
      <c r="EL402" s="129"/>
      <c r="EM402" s="72"/>
      <c r="EN402" s="72"/>
      <c r="EO402" s="72"/>
      <c r="EP402" s="72"/>
      <c r="EQ402" s="72"/>
      <c r="ER402" s="72"/>
      <c r="ES402" s="72"/>
      <c r="ET402" s="72"/>
    </row>
    <row r="403"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  <c r="CV403" s="72"/>
      <c r="CW403" s="72"/>
      <c r="CX403" s="72"/>
      <c r="CY403" s="72"/>
      <c r="CZ403" s="72"/>
      <c r="DA403" s="72"/>
      <c r="DB403" s="72"/>
      <c r="DC403" s="72"/>
      <c r="DD403" s="72"/>
      <c r="DE403" s="72"/>
      <c r="DF403" s="72"/>
      <c r="DG403" s="72"/>
      <c r="DH403" s="72"/>
      <c r="DI403" s="72"/>
      <c r="DJ403" s="72"/>
      <c r="DK403" s="72"/>
      <c r="DL403" s="72"/>
      <c r="DM403" s="72"/>
      <c r="DN403" s="72"/>
      <c r="DO403" s="72"/>
      <c r="DP403" s="72"/>
      <c r="DQ403" s="72"/>
      <c r="DR403" s="72"/>
      <c r="DS403" s="72"/>
      <c r="DT403" s="72"/>
      <c r="DU403" s="72"/>
      <c r="DV403" s="72"/>
      <c r="DW403" s="72"/>
      <c r="DX403" s="72"/>
      <c r="DY403" s="72"/>
      <c r="DZ403" s="72"/>
      <c r="EA403" s="72"/>
      <c r="EB403" s="72"/>
      <c r="EC403" s="72"/>
      <c r="ED403" s="72"/>
      <c r="EE403" s="72"/>
      <c r="EF403" s="72"/>
      <c r="EG403" s="72"/>
      <c r="EH403" s="72"/>
      <c r="EI403" s="129"/>
      <c r="EJ403" s="129"/>
      <c r="EK403" s="129"/>
      <c r="EL403" s="129"/>
      <c r="EM403" s="72"/>
      <c r="EN403" s="72"/>
      <c r="EO403" s="72"/>
      <c r="EP403" s="72"/>
      <c r="EQ403" s="72"/>
      <c r="ER403" s="72"/>
      <c r="ES403" s="72"/>
      <c r="ET403" s="72"/>
    </row>
    <row r="404">
      <c r="CD404" s="72"/>
      <c r="CE404" s="72"/>
      <c r="CF404" s="72"/>
      <c r="CG404" s="72"/>
      <c r="CH404" s="72"/>
      <c r="CI404" s="72"/>
      <c r="CJ404" s="72"/>
      <c r="CK404" s="72"/>
      <c r="CL404" s="72"/>
      <c r="CM404" s="72"/>
      <c r="CN404" s="72"/>
      <c r="CO404" s="72"/>
      <c r="CP404" s="72"/>
      <c r="CQ404" s="72"/>
      <c r="CR404" s="72"/>
      <c r="CS404" s="72"/>
      <c r="CT404" s="72"/>
      <c r="CU404" s="72"/>
      <c r="CV404" s="72"/>
      <c r="CW404" s="72"/>
      <c r="CX404" s="72"/>
      <c r="CY404" s="72"/>
      <c r="CZ404" s="72"/>
      <c r="DA404" s="72"/>
      <c r="DB404" s="72"/>
      <c r="DC404" s="72"/>
      <c r="DD404" s="72"/>
      <c r="DE404" s="72"/>
      <c r="DF404" s="72"/>
      <c r="DG404" s="72"/>
      <c r="DH404" s="72"/>
      <c r="DI404" s="72"/>
      <c r="DJ404" s="72"/>
      <c r="DK404" s="72"/>
      <c r="DL404" s="72"/>
      <c r="DM404" s="72"/>
      <c r="DN404" s="72"/>
      <c r="DO404" s="72"/>
      <c r="DP404" s="72"/>
      <c r="DQ404" s="72"/>
      <c r="DR404" s="72"/>
      <c r="DS404" s="72"/>
      <c r="DT404" s="72"/>
      <c r="DU404" s="72"/>
      <c r="DV404" s="72"/>
      <c r="DW404" s="72"/>
      <c r="DX404" s="72"/>
      <c r="DY404" s="72"/>
      <c r="DZ404" s="72"/>
      <c r="EA404" s="72"/>
      <c r="EB404" s="72"/>
      <c r="EC404" s="72"/>
      <c r="ED404" s="72"/>
      <c r="EE404" s="72"/>
      <c r="EF404" s="72"/>
      <c r="EG404" s="72"/>
      <c r="EH404" s="72"/>
      <c r="EI404" s="129"/>
      <c r="EJ404" s="129"/>
      <c r="EK404" s="129"/>
      <c r="EL404" s="129"/>
      <c r="EM404" s="72"/>
      <c r="EN404" s="72"/>
      <c r="EO404" s="72"/>
      <c r="EP404" s="72"/>
      <c r="EQ404" s="72"/>
      <c r="ER404" s="72"/>
      <c r="ES404" s="72"/>
      <c r="ET404" s="72"/>
    </row>
    <row r="405"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  <c r="CV405" s="72"/>
      <c r="CW405" s="72"/>
      <c r="CX405" s="72"/>
      <c r="CY405" s="72"/>
      <c r="CZ405" s="72"/>
      <c r="DA405" s="72"/>
      <c r="DB405" s="72"/>
      <c r="DC405" s="72"/>
      <c r="DD405" s="72"/>
      <c r="DE405" s="72"/>
      <c r="DF405" s="72"/>
      <c r="DG405" s="72"/>
      <c r="DH405" s="72"/>
      <c r="DI405" s="72"/>
      <c r="DJ405" s="72"/>
      <c r="DK405" s="72"/>
      <c r="DL405" s="72"/>
      <c r="DM405" s="72"/>
      <c r="DN405" s="72"/>
      <c r="DO405" s="72"/>
      <c r="DP405" s="72"/>
      <c r="DQ405" s="72"/>
      <c r="DR405" s="72"/>
      <c r="DS405" s="72"/>
      <c r="DT405" s="72"/>
      <c r="DU405" s="72"/>
      <c r="DV405" s="72"/>
      <c r="DW405" s="72"/>
      <c r="DX405" s="72"/>
      <c r="DY405" s="72"/>
      <c r="DZ405" s="72"/>
      <c r="EA405" s="72"/>
      <c r="EB405" s="72"/>
      <c r="EC405" s="72"/>
      <c r="ED405" s="72"/>
      <c r="EE405" s="72"/>
      <c r="EF405" s="72"/>
      <c r="EG405" s="72"/>
      <c r="EH405" s="72"/>
      <c r="EI405" s="129"/>
      <c r="EJ405" s="129"/>
      <c r="EK405" s="129"/>
      <c r="EL405" s="129"/>
      <c r="EM405" s="72"/>
      <c r="EN405" s="72"/>
      <c r="EO405" s="72"/>
      <c r="EP405" s="72"/>
      <c r="EQ405" s="72"/>
      <c r="ER405" s="72"/>
      <c r="ES405" s="72"/>
      <c r="ET405" s="72"/>
    </row>
    <row r="406">
      <c r="CD406" s="72"/>
      <c r="CE406" s="72"/>
      <c r="CF406" s="72"/>
      <c r="CG406" s="72"/>
      <c r="CH406" s="72"/>
      <c r="CI406" s="72"/>
      <c r="CJ406" s="72"/>
      <c r="CK406" s="72"/>
      <c r="CL406" s="72"/>
      <c r="CM406" s="72"/>
      <c r="CN406" s="72"/>
      <c r="CO406" s="72"/>
      <c r="CP406" s="72"/>
      <c r="CQ406" s="72"/>
      <c r="CR406" s="72"/>
      <c r="CS406" s="72"/>
      <c r="CT406" s="72"/>
      <c r="CU406" s="72"/>
      <c r="CV406" s="72"/>
      <c r="CW406" s="72"/>
      <c r="CX406" s="72"/>
      <c r="CY406" s="72"/>
      <c r="CZ406" s="72"/>
      <c r="DA406" s="72"/>
      <c r="DB406" s="72"/>
      <c r="DC406" s="72"/>
      <c r="DD406" s="72"/>
      <c r="DE406" s="72"/>
      <c r="DF406" s="72"/>
      <c r="DG406" s="72"/>
      <c r="DH406" s="72"/>
      <c r="DI406" s="72"/>
      <c r="DJ406" s="72"/>
      <c r="DK406" s="72"/>
      <c r="DL406" s="72"/>
      <c r="DM406" s="72"/>
      <c r="DN406" s="72"/>
      <c r="DO406" s="72"/>
      <c r="DP406" s="72"/>
      <c r="DQ406" s="72"/>
      <c r="DR406" s="72"/>
      <c r="DS406" s="72"/>
      <c r="DT406" s="72"/>
      <c r="DU406" s="72"/>
      <c r="DV406" s="72"/>
      <c r="DW406" s="72"/>
      <c r="DX406" s="72"/>
      <c r="DY406" s="72"/>
      <c r="DZ406" s="72"/>
      <c r="EA406" s="72"/>
      <c r="EB406" s="72"/>
      <c r="EC406" s="72"/>
      <c r="ED406" s="72"/>
      <c r="EE406" s="72"/>
      <c r="EF406" s="72"/>
      <c r="EG406" s="72"/>
      <c r="EH406" s="72"/>
      <c r="EI406" s="129"/>
      <c r="EJ406" s="129"/>
      <c r="EK406" s="129"/>
      <c r="EL406" s="129"/>
      <c r="EM406" s="72"/>
      <c r="EN406" s="72"/>
      <c r="EO406" s="72"/>
      <c r="EP406" s="72"/>
      <c r="EQ406" s="72"/>
      <c r="ER406" s="72"/>
      <c r="ES406" s="72"/>
      <c r="ET406" s="72"/>
    </row>
    <row r="407"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  <c r="CV407" s="72"/>
      <c r="CW407" s="72"/>
      <c r="CX407" s="72"/>
      <c r="CY407" s="72"/>
      <c r="CZ407" s="72"/>
      <c r="DA407" s="72"/>
      <c r="DB407" s="72"/>
      <c r="DC407" s="72"/>
      <c r="DD407" s="72"/>
      <c r="DE407" s="72"/>
      <c r="DF407" s="72"/>
      <c r="DG407" s="72"/>
      <c r="DH407" s="72"/>
      <c r="DI407" s="72"/>
      <c r="DJ407" s="72"/>
      <c r="DK407" s="72"/>
      <c r="DL407" s="72"/>
      <c r="DM407" s="72"/>
      <c r="DN407" s="72"/>
      <c r="DO407" s="72"/>
      <c r="DP407" s="72"/>
      <c r="DQ407" s="72"/>
      <c r="DR407" s="72"/>
      <c r="DS407" s="72"/>
      <c r="DT407" s="72"/>
      <c r="DU407" s="72"/>
      <c r="DV407" s="72"/>
      <c r="DW407" s="72"/>
      <c r="DX407" s="72"/>
      <c r="DY407" s="72"/>
      <c r="DZ407" s="72"/>
      <c r="EA407" s="72"/>
      <c r="EB407" s="72"/>
      <c r="EC407" s="72"/>
      <c r="ED407" s="72"/>
      <c r="EE407" s="72"/>
      <c r="EF407" s="72"/>
      <c r="EG407" s="72"/>
      <c r="EH407" s="72"/>
      <c r="EI407" s="129"/>
      <c r="EJ407" s="129"/>
      <c r="EK407" s="129"/>
      <c r="EL407" s="129"/>
      <c r="EM407" s="72"/>
      <c r="EN407" s="72"/>
      <c r="EO407" s="72"/>
      <c r="EP407" s="72"/>
      <c r="EQ407" s="72"/>
      <c r="ER407" s="72"/>
      <c r="ES407" s="72"/>
      <c r="ET407" s="72"/>
    </row>
    <row r="408">
      <c r="CD408" s="72"/>
      <c r="CE408" s="72"/>
      <c r="CF408" s="72"/>
      <c r="CG408" s="72"/>
      <c r="CH408" s="72"/>
      <c r="CI408" s="72"/>
      <c r="CJ408" s="72"/>
      <c r="CK408" s="72"/>
      <c r="CL408" s="72"/>
      <c r="CM408" s="72"/>
      <c r="CN408" s="72"/>
      <c r="CO408" s="72"/>
      <c r="CP408" s="72"/>
      <c r="CQ408" s="72"/>
      <c r="CR408" s="72"/>
      <c r="CS408" s="72"/>
      <c r="CT408" s="72"/>
      <c r="CU408" s="72"/>
      <c r="CV408" s="72"/>
      <c r="CW408" s="72"/>
      <c r="CX408" s="72"/>
      <c r="CY408" s="72"/>
      <c r="CZ408" s="72"/>
      <c r="DA408" s="72"/>
      <c r="DB408" s="72"/>
      <c r="DC408" s="72"/>
      <c r="DD408" s="72"/>
      <c r="DE408" s="72"/>
      <c r="DF408" s="72"/>
      <c r="DG408" s="72"/>
      <c r="DH408" s="72"/>
      <c r="DI408" s="72"/>
      <c r="DJ408" s="72"/>
      <c r="DK408" s="72"/>
      <c r="DL408" s="72"/>
      <c r="DM408" s="72"/>
      <c r="DN408" s="72"/>
      <c r="DO408" s="72"/>
      <c r="DP408" s="72"/>
      <c r="DQ408" s="72"/>
      <c r="DR408" s="72"/>
      <c r="DS408" s="72"/>
      <c r="DT408" s="72"/>
      <c r="DU408" s="72"/>
      <c r="DV408" s="72"/>
      <c r="DW408" s="72"/>
      <c r="DX408" s="72"/>
      <c r="DY408" s="72"/>
      <c r="DZ408" s="72"/>
      <c r="EA408" s="72"/>
      <c r="EB408" s="72"/>
      <c r="EC408" s="72"/>
      <c r="ED408" s="72"/>
      <c r="EE408" s="72"/>
      <c r="EF408" s="72"/>
      <c r="EG408" s="72"/>
      <c r="EH408" s="72"/>
      <c r="EI408" s="129"/>
      <c r="EJ408" s="129"/>
      <c r="EK408" s="129"/>
      <c r="EL408" s="129"/>
      <c r="EM408" s="72"/>
      <c r="EN408" s="72"/>
      <c r="EO408" s="72"/>
      <c r="EP408" s="72"/>
      <c r="EQ408" s="72"/>
      <c r="ER408" s="72"/>
      <c r="ES408" s="72"/>
      <c r="ET408" s="72"/>
    </row>
    <row r="409"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  <c r="CV409" s="72"/>
      <c r="CW409" s="72"/>
      <c r="CX409" s="72"/>
      <c r="CY409" s="72"/>
      <c r="CZ409" s="72"/>
      <c r="DA409" s="72"/>
      <c r="DB409" s="72"/>
      <c r="DC409" s="72"/>
      <c r="DD409" s="72"/>
      <c r="DE409" s="72"/>
      <c r="DF409" s="72"/>
      <c r="DG409" s="72"/>
      <c r="DH409" s="72"/>
      <c r="DI409" s="72"/>
      <c r="DJ409" s="72"/>
      <c r="DK409" s="72"/>
      <c r="DL409" s="72"/>
      <c r="DM409" s="72"/>
      <c r="DN409" s="72"/>
      <c r="DO409" s="72"/>
      <c r="DP409" s="72"/>
      <c r="DQ409" s="72"/>
      <c r="DR409" s="72"/>
      <c r="DS409" s="72"/>
      <c r="DT409" s="72"/>
      <c r="DU409" s="72"/>
      <c r="DV409" s="72"/>
      <c r="DW409" s="72"/>
      <c r="DX409" s="72"/>
      <c r="DY409" s="72"/>
      <c r="DZ409" s="72"/>
      <c r="EA409" s="72"/>
      <c r="EB409" s="72"/>
      <c r="EC409" s="72"/>
      <c r="ED409" s="72"/>
      <c r="EE409" s="72"/>
      <c r="EF409" s="72"/>
      <c r="EG409" s="72"/>
      <c r="EH409" s="72"/>
      <c r="EI409" s="129"/>
      <c r="EJ409" s="129"/>
      <c r="EK409" s="129"/>
      <c r="EL409" s="129"/>
      <c r="EM409" s="72"/>
      <c r="EN409" s="72"/>
      <c r="EO409" s="72"/>
      <c r="EP409" s="72"/>
      <c r="EQ409" s="72"/>
      <c r="ER409" s="72"/>
      <c r="ES409" s="72"/>
      <c r="ET409" s="72"/>
    </row>
    <row r="410">
      <c r="CD410" s="72"/>
      <c r="CE410" s="72"/>
      <c r="CF410" s="72"/>
      <c r="CG410" s="72"/>
      <c r="CH410" s="72"/>
      <c r="CI410" s="72"/>
      <c r="CJ410" s="72"/>
      <c r="CK410" s="72"/>
      <c r="CL410" s="72"/>
      <c r="CM410" s="72"/>
      <c r="CN410" s="72"/>
      <c r="CO410" s="72"/>
      <c r="CP410" s="72"/>
      <c r="CQ410" s="72"/>
      <c r="CR410" s="72"/>
      <c r="CS410" s="72"/>
      <c r="CT410" s="72"/>
      <c r="CU410" s="72"/>
      <c r="CV410" s="72"/>
      <c r="CW410" s="72"/>
      <c r="CX410" s="72"/>
      <c r="CY410" s="72"/>
      <c r="CZ410" s="72"/>
      <c r="DA410" s="72"/>
      <c r="DB410" s="72"/>
      <c r="DC410" s="72"/>
      <c r="DD410" s="72"/>
      <c r="DE410" s="72"/>
      <c r="DF410" s="72"/>
      <c r="DG410" s="72"/>
      <c r="DH410" s="72"/>
      <c r="DI410" s="72"/>
      <c r="DJ410" s="72"/>
      <c r="DK410" s="72"/>
      <c r="DL410" s="72"/>
      <c r="DM410" s="72"/>
      <c r="DN410" s="72"/>
      <c r="DO410" s="72"/>
      <c r="DP410" s="72"/>
      <c r="DQ410" s="72"/>
      <c r="DR410" s="72"/>
      <c r="DS410" s="72"/>
      <c r="DT410" s="72"/>
      <c r="DU410" s="72"/>
      <c r="DV410" s="72"/>
      <c r="DW410" s="72"/>
      <c r="DX410" s="72"/>
      <c r="DY410" s="72"/>
      <c r="DZ410" s="72"/>
      <c r="EA410" s="72"/>
      <c r="EB410" s="72"/>
      <c r="EC410" s="72"/>
      <c r="ED410" s="72"/>
      <c r="EE410" s="72"/>
      <c r="EF410" s="72"/>
      <c r="EG410" s="72"/>
      <c r="EH410" s="72"/>
      <c r="EI410" s="129"/>
      <c r="EJ410" s="129"/>
      <c r="EK410" s="129"/>
      <c r="EL410" s="129"/>
      <c r="EM410" s="72"/>
      <c r="EN410" s="72"/>
      <c r="EO410" s="72"/>
      <c r="EP410" s="72"/>
      <c r="EQ410" s="72"/>
      <c r="ER410" s="72"/>
      <c r="ES410" s="72"/>
      <c r="ET410" s="72"/>
    </row>
    <row r="411"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  <c r="CV411" s="72"/>
      <c r="CW411" s="72"/>
      <c r="CX411" s="72"/>
      <c r="CY411" s="72"/>
      <c r="CZ411" s="72"/>
      <c r="DA411" s="72"/>
      <c r="DB411" s="72"/>
      <c r="DC411" s="72"/>
      <c r="DD411" s="72"/>
      <c r="DE411" s="72"/>
      <c r="DF411" s="72"/>
      <c r="DG411" s="72"/>
      <c r="DH411" s="72"/>
      <c r="DI411" s="72"/>
      <c r="DJ411" s="72"/>
      <c r="DK411" s="72"/>
      <c r="DL411" s="72"/>
      <c r="DM411" s="72"/>
      <c r="DN411" s="72"/>
      <c r="DO411" s="72"/>
      <c r="DP411" s="72"/>
      <c r="DQ411" s="72"/>
      <c r="DR411" s="72"/>
      <c r="DS411" s="72"/>
      <c r="DT411" s="72"/>
      <c r="DU411" s="72"/>
      <c r="DV411" s="72"/>
      <c r="DW411" s="72"/>
      <c r="DX411" s="72"/>
      <c r="DY411" s="72"/>
      <c r="DZ411" s="72"/>
      <c r="EA411" s="72"/>
      <c r="EB411" s="72"/>
      <c r="EC411" s="72"/>
      <c r="ED411" s="72"/>
      <c r="EE411" s="72"/>
      <c r="EF411" s="72"/>
      <c r="EG411" s="72"/>
      <c r="EH411" s="72"/>
      <c r="EI411" s="129"/>
      <c r="EJ411" s="129"/>
      <c r="EK411" s="129"/>
      <c r="EL411" s="129"/>
      <c r="EM411" s="72"/>
      <c r="EN411" s="72"/>
      <c r="EO411" s="72"/>
      <c r="EP411" s="72"/>
      <c r="EQ411" s="72"/>
      <c r="ER411" s="72"/>
      <c r="ES411" s="72"/>
      <c r="ET411" s="72"/>
    </row>
    <row r="412">
      <c r="CD412" s="72"/>
      <c r="CE412" s="72"/>
      <c r="CF412" s="72"/>
      <c r="CG412" s="72"/>
      <c r="CH412" s="72"/>
      <c r="CI412" s="72"/>
      <c r="CJ412" s="72"/>
      <c r="CK412" s="72"/>
      <c r="CL412" s="72"/>
      <c r="CM412" s="72"/>
      <c r="CN412" s="72"/>
      <c r="CO412" s="72"/>
      <c r="CP412" s="72"/>
      <c r="CQ412" s="72"/>
      <c r="CR412" s="72"/>
      <c r="CS412" s="72"/>
      <c r="CT412" s="72"/>
      <c r="CU412" s="72"/>
      <c r="CV412" s="72"/>
      <c r="CW412" s="72"/>
      <c r="CX412" s="72"/>
      <c r="CY412" s="72"/>
      <c r="CZ412" s="72"/>
      <c r="DA412" s="72"/>
      <c r="DB412" s="72"/>
      <c r="DC412" s="72"/>
      <c r="DD412" s="72"/>
      <c r="DE412" s="72"/>
      <c r="DF412" s="72"/>
      <c r="DG412" s="72"/>
      <c r="DH412" s="72"/>
      <c r="DI412" s="72"/>
      <c r="DJ412" s="72"/>
      <c r="DK412" s="72"/>
      <c r="DL412" s="72"/>
      <c r="DM412" s="72"/>
      <c r="DN412" s="72"/>
      <c r="DO412" s="72"/>
      <c r="DP412" s="72"/>
      <c r="DQ412" s="72"/>
      <c r="DR412" s="72"/>
      <c r="DS412" s="72"/>
      <c r="DT412" s="72"/>
      <c r="DU412" s="72"/>
      <c r="DV412" s="72"/>
      <c r="DW412" s="72"/>
      <c r="DX412" s="72"/>
      <c r="DY412" s="72"/>
      <c r="DZ412" s="72"/>
      <c r="EA412" s="72"/>
      <c r="EB412" s="72"/>
      <c r="EC412" s="72"/>
      <c r="ED412" s="72"/>
      <c r="EE412" s="72"/>
      <c r="EF412" s="72"/>
      <c r="EG412" s="72"/>
      <c r="EH412" s="72"/>
      <c r="EI412" s="129"/>
      <c r="EJ412" s="129"/>
      <c r="EK412" s="129"/>
      <c r="EL412" s="129"/>
      <c r="EM412" s="72"/>
      <c r="EN412" s="72"/>
      <c r="EO412" s="72"/>
      <c r="EP412" s="72"/>
      <c r="EQ412" s="72"/>
      <c r="ER412" s="72"/>
      <c r="ES412" s="72"/>
      <c r="ET412" s="72"/>
    </row>
    <row r="413"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  <c r="CV413" s="72"/>
      <c r="CW413" s="72"/>
      <c r="CX413" s="72"/>
      <c r="CY413" s="72"/>
      <c r="CZ413" s="72"/>
      <c r="DA413" s="72"/>
      <c r="DB413" s="72"/>
      <c r="DC413" s="72"/>
      <c r="DD413" s="72"/>
      <c r="DE413" s="72"/>
      <c r="DF413" s="72"/>
      <c r="DG413" s="72"/>
      <c r="DH413" s="72"/>
      <c r="DI413" s="72"/>
      <c r="DJ413" s="72"/>
      <c r="DK413" s="72"/>
      <c r="DL413" s="72"/>
      <c r="DM413" s="72"/>
      <c r="DN413" s="72"/>
      <c r="DO413" s="72"/>
      <c r="DP413" s="72"/>
      <c r="DQ413" s="72"/>
      <c r="DR413" s="72"/>
      <c r="DS413" s="72"/>
      <c r="DT413" s="72"/>
      <c r="DU413" s="72"/>
      <c r="DV413" s="72"/>
      <c r="DW413" s="72"/>
      <c r="DX413" s="72"/>
      <c r="DY413" s="72"/>
      <c r="DZ413" s="72"/>
      <c r="EA413" s="72"/>
      <c r="EB413" s="72"/>
      <c r="EC413" s="72"/>
      <c r="ED413" s="72"/>
      <c r="EE413" s="72"/>
      <c r="EF413" s="72"/>
      <c r="EG413" s="72"/>
      <c r="EH413" s="72"/>
      <c r="EI413" s="129"/>
      <c r="EJ413" s="129"/>
      <c r="EK413" s="129"/>
      <c r="EL413" s="129"/>
      <c r="EM413" s="72"/>
      <c r="EN413" s="72"/>
      <c r="EO413" s="72"/>
      <c r="EP413" s="72"/>
      <c r="EQ413" s="72"/>
      <c r="ER413" s="72"/>
      <c r="ES413" s="72"/>
      <c r="ET413" s="72"/>
    </row>
    <row r="414">
      <c r="CD414" s="72"/>
      <c r="CE414" s="72"/>
      <c r="CF414" s="72"/>
      <c r="CG414" s="72"/>
      <c r="CH414" s="72"/>
      <c r="CI414" s="72"/>
      <c r="CJ414" s="72"/>
      <c r="CK414" s="72"/>
      <c r="CL414" s="72"/>
      <c r="CM414" s="72"/>
      <c r="CN414" s="72"/>
      <c r="CO414" s="72"/>
      <c r="CP414" s="72"/>
      <c r="CQ414" s="72"/>
      <c r="CR414" s="72"/>
      <c r="CS414" s="72"/>
      <c r="CT414" s="72"/>
      <c r="CU414" s="72"/>
      <c r="CV414" s="72"/>
      <c r="CW414" s="72"/>
      <c r="CX414" s="72"/>
      <c r="CY414" s="72"/>
      <c r="CZ414" s="72"/>
      <c r="DA414" s="72"/>
      <c r="DB414" s="72"/>
      <c r="DC414" s="72"/>
      <c r="DD414" s="72"/>
      <c r="DE414" s="72"/>
      <c r="DF414" s="72"/>
      <c r="DG414" s="72"/>
      <c r="DH414" s="72"/>
      <c r="DI414" s="72"/>
      <c r="DJ414" s="72"/>
      <c r="DK414" s="72"/>
      <c r="DL414" s="72"/>
      <c r="DM414" s="72"/>
      <c r="DN414" s="72"/>
      <c r="DO414" s="72"/>
      <c r="DP414" s="72"/>
      <c r="DQ414" s="72"/>
      <c r="DR414" s="72"/>
      <c r="DS414" s="72"/>
      <c r="DT414" s="72"/>
      <c r="DU414" s="72"/>
      <c r="DV414" s="72"/>
      <c r="DW414" s="72"/>
      <c r="DX414" s="72"/>
      <c r="DY414" s="72"/>
      <c r="DZ414" s="72"/>
      <c r="EA414" s="72"/>
      <c r="EB414" s="72"/>
      <c r="EC414" s="72"/>
      <c r="ED414" s="72"/>
      <c r="EE414" s="72"/>
      <c r="EF414" s="72"/>
      <c r="EG414" s="72"/>
      <c r="EH414" s="72"/>
      <c r="EI414" s="129"/>
      <c r="EJ414" s="129"/>
      <c r="EK414" s="129"/>
      <c r="EL414" s="129"/>
      <c r="EM414" s="72"/>
      <c r="EN414" s="72"/>
      <c r="EO414" s="72"/>
      <c r="EP414" s="72"/>
      <c r="EQ414" s="72"/>
      <c r="ER414" s="72"/>
      <c r="ES414" s="72"/>
      <c r="ET414" s="72"/>
    </row>
    <row r="415"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  <c r="CV415" s="72"/>
      <c r="CW415" s="72"/>
      <c r="CX415" s="72"/>
      <c r="CY415" s="72"/>
      <c r="CZ415" s="72"/>
      <c r="DA415" s="72"/>
      <c r="DB415" s="72"/>
      <c r="DC415" s="72"/>
      <c r="DD415" s="72"/>
      <c r="DE415" s="72"/>
      <c r="DF415" s="72"/>
      <c r="DG415" s="72"/>
      <c r="DH415" s="72"/>
      <c r="DI415" s="72"/>
      <c r="DJ415" s="72"/>
      <c r="DK415" s="72"/>
      <c r="DL415" s="72"/>
      <c r="DM415" s="72"/>
      <c r="DN415" s="72"/>
      <c r="DO415" s="72"/>
      <c r="DP415" s="72"/>
      <c r="DQ415" s="72"/>
      <c r="DR415" s="72"/>
      <c r="DS415" s="72"/>
      <c r="DT415" s="72"/>
      <c r="DU415" s="72"/>
      <c r="DV415" s="72"/>
      <c r="DW415" s="72"/>
      <c r="DX415" s="72"/>
      <c r="DY415" s="72"/>
      <c r="DZ415" s="72"/>
      <c r="EA415" s="72"/>
      <c r="EB415" s="72"/>
      <c r="EC415" s="72"/>
      <c r="ED415" s="72"/>
      <c r="EE415" s="72"/>
      <c r="EF415" s="72"/>
      <c r="EG415" s="72"/>
      <c r="EH415" s="72"/>
      <c r="EI415" s="129"/>
      <c r="EJ415" s="129"/>
      <c r="EK415" s="129"/>
      <c r="EL415" s="129"/>
      <c r="EM415" s="72"/>
      <c r="EN415" s="72"/>
      <c r="EO415" s="72"/>
      <c r="EP415" s="72"/>
      <c r="EQ415" s="72"/>
      <c r="ER415" s="72"/>
      <c r="ES415" s="72"/>
      <c r="ET415" s="72"/>
    </row>
    <row r="416">
      <c r="CD416" s="72"/>
      <c r="CE416" s="72"/>
      <c r="CF416" s="72"/>
      <c r="CG416" s="72"/>
      <c r="CH416" s="72"/>
      <c r="CI416" s="72"/>
      <c r="CJ416" s="72"/>
      <c r="CK416" s="72"/>
      <c r="CL416" s="72"/>
      <c r="CM416" s="72"/>
      <c r="CN416" s="72"/>
      <c r="CO416" s="72"/>
      <c r="CP416" s="72"/>
      <c r="CQ416" s="72"/>
      <c r="CR416" s="72"/>
      <c r="CS416" s="72"/>
      <c r="CT416" s="72"/>
      <c r="CU416" s="72"/>
      <c r="CV416" s="72"/>
      <c r="CW416" s="72"/>
      <c r="CX416" s="72"/>
      <c r="CY416" s="72"/>
      <c r="CZ416" s="72"/>
      <c r="DA416" s="72"/>
      <c r="DB416" s="72"/>
      <c r="DC416" s="72"/>
      <c r="DD416" s="72"/>
      <c r="DE416" s="72"/>
      <c r="DF416" s="72"/>
      <c r="DG416" s="72"/>
      <c r="DH416" s="72"/>
      <c r="DI416" s="72"/>
      <c r="DJ416" s="72"/>
      <c r="DK416" s="72"/>
      <c r="DL416" s="72"/>
      <c r="DM416" s="72"/>
      <c r="DN416" s="72"/>
      <c r="DO416" s="72"/>
      <c r="DP416" s="72"/>
      <c r="DQ416" s="72"/>
      <c r="DR416" s="72"/>
      <c r="DS416" s="72"/>
      <c r="DT416" s="72"/>
      <c r="DU416" s="72"/>
      <c r="DV416" s="72"/>
      <c r="DW416" s="72"/>
      <c r="DX416" s="72"/>
      <c r="DY416" s="72"/>
      <c r="DZ416" s="72"/>
      <c r="EA416" s="72"/>
      <c r="EB416" s="72"/>
      <c r="EC416" s="72"/>
      <c r="ED416" s="72"/>
      <c r="EE416" s="72"/>
      <c r="EF416" s="72"/>
      <c r="EG416" s="72"/>
      <c r="EH416" s="72"/>
      <c r="EI416" s="129"/>
      <c r="EJ416" s="129"/>
      <c r="EK416" s="129"/>
      <c r="EL416" s="129"/>
      <c r="EM416" s="72"/>
      <c r="EN416" s="72"/>
      <c r="EO416" s="72"/>
      <c r="EP416" s="72"/>
      <c r="EQ416" s="72"/>
      <c r="ER416" s="72"/>
      <c r="ES416" s="72"/>
      <c r="ET416" s="72"/>
    </row>
    <row r="417"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  <c r="CV417" s="72"/>
      <c r="CW417" s="72"/>
      <c r="CX417" s="72"/>
      <c r="CY417" s="72"/>
      <c r="CZ417" s="72"/>
      <c r="DA417" s="72"/>
      <c r="DB417" s="72"/>
      <c r="DC417" s="72"/>
      <c r="DD417" s="72"/>
      <c r="DE417" s="72"/>
      <c r="DF417" s="72"/>
      <c r="DG417" s="72"/>
      <c r="DH417" s="72"/>
      <c r="DI417" s="72"/>
      <c r="DJ417" s="72"/>
      <c r="DK417" s="72"/>
      <c r="DL417" s="72"/>
      <c r="DM417" s="72"/>
      <c r="DN417" s="72"/>
      <c r="DO417" s="72"/>
      <c r="DP417" s="72"/>
      <c r="DQ417" s="72"/>
      <c r="DR417" s="72"/>
      <c r="DS417" s="72"/>
      <c r="DT417" s="72"/>
      <c r="DU417" s="72"/>
      <c r="DV417" s="72"/>
      <c r="DW417" s="72"/>
      <c r="DX417" s="72"/>
      <c r="DY417" s="72"/>
      <c r="DZ417" s="72"/>
      <c r="EA417" s="72"/>
      <c r="EB417" s="72"/>
      <c r="EC417" s="72"/>
      <c r="ED417" s="72"/>
      <c r="EE417" s="72"/>
      <c r="EF417" s="72"/>
      <c r="EG417" s="72"/>
      <c r="EH417" s="72"/>
      <c r="EI417" s="129"/>
      <c r="EJ417" s="129"/>
      <c r="EK417" s="129"/>
      <c r="EL417" s="129"/>
      <c r="EM417" s="72"/>
      <c r="EN417" s="72"/>
      <c r="EO417" s="72"/>
      <c r="EP417" s="72"/>
      <c r="EQ417" s="72"/>
      <c r="ER417" s="72"/>
      <c r="ES417" s="72"/>
      <c r="ET417" s="72"/>
    </row>
    <row r="418">
      <c r="CD418" s="72"/>
      <c r="CE418" s="72"/>
      <c r="CF418" s="72"/>
      <c r="CG418" s="72"/>
      <c r="CH418" s="72"/>
      <c r="CI418" s="72"/>
      <c r="CJ418" s="72"/>
      <c r="CK418" s="72"/>
      <c r="CL418" s="72"/>
      <c r="CM418" s="72"/>
      <c r="CN418" s="72"/>
      <c r="CO418" s="72"/>
      <c r="CP418" s="72"/>
      <c r="CQ418" s="72"/>
      <c r="CR418" s="72"/>
      <c r="CS418" s="72"/>
      <c r="CT418" s="72"/>
      <c r="CU418" s="72"/>
      <c r="CV418" s="72"/>
      <c r="CW418" s="72"/>
      <c r="CX418" s="72"/>
      <c r="CY418" s="72"/>
      <c r="CZ418" s="72"/>
      <c r="DA418" s="72"/>
      <c r="DB418" s="72"/>
      <c r="DC418" s="72"/>
      <c r="DD418" s="72"/>
      <c r="DE418" s="72"/>
      <c r="DF418" s="72"/>
      <c r="DG418" s="72"/>
      <c r="DH418" s="72"/>
      <c r="DI418" s="72"/>
      <c r="DJ418" s="72"/>
      <c r="DK418" s="72"/>
      <c r="DL418" s="72"/>
      <c r="DM418" s="72"/>
      <c r="DN418" s="72"/>
      <c r="DO418" s="72"/>
      <c r="DP418" s="72"/>
      <c r="DQ418" s="72"/>
      <c r="DR418" s="72"/>
      <c r="DS418" s="72"/>
      <c r="DT418" s="72"/>
      <c r="DU418" s="72"/>
      <c r="DV418" s="72"/>
      <c r="DW418" s="72"/>
      <c r="DX418" s="72"/>
      <c r="DY418" s="72"/>
      <c r="DZ418" s="72"/>
      <c r="EA418" s="72"/>
      <c r="EB418" s="72"/>
      <c r="EC418" s="72"/>
      <c r="ED418" s="72"/>
      <c r="EE418" s="72"/>
      <c r="EF418" s="72"/>
      <c r="EG418" s="72"/>
      <c r="EH418" s="72"/>
      <c r="EI418" s="129"/>
      <c r="EJ418" s="129"/>
      <c r="EK418" s="129"/>
      <c r="EL418" s="129"/>
      <c r="EM418" s="72"/>
      <c r="EN418" s="72"/>
      <c r="EO418" s="72"/>
      <c r="EP418" s="72"/>
      <c r="EQ418" s="72"/>
      <c r="ER418" s="72"/>
      <c r="ES418" s="72"/>
      <c r="ET418" s="72"/>
    </row>
    <row r="419"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  <c r="CV419" s="72"/>
      <c r="CW419" s="72"/>
      <c r="CX419" s="72"/>
      <c r="CY419" s="72"/>
      <c r="CZ419" s="72"/>
      <c r="DA419" s="72"/>
      <c r="DB419" s="72"/>
      <c r="DC419" s="72"/>
      <c r="DD419" s="72"/>
      <c r="DE419" s="72"/>
      <c r="DF419" s="72"/>
      <c r="DG419" s="72"/>
      <c r="DH419" s="72"/>
      <c r="DI419" s="72"/>
      <c r="DJ419" s="72"/>
      <c r="DK419" s="72"/>
      <c r="DL419" s="72"/>
      <c r="DM419" s="72"/>
      <c r="DN419" s="72"/>
      <c r="DO419" s="72"/>
      <c r="DP419" s="72"/>
      <c r="DQ419" s="72"/>
      <c r="DR419" s="72"/>
      <c r="DS419" s="72"/>
      <c r="DT419" s="72"/>
      <c r="DU419" s="72"/>
      <c r="DV419" s="72"/>
      <c r="DW419" s="72"/>
      <c r="DX419" s="72"/>
      <c r="DY419" s="72"/>
      <c r="DZ419" s="72"/>
      <c r="EA419" s="72"/>
      <c r="EB419" s="72"/>
      <c r="EC419" s="72"/>
      <c r="ED419" s="72"/>
      <c r="EE419" s="72"/>
      <c r="EF419" s="72"/>
      <c r="EG419" s="72"/>
      <c r="EH419" s="72"/>
      <c r="EI419" s="129"/>
      <c r="EJ419" s="129"/>
      <c r="EK419" s="129"/>
      <c r="EL419" s="129"/>
      <c r="EM419" s="72"/>
      <c r="EN419" s="72"/>
      <c r="EO419" s="72"/>
      <c r="EP419" s="72"/>
      <c r="EQ419" s="72"/>
      <c r="ER419" s="72"/>
      <c r="ES419" s="72"/>
      <c r="ET419" s="72"/>
    </row>
    <row r="420">
      <c r="CD420" s="72"/>
      <c r="CE420" s="72"/>
      <c r="CF420" s="72"/>
      <c r="CG420" s="72"/>
      <c r="CH420" s="72"/>
      <c r="CI420" s="72"/>
      <c r="CJ420" s="72"/>
      <c r="CK420" s="72"/>
      <c r="CL420" s="72"/>
      <c r="CM420" s="72"/>
      <c r="CN420" s="72"/>
      <c r="CO420" s="72"/>
      <c r="CP420" s="72"/>
      <c r="CQ420" s="72"/>
      <c r="CR420" s="72"/>
      <c r="CS420" s="72"/>
      <c r="CT420" s="72"/>
      <c r="CU420" s="72"/>
      <c r="CV420" s="72"/>
      <c r="CW420" s="72"/>
      <c r="CX420" s="72"/>
      <c r="CY420" s="72"/>
      <c r="CZ420" s="72"/>
      <c r="DA420" s="72"/>
      <c r="DB420" s="72"/>
      <c r="DC420" s="72"/>
      <c r="DD420" s="72"/>
      <c r="DE420" s="72"/>
      <c r="DF420" s="72"/>
      <c r="DG420" s="72"/>
      <c r="DH420" s="72"/>
      <c r="DI420" s="72"/>
      <c r="DJ420" s="72"/>
      <c r="DK420" s="72"/>
      <c r="DL420" s="72"/>
      <c r="DM420" s="72"/>
      <c r="DN420" s="72"/>
      <c r="DO420" s="72"/>
      <c r="DP420" s="72"/>
      <c r="DQ420" s="72"/>
      <c r="DR420" s="72"/>
      <c r="DS420" s="72"/>
      <c r="DT420" s="72"/>
      <c r="DU420" s="72"/>
      <c r="DV420" s="72"/>
      <c r="DW420" s="72"/>
      <c r="DX420" s="72"/>
      <c r="DY420" s="72"/>
      <c r="DZ420" s="72"/>
      <c r="EA420" s="72"/>
      <c r="EB420" s="72"/>
      <c r="EC420" s="72"/>
      <c r="ED420" s="72"/>
      <c r="EE420" s="72"/>
      <c r="EF420" s="72"/>
      <c r="EG420" s="72"/>
      <c r="EH420" s="72"/>
      <c r="EI420" s="129"/>
      <c r="EJ420" s="129"/>
      <c r="EK420" s="129"/>
      <c r="EL420" s="129"/>
      <c r="EM420" s="72"/>
      <c r="EN420" s="72"/>
      <c r="EO420" s="72"/>
      <c r="EP420" s="72"/>
      <c r="EQ420" s="72"/>
      <c r="ER420" s="72"/>
      <c r="ES420" s="72"/>
      <c r="ET420" s="72"/>
    </row>
    <row r="421"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  <c r="CV421" s="72"/>
      <c r="CW421" s="72"/>
      <c r="CX421" s="72"/>
      <c r="CY421" s="72"/>
      <c r="CZ421" s="72"/>
      <c r="DA421" s="72"/>
      <c r="DB421" s="72"/>
      <c r="DC421" s="72"/>
      <c r="DD421" s="72"/>
      <c r="DE421" s="72"/>
      <c r="DF421" s="72"/>
      <c r="DG421" s="72"/>
      <c r="DH421" s="72"/>
      <c r="DI421" s="72"/>
      <c r="DJ421" s="72"/>
      <c r="DK421" s="72"/>
      <c r="DL421" s="72"/>
      <c r="DM421" s="72"/>
      <c r="DN421" s="72"/>
      <c r="DO421" s="72"/>
      <c r="DP421" s="72"/>
      <c r="DQ421" s="72"/>
      <c r="DR421" s="72"/>
      <c r="DS421" s="72"/>
      <c r="DT421" s="72"/>
      <c r="DU421" s="72"/>
      <c r="DV421" s="72"/>
      <c r="DW421" s="72"/>
      <c r="DX421" s="72"/>
      <c r="DY421" s="72"/>
      <c r="DZ421" s="72"/>
      <c r="EA421" s="72"/>
      <c r="EB421" s="72"/>
      <c r="EC421" s="72"/>
      <c r="ED421" s="72"/>
      <c r="EE421" s="72"/>
      <c r="EF421" s="72"/>
      <c r="EG421" s="72"/>
      <c r="EH421" s="72"/>
      <c r="EI421" s="129"/>
      <c r="EJ421" s="129"/>
      <c r="EK421" s="129"/>
      <c r="EL421" s="129"/>
      <c r="EM421" s="72"/>
      <c r="EN421" s="72"/>
      <c r="EO421" s="72"/>
      <c r="EP421" s="72"/>
      <c r="EQ421" s="72"/>
      <c r="ER421" s="72"/>
      <c r="ES421" s="72"/>
      <c r="ET421" s="72"/>
    </row>
    <row r="422">
      <c r="CD422" s="72"/>
      <c r="CE422" s="72"/>
      <c r="CF422" s="72"/>
      <c r="CG422" s="72"/>
      <c r="CH422" s="72"/>
      <c r="CI422" s="72"/>
      <c r="CJ422" s="72"/>
      <c r="CK422" s="72"/>
      <c r="CL422" s="72"/>
      <c r="CM422" s="72"/>
      <c r="CN422" s="72"/>
      <c r="CO422" s="72"/>
      <c r="CP422" s="72"/>
      <c r="CQ422" s="72"/>
      <c r="CR422" s="72"/>
      <c r="CS422" s="72"/>
      <c r="CT422" s="72"/>
      <c r="CU422" s="72"/>
      <c r="CV422" s="72"/>
      <c r="CW422" s="72"/>
      <c r="CX422" s="72"/>
      <c r="CY422" s="72"/>
      <c r="CZ422" s="72"/>
      <c r="DA422" s="72"/>
      <c r="DB422" s="72"/>
      <c r="DC422" s="72"/>
      <c r="DD422" s="72"/>
      <c r="DE422" s="72"/>
      <c r="DF422" s="72"/>
      <c r="DG422" s="72"/>
      <c r="DH422" s="72"/>
      <c r="DI422" s="72"/>
      <c r="DJ422" s="72"/>
      <c r="DK422" s="72"/>
      <c r="DL422" s="72"/>
      <c r="DM422" s="72"/>
      <c r="DN422" s="72"/>
      <c r="DO422" s="72"/>
      <c r="DP422" s="72"/>
      <c r="DQ422" s="72"/>
      <c r="DR422" s="72"/>
      <c r="DS422" s="72"/>
      <c r="DT422" s="72"/>
      <c r="DU422" s="72"/>
      <c r="DV422" s="72"/>
      <c r="DW422" s="72"/>
      <c r="DX422" s="72"/>
      <c r="DY422" s="72"/>
      <c r="DZ422" s="72"/>
      <c r="EA422" s="72"/>
      <c r="EB422" s="72"/>
      <c r="EC422" s="72"/>
      <c r="ED422" s="72"/>
      <c r="EE422" s="72"/>
      <c r="EF422" s="72"/>
      <c r="EG422" s="72"/>
      <c r="EH422" s="72"/>
      <c r="EI422" s="129"/>
      <c r="EJ422" s="129"/>
      <c r="EK422" s="129"/>
      <c r="EL422" s="129"/>
      <c r="EM422" s="72"/>
      <c r="EN422" s="72"/>
      <c r="EO422" s="72"/>
      <c r="EP422" s="72"/>
      <c r="EQ422" s="72"/>
      <c r="ER422" s="72"/>
      <c r="ES422" s="72"/>
      <c r="ET422" s="72"/>
    </row>
    <row r="423"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  <c r="CV423" s="72"/>
      <c r="CW423" s="72"/>
      <c r="CX423" s="72"/>
      <c r="CY423" s="72"/>
      <c r="CZ423" s="72"/>
      <c r="DA423" s="72"/>
      <c r="DB423" s="72"/>
      <c r="DC423" s="72"/>
      <c r="DD423" s="72"/>
      <c r="DE423" s="72"/>
      <c r="DF423" s="72"/>
      <c r="DG423" s="72"/>
      <c r="DH423" s="72"/>
      <c r="DI423" s="72"/>
      <c r="DJ423" s="72"/>
      <c r="DK423" s="72"/>
      <c r="DL423" s="72"/>
      <c r="DM423" s="72"/>
      <c r="DN423" s="72"/>
      <c r="DO423" s="72"/>
      <c r="DP423" s="72"/>
      <c r="DQ423" s="72"/>
      <c r="DR423" s="72"/>
      <c r="DS423" s="72"/>
      <c r="DT423" s="72"/>
      <c r="DU423" s="72"/>
      <c r="DV423" s="72"/>
      <c r="DW423" s="72"/>
      <c r="DX423" s="72"/>
      <c r="DY423" s="72"/>
      <c r="DZ423" s="72"/>
      <c r="EA423" s="72"/>
      <c r="EB423" s="72"/>
      <c r="EC423" s="72"/>
      <c r="ED423" s="72"/>
      <c r="EE423" s="72"/>
      <c r="EF423" s="72"/>
      <c r="EG423" s="72"/>
      <c r="EH423" s="72"/>
      <c r="EI423" s="129"/>
      <c r="EJ423" s="129"/>
      <c r="EK423" s="129"/>
      <c r="EL423" s="129"/>
      <c r="EM423" s="72"/>
      <c r="EN423" s="72"/>
      <c r="EO423" s="72"/>
      <c r="EP423" s="72"/>
      <c r="EQ423" s="72"/>
      <c r="ER423" s="72"/>
      <c r="ES423" s="72"/>
      <c r="ET423" s="72"/>
    </row>
    <row r="424">
      <c r="CD424" s="72"/>
      <c r="CE424" s="72"/>
      <c r="CF424" s="72"/>
      <c r="CG424" s="72"/>
      <c r="CH424" s="72"/>
      <c r="CI424" s="72"/>
      <c r="CJ424" s="72"/>
      <c r="CK424" s="72"/>
      <c r="CL424" s="72"/>
      <c r="CM424" s="72"/>
      <c r="CN424" s="72"/>
      <c r="CO424" s="72"/>
      <c r="CP424" s="72"/>
      <c r="CQ424" s="72"/>
      <c r="CR424" s="72"/>
      <c r="CS424" s="72"/>
      <c r="CT424" s="72"/>
      <c r="CU424" s="72"/>
      <c r="CV424" s="72"/>
      <c r="CW424" s="72"/>
      <c r="CX424" s="72"/>
      <c r="CY424" s="72"/>
      <c r="CZ424" s="72"/>
      <c r="DA424" s="72"/>
      <c r="DB424" s="72"/>
      <c r="DC424" s="72"/>
      <c r="DD424" s="72"/>
      <c r="DE424" s="72"/>
      <c r="DF424" s="72"/>
      <c r="DG424" s="72"/>
      <c r="DH424" s="72"/>
      <c r="DI424" s="72"/>
      <c r="DJ424" s="72"/>
      <c r="DK424" s="72"/>
      <c r="DL424" s="72"/>
      <c r="DM424" s="72"/>
      <c r="DN424" s="72"/>
      <c r="DO424" s="72"/>
      <c r="DP424" s="72"/>
      <c r="DQ424" s="72"/>
      <c r="DR424" s="72"/>
      <c r="DS424" s="72"/>
      <c r="DT424" s="72"/>
      <c r="DU424" s="72"/>
      <c r="DV424" s="72"/>
      <c r="DW424" s="72"/>
      <c r="DX424" s="72"/>
      <c r="DY424" s="72"/>
      <c r="DZ424" s="72"/>
      <c r="EA424" s="72"/>
      <c r="EB424" s="72"/>
      <c r="EC424" s="72"/>
      <c r="ED424" s="72"/>
      <c r="EE424" s="72"/>
      <c r="EF424" s="72"/>
      <c r="EG424" s="72"/>
      <c r="EH424" s="72"/>
      <c r="EI424" s="129"/>
      <c r="EJ424" s="129"/>
      <c r="EK424" s="129"/>
      <c r="EL424" s="129"/>
      <c r="EM424" s="72"/>
      <c r="EN424" s="72"/>
      <c r="EO424" s="72"/>
      <c r="EP424" s="72"/>
      <c r="EQ424" s="72"/>
      <c r="ER424" s="72"/>
      <c r="ES424" s="72"/>
      <c r="ET424" s="72"/>
    </row>
    <row r="425"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  <c r="CV425" s="72"/>
      <c r="CW425" s="72"/>
      <c r="CX425" s="72"/>
      <c r="CY425" s="72"/>
      <c r="CZ425" s="72"/>
      <c r="DA425" s="72"/>
      <c r="DB425" s="72"/>
      <c r="DC425" s="72"/>
      <c r="DD425" s="72"/>
      <c r="DE425" s="72"/>
      <c r="DF425" s="72"/>
      <c r="DG425" s="72"/>
      <c r="DH425" s="72"/>
      <c r="DI425" s="72"/>
      <c r="DJ425" s="72"/>
      <c r="DK425" s="72"/>
      <c r="DL425" s="72"/>
      <c r="DM425" s="72"/>
      <c r="DN425" s="72"/>
      <c r="DO425" s="72"/>
      <c r="DP425" s="72"/>
      <c r="DQ425" s="72"/>
      <c r="DR425" s="72"/>
      <c r="DS425" s="72"/>
      <c r="DT425" s="72"/>
      <c r="DU425" s="72"/>
      <c r="DV425" s="72"/>
      <c r="DW425" s="72"/>
      <c r="DX425" s="72"/>
      <c r="DY425" s="72"/>
      <c r="DZ425" s="72"/>
      <c r="EA425" s="72"/>
      <c r="EB425" s="72"/>
      <c r="EC425" s="72"/>
      <c r="ED425" s="72"/>
      <c r="EE425" s="72"/>
      <c r="EF425" s="72"/>
      <c r="EG425" s="72"/>
      <c r="EH425" s="72"/>
      <c r="EI425" s="129"/>
      <c r="EJ425" s="129"/>
      <c r="EK425" s="129"/>
      <c r="EL425" s="129"/>
      <c r="EM425" s="72"/>
      <c r="EN425" s="72"/>
      <c r="EO425" s="72"/>
      <c r="EP425" s="72"/>
      <c r="EQ425" s="72"/>
      <c r="ER425" s="72"/>
      <c r="ES425" s="72"/>
      <c r="ET425" s="72"/>
    </row>
    <row r="426">
      <c r="CD426" s="72"/>
      <c r="CE426" s="72"/>
      <c r="CF426" s="72"/>
      <c r="CG426" s="72"/>
      <c r="CH426" s="72"/>
      <c r="CI426" s="72"/>
      <c r="CJ426" s="72"/>
      <c r="CK426" s="72"/>
      <c r="CL426" s="72"/>
      <c r="CM426" s="72"/>
      <c r="CN426" s="72"/>
      <c r="CO426" s="72"/>
      <c r="CP426" s="72"/>
      <c r="CQ426" s="72"/>
      <c r="CR426" s="72"/>
      <c r="CS426" s="72"/>
      <c r="CT426" s="72"/>
      <c r="CU426" s="72"/>
      <c r="CV426" s="72"/>
      <c r="CW426" s="72"/>
      <c r="CX426" s="72"/>
      <c r="CY426" s="72"/>
      <c r="CZ426" s="72"/>
      <c r="DA426" s="72"/>
      <c r="DB426" s="72"/>
      <c r="DC426" s="72"/>
      <c r="DD426" s="72"/>
      <c r="DE426" s="72"/>
      <c r="DF426" s="72"/>
      <c r="DG426" s="72"/>
      <c r="DH426" s="72"/>
      <c r="DI426" s="72"/>
      <c r="DJ426" s="72"/>
      <c r="DK426" s="72"/>
      <c r="DL426" s="72"/>
      <c r="DM426" s="72"/>
      <c r="DN426" s="72"/>
      <c r="DO426" s="72"/>
      <c r="DP426" s="72"/>
      <c r="DQ426" s="72"/>
      <c r="DR426" s="72"/>
      <c r="DS426" s="72"/>
      <c r="DT426" s="72"/>
      <c r="DU426" s="72"/>
      <c r="DV426" s="72"/>
      <c r="DW426" s="72"/>
      <c r="DX426" s="72"/>
      <c r="DY426" s="72"/>
      <c r="DZ426" s="72"/>
      <c r="EA426" s="72"/>
      <c r="EB426" s="72"/>
      <c r="EC426" s="72"/>
      <c r="ED426" s="72"/>
      <c r="EE426" s="72"/>
      <c r="EF426" s="72"/>
      <c r="EG426" s="72"/>
      <c r="EH426" s="72"/>
      <c r="EI426" s="129"/>
      <c r="EJ426" s="129"/>
      <c r="EK426" s="129"/>
      <c r="EL426" s="129"/>
      <c r="EM426" s="72"/>
      <c r="EN426" s="72"/>
      <c r="EO426" s="72"/>
      <c r="EP426" s="72"/>
      <c r="EQ426" s="72"/>
      <c r="ER426" s="72"/>
      <c r="ES426" s="72"/>
      <c r="ET426" s="72"/>
    </row>
    <row r="427"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  <c r="CV427" s="72"/>
      <c r="CW427" s="72"/>
      <c r="CX427" s="72"/>
      <c r="CY427" s="72"/>
      <c r="CZ427" s="72"/>
      <c r="DA427" s="72"/>
      <c r="DB427" s="72"/>
      <c r="DC427" s="72"/>
      <c r="DD427" s="72"/>
      <c r="DE427" s="72"/>
      <c r="DF427" s="72"/>
      <c r="DG427" s="72"/>
      <c r="DH427" s="72"/>
      <c r="DI427" s="72"/>
      <c r="DJ427" s="72"/>
      <c r="DK427" s="72"/>
      <c r="DL427" s="72"/>
      <c r="DM427" s="72"/>
      <c r="DN427" s="72"/>
      <c r="DO427" s="72"/>
      <c r="DP427" s="72"/>
      <c r="DQ427" s="72"/>
      <c r="DR427" s="72"/>
      <c r="DS427" s="72"/>
      <c r="DT427" s="72"/>
      <c r="DU427" s="72"/>
      <c r="DV427" s="72"/>
      <c r="DW427" s="72"/>
      <c r="DX427" s="72"/>
      <c r="DY427" s="72"/>
      <c r="DZ427" s="72"/>
      <c r="EA427" s="72"/>
      <c r="EB427" s="72"/>
      <c r="EC427" s="72"/>
      <c r="ED427" s="72"/>
      <c r="EE427" s="72"/>
      <c r="EF427" s="72"/>
      <c r="EG427" s="72"/>
      <c r="EH427" s="72"/>
      <c r="EI427" s="129"/>
      <c r="EJ427" s="129"/>
      <c r="EK427" s="129"/>
      <c r="EL427" s="129"/>
      <c r="EM427" s="72"/>
      <c r="EN427" s="72"/>
      <c r="EO427" s="72"/>
      <c r="EP427" s="72"/>
      <c r="EQ427" s="72"/>
      <c r="ER427" s="72"/>
      <c r="ES427" s="72"/>
      <c r="ET427" s="72"/>
    </row>
    <row r="428">
      <c r="CD428" s="72"/>
      <c r="CE428" s="72"/>
      <c r="CF428" s="72"/>
      <c r="CG428" s="72"/>
      <c r="CH428" s="72"/>
      <c r="CI428" s="72"/>
      <c r="CJ428" s="72"/>
      <c r="CK428" s="72"/>
      <c r="CL428" s="72"/>
      <c r="CM428" s="72"/>
      <c r="CN428" s="72"/>
      <c r="CO428" s="72"/>
      <c r="CP428" s="72"/>
      <c r="CQ428" s="72"/>
      <c r="CR428" s="72"/>
      <c r="CS428" s="72"/>
      <c r="CT428" s="72"/>
      <c r="CU428" s="72"/>
      <c r="CV428" s="72"/>
      <c r="CW428" s="72"/>
      <c r="CX428" s="72"/>
      <c r="CY428" s="72"/>
      <c r="CZ428" s="72"/>
      <c r="DA428" s="72"/>
      <c r="DB428" s="72"/>
      <c r="DC428" s="72"/>
      <c r="DD428" s="72"/>
      <c r="DE428" s="72"/>
      <c r="DF428" s="72"/>
      <c r="DG428" s="72"/>
      <c r="DH428" s="72"/>
      <c r="DI428" s="72"/>
      <c r="DJ428" s="72"/>
      <c r="DK428" s="72"/>
      <c r="DL428" s="72"/>
      <c r="DM428" s="72"/>
      <c r="DN428" s="72"/>
      <c r="DO428" s="72"/>
      <c r="DP428" s="72"/>
      <c r="DQ428" s="72"/>
      <c r="DR428" s="72"/>
      <c r="DS428" s="72"/>
      <c r="DT428" s="72"/>
      <c r="DU428" s="72"/>
      <c r="DV428" s="72"/>
      <c r="DW428" s="72"/>
      <c r="DX428" s="72"/>
      <c r="DY428" s="72"/>
      <c r="DZ428" s="72"/>
      <c r="EA428" s="72"/>
      <c r="EB428" s="72"/>
      <c r="EC428" s="72"/>
      <c r="ED428" s="72"/>
      <c r="EE428" s="72"/>
      <c r="EF428" s="72"/>
      <c r="EG428" s="72"/>
      <c r="EH428" s="72"/>
      <c r="EI428" s="129"/>
      <c r="EJ428" s="129"/>
      <c r="EK428" s="129"/>
      <c r="EL428" s="129"/>
      <c r="EM428" s="72"/>
      <c r="EN428" s="72"/>
      <c r="EO428" s="72"/>
      <c r="EP428" s="72"/>
      <c r="EQ428" s="72"/>
      <c r="ER428" s="72"/>
      <c r="ES428" s="72"/>
      <c r="ET428" s="72"/>
    </row>
    <row r="429"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  <c r="CV429" s="72"/>
      <c r="CW429" s="72"/>
      <c r="CX429" s="72"/>
      <c r="CY429" s="72"/>
      <c r="CZ429" s="72"/>
      <c r="DA429" s="72"/>
      <c r="DB429" s="72"/>
      <c r="DC429" s="72"/>
      <c r="DD429" s="72"/>
      <c r="DE429" s="72"/>
      <c r="DF429" s="72"/>
      <c r="DG429" s="72"/>
      <c r="DH429" s="72"/>
      <c r="DI429" s="72"/>
      <c r="DJ429" s="72"/>
      <c r="DK429" s="72"/>
      <c r="DL429" s="72"/>
      <c r="DM429" s="72"/>
      <c r="DN429" s="72"/>
      <c r="DO429" s="72"/>
      <c r="DP429" s="72"/>
      <c r="DQ429" s="72"/>
      <c r="DR429" s="72"/>
      <c r="DS429" s="72"/>
      <c r="DT429" s="72"/>
      <c r="DU429" s="72"/>
      <c r="DV429" s="72"/>
      <c r="DW429" s="72"/>
      <c r="DX429" s="72"/>
      <c r="DY429" s="72"/>
      <c r="DZ429" s="72"/>
      <c r="EA429" s="72"/>
      <c r="EB429" s="72"/>
      <c r="EC429" s="72"/>
      <c r="ED429" s="72"/>
      <c r="EE429" s="72"/>
      <c r="EF429" s="72"/>
      <c r="EG429" s="72"/>
      <c r="EH429" s="72"/>
      <c r="EI429" s="129"/>
      <c r="EJ429" s="129"/>
      <c r="EK429" s="129"/>
      <c r="EL429" s="129"/>
      <c r="EM429" s="72"/>
      <c r="EN429" s="72"/>
      <c r="EO429" s="72"/>
      <c r="EP429" s="72"/>
      <c r="EQ429" s="72"/>
      <c r="ER429" s="72"/>
      <c r="ES429" s="72"/>
      <c r="ET429" s="72"/>
    </row>
    <row r="430">
      <c r="CD430" s="72"/>
      <c r="CE430" s="72"/>
      <c r="CF430" s="72"/>
      <c r="CG430" s="72"/>
      <c r="CH430" s="72"/>
      <c r="CI430" s="72"/>
      <c r="CJ430" s="72"/>
      <c r="CK430" s="72"/>
      <c r="CL430" s="72"/>
      <c r="CM430" s="72"/>
      <c r="CN430" s="72"/>
      <c r="CO430" s="72"/>
      <c r="CP430" s="72"/>
      <c r="CQ430" s="72"/>
      <c r="CR430" s="72"/>
      <c r="CS430" s="72"/>
      <c r="CT430" s="72"/>
      <c r="CU430" s="72"/>
      <c r="CV430" s="72"/>
      <c r="CW430" s="72"/>
      <c r="CX430" s="72"/>
      <c r="CY430" s="72"/>
      <c r="CZ430" s="72"/>
      <c r="DA430" s="72"/>
      <c r="DB430" s="72"/>
      <c r="DC430" s="72"/>
      <c r="DD430" s="72"/>
      <c r="DE430" s="72"/>
      <c r="DF430" s="72"/>
      <c r="DG430" s="72"/>
      <c r="DH430" s="72"/>
      <c r="DI430" s="72"/>
      <c r="DJ430" s="72"/>
      <c r="DK430" s="72"/>
      <c r="DL430" s="72"/>
      <c r="DM430" s="72"/>
      <c r="DN430" s="72"/>
      <c r="DO430" s="72"/>
      <c r="DP430" s="72"/>
      <c r="DQ430" s="72"/>
      <c r="DR430" s="72"/>
      <c r="DS430" s="72"/>
      <c r="DT430" s="72"/>
      <c r="DU430" s="72"/>
      <c r="DV430" s="72"/>
      <c r="DW430" s="72"/>
      <c r="DX430" s="72"/>
      <c r="DY430" s="72"/>
      <c r="DZ430" s="72"/>
      <c r="EA430" s="72"/>
      <c r="EB430" s="72"/>
      <c r="EC430" s="72"/>
      <c r="ED430" s="72"/>
      <c r="EE430" s="72"/>
      <c r="EF430" s="72"/>
      <c r="EG430" s="72"/>
      <c r="EH430" s="72"/>
      <c r="EI430" s="129"/>
      <c r="EJ430" s="129"/>
      <c r="EK430" s="129"/>
      <c r="EL430" s="129"/>
      <c r="EM430" s="72"/>
      <c r="EN430" s="72"/>
      <c r="EO430" s="72"/>
      <c r="EP430" s="72"/>
      <c r="EQ430" s="72"/>
      <c r="ER430" s="72"/>
      <c r="ES430" s="72"/>
      <c r="ET430" s="72"/>
    </row>
    <row r="431"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  <c r="CV431" s="72"/>
      <c r="CW431" s="72"/>
      <c r="CX431" s="72"/>
      <c r="CY431" s="72"/>
      <c r="CZ431" s="72"/>
      <c r="DA431" s="72"/>
      <c r="DB431" s="72"/>
      <c r="DC431" s="72"/>
      <c r="DD431" s="72"/>
      <c r="DE431" s="72"/>
      <c r="DF431" s="72"/>
      <c r="DG431" s="72"/>
      <c r="DH431" s="72"/>
      <c r="DI431" s="72"/>
      <c r="DJ431" s="72"/>
      <c r="DK431" s="72"/>
      <c r="DL431" s="72"/>
      <c r="DM431" s="72"/>
      <c r="DN431" s="72"/>
      <c r="DO431" s="72"/>
      <c r="DP431" s="72"/>
      <c r="DQ431" s="72"/>
      <c r="DR431" s="72"/>
      <c r="DS431" s="72"/>
      <c r="DT431" s="72"/>
      <c r="DU431" s="72"/>
      <c r="DV431" s="72"/>
      <c r="DW431" s="72"/>
      <c r="DX431" s="72"/>
      <c r="DY431" s="72"/>
      <c r="DZ431" s="72"/>
      <c r="EA431" s="72"/>
      <c r="EB431" s="72"/>
      <c r="EC431" s="72"/>
      <c r="ED431" s="72"/>
      <c r="EE431" s="72"/>
      <c r="EF431" s="72"/>
      <c r="EG431" s="72"/>
      <c r="EH431" s="72"/>
      <c r="EI431" s="129"/>
      <c r="EJ431" s="129"/>
      <c r="EK431" s="129"/>
      <c r="EL431" s="129"/>
      <c r="EM431" s="72"/>
      <c r="EN431" s="72"/>
      <c r="EO431" s="72"/>
      <c r="EP431" s="72"/>
      <c r="EQ431" s="72"/>
      <c r="ER431" s="72"/>
      <c r="ES431" s="72"/>
      <c r="ET431" s="72"/>
    </row>
    <row r="432">
      <c r="CD432" s="72"/>
      <c r="CE432" s="72"/>
      <c r="CF432" s="72"/>
      <c r="CG432" s="72"/>
      <c r="CH432" s="72"/>
      <c r="CI432" s="72"/>
      <c r="CJ432" s="72"/>
      <c r="CK432" s="72"/>
      <c r="CL432" s="72"/>
      <c r="CM432" s="72"/>
      <c r="CN432" s="72"/>
      <c r="CO432" s="72"/>
      <c r="CP432" s="72"/>
      <c r="CQ432" s="72"/>
      <c r="CR432" s="72"/>
      <c r="CS432" s="72"/>
      <c r="CT432" s="72"/>
      <c r="CU432" s="72"/>
      <c r="CV432" s="72"/>
      <c r="CW432" s="72"/>
      <c r="CX432" s="72"/>
      <c r="CY432" s="72"/>
      <c r="CZ432" s="72"/>
      <c r="DA432" s="72"/>
      <c r="DB432" s="72"/>
      <c r="DC432" s="72"/>
      <c r="DD432" s="72"/>
      <c r="DE432" s="72"/>
      <c r="DF432" s="72"/>
      <c r="DG432" s="72"/>
      <c r="DH432" s="72"/>
      <c r="DI432" s="72"/>
      <c r="DJ432" s="72"/>
      <c r="DK432" s="72"/>
      <c r="DL432" s="72"/>
      <c r="DM432" s="72"/>
      <c r="DN432" s="72"/>
      <c r="DO432" s="72"/>
      <c r="DP432" s="72"/>
      <c r="DQ432" s="72"/>
      <c r="DR432" s="72"/>
      <c r="DS432" s="72"/>
      <c r="DT432" s="72"/>
      <c r="DU432" s="72"/>
      <c r="DV432" s="72"/>
      <c r="DW432" s="72"/>
      <c r="DX432" s="72"/>
      <c r="DY432" s="72"/>
      <c r="DZ432" s="72"/>
      <c r="EA432" s="72"/>
      <c r="EB432" s="72"/>
      <c r="EC432" s="72"/>
      <c r="ED432" s="72"/>
      <c r="EE432" s="72"/>
      <c r="EF432" s="72"/>
      <c r="EG432" s="72"/>
      <c r="EH432" s="72"/>
      <c r="EI432" s="129"/>
      <c r="EJ432" s="129"/>
      <c r="EK432" s="129"/>
      <c r="EL432" s="129"/>
      <c r="EM432" s="72"/>
      <c r="EN432" s="72"/>
      <c r="EO432" s="72"/>
      <c r="EP432" s="72"/>
      <c r="EQ432" s="72"/>
      <c r="ER432" s="72"/>
      <c r="ES432" s="72"/>
      <c r="ET432" s="72"/>
    </row>
    <row r="433"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  <c r="CV433" s="72"/>
      <c r="CW433" s="72"/>
      <c r="CX433" s="72"/>
      <c r="CY433" s="72"/>
      <c r="CZ433" s="72"/>
      <c r="DA433" s="72"/>
      <c r="DB433" s="72"/>
      <c r="DC433" s="72"/>
      <c r="DD433" s="72"/>
      <c r="DE433" s="72"/>
      <c r="DF433" s="72"/>
      <c r="DG433" s="72"/>
      <c r="DH433" s="72"/>
      <c r="DI433" s="72"/>
      <c r="DJ433" s="72"/>
      <c r="DK433" s="72"/>
      <c r="DL433" s="72"/>
      <c r="DM433" s="72"/>
      <c r="DN433" s="72"/>
      <c r="DO433" s="72"/>
      <c r="DP433" s="72"/>
      <c r="DQ433" s="72"/>
      <c r="DR433" s="72"/>
      <c r="DS433" s="72"/>
      <c r="DT433" s="72"/>
      <c r="DU433" s="72"/>
      <c r="DV433" s="72"/>
      <c r="DW433" s="72"/>
      <c r="DX433" s="72"/>
      <c r="DY433" s="72"/>
      <c r="DZ433" s="72"/>
      <c r="EA433" s="72"/>
      <c r="EB433" s="72"/>
      <c r="EC433" s="72"/>
      <c r="ED433" s="72"/>
      <c r="EE433" s="72"/>
      <c r="EF433" s="72"/>
      <c r="EG433" s="72"/>
      <c r="EH433" s="72"/>
      <c r="EI433" s="129"/>
      <c r="EJ433" s="129"/>
      <c r="EK433" s="129"/>
      <c r="EL433" s="129"/>
      <c r="EM433" s="72"/>
      <c r="EN433" s="72"/>
      <c r="EO433" s="72"/>
      <c r="EP433" s="72"/>
      <c r="EQ433" s="72"/>
      <c r="ER433" s="72"/>
      <c r="ES433" s="72"/>
      <c r="ET433" s="72"/>
    </row>
    <row r="434"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72"/>
      <c r="CY434" s="72"/>
      <c r="CZ434" s="72"/>
      <c r="DA434" s="72"/>
      <c r="DB434" s="72"/>
      <c r="DC434" s="72"/>
      <c r="DD434" s="72"/>
      <c r="DE434" s="72"/>
      <c r="DF434" s="72"/>
      <c r="DG434" s="72"/>
      <c r="DH434" s="72"/>
      <c r="DI434" s="72"/>
      <c r="DJ434" s="72"/>
      <c r="DK434" s="72"/>
      <c r="DL434" s="72"/>
      <c r="DM434" s="72"/>
      <c r="DN434" s="72"/>
      <c r="DO434" s="72"/>
      <c r="DP434" s="72"/>
      <c r="DQ434" s="72"/>
      <c r="DR434" s="72"/>
      <c r="DS434" s="72"/>
      <c r="DT434" s="72"/>
      <c r="DU434" s="72"/>
      <c r="DV434" s="72"/>
      <c r="DW434" s="72"/>
      <c r="DX434" s="72"/>
      <c r="DY434" s="72"/>
      <c r="DZ434" s="72"/>
      <c r="EA434" s="72"/>
      <c r="EB434" s="72"/>
      <c r="EC434" s="72"/>
      <c r="ED434" s="72"/>
      <c r="EE434" s="72"/>
      <c r="EF434" s="72"/>
      <c r="EG434" s="72"/>
      <c r="EH434" s="72"/>
      <c r="EI434" s="129"/>
      <c r="EJ434" s="129"/>
      <c r="EK434" s="129"/>
      <c r="EL434" s="129"/>
      <c r="EM434" s="72"/>
      <c r="EN434" s="72"/>
      <c r="EO434" s="72"/>
      <c r="EP434" s="72"/>
      <c r="EQ434" s="72"/>
      <c r="ER434" s="72"/>
      <c r="ES434" s="72"/>
      <c r="ET434" s="72"/>
    </row>
    <row r="435"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  <c r="CV435" s="72"/>
      <c r="CW435" s="72"/>
      <c r="CX435" s="72"/>
      <c r="CY435" s="72"/>
      <c r="CZ435" s="72"/>
      <c r="DA435" s="72"/>
      <c r="DB435" s="72"/>
      <c r="DC435" s="72"/>
      <c r="DD435" s="72"/>
      <c r="DE435" s="72"/>
      <c r="DF435" s="72"/>
      <c r="DG435" s="72"/>
      <c r="DH435" s="72"/>
      <c r="DI435" s="72"/>
      <c r="DJ435" s="72"/>
      <c r="DK435" s="72"/>
      <c r="DL435" s="72"/>
      <c r="DM435" s="72"/>
      <c r="DN435" s="72"/>
      <c r="DO435" s="72"/>
      <c r="DP435" s="72"/>
      <c r="DQ435" s="72"/>
      <c r="DR435" s="72"/>
      <c r="DS435" s="72"/>
      <c r="DT435" s="72"/>
      <c r="DU435" s="72"/>
      <c r="DV435" s="72"/>
      <c r="DW435" s="72"/>
      <c r="DX435" s="72"/>
      <c r="DY435" s="72"/>
      <c r="DZ435" s="72"/>
      <c r="EA435" s="72"/>
      <c r="EB435" s="72"/>
      <c r="EC435" s="72"/>
      <c r="ED435" s="72"/>
      <c r="EE435" s="72"/>
      <c r="EF435" s="72"/>
      <c r="EG435" s="72"/>
      <c r="EH435" s="72"/>
      <c r="EI435" s="129"/>
      <c r="EJ435" s="129"/>
      <c r="EK435" s="129"/>
      <c r="EL435" s="129"/>
      <c r="EM435" s="72"/>
      <c r="EN435" s="72"/>
      <c r="EO435" s="72"/>
      <c r="EP435" s="72"/>
      <c r="EQ435" s="72"/>
      <c r="ER435" s="72"/>
      <c r="ES435" s="72"/>
      <c r="ET435" s="72"/>
    </row>
    <row r="436">
      <c r="CD436" s="72"/>
      <c r="CE436" s="72"/>
      <c r="CF436" s="72"/>
      <c r="CG436" s="72"/>
      <c r="CH436" s="72"/>
      <c r="CI436" s="72"/>
      <c r="CJ436" s="72"/>
      <c r="CK436" s="72"/>
      <c r="CL436" s="72"/>
      <c r="CM436" s="72"/>
      <c r="CN436" s="72"/>
      <c r="CO436" s="72"/>
      <c r="CP436" s="72"/>
      <c r="CQ436" s="72"/>
      <c r="CR436" s="72"/>
      <c r="CS436" s="72"/>
      <c r="CT436" s="72"/>
      <c r="CU436" s="72"/>
      <c r="CV436" s="72"/>
      <c r="CW436" s="72"/>
      <c r="CX436" s="72"/>
      <c r="CY436" s="72"/>
      <c r="CZ436" s="72"/>
      <c r="DA436" s="72"/>
      <c r="DB436" s="72"/>
      <c r="DC436" s="72"/>
      <c r="DD436" s="72"/>
      <c r="DE436" s="72"/>
      <c r="DF436" s="72"/>
      <c r="DG436" s="72"/>
      <c r="DH436" s="72"/>
      <c r="DI436" s="72"/>
      <c r="DJ436" s="72"/>
      <c r="DK436" s="72"/>
      <c r="DL436" s="72"/>
      <c r="DM436" s="72"/>
      <c r="DN436" s="72"/>
      <c r="DO436" s="72"/>
      <c r="DP436" s="72"/>
      <c r="DQ436" s="72"/>
      <c r="DR436" s="72"/>
      <c r="DS436" s="72"/>
      <c r="DT436" s="72"/>
      <c r="DU436" s="72"/>
      <c r="DV436" s="72"/>
      <c r="DW436" s="72"/>
      <c r="DX436" s="72"/>
      <c r="DY436" s="72"/>
      <c r="DZ436" s="72"/>
      <c r="EA436" s="72"/>
      <c r="EB436" s="72"/>
      <c r="EC436" s="72"/>
      <c r="ED436" s="72"/>
      <c r="EE436" s="72"/>
      <c r="EF436" s="72"/>
      <c r="EG436" s="72"/>
      <c r="EH436" s="72"/>
      <c r="EI436" s="129"/>
      <c r="EJ436" s="129"/>
      <c r="EK436" s="129"/>
      <c r="EL436" s="129"/>
      <c r="EM436" s="72"/>
      <c r="EN436" s="72"/>
      <c r="EO436" s="72"/>
      <c r="EP436" s="72"/>
      <c r="EQ436" s="72"/>
      <c r="ER436" s="72"/>
      <c r="ES436" s="72"/>
      <c r="ET436" s="72"/>
    </row>
    <row r="437"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  <c r="CV437" s="72"/>
      <c r="CW437" s="72"/>
      <c r="CX437" s="72"/>
      <c r="CY437" s="72"/>
      <c r="CZ437" s="72"/>
      <c r="DA437" s="72"/>
      <c r="DB437" s="72"/>
      <c r="DC437" s="72"/>
      <c r="DD437" s="72"/>
      <c r="DE437" s="72"/>
      <c r="DF437" s="72"/>
      <c r="DG437" s="72"/>
      <c r="DH437" s="72"/>
      <c r="DI437" s="72"/>
      <c r="DJ437" s="72"/>
      <c r="DK437" s="72"/>
      <c r="DL437" s="72"/>
      <c r="DM437" s="72"/>
      <c r="DN437" s="72"/>
      <c r="DO437" s="72"/>
      <c r="DP437" s="72"/>
      <c r="DQ437" s="72"/>
      <c r="DR437" s="72"/>
      <c r="DS437" s="72"/>
      <c r="DT437" s="72"/>
      <c r="DU437" s="72"/>
      <c r="DV437" s="72"/>
      <c r="DW437" s="72"/>
      <c r="DX437" s="72"/>
      <c r="DY437" s="72"/>
      <c r="DZ437" s="72"/>
      <c r="EA437" s="72"/>
      <c r="EB437" s="72"/>
      <c r="EC437" s="72"/>
      <c r="ED437" s="72"/>
      <c r="EE437" s="72"/>
      <c r="EF437" s="72"/>
      <c r="EG437" s="72"/>
      <c r="EH437" s="72"/>
      <c r="EI437" s="129"/>
      <c r="EJ437" s="129"/>
      <c r="EK437" s="129"/>
      <c r="EL437" s="129"/>
      <c r="EM437" s="72"/>
      <c r="EN437" s="72"/>
      <c r="EO437" s="72"/>
      <c r="EP437" s="72"/>
      <c r="EQ437" s="72"/>
      <c r="ER437" s="72"/>
      <c r="ES437" s="72"/>
      <c r="ET437" s="72"/>
    </row>
    <row r="438">
      <c r="CD438" s="72"/>
      <c r="CE438" s="72"/>
      <c r="CF438" s="72"/>
      <c r="CG438" s="72"/>
      <c r="CH438" s="72"/>
      <c r="CI438" s="72"/>
      <c r="CJ438" s="72"/>
      <c r="CK438" s="72"/>
      <c r="CL438" s="72"/>
      <c r="CM438" s="72"/>
      <c r="CN438" s="72"/>
      <c r="CO438" s="72"/>
      <c r="CP438" s="72"/>
      <c r="CQ438" s="72"/>
      <c r="CR438" s="72"/>
      <c r="CS438" s="72"/>
      <c r="CT438" s="72"/>
      <c r="CU438" s="72"/>
      <c r="CV438" s="72"/>
      <c r="CW438" s="72"/>
      <c r="CX438" s="72"/>
      <c r="CY438" s="72"/>
      <c r="CZ438" s="72"/>
      <c r="DA438" s="72"/>
      <c r="DB438" s="72"/>
      <c r="DC438" s="72"/>
      <c r="DD438" s="72"/>
      <c r="DE438" s="72"/>
      <c r="DF438" s="72"/>
      <c r="DG438" s="72"/>
      <c r="DH438" s="72"/>
      <c r="DI438" s="72"/>
      <c r="DJ438" s="72"/>
      <c r="DK438" s="72"/>
      <c r="DL438" s="72"/>
      <c r="DM438" s="72"/>
      <c r="DN438" s="72"/>
      <c r="DO438" s="72"/>
      <c r="DP438" s="72"/>
      <c r="DQ438" s="72"/>
      <c r="DR438" s="72"/>
      <c r="DS438" s="72"/>
      <c r="DT438" s="72"/>
      <c r="DU438" s="72"/>
      <c r="DV438" s="72"/>
      <c r="DW438" s="72"/>
      <c r="DX438" s="72"/>
      <c r="DY438" s="72"/>
      <c r="DZ438" s="72"/>
      <c r="EA438" s="72"/>
      <c r="EB438" s="72"/>
      <c r="EC438" s="72"/>
      <c r="ED438" s="72"/>
      <c r="EE438" s="72"/>
      <c r="EF438" s="72"/>
      <c r="EG438" s="72"/>
      <c r="EH438" s="72"/>
      <c r="EI438" s="129"/>
      <c r="EJ438" s="129"/>
      <c r="EK438" s="129"/>
      <c r="EL438" s="129"/>
      <c r="EM438" s="72"/>
      <c r="EN438" s="72"/>
      <c r="EO438" s="72"/>
      <c r="EP438" s="72"/>
      <c r="EQ438" s="72"/>
      <c r="ER438" s="72"/>
      <c r="ES438" s="72"/>
      <c r="ET438" s="72"/>
    </row>
    <row r="439"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  <c r="CV439" s="72"/>
      <c r="CW439" s="72"/>
      <c r="CX439" s="72"/>
      <c r="CY439" s="72"/>
      <c r="CZ439" s="72"/>
      <c r="DA439" s="72"/>
      <c r="DB439" s="72"/>
      <c r="DC439" s="72"/>
      <c r="DD439" s="72"/>
      <c r="DE439" s="72"/>
      <c r="DF439" s="72"/>
      <c r="DG439" s="72"/>
      <c r="DH439" s="72"/>
      <c r="DI439" s="72"/>
      <c r="DJ439" s="72"/>
      <c r="DK439" s="72"/>
      <c r="DL439" s="72"/>
      <c r="DM439" s="72"/>
      <c r="DN439" s="72"/>
      <c r="DO439" s="72"/>
      <c r="DP439" s="72"/>
      <c r="DQ439" s="72"/>
      <c r="DR439" s="72"/>
      <c r="DS439" s="72"/>
      <c r="DT439" s="72"/>
      <c r="DU439" s="72"/>
      <c r="DV439" s="72"/>
      <c r="DW439" s="72"/>
      <c r="DX439" s="72"/>
      <c r="DY439" s="72"/>
      <c r="DZ439" s="72"/>
      <c r="EA439" s="72"/>
      <c r="EB439" s="72"/>
      <c r="EC439" s="72"/>
      <c r="ED439" s="72"/>
      <c r="EE439" s="72"/>
      <c r="EF439" s="72"/>
      <c r="EG439" s="72"/>
      <c r="EH439" s="72"/>
      <c r="EI439" s="129"/>
      <c r="EJ439" s="129"/>
      <c r="EK439" s="129"/>
      <c r="EL439" s="129"/>
      <c r="EM439" s="72"/>
      <c r="EN439" s="72"/>
      <c r="EO439" s="72"/>
      <c r="EP439" s="72"/>
      <c r="EQ439" s="72"/>
      <c r="ER439" s="72"/>
      <c r="ES439" s="72"/>
      <c r="ET439" s="72"/>
    </row>
    <row r="440">
      <c r="CD440" s="72"/>
      <c r="CE440" s="72"/>
      <c r="CF440" s="72"/>
      <c r="CG440" s="72"/>
      <c r="CH440" s="72"/>
      <c r="CI440" s="72"/>
      <c r="CJ440" s="72"/>
      <c r="CK440" s="72"/>
      <c r="CL440" s="72"/>
      <c r="CM440" s="72"/>
      <c r="CN440" s="72"/>
      <c r="CO440" s="72"/>
      <c r="CP440" s="72"/>
      <c r="CQ440" s="72"/>
      <c r="CR440" s="72"/>
      <c r="CS440" s="72"/>
      <c r="CT440" s="72"/>
      <c r="CU440" s="72"/>
      <c r="CV440" s="72"/>
      <c r="CW440" s="72"/>
      <c r="CX440" s="72"/>
      <c r="CY440" s="72"/>
      <c r="CZ440" s="72"/>
      <c r="DA440" s="72"/>
      <c r="DB440" s="72"/>
      <c r="DC440" s="72"/>
      <c r="DD440" s="72"/>
      <c r="DE440" s="72"/>
      <c r="DF440" s="72"/>
      <c r="DG440" s="72"/>
      <c r="DH440" s="72"/>
      <c r="DI440" s="72"/>
      <c r="DJ440" s="72"/>
      <c r="DK440" s="72"/>
      <c r="DL440" s="72"/>
      <c r="DM440" s="72"/>
      <c r="DN440" s="72"/>
      <c r="DO440" s="72"/>
      <c r="DP440" s="72"/>
      <c r="DQ440" s="72"/>
      <c r="DR440" s="72"/>
      <c r="DS440" s="72"/>
      <c r="DT440" s="72"/>
      <c r="DU440" s="72"/>
      <c r="DV440" s="72"/>
      <c r="DW440" s="72"/>
      <c r="DX440" s="72"/>
      <c r="DY440" s="72"/>
      <c r="DZ440" s="72"/>
      <c r="EA440" s="72"/>
      <c r="EB440" s="72"/>
      <c r="EC440" s="72"/>
      <c r="ED440" s="72"/>
      <c r="EE440" s="72"/>
      <c r="EF440" s="72"/>
      <c r="EG440" s="72"/>
      <c r="EH440" s="72"/>
      <c r="EI440" s="129"/>
      <c r="EJ440" s="129"/>
      <c r="EK440" s="129"/>
      <c r="EL440" s="129"/>
      <c r="EM440" s="72"/>
      <c r="EN440" s="72"/>
      <c r="EO440" s="72"/>
      <c r="EP440" s="72"/>
      <c r="EQ440" s="72"/>
      <c r="ER440" s="72"/>
      <c r="ES440" s="72"/>
      <c r="ET440" s="72"/>
    </row>
    <row r="441"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  <c r="CV441" s="72"/>
      <c r="CW441" s="72"/>
      <c r="CX441" s="72"/>
      <c r="CY441" s="72"/>
      <c r="CZ441" s="72"/>
      <c r="DA441" s="72"/>
      <c r="DB441" s="72"/>
      <c r="DC441" s="72"/>
      <c r="DD441" s="72"/>
      <c r="DE441" s="72"/>
      <c r="DF441" s="72"/>
      <c r="DG441" s="72"/>
      <c r="DH441" s="72"/>
      <c r="DI441" s="72"/>
      <c r="DJ441" s="72"/>
      <c r="DK441" s="72"/>
      <c r="DL441" s="72"/>
      <c r="DM441" s="72"/>
      <c r="DN441" s="72"/>
      <c r="DO441" s="72"/>
      <c r="DP441" s="72"/>
      <c r="DQ441" s="72"/>
      <c r="DR441" s="72"/>
      <c r="DS441" s="72"/>
      <c r="DT441" s="72"/>
      <c r="DU441" s="72"/>
      <c r="DV441" s="72"/>
      <c r="DW441" s="72"/>
      <c r="DX441" s="72"/>
      <c r="DY441" s="72"/>
      <c r="DZ441" s="72"/>
      <c r="EA441" s="72"/>
      <c r="EB441" s="72"/>
      <c r="EC441" s="72"/>
      <c r="ED441" s="72"/>
      <c r="EE441" s="72"/>
      <c r="EF441" s="72"/>
      <c r="EG441" s="72"/>
      <c r="EH441" s="72"/>
      <c r="EI441" s="129"/>
      <c r="EJ441" s="129"/>
      <c r="EK441" s="129"/>
      <c r="EL441" s="129"/>
      <c r="EM441" s="72"/>
      <c r="EN441" s="72"/>
      <c r="EO441" s="72"/>
      <c r="EP441" s="72"/>
      <c r="EQ441" s="72"/>
      <c r="ER441" s="72"/>
      <c r="ES441" s="72"/>
      <c r="ET441" s="72"/>
    </row>
    <row r="442">
      <c r="CD442" s="72"/>
      <c r="CE442" s="72"/>
      <c r="CF442" s="72"/>
      <c r="CG442" s="72"/>
      <c r="CH442" s="72"/>
      <c r="CI442" s="72"/>
      <c r="CJ442" s="72"/>
      <c r="CK442" s="72"/>
      <c r="CL442" s="72"/>
      <c r="CM442" s="72"/>
      <c r="CN442" s="72"/>
      <c r="CO442" s="72"/>
      <c r="CP442" s="72"/>
      <c r="CQ442" s="72"/>
      <c r="CR442" s="72"/>
      <c r="CS442" s="72"/>
      <c r="CT442" s="72"/>
      <c r="CU442" s="72"/>
      <c r="CV442" s="72"/>
      <c r="CW442" s="72"/>
      <c r="CX442" s="72"/>
      <c r="CY442" s="72"/>
      <c r="CZ442" s="72"/>
      <c r="DA442" s="72"/>
      <c r="DB442" s="72"/>
      <c r="DC442" s="72"/>
      <c r="DD442" s="72"/>
      <c r="DE442" s="72"/>
      <c r="DF442" s="72"/>
      <c r="DG442" s="72"/>
      <c r="DH442" s="72"/>
      <c r="DI442" s="72"/>
      <c r="DJ442" s="72"/>
      <c r="DK442" s="72"/>
      <c r="DL442" s="72"/>
      <c r="DM442" s="72"/>
      <c r="DN442" s="72"/>
      <c r="DO442" s="72"/>
      <c r="DP442" s="72"/>
      <c r="DQ442" s="72"/>
      <c r="DR442" s="72"/>
      <c r="DS442" s="72"/>
      <c r="DT442" s="72"/>
      <c r="DU442" s="72"/>
      <c r="DV442" s="72"/>
      <c r="DW442" s="72"/>
      <c r="DX442" s="72"/>
      <c r="DY442" s="72"/>
      <c r="DZ442" s="72"/>
      <c r="EA442" s="72"/>
      <c r="EB442" s="72"/>
      <c r="EC442" s="72"/>
      <c r="ED442" s="72"/>
      <c r="EE442" s="72"/>
      <c r="EF442" s="72"/>
      <c r="EG442" s="72"/>
      <c r="EH442" s="72"/>
      <c r="EI442" s="129"/>
      <c r="EJ442" s="129"/>
      <c r="EK442" s="129"/>
      <c r="EL442" s="129"/>
      <c r="EM442" s="72"/>
      <c r="EN442" s="72"/>
      <c r="EO442" s="72"/>
      <c r="EP442" s="72"/>
      <c r="EQ442" s="72"/>
      <c r="ER442" s="72"/>
      <c r="ES442" s="72"/>
      <c r="ET442" s="72"/>
    </row>
    <row r="443"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  <c r="CV443" s="72"/>
      <c r="CW443" s="72"/>
      <c r="CX443" s="72"/>
      <c r="CY443" s="72"/>
      <c r="CZ443" s="72"/>
      <c r="DA443" s="72"/>
      <c r="DB443" s="72"/>
      <c r="DC443" s="72"/>
      <c r="DD443" s="72"/>
      <c r="DE443" s="72"/>
      <c r="DF443" s="72"/>
      <c r="DG443" s="72"/>
      <c r="DH443" s="72"/>
      <c r="DI443" s="72"/>
      <c r="DJ443" s="72"/>
      <c r="DK443" s="72"/>
      <c r="DL443" s="72"/>
      <c r="DM443" s="72"/>
      <c r="DN443" s="72"/>
      <c r="DO443" s="72"/>
      <c r="DP443" s="72"/>
      <c r="DQ443" s="72"/>
      <c r="DR443" s="72"/>
      <c r="DS443" s="72"/>
      <c r="DT443" s="72"/>
      <c r="DU443" s="72"/>
      <c r="DV443" s="72"/>
      <c r="DW443" s="72"/>
      <c r="DX443" s="72"/>
      <c r="DY443" s="72"/>
      <c r="DZ443" s="72"/>
      <c r="EA443" s="72"/>
      <c r="EB443" s="72"/>
      <c r="EC443" s="72"/>
      <c r="ED443" s="72"/>
      <c r="EE443" s="72"/>
      <c r="EF443" s="72"/>
      <c r="EG443" s="72"/>
      <c r="EH443" s="72"/>
      <c r="EI443" s="129"/>
      <c r="EJ443" s="129"/>
      <c r="EK443" s="129"/>
      <c r="EL443" s="129"/>
      <c r="EM443" s="72"/>
      <c r="EN443" s="72"/>
      <c r="EO443" s="72"/>
      <c r="EP443" s="72"/>
      <c r="EQ443" s="72"/>
      <c r="ER443" s="72"/>
      <c r="ES443" s="72"/>
      <c r="ET443" s="72"/>
    </row>
    <row r="444">
      <c r="CD444" s="72"/>
      <c r="CE444" s="72"/>
      <c r="CF444" s="72"/>
      <c r="CG444" s="72"/>
      <c r="CH444" s="72"/>
      <c r="CI444" s="72"/>
      <c r="CJ444" s="72"/>
      <c r="CK444" s="72"/>
      <c r="CL444" s="72"/>
      <c r="CM444" s="72"/>
      <c r="CN444" s="72"/>
      <c r="CO444" s="72"/>
      <c r="CP444" s="72"/>
      <c r="CQ444" s="72"/>
      <c r="CR444" s="72"/>
      <c r="CS444" s="72"/>
      <c r="CT444" s="72"/>
      <c r="CU444" s="72"/>
      <c r="CV444" s="72"/>
      <c r="CW444" s="72"/>
      <c r="CX444" s="72"/>
      <c r="CY444" s="72"/>
      <c r="CZ444" s="72"/>
      <c r="DA444" s="72"/>
      <c r="DB444" s="72"/>
      <c r="DC444" s="72"/>
      <c r="DD444" s="72"/>
      <c r="DE444" s="72"/>
      <c r="DF444" s="72"/>
      <c r="DG444" s="72"/>
      <c r="DH444" s="72"/>
      <c r="DI444" s="72"/>
      <c r="DJ444" s="72"/>
      <c r="DK444" s="72"/>
      <c r="DL444" s="72"/>
      <c r="DM444" s="72"/>
      <c r="DN444" s="72"/>
      <c r="DO444" s="72"/>
      <c r="DP444" s="72"/>
      <c r="DQ444" s="72"/>
      <c r="DR444" s="72"/>
      <c r="DS444" s="72"/>
      <c r="DT444" s="72"/>
      <c r="DU444" s="72"/>
      <c r="DV444" s="72"/>
      <c r="DW444" s="72"/>
      <c r="DX444" s="72"/>
      <c r="DY444" s="72"/>
      <c r="DZ444" s="72"/>
      <c r="EA444" s="72"/>
      <c r="EB444" s="72"/>
      <c r="EC444" s="72"/>
      <c r="ED444" s="72"/>
      <c r="EE444" s="72"/>
      <c r="EF444" s="72"/>
      <c r="EG444" s="72"/>
      <c r="EH444" s="72"/>
      <c r="EI444" s="129"/>
      <c r="EJ444" s="129"/>
      <c r="EK444" s="129"/>
      <c r="EL444" s="129"/>
      <c r="EM444" s="72"/>
      <c r="EN444" s="72"/>
      <c r="EO444" s="72"/>
      <c r="EP444" s="72"/>
      <c r="EQ444" s="72"/>
      <c r="ER444" s="72"/>
      <c r="ES444" s="72"/>
      <c r="ET444" s="72"/>
    </row>
    <row r="445"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  <c r="CV445" s="72"/>
      <c r="CW445" s="72"/>
      <c r="CX445" s="72"/>
      <c r="CY445" s="72"/>
      <c r="CZ445" s="72"/>
      <c r="DA445" s="72"/>
      <c r="DB445" s="72"/>
      <c r="DC445" s="72"/>
      <c r="DD445" s="72"/>
      <c r="DE445" s="72"/>
      <c r="DF445" s="72"/>
      <c r="DG445" s="72"/>
      <c r="DH445" s="72"/>
      <c r="DI445" s="72"/>
      <c r="DJ445" s="72"/>
      <c r="DK445" s="72"/>
      <c r="DL445" s="72"/>
      <c r="DM445" s="72"/>
      <c r="DN445" s="72"/>
      <c r="DO445" s="72"/>
      <c r="DP445" s="72"/>
      <c r="DQ445" s="72"/>
      <c r="DR445" s="72"/>
      <c r="DS445" s="72"/>
      <c r="DT445" s="72"/>
      <c r="DU445" s="72"/>
      <c r="DV445" s="72"/>
      <c r="DW445" s="72"/>
      <c r="DX445" s="72"/>
      <c r="DY445" s="72"/>
      <c r="DZ445" s="72"/>
      <c r="EA445" s="72"/>
      <c r="EB445" s="72"/>
      <c r="EC445" s="72"/>
      <c r="ED445" s="72"/>
      <c r="EE445" s="72"/>
      <c r="EF445" s="72"/>
      <c r="EG445" s="72"/>
      <c r="EH445" s="72"/>
      <c r="EI445" s="129"/>
      <c r="EJ445" s="129"/>
      <c r="EK445" s="129"/>
      <c r="EL445" s="129"/>
      <c r="EM445" s="72"/>
      <c r="EN445" s="72"/>
      <c r="EO445" s="72"/>
      <c r="EP445" s="72"/>
      <c r="EQ445" s="72"/>
      <c r="ER445" s="72"/>
      <c r="ES445" s="72"/>
      <c r="ET445" s="72"/>
    </row>
    <row r="446">
      <c r="CD446" s="72"/>
      <c r="CE446" s="72"/>
      <c r="CF446" s="72"/>
      <c r="CG446" s="72"/>
      <c r="CH446" s="72"/>
      <c r="CI446" s="72"/>
      <c r="CJ446" s="72"/>
      <c r="CK446" s="72"/>
      <c r="CL446" s="72"/>
      <c r="CM446" s="72"/>
      <c r="CN446" s="72"/>
      <c r="CO446" s="72"/>
      <c r="CP446" s="72"/>
      <c r="CQ446" s="72"/>
      <c r="CR446" s="72"/>
      <c r="CS446" s="72"/>
      <c r="CT446" s="72"/>
      <c r="CU446" s="72"/>
      <c r="CV446" s="72"/>
      <c r="CW446" s="72"/>
      <c r="CX446" s="72"/>
      <c r="CY446" s="72"/>
      <c r="CZ446" s="72"/>
      <c r="DA446" s="72"/>
      <c r="DB446" s="72"/>
      <c r="DC446" s="72"/>
      <c r="DD446" s="72"/>
      <c r="DE446" s="72"/>
      <c r="DF446" s="72"/>
      <c r="DG446" s="72"/>
      <c r="DH446" s="72"/>
      <c r="DI446" s="72"/>
      <c r="DJ446" s="72"/>
      <c r="DK446" s="72"/>
      <c r="DL446" s="72"/>
      <c r="DM446" s="72"/>
      <c r="DN446" s="72"/>
      <c r="DO446" s="72"/>
      <c r="DP446" s="72"/>
      <c r="DQ446" s="72"/>
      <c r="DR446" s="72"/>
      <c r="DS446" s="72"/>
      <c r="DT446" s="72"/>
      <c r="DU446" s="72"/>
      <c r="DV446" s="72"/>
      <c r="DW446" s="72"/>
      <c r="DX446" s="72"/>
      <c r="DY446" s="72"/>
      <c r="DZ446" s="72"/>
      <c r="EA446" s="72"/>
      <c r="EB446" s="72"/>
      <c r="EC446" s="72"/>
      <c r="ED446" s="72"/>
      <c r="EE446" s="72"/>
      <c r="EF446" s="72"/>
      <c r="EG446" s="72"/>
      <c r="EH446" s="72"/>
      <c r="EI446" s="129"/>
      <c r="EJ446" s="129"/>
      <c r="EK446" s="129"/>
      <c r="EL446" s="129"/>
      <c r="EM446" s="72"/>
      <c r="EN446" s="72"/>
      <c r="EO446" s="72"/>
      <c r="EP446" s="72"/>
      <c r="EQ446" s="72"/>
      <c r="ER446" s="72"/>
      <c r="ES446" s="72"/>
      <c r="ET446" s="72"/>
    </row>
    <row r="447"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  <c r="CV447" s="72"/>
      <c r="CW447" s="72"/>
      <c r="CX447" s="72"/>
      <c r="CY447" s="72"/>
      <c r="CZ447" s="72"/>
      <c r="DA447" s="72"/>
      <c r="DB447" s="72"/>
      <c r="DC447" s="72"/>
      <c r="DD447" s="72"/>
      <c r="DE447" s="72"/>
      <c r="DF447" s="72"/>
      <c r="DG447" s="72"/>
      <c r="DH447" s="72"/>
      <c r="DI447" s="72"/>
      <c r="DJ447" s="72"/>
      <c r="DK447" s="72"/>
      <c r="DL447" s="72"/>
      <c r="DM447" s="72"/>
      <c r="DN447" s="72"/>
      <c r="DO447" s="72"/>
      <c r="DP447" s="72"/>
      <c r="DQ447" s="72"/>
      <c r="DR447" s="72"/>
      <c r="DS447" s="72"/>
      <c r="DT447" s="72"/>
      <c r="DU447" s="72"/>
      <c r="DV447" s="72"/>
      <c r="DW447" s="72"/>
      <c r="DX447" s="72"/>
      <c r="DY447" s="72"/>
      <c r="DZ447" s="72"/>
      <c r="EA447" s="72"/>
      <c r="EB447" s="72"/>
      <c r="EC447" s="72"/>
      <c r="ED447" s="72"/>
      <c r="EE447" s="72"/>
      <c r="EF447" s="72"/>
      <c r="EG447" s="72"/>
      <c r="EH447" s="72"/>
      <c r="EI447" s="129"/>
      <c r="EJ447" s="129"/>
      <c r="EK447" s="129"/>
      <c r="EL447" s="129"/>
      <c r="EM447" s="72"/>
      <c r="EN447" s="72"/>
      <c r="EO447" s="72"/>
      <c r="EP447" s="72"/>
      <c r="EQ447" s="72"/>
      <c r="ER447" s="72"/>
      <c r="ES447" s="72"/>
      <c r="ET447" s="72"/>
    </row>
    <row r="448">
      <c r="CD448" s="72"/>
      <c r="CE448" s="72"/>
      <c r="CF448" s="72"/>
      <c r="CG448" s="72"/>
      <c r="CH448" s="72"/>
      <c r="CI448" s="72"/>
      <c r="CJ448" s="72"/>
      <c r="CK448" s="72"/>
      <c r="CL448" s="72"/>
      <c r="CM448" s="72"/>
      <c r="CN448" s="72"/>
      <c r="CO448" s="72"/>
      <c r="CP448" s="72"/>
      <c r="CQ448" s="72"/>
      <c r="CR448" s="72"/>
      <c r="CS448" s="72"/>
      <c r="CT448" s="72"/>
      <c r="CU448" s="72"/>
      <c r="CV448" s="72"/>
      <c r="CW448" s="72"/>
      <c r="CX448" s="72"/>
      <c r="CY448" s="72"/>
      <c r="CZ448" s="72"/>
      <c r="DA448" s="72"/>
      <c r="DB448" s="72"/>
      <c r="DC448" s="72"/>
      <c r="DD448" s="72"/>
      <c r="DE448" s="72"/>
      <c r="DF448" s="72"/>
      <c r="DG448" s="72"/>
      <c r="DH448" s="72"/>
      <c r="DI448" s="72"/>
      <c r="DJ448" s="72"/>
      <c r="DK448" s="72"/>
      <c r="DL448" s="72"/>
      <c r="DM448" s="72"/>
      <c r="DN448" s="72"/>
      <c r="DO448" s="72"/>
      <c r="DP448" s="72"/>
      <c r="DQ448" s="72"/>
      <c r="DR448" s="72"/>
      <c r="DS448" s="72"/>
      <c r="DT448" s="72"/>
      <c r="DU448" s="72"/>
      <c r="DV448" s="72"/>
      <c r="DW448" s="72"/>
      <c r="DX448" s="72"/>
      <c r="DY448" s="72"/>
      <c r="DZ448" s="72"/>
      <c r="EA448" s="72"/>
      <c r="EB448" s="72"/>
      <c r="EC448" s="72"/>
      <c r="ED448" s="72"/>
      <c r="EE448" s="72"/>
      <c r="EF448" s="72"/>
      <c r="EG448" s="72"/>
      <c r="EH448" s="72"/>
      <c r="EI448" s="129"/>
      <c r="EJ448" s="129"/>
      <c r="EK448" s="129"/>
      <c r="EL448" s="129"/>
      <c r="EM448" s="72"/>
      <c r="EN448" s="72"/>
      <c r="EO448" s="72"/>
      <c r="EP448" s="72"/>
      <c r="EQ448" s="72"/>
      <c r="ER448" s="72"/>
      <c r="ES448" s="72"/>
      <c r="ET448" s="72"/>
    </row>
    <row r="449"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  <c r="CV449" s="72"/>
      <c r="CW449" s="72"/>
      <c r="CX449" s="72"/>
      <c r="CY449" s="72"/>
      <c r="CZ449" s="72"/>
      <c r="DA449" s="72"/>
      <c r="DB449" s="72"/>
      <c r="DC449" s="72"/>
      <c r="DD449" s="72"/>
      <c r="DE449" s="72"/>
      <c r="DF449" s="72"/>
      <c r="DG449" s="72"/>
      <c r="DH449" s="72"/>
      <c r="DI449" s="72"/>
      <c r="DJ449" s="72"/>
      <c r="DK449" s="72"/>
      <c r="DL449" s="72"/>
      <c r="DM449" s="72"/>
      <c r="DN449" s="72"/>
      <c r="DO449" s="72"/>
      <c r="DP449" s="72"/>
      <c r="DQ449" s="72"/>
      <c r="DR449" s="72"/>
      <c r="DS449" s="72"/>
      <c r="DT449" s="72"/>
      <c r="DU449" s="72"/>
      <c r="DV449" s="72"/>
      <c r="DW449" s="72"/>
      <c r="DX449" s="72"/>
      <c r="DY449" s="72"/>
      <c r="DZ449" s="72"/>
      <c r="EA449" s="72"/>
      <c r="EB449" s="72"/>
      <c r="EC449" s="72"/>
      <c r="ED449" s="72"/>
      <c r="EE449" s="72"/>
      <c r="EF449" s="72"/>
      <c r="EG449" s="72"/>
      <c r="EH449" s="72"/>
      <c r="EI449" s="129"/>
      <c r="EJ449" s="129"/>
      <c r="EK449" s="129"/>
      <c r="EL449" s="129"/>
      <c r="EM449" s="72"/>
      <c r="EN449" s="72"/>
      <c r="EO449" s="72"/>
      <c r="EP449" s="72"/>
      <c r="EQ449" s="72"/>
      <c r="ER449" s="72"/>
      <c r="ES449" s="72"/>
      <c r="ET449" s="72"/>
    </row>
    <row r="450">
      <c r="CD450" s="72"/>
      <c r="CE450" s="72"/>
      <c r="CF450" s="72"/>
      <c r="CG450" s="72"/>
      <c r="CH450" s="72"/>
      <c r="CI450" s="72"/>
      <c r="CJ450" s="72"/>
      <c r="CK450" s="72"/>
      <c r="CL450" s="72"/>
      <c r="CM450" s="72"/>
      <c r="CN450" s="72"/>
      <c r="CO450" s="72"/>
      <c r="CP450" s="72"/>
      <c r="CQ450" s="72"/>
      <c r="CR450" s="72"/>
      <c r="CS450" s="72"/>
      <c r="CT450" s="72"/>
      <c r="CU450" s="72"/>
      <c r="CV450" s="72"/>
      <c r="CW450" s="72"/>
      <c r="CX450" s="72"/>
      <c r="CY450" s="72"/>
      <c r="CZ450" s="72"/>
      <c r="DA450" s="72"/>
      <c r="DB450" s="72"/>
      <c r="DC450" s="72"/>
      <c r="DD450" s="72"/>
      <c r="DE450" s="72"/>
      <c r="DF450" s="72"/>
      <c r="DG450" s="72"/>
      <c r="DH450" s="72"/>
      <c r="DI450" s="72"/>
      <c r="DJ450" s="72"/>
      <c r="DK450" s="72"/>
      <c r="DL450" s="72"/>
      <c r="DM450" s="72"/>
      <c r="DN450" s="72"/>
      <c r="DO450" s="72"/>
      <c r="DP450" s="72"/>
      <c r="DQ450" s="72"/>
      <c r="DR450" s="72"/>
      <c r="DS450" s="72"/>
      <c r="DT450" s="72"/>
      <c r="DU450" s="72"/>
      <c r="DV450" s="72"/>
      <c r="DW450" s="72"/>
      <c r="DX450" s="72"/>
      <c r="DY450" s="72"/>
      <c r="DZ450" s="72"/>
      <c r="EA450" s="72"/>
      <c r="EB450" s="72"/>
      <c r="EC450" s="72"/>
      <c r="ED450" s="72"/>
      <c r="EE450" s="72"/>
      <c r="EF450" s="72"/>
      <c r="EG450" s="72"/>
      <c r="EH450" s="72"/>
      <c r="EI450" s="129"/>
      <c r="EJ450" s="129"/>
      <c r="EK450" s="129"/>
      <c r="EL450" s="129"/>
      <c r="EM450" s="72"/>
      <c r="EN450" s="72"/>
      <c r="EO450" s="72"/>
      <c r="EP450" s="72"/>
      <c r="EQ450" s="72"/>
      <c r="ER450" s="72"/>
      <c r="ES450" s="72"/>
      <c r="ET450" s="72"/>
    </row>
    <row r="451"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  <c r="CV451" s="72"/>
      <c r="CW451" s="72"/>
      <c r="CX451" s="72"/>
      <c r="CY451" s="72"/>
      <c r="CZ451" s="72"/>
      <c r="DA451" s="72"/>
      <c r="DB451" s="72"/>
      <c r="DC451" s="72"/>
      <c r="DD451" s="72"/>
      <c r="DE451" s="72"/>
      <c r="DF451" s="72"/>
      <c r="DG451" s="72"/>
      <c r="DH451" s="72"/>
      <c r="DI451" s="72"/>
      <c r="DJ451" s="72"/>
      <c r="DK451" s="72"/>
      <c r="DL451" s="72"/>
      <c r="DM451" s="72"/>
      <c r="DN451" s="72"/>
      <c r="DO451" s="72"/>
      <c r="DP451" s="72"/>
      <c r="DQ451" s="72"/>
      <c r="DR451" s="72"/>
      <c r="DS451" s="72"/>
      <c r="DT451" s="72"/>
      <c r="DU451" s="72"/>
      <c r="DV451" s="72"/>
      <c r="DW451" s="72"/>
      <c r="DX451" s="72"/>
      <c r="DY451" s="72"/>
      <c r="DZ451" s="72"/>
      <c r="EA451" s="72"/>
      <c r="EB451" s="72"/>
      <c r="EC451" s="72"/>
      <c r="ED451" s="72"/>
      <c r="EE451" s="72"/>
      <c r="EF451" s="72"/>
      <c r="EG451" s="72"/>
      <c r="EH451" s="72"/>
      <c r="EI451" s="129"/>
      <c r="EJ451" s="129"/>
      <c r="EK451" s="129"/>
      <c r="EL451" s="129"/>
      <c r="EM451" s="72"/>
      <c r="EN451" s="72"/>
      <c r="EO451" s="72"/>
      <c r="EP451" s="72"/>
      <c r="EQ451" s="72"/>
      <c r="ER451" s="72"/>
      <c r="ES451" s="72"/>
      <c r="ET451" s="72"/>
    </row>
    <row r="452">
      <c r="CD452" s="72"/>
      <c r="CE452" s="72"/>
      <c r="CF452" s="72"/>
      <c r="CG452" s="72"/>
      <c r="CH452" s="72"/>
      <c r="CI452" s="72"/>
      <c r="CJ452" s="72"/>
      <c r="CK452" s="72"/>
      <c r="CL452" s="72"/>
      <c r="CM452" s="72"/>
      <c r="CN452" s="72"/>
      <c r="CO452" s="72"/>
      <c r="CP452" s="72"/>
      <c r="CQ452" s="72"/>
      <c r="CR452" s="72"/>
      <c r="CS452" s="72"/>
      <c r="CT452" s="72"/>
      <c r="CU452" s="72"/>
      <c r="CV452" s="72"/>
      <c r="CW452" s="72"/>
      <c r="CX452" s="72"/>
      <c r="CY452" s="72"/>
      <c r="CZ452" s="72"/>
      <c r="DA452" s="72"/>
      <c r="DB452" s="72"/>
      <c r="DC452" s="72"/>
      <c r="DD452" s="72"/>
      <c r="DE452" s="72"/>
      <c r="DF452" s="72"/>
      <c r="DG452" s="72"/>
      <c r="DH452" s="72"/>
      <c r="DI452" s="72"/>
      <c r="DJ452" s="72"/>
      <c r="DK452" s="72"/>
      <c r="DL452" s="72"/>
      <c r="DM452" s="72"/>
      <c r="DN452" s="72"/>
      <c r="DO452" s="72"/>
      <c r="DP452" s="72"/>
      <c r="DQ452" s="72"/>
      <c r="DR452" s="72"/>
      <c r="DS452" s="72"/>
      <c r="DT452" s="72"/>
      <c r="DU452" s="72"/>
      <c r="DV452" s="72"/>
      <c r="DW452" s="72"/>
      <c r="DX452" s="72"/>
      <c r="DY452" s="72"/>
      <c r="DZ452" s="72"/>
      <c r="EA452" s="72"/>
      <c r="EB452" s="72"/>
      <c r="EC452" s="72"/>
      <c r="ED452" s="72"/>
      <c r="EE452" s="72"/>
      <c r="EF452" s="72"/>
      <c r="EG452" s="72"/>
      <c r="EH452" s="72"/>
      <c r="EI452" s="129"/>
      <c r="EJ452" s="129"/>
      <c r="EK452" s="129"/>
      <c r="EL452" s="129"/>
      <c r="EM452" s="72"/>
      <c r="EN452" s="72"/>
      <c r="EO452" s="72"/>
      <c r="EP452" s="72"/>
      <c r="EQ452" s="72"/>
      <c r="ER452" s="72"/>
      <c r="ES452" s="72"/>
      <c r="ET452" s="72"/>
    </row>
    <row r="453"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  <c r="CV453" s="72"/>
      <c r="CW453" s="72"/>
      <c r="CX453" s="72"/>
      <c r="CY453" s="72"/>
      <c r="CZ453" s="72"/>
      <c r="DA453" s="72"/>
      <c r="DB453" s="72"/>
      <c r="DC453" s="72"/>
      <c r="DD453" s="72"/>
      <c r="DE453" s="72"/>
      <c r="DF453" s="72"/>
      <c r="DG453" s="72"/>
      <c r="DH453" s="72"/>
      <c r="DI453" s="72"/>
      <c r="DJ453" s="72"/>
      <c r="DK453" s="72"/>
      <c r="DL453" s="72"/>
      <c r="DM453" s="72"/>
      <c r="DN453" s="72"/>
      <c r="DO453" s="72"/>
      <c r="DP453" s="72"/>
      <c r="DQ453" s="72"/>
      <c r="DR453" s="72"/>
      <c r="DS453" s="72"/>
      <c r="DT453" s="72"/>
      <c r="DU453" s="72"/>
      <c r="DV453" s="72"/>
      <c r="DW453" s="72"/>
      <c r="DX453" s="72"/>
      <c r="DY453" s="72"/>
      <c r="DZ453" s="72"/>
      <c r="EA453" s="72"/>
      <c r="EB453" s="72"/>
      <c r="EC453" s="72"/>
      <c r="ED453" s="72"/>
      <c r="EE453" s="72"/>
      <c r="EF453" s="72"/>
      <c r="EG453" s="72"/>
      <c r="EH453" s="72"/>
      <c r="EI453" s="129"/>
      <c r="EJ453" s="129"/>
      <c r="EK453" s="129"/>
      <c r="EL453" s="129"/>
      <c r="EM453" s="72"/>
      <c r="EN453" s="72"/>
      <c r="EO453" s="72"/>
      <c r="EP453" s="72"/>
      <c r="EQ453" s="72"/>
      <c r="ER453" s="72"/>
      <c r="ES453" s="72"/>
      <c r="ET453" s="72"/>
    </row>
    <row r="454">
      <c r="CD454" s="72"/>
      <c r="CE454" s="72"/>
      <c r="CF454" s="72"/>
      <c r="CG454" s="72"/>
      <c r="CH454" s="72"/>
      <c r="CI454" s="72"/>
      <c r="CJ454" s="72"/>
      <c r="CK454" s="72"/>
      <c r="CL454" s="72"/>
      <c r="CM454" s="72"/>
      <c r="CN454" s="72"/>
      <c r="CO454" s="72"/>
      <c r="CP454" s="72"/>
      <c r="CQ454" s="72"/>
      <c r="CR454" s="72"/>
      <c r="CS454" s="72"/>
      <c r="CT454" s="72"/>
      <c r="CU454" s="72"/>
      <c r="CV454" s="72"/>
      <c r="CW454" s="72"/>
      <c r="CX454" s="72"/>
      <c r="CY454" s="72"/>
      <c r="CZ454" s="72"/>
      <c r="DA454" s="72"/>
      <c r="DB454" s="72"/>
      <c r="DC454" s="72"/>
      <c r="DD454" s="72"/>
      <c r="DE454" s="72"/>
      <c r="DF454" s="72"/>
      <c r="DG454" s="72"/>
      <c r="DH454" s="72"/>
      <c r="DI454" s="72"/>
      <c r="DJ454" s="72"/>
      <c r="DK454" s="72"/>
      <c r="DL454" s="72"/>
      <c r="DM454" s="72"/>
      <c r="DN454" s="72"/>
      <c r="DO454" s="72"/>
      <c r="DP454" s="72"/>
      <c r="DQ454" s="72"/>
      <c r="DR454" s="72"/>
      <c r="DS454" s="72"/>
      <c r="DT454" s="72"/>
      <c r="DU454" s="72"/>
      <c r="DV454" s="72"/>
      <c r="DW454" s="72"/>
      <c r="DX454" s="72"/>
      <c r="DY454" s="72"/>
      <c r="DZ454" s="72"/>
      <c r="EA454" s="72"/>
      <c r="EB454" s="72"/>
      <c r="EC454" s="72"/>
      <c r="ED454" s="72"/>
      <c r="EE454" s="72"/>
      <c r="EF454" s="72"/>
      <c r="EG454" s="72"/>
      <c r="EH454" s="72"/>
      <c r="EI454" s="129"/>
      <c r="EJ454" s="129"/>
      <c r="EK454" s="129"/>
      <c r="EL454" s="129"/>
      <c r="EM454" s="72"/>
      <c r="EN454" s="72"/>
      <c r="EO454" s="72"/>
      <c r="EP454" s="72"/>
      <c r="EQ454" s="72"/>
      <c r="ER454" s="72"/>
      <c r="ES454" s="72"/>
      <c r="ET454" s="72"/>
    </row>
    <row r="455"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  <c r="CV455" s="72"/>
      <c r="CW455" s="72"/>
      <c r="CX455" s="72"/>
      <c r="CY455" s="72"/>
      <c r="CZ455" s="72"/>
      <c r="DA455" s="72"/>
      <c r="DB455" s="72"/>
      <c r="DC455" s="72"/>
      <c r="DD455" s="72"/>
      <c r="DE455" s="72"/>
      <c r="DF455" s="72"/>
      <c r="DG455" s="72"/>
      <c r="DH455" s="72"/>
      <c r="DI455" s="72"/>
      <c r="DJ455" s="72"/>
      <c r="DK455" s="72"/>
      <c r="DL455" s="72"/>
      <c r="DM455" s="72"/>
      <c r="DN455" s="72"/>
      <c r="DO455" s="72"/>
      <c r="DP455" s="72"/>
      <c r="DQ455" s="72"/>
      <c r="DR455" s="72"/>
      <c r="DS455" s="72"/>
      <c r="DT455" s="72"/>
      <c r="DU455" s="72"/>
      <c r="DV455" s="72"/>
      <c r="DW455" s="72"/>
      <c r="DX455" s="72"/>
      <c r="DY455" s="72"/>
      <c r="DZ455" s="72"/>
      <c r="EA455" s="72"/>
      <c r="EB455" s="72"/>
      <c r="EC455" s="72"/>
      <c r="ED455" s="72"/>
      <c r="EE455" s="72"/>
      <c r="EF455" s="72"/>
      <c r="EG455" s="72"/>
      <c r="EH455" s="72"/>
      <c r="EI455" s="129"/>
      <c r="EJ455" s="129"/>
      <c r="EK455" s="129"/>
      <c r="EL455" s="129"/>
      <c r="EM455" s="72"/>
      <c r="EN455" s="72"/>
      <c r="EO455" s="72"/>
      <c r="EP455" s="72"/>
      <c r="EQ455" s="72"/>
      <c r="ER455" s="72"/>
      <c r="ES455" s="72"/>
      <c r="ET455" s="72"/>
    </row>
    <row r="456">
      <c r="CD456" s="72"/>
      <c r="CE456" s="72"/>
      <c r="CF456" s="72"/>
      <c r="CG456" s="72"/>
      <c r="CH456" s="72"/>
      <c r="CI456" s="72"/>
      <c r="CJ456" s="72"/>
      <c r="CK456" s="72"/>
      <c r="CL456" s="72"/>
      <c r="CM456" s="72"/>
      <c r="CN456" s="72"/>
      <c r="CO456" s="72"/>
      <c r="CP456" s="72"/>
      <c r="CQ456" s="72"/>
      <c r="CR456" s="72"/>
      <c r="CS456" s="72"/>
      <c r="CT456" s="72"/>
      <c r="CU456" s="72"/>
      <c r="CV456" s="72"/>
      <c r="CW456" s="72"/>
      <c r="CX456" s="72"/>
      <c r="CY456" s="72"/>
      <c r="CZ456" s="72"/>
      <c r="DA456" s="72"/>
      <c r="DB456" s="72"/>
      <c r="DC456" s="72"/>
      <c r="DD456" s="72"/>
      <c r="DE456" s="72"/>
      <c r="DF456" s="72"/>
      <c r="DG456" s="72"/>
      <c r="DH456" s="72"/>
      <c r="DI456" s="72"/>
      <c r="DJ456" s="72"/>
      <c r="DK456" s="72"/>
      <c r="DL456" s="72"/>
      <c r="DM456" s="72"/>
      <c r="DN456" s="72"/>
      <c r="DO456" s="72"/>
      <c r="DP456" s="72"/>
      <c r="DQ456" s="72"/>
      <c r="DR456" s="72"/>
      <c r="DS456" s="72"/>
      <c r="DT456" s="72"/>
      <c r="DU456" s="72"/>
      <c r="DV456" s="72"/>
      <c r="DW456" s="72"/>
      <c r="DX456" s="72"/>
      <c r="DY456" s="72"/>
      <c r="DZ456" s="72"/>
      <c r="EA456" s="72"/>
      <c r="EB456" s="72"/>
      <c r="EC456" s="72"/>
      <c r="ED456" s="72"/>
      <c r="EE456" s="72"/>
      <c r="EF456" s="72"/>
      <c r="EG456" s="72"/>
      <c r="EH456" s="72"/>
      <c r="EI456" s="129"/>
      <c r="EJ456" s="129"/>
      <c r="EK456" s="129"/>
      <c r="EL456" s="129"/>
      <c r="EM456" s="72"/>
      <c r="EN456" s="72"/>
      <c r="EO456" s="72"/>
      <c r="EP456" s="72"/>
      <c r="EQ456" s="72"/>
      <c r="ER456" s="72"/>
      <c r="ES456" s="72"/>
      <c r="ET456" s="72"/>
    </row>
    <row r="457"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  <c r="CV457" s="72"/>
      <c r="CW457" s="72"/>
      <c r="CX457" s="72"/>
      <c r="CY457" s="72"/>
      <c r="CZ457" s="72"/>
      <c r="DA457" s="72"/>
      <c r="DB457" s="72"/>
      <c r="DC457" s="72"/>
      <c r="DD457" s="72"/>
      <c r="DE457" s="72"/>
      <c r="DF457" s="72"/>
      <c r="DG457" s="72"/>
      <c r="DH457" s="72"/>
      <c r="DI457" s="72"/>
      <c r="DJ457" s="72"/>
      <c r="DK457" s="72"/>
      <c r="DL457" s="72"/>
      <c r="DM457" s="72"/>
      <c r="DN457" s="72"/>
      <c r="DO457" s="72"/>
      <c r="DP457" s="72"/>
      <c r="DQ457" s="72"/>
      <c r="DR457" s="72"/>
      <c r="DS457" s="72"/>
      <c r="DT457" s="72"/>
      <c r="DU457" s="72"/>
      <c r="DV457" s="72"/>
      <c r="DW457" s="72"/>
      <c r="DX457" s="72"/>
      <c r="DY457" s="72"/>
      <c r="DZ457" s="72"/>
      <c r="EA457" s="72"/>
      <c r="EB457" s="72"/>
      <c r="EC457" s="72"/>
      <c r="ED457" s="72"/>
      <c r="EE457" s="72"/>
      <c r="EF457" s="72"/>
      <c r="EG457" s="72"/>
      <c r="EH457" s="72"/>
      <c r="EI457" s="129"/>
      <c r="EJ457" s="129"/>
      <c r="EK457" s="129"/>
      <c r="EL457" s="129"/>
      <c r="EM457" s="72"/>
      <c r="EN457" s="72"/>
      <c r="EO457" s="72"/>
      <c r="EP457" s="72"/>
      <c r="EQ457" s="72"/>
      <c r="ER457" s="72"/>
      <c r="ES457" s="72"/>
      <c r="ET457" s="72"/>
    </row>
    <row r="458">
      <c r="CD458" s="72"/>
      <c r="CE458" s="72"/>
      <c r="CF458" s="72"/>
      <c r="CG458" s="72"/>
      <c r="CH458" s="72"/>
      <c r="CI458" s="72"/>
      <c r="CJ458" s="72"/>
      <c r="CK458" s="72"/>
      <c r="CL458" s="72"/>
      <c r="CM458" s="72"/>
      <c r="CN458" s="72"/>
      <c r="CO458" s="72"/>
      <c r="CP458" s="72"/>
      <c r="CQ458" s="72"/>
      <c r="CR458" s="72"/>
      <c r="CS458" s="72"/>
      <c r="CT458" s="72"/>
      <c r="CU458" s="72"/>
      <c r="CV458" s="72"/>
      <c r="CW458" s="72"/>
      <c r="CX458" s="72"/>
      <c r="CY458" s="72"/>
      <c r="CZ458" s="72"/>
      <c r="DA458" s="72"/>
      <c r="DB458" s="72"/>
      <c r="DC458" s="72"/>
      <c r="DD458" s="72"/>
      <c r="DE458" s="72"/>
      <c r="DF458" s="72"/>
      <c r="DG458" s="72"/>
      <c r="DH458" s="72"/>
      <c r="DI458" s="72"/>
      <c r="DJ458" s="72"/>
      <c r="DK458" s="72"/>
      <c r="DL458" s="72"/>
      <c r="DM458" s="72"/>
      <c r="DN458" s="72"/>
      <c r="DO458" s="72"/>
      <c r="DP458" s="72"/>
      <c r="DQ458" s="72"/>
      <c r="DR458" s="72"/>
      <c r="DS458" s="72"/>
      <c r="DT458" s="72"/>
      <c r="DU458" s="72"/>
      <c r="DV458" s="72"/>
      <c r="DW458" s="72"/>
      <c r="DX458" s="72"/>
      <c r="DY458" s="72"/>
      <c r="DZ458" s="72"/>
      <c r="EA458" s="72"/>
      <c r="EB458" s="72"/>
      <c r="EC458" s="72"/>
      <c r="ED458" s="72"/>
      <c r="EE458" s="72"/>
      <c r="EF458" s="72"/>
      <c r="EG458" s="72"/>
      <c r="EH458" s="72"/>
      <c r="EI458" s="129"/>
      <c r="EJ458" s="129"/>
      <c r="EK458" s="129"/>
      <c r="EL458" s="129"/>
      <c r="EM458" s="72"/>
      <c r="EN458" s="72"/>
      <c r="EO458" s="72"/>
      <c r="EP458" s="72"/>
      <c r="EQ458" s="72"/>
      <c r="ER458" s="72"/>
      <c r="ES458" s="72"/>
      <c r="ET458" s="72"/>
    </row>
    <row r="459"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  <c r="CV459" s="72"/>
      <c r="CW459" s="72"/>
      <c r="CX459" s="72"/>
      <c r="CY459" s="72"/>
      <c r="CZ459" s="72"/>
      <c r="DA459" s="72"/>
      <c r="DB459" s="72"/>
      <c r="DC459" s="72"/>
      <c r="DD459" s="72"/>
      <c r="DE459" s="72"/>
      <c r="DF459" s="72"/>
      <c r="DG459" s="72"/>
      <c r="DH459" s="72"/>
      <c r="DI459" s="72"/>
      <c r="DJ459" s="72"/>
      <c r="DK459" s="72"/>
      <c r="DL459" s="72"/>
      <c r="DM459" s="72"/>
      <c r="DN459" s="72"/>
      <c r="DO459" s="72"/>
      <c r="DP459" s="72"/>
      <c r="DQ459" s="72"/>
      <c r="DR459" s="72"/>
      <c r="DS459" s="72"/>
      <c r="DT459" s="72"/>
      <c r="DU459" s="72"/>
      <c r="DV459" s="72"/>
      <c r="DW459" s="72"/>
      <c r="DX459" s="72"/>
      <c r="DY459" s="72"/>
      <c r="DZ459" s="72"/>
      <c r="EA459" s="72"/>
      <c r="EB459" s="72"/>
      <c r="EC459" s="72"/>
      <c r="ED459" s="72"/>
      <c r="EE459" s="72"/>
      <c r="EF459" s="72"/>
      <c r="EG459" s="72"/>
      <c r="EH459" s="72"/>
      <c r="EI459" s="129"/>
      <c r="EJ459" s="129"/>
      <c r="EK459" s="129"/>
      <c r="EL459" s="129"/>
      <c r="EM459" s="72"/>
      <c r="EN459" s="72"/>
      <c r="EO459" s="72"/>
      <c r="EP459" s="72"/>
      <c r="EQ459" s="72"/>
      <c r="ER459" s="72"/>
      <c r="ES459" s="72"/>
      <c r="ET459" s="72"/>
    </row>
    <row r="460">
      <c r="CD460" s="72"/>
      <c r="CE460" s="72"/>
      <c r="CF460" s="72"/>
      <c r="CG460" s="72"/>
      <c r="CH460" s="72"/>
      <c r="CI460" s="72"/>
      <c r="CJ460" s="72"/>
      <c r="CK460" s="72"/>
      <c r="CL460" s="72"/>
      <c r="CM460" s="72"/>
      <c r="CN460" s="72"/>
      <c r="CO460" s="72"/>
      <c r="CP460" s="72"/>
      <c r="CQ460" s="72"/>
      <c r="CR460" s="72"/>
      <c r="CS460" s="72"/>
      <c r="CT460" s="72"/>
      <c r="CU460" s="72"/>
      <c r="CV460" s="72"/>
      <c r="CW460" s="72"/>
      <c r="CX460" s="72"/>
      <c r="CY460" s="72"/>
      <c r="CZ460" s="72"/>
      <c r="DA460" s="72"/>
      <c r="DB460" s="72"/>
      <c r="DC460" s="72"/>
      <c r="DD460" s="72"/>
      <c r="DE460" s="72"/>
      <c r="DF460" s="72"/>
      <c r="DG460" s="72"/>
      <c r="DH460" s="72"/>
      <c r="DI460" s="72"/>
      <c r="DJ460" s="72"/>
      <c r="DK460" s="72"/>
      <c r="DL460" s="72"/>
      <c r="DM460" s="72"/>
      <c r="DN460" s="72"/>
      <c r="DO460" s="72"/>
      <c r="DP460" s="72"/>
      <c r="DQ460" s="72"/>
      <c r="DR460" s="72"/>
      <c r="DS460" s="72"/>
      <c r="DT460" s="72"/>
      <c r="DU460" s="72"/>
      <c r="DV460" s="72"/>
      <c r="DW460" s="72"/>
      <c r="DX460" s="72"/>
      <c r="DY460" s="72"/>
      <c r="DZ460" s="72"/>
      <c r="EA460" s="72"/>
      <c r="EB460" s="72"/>
      <c r="EC460" s="72"/>
      <c r="ED460" s="72"/>
      <c r="EE460" s="72"/>
      <c r="EF460" s="72"/>
      <c r="EG460" s="72"/>
      <c r="EH460" s="72"/>
      <c r="EI460" s="129"/>
      <c r="EJ460" s="129"/>
      <c r="EK460" s="129"/>
      <c r="EL460" s="129"/>
      <c r="EM460" s="72"/>
      <c r="EN460" s="72"/>
      <c r="EO460" s="72"/>
      <c r="EP460" s="72"/>
      <c r="EQ460" s="72"/>
      <c r="ER460" s="72"/>
      <c r="ES460" s="72"/>
      <c r="ET460" s="72"/>
    </row>
    <row r="461"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  <c r="CV461" s="72"/>
      <c r="CW461" s="72"/>
      <c r="CX461" s="72"/>
      <c r="CY461" s="72"/>
      <c r="CZ461" s="72"/>
      <c r="DA461" s="72"/>
      <c r="DB461" s="72"/>
      <c r="DC461" s="72"/>
      <c r="DD461" s="72"/>
      <c r="DE461" s="72"/>
      <c r="DF461" s="72"/>
      <c r="DG461" s="72"/>
      <c r="DH461" s="72"/>
      <c r="DI461" s="72"/>
      <c r="DJ461" s="72"/>
      <c r="DK461" s="72"/>
      <c r="DL461" s="72"/>
      <c r="DM461" s="72"/>
      <c r="DN461" s="72"/>
      <c r="DO461" s="72"/>
      <c r="DP461" s="72"/>
      <c r="DQ461" s="72"/>
      <c r="DR461" s="72"/>
      <c r="DS461" s="72"/>
      <c r="DT461" s="72"/>
      <c r="DU461" s="72"/>
      <c r="DV461" s="72"/>
      <c r="DW461" s="72"/>
      <c r="DX461" s="72"/>
      <c r="DY461" s="72"/>
      <c r="DZ461" s="72"/>
      <c r="EA461" s="72"/>
      <c r="EB461" s="72"/>
      <c r="EC461" s="72"/>
      <c r="ED461" s="72"/>
      <c r="EE461" s="72"/>
      <c r="EF461" s="72"/>
      <c r="EG461" s="72"/>
      <c r="EH461" s="72"/>
      <c r="EI461" s="129"/>
      <c r="EJ461" s="129"/>
      <c r="EK461" s="129"/>
      <c r="EL461" s="129"/>
      <c r="EM461" s="72"/>
      <c r="EN461" s="72"/>
      <c r="EO461" s="72"/>
      <c r="EP461" s="72"/>
      <c r="EQ461" s="72"/>
      <c r="ER461" s="72"/>
      <c r="ES461" s="72"/>
      <c r="ET461" s="72"/>
    </row>
    <row r="462">
      <c r="CD462" s="72"/>
      <c r="CE462" s="72"/>
      <c r="CF462" s="72"/>
      <c r="CG462" s="72"/>
      <c r="CH462" s="72"/>
      <c r="CI462" s="72"/>
      <c r="CJ462" s="72"/>
      <c r="CK462" s="72"/>
      <c r="CL462" s="72"/>
      <c r="CM462" s="72"/>
      <c r="CN462" s="72"/>
      <c r="CO462" s="72"/>
      <c r="CP462" s="72"/>
      <c r="CQ462" s="72"/>
      <c r="CR462" s="72"/>
      <c r="CS462" s="72"/>
      <c r="CT462" s="72"/>
      <c r="CU462" s="72"/>
      <c r="CV462" s="72"/>
      <c r="CW462" s="72"/>
      <c r="CX462" s="72"/>
      <c r="CY462" s="72"/>
      <c r="CZ462" s="72"/>
      <c r="DA462" s="72"/>
      <c r="DB462" s="72"/>
      <c r="DC462" s="72"/>
      <c r="DD462" s="72"/>
      <c r="DE462" s="72"/>
      <c r="DF462" s="72"/>
      <c r="DG462" s="72"/>
      <c r="DH462" s="72"/>
      <c r="DI462" s="72"/>
      <c r="DJ462" s="72"/>
      <c r="DK462" s="72"/>
      <c r="DL462" s="72"/>
      <c r="DM462" s="72"/>
      <c r="DN462" s="72"/>
      <c r="DO462" s="72"/>
      <c r="DP462" s="72"/>
      <c r="DQ462" s="72"/>
      <c r="DR462" s="72"/>
      <c r="DS462" s="72"/>
      <c r="DT462" s="72"/>
      <c r="DU462" s="72"/>
      <c r="DV462" s="72"/>
      <c r="DW462" s="72"/>
      <c r="DX462" s="72"/>
      <c r="DY462" s="72"/>
      <c r="DZ462" s="72"/>
      <c r="EA462" s="72"/>
      <c r="EB462" s="72"/>
      <c r="EC462" s="72"/>
      <c r="ED462" s="72"/>
      <c r="EE462" s="72"/>
      <c r="EF462" s="72"/>
      <c r="EG462" s="72"/>
      <c r="EH462" s="72"/>
      <c r="EI462" s="129"/>
      <c r="EJ462" s="129"/>
      <c r="EK462" s="129"/>
      <c r="EL462" s="129"/>
      <c r="EM462" s="72"/>
      <c r="EN462" s="72"/>
      <c r="EO462" s="72"/>
      <c r="EP462" s="72"/>
      <c r="EQ462" s="72"/>
      <c r="ER462" s="72"/>
      <c r="ES462" s="72"/>
      <c r="ET462" s="72"/>
    </row>
    <row r="463"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  <c r="CV463" s="72"/>
      <c r="CW463" s="72"/>
      <c r="CX463" s="72"/>
      <c r="CY463" s="72"/>
      <c r="CZ463" s="72"/>
      <c r="DA463" s="72"/>
      <c r="DB463" s="72"/>
      <c r="DC463" s="72"/>
      <c r="DD463" s="72"/>
      <c r="DE463" s="72"/>
      <c r="DF463" s="72"/>
      <c r="DG463" s="72"/>
      <c r="DH463" s="72"/>
      <c r="DI463" s="72"/>
      <c r="DJ463" s="72"/>
      <c r="DK463" s="72"/>
      <c r="DL463" s="72"/>
      <c r="DM463" s="72"/>
      <c r="DN463" s="72"/>
      <c r="DO463" s="72"/>
      <c r="DP463" s="72"/>
      <c r="DQ463" s="72"/>
      <c r="DR463" s="72"/>
      <c r="DS463" s="72"/>
      <c r="DT463" s="72"/>
      <c r="DU463" s="72"/>
      <c r="DV463" s="72"/>
      <c r="DW463" s="72"/>
      <c r="DX463" s="72"/>
      <c r="DY463" s="72"/>
      <c r="DZ463" s="72"/>
      <c r="EA463" s="72"/>
      <c r="EB463" s="72"/>
      <c r="EC463" s="72"/>
      <c r="ED463" s="72"/>
      <c r="EE463" s="72"/>
      <c r="EF463" s="72"/>
      <c r="EG463" s="72"/>
      <c r="EH463" s="72"/>
      <c r="EI463" s="129"/>
      <c r="EJ463" s="129"/>
      <c r="EK463" s="129"/>
      <c r="EL463" s="129"/>
      <c r="EM463" s="72"/>
      <c r="EN463" s="72"/>
      <c r="EO463" s="72"/>
      <c r="EP463" s="72"/>
      <c r="EQ463" s="72"/>
      <c r="ER463" s="72"/>
      <c r="ES463" s="72"/>
      <c r="ET463" s="72"/>
    </row>
    <row r="464">
      <c r="CD464" s="72"/>
      <c r="CE464" s="72"/>
      <c r="CF464" s="72"/>
      <c r="CG464" s="72"/>
      <c r="CH464" s="72"/>
      <c r="CI464" s="72"/>
      <c r="CJ464" s="72"/>
      <c r="CK464" s="72"/>
      <c r="CL464" s="72"/>
      <c r="CM464" s="72"/>
      <c r="CN464" s="72"/>
      <c r="CO464" s="72"/>
      <c r="CP464" s="72"/>
      <c r="CQ464" s="72"/>
      <c r="CR464" s="72"/>
      <c r="CS464" s="72"/>
      <c r="CT464" s="72"/>
      <c r="CU464" s="72"/>
      <c r="CV464" s="72"/>
      <c r="CW464" s="72"/>
      <c r="CX464" s="72"/>
      <c r="CY464" s="72"/>
      <c r="CZ464" s="72"/>
      <c r="DA464" s="72"/>
      <c r="DB464" s="72"/>
      <c r="DC464" s="72"/>
      <c r="DD464" s="72"/>
      <c r="DE464" s="72"/>
      <c r="DF464" s="72"/>
      <c r="DG464" s="72"/>
      <c r="DH464" s="72"/>
      <c r="DI464" s="72"/>
      <c r="DJ464" s="72"/>
      <c r="DK464" s="72"/>
      <c r="DL464" s="72"/>
      <c r="DM464" s="72"/>
      <c r="DN464" s="72"/>
      <c r="DO464" s="72"/>
      <c r="DP464" s="72"/>
      <c r="DQ464" s="72"/>
      <c r="DR464" s="72"/>
      <c r="DS464" s="72"/>
      <c r="DT464" s="72"/>
      <c r="DU464" s="72"/>
      <c r="DV464" s="72"/>
      <c r="DW464" s="72"/>
      <c r="DX464" s="72"/>
      <c r="DY464" s="72"/>
      <c r="DZ464" s="72"/>
      <c r="EA464" s="72"/>
      <c r="EB464" s="72"/>
      <c r="EC464" s="72"/>
      <c r="ED464" s="72"/>
      <c r="EE464" s="72"/>
      <c r="EF464" s="72"/>
      <c r="EG464" s="72"/>
      <c r="EH464" s="72"/>
      <c r="EI464" s="129"/>
      <c r="EJ464" s="129"/>
      <c r="EK464" s="129"/>
      <c r="EL464" s="129"/>
      <c r="EM464" s="72"/>
      <c r="EN464" s="72"/>
      <c r="EO464" s="72"/>
      <c r="EP464" s="72"/>
      <c r="EQ464" s="72"/>
      <c r="ER464" s="72"/>
      <c r="ES464" s="72"/>
      <c r="ET464" s="72"/>
    </row>
    <row r="465"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  <c r="CV465" s="72"/>
      <c r="CW465" s="72"/>
      <c r="CX465" s="72"/>
      <c r="CY465" s="72"/>
      <c r="CZ465" s="72"/>
      <c r="DA465" s="72"/>
      <c r="DB465" s="72"/>
      <c r="DC465" s="72"/>
      <c r="DD465" s="72"/>
      <c r="DE465" s="72"/>
      <c r="DF465" s="72"/>
      <c r="DG465" s="72"/>
      <c r="DH465" s="72"/>
      <c r="DI465" s="72"/>
      <c r="DJ465" s="72"/>
      <c r="DK465" s="72"/>
      <c r="DL465" s="72"/>
      <c r="DM465" s="72"/>
      <c r="DN465" s="72"/>
      <c r="DO465" s="72"/>
      <c r="DP465" s="72"/>
      <c r="DQ465" s="72"/>
      <c r="DR465" s="72"/>
      <c r="DS465" s="72"/>
      <c r="DT465" s="72"/>
      <c r="DU465" s="72"/>
      <c r="DV465" s="72"/>
      <c r="DW465" s="72"/>
      <c r="DX465" s="72"/>
      <c r="DY465" s="72"/>
      <c r="DZ465" s="72"/>
      <c r="EA465" s="72"/>
      <c r="EB465" s="72"/>
      <c r="EC465" s="72"/>
      <c r="ED465" s="72"/>
      <c r="EE465" s="72"/>
      <c r="EF465" s="72"/>
      <c r="EG465" s="72"/>
      <c r="EH465" s="72"/>
      <c r="EI465" s="129"/>
      <c r="EJ465" s="129"/>
      <c r="EK465" s="129"/>
      <c r="EL465" s="129"/>
      <c r="EM465" s="72"/>
      <c r="EN465" s="72"/>
      <c r="EO465" s="72"/>
      <c r="EP465" s="72"/>
      <c r="EQ465" s="72"/>
      <c r="ER465" s="72"/>
      <c r="ES465" s="72"/>
      <c r="ET465" s="72"/>
    </row>
    <row r="466">
      <c r="CD466" s="72"/>
      <c r="CE466" s="72"/>
      <c r="CF466" s="72"/>
      <c r="CG466" s="72"/>
      <c r="CH466" s="72"/>
      <c r="CI466" s="72"/>
      <c r="CJ466" s="72"/>
      <c r="CK466" s="72"/>
      <c r="CL466" s="72"/>
      <c r="CM466" s="72"/>
      <c r="CN466" s="72"/>
      <c r="CO466" s="72"/>
      <c r="CP466" s="72"/>
      <c r="CQ466" s="72"/>
      <c r="CR466" s="72"/>
      <c r="CS466" s="72"/>
      <c r="CT466" s="72"/>
      <c r="CU466" s="72"/>
      <c r="CV466" s="72"/>
      <c r="CW466" s="72"/>
      <c r="CX466" s="72"/>
      <c r="CY466" s="72"/>
      <c r="CZ466" s="72"/>
      <c r="DA466" s="72"/>
      <c r="DB466" s="72"/>
      <c r="DC466" s="72"/>
      <c r="DD466" s="72"/>
      <c r="DE466" s="72"/>
      <c r="DF466" s="72"/>
      <c r="DG466" s="72"/>
      <c r="DH466" s="72"/>
      <c r="DI466" s="72"/>
      <c r="DJ466" s="72"/>
      <c r="DK466" s="72"/>
      <c r="DL466" s="72"/>
      <c r="DM466" s="72"/>
      <c r="DN466" s="72"/>
      <c r="DO466" s="72"/>
      <c r="DP466" s="72"/>
      <c r="DQ466" s="72"/>
      <c r="DR466" s="72"/>
      <c r="DS466" s="72"/>
      <c r="DT466" s="72"/>
      <c r="DU466" s="72"/>
      <c r="DV466" s="72"/>
      <c r="DW466" s="72"/>
      <c r="DX466" s="72"/>
      <c r="DY466" s="72"/>
      <c r="DZ466" s="72"/>
      <c r="EA466" s="72"/>
      <c r="EB466" s="72"/>
      <c r="EC466" s="72"/>
      <c r="ED466" s="72"/>
      <c r="EE466" s="72"/>
      <c r="EF466" s="72"/>
      <c r="EG466" s="72"/>
      <c r="EH466" s="72"/>
      <c r="EI466" s="129"/>
      <c r="EJ466" s="129"/>
      <c r="EK466" s="129"/>
      <c r="EL466" s="129"/>
      <c r="EM466" s="72"/>
      <c r="EN466" s="72"/>
      <c r="EO466" s="72"/>
      <c r="EP466" s="72"/>
      <c r="EQ466" s="72"/>
      <c r="ER466" s="72"/>
      <c r="ES466" s="72"/>
      <c r="ET466" s="72"/>
    </row>
    <row r="467"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  <c r="CV467" s="72"/>
      <c r="CW467" s="72"/>
      <c r="CX467" s="72"/>
      <c r="CY467" s="72"/>
      <c r="CZ467" s="72"/>
      <c r="DA467" s="72"/>
      <c r="DB467" s="72"/>
      <c r="DC467" s="72"/>
      <c r="DD467" s="72"/>
      <c r="DE467" s="72"/>
      <c r="DF467" s="72"/>
      <c r="DG467" s="72"/>
      <c r="DH467" s="72"/>
      <c r="DI467" s="72"/>
      <c r="DJ467" s="72"/>
      <c r="DK467" s="72"/>
      <c r="DL467" s="72"/>
      <c r="DM467" s="72"/>
      <c r="DN467" s="72"/>
      <c r="DO467" s="72"/>
      <c r="DP467" s="72"/>
      <c r="DQ467" s="72"/>
      <c r="DR467" s="72"/>
      <c r="DS467" s="72"/>
      <c r="DT467" s="72"/>
      <c r="DU467" s="72"/>
      <c r="DV467" s="72"/>
      <c r="DW467" s="72"/>
      <c r="DX467" s="72"/>
      <c r="DY467" s="72"/>
      <c r="DZ467" s="72"/>
      <c r="EA467" s="72"/>
      <c r="EB467" s="72"/>
      <c r="EC467" s="72"/>
      <c r="ED467" s="72"/>
      <c r="EE467" s="72"/>
      <c r="EF467" s="72"/>
      <c r="EG467" s="72"/>
      <c r="EH467" s="72"/>
      <c r="EI467" s="129"/>
      <c r="EJ467" s="129"/>
      <c r="EK467" s="129"/>
      <c r="EL467" s="129"/>
      <c r="EM467" s="72"/>
      <c r="EN467" s="72"/>
      <c r="EO467" s="72"/>
      <c r="EP467" s="72"/>
      <c r="EQ467" s="72"/>
      <c r="ER467" s="72"/>
      <c r="ES467" s="72"/>
      <c r="ET467" s="72"/>
    </row>
    <row r="468">
      <c r="CD468" s="72"/>
      <c r="CE468" s="72"/>
      <c r="CF468" s="72"/>
      <c r="CG468" s="72"/>
      <c r="CH468" s="72"/>
      <c r="CI468" s="72"/>
      <c r="CJ468" s="72"/>
      <c r="CK468" s="72"/>
      <c r="CL468" s="72"/>
      <c r="CM468" s="72"/>
      <c r="CN468" s="72"/>
      <c r="CO468" s="72"/>
      <c r="CP468" s="72"/>
      <c r="CQ468" s="72"/>
      <c r="CR468" s="72"/>
      <c r="CS468" s="72"/>
      <c r="CT468" s="72"/>
      <c r="CU468" s="72"/>
      <c r="CV468" s="72"/>
      <c r="CW468" s="72"/>
      <c r="CX468" s="72"/>
      <c r="CY468" s="72"/>
      <c r="CZ468" s="72"/>
      <c r="DA468" s="72"/>
      <c r="DB468" s="72"/>
      <c r="DC468" s="72"/>
      <c r="DD468" s="72"/>
      <c r="DE468" s="72"/>
      <c r="DF468" s="72"/>
      <c r="DG468" s="72"/>
      <c r="DH468" s="72"/>
      <c r="DI468" s="72"/>
      <c r="DJ468" s="72"/>
      <c r="DK468" s="72"/>
      <c r="DL468" s="72"/>
      <c r="DM468" s="72"/>
      <c r="DN468" s="72"/>
      <c r="DO468" s="72"/>
      <c r="DP468" s="72"/>
      <c r="DQ468" s="72"/>
      <c r="DR468" s="72"/>
      <c r="DS468" s="72"/>
      <c r="DT468" s="72"/>
      <c r="DU468" s="72"/>
      <c r="DV468" s="72"/>
      <c r="DW468" s="72"/>
      <c r="DX468" s="72"/>
      <c r="DY468" s="72"/>
      <c r="DZ468" s="72"/>
      <c r="EA468" s="72"/>
      <c r="EB468" s="72"/>
      <c r="EC468" s="72"/>
      <c r="ED468" s="72"/>
      <c r="EE468" s="72"/>
      <c r="EF468" s="72"/>
      <c r="EG468" s="72"/>
      <c r="EH468" s="72"/>
      <c r="EI468" s="129"/>
      <c r="EJ468" s="129"/>
      <c r="EK468" s="129"/>
      <c r="EL468" s="129"/>
      <c r="EM468" s="72"/>
      <c r="EN468" s="72"/>
      <c r="EO468" s="72"/>
      <c r="EP468" s="72"/>
      <c r="EQ468" s="72"/>
      <c r="ER468" s="72"/>
      <c r="ES468" s="72"/>
      <c r="ET468" s="72"/>
    </row>
    <row r="469"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  <c r="CV469" s="72"/>
      <c r="CW469" s="72"/>
      <c r="CX469" s="72"/>
      <c r="CY469" s="72"/>
      <c r="CZ469" s="72"/>
      <c r="DA469" s="72"/>
      <c r="DB469" s="72"/>
      <c r="DC469" s="72"/>
      <c r="DD469" s="72"/>
      <c r="DE469" s="72"/>
      <c r="DF469" s="72"/>
      <c r="DG469" s="72"/>
      <c r="DH469" s="72"/>
      <c r="DI469" s="72"/>
      <c r="DJ469" s="72"/>
      <c r="DK469" s="72"/>
      <c r="DL469" s="72"/>
      <c r="DM469" s="72"/>
      <c r="DN469" s="72"/>
      <c r="DO469" s="72"/>
      <c r="DP469" s="72"/>
      <c r="DQ469" s="72"/>
      <c r="DR469" s="72"/>
      <c r="DS469" s="72"/>
      <c r="DT469" s="72"/>
      <c r="DU469" s="72"/>
      <c r="DV469" s="72"/>
      <c r="DW469" s="72"/>
      <c r="DX469" s="72"/>
      <c r="DY469" s="72"/>
      <c r="DZ469" s="72"/>
      <c r="EA469" s="72"/>
      <c r="EB469" s="72"/>
      <c r="EC469" s="72"/>
      <c r="ED469" s="72"/>
      <c r="EE469" s="72"/>
      <c r="EF469" s="72"/>
      <c r="EG469" s="72"/>
      <c r="EH469" s="72"/>
      <c r="EI469" s="129"/>
      <c r="EJ469" s="129"/>
      <c r="EK469" s="129"/>
      <c r="EL469" s="129"/>
      <c r="EM469" s="72"/>
      <c r="EN469" s="72"/>
      <c r="EO469" s="72"/>
      <c r="EP469" s="72"/>
      <c r="EQ469" s="72"/>
      <c r="ER469" s="72"/>
      <c r="ES469" s="72"/>
      <c r="ET469" s="72"/>
    </row>
    <row r="470">
      <c r="CD470" s="72"/>
      <c r="CE470" s="72"/>
      <c r="CF470" s="72"/>
      <c r="CG470" s="72"/>
      <c r="CH470" s="72"/>
      <c r="CI470" s="72"/>
      <c r="CJ470" s="72"/>
      <c r="CK470" s="72"/>
      <c r="CL470" s="72"/>
      <c r="CM470" s="72"/>
      <c r="CN470" s="72"/>
      <c r="CO470" s="72"/>
      <c r="CP470" s="72"/>
      <c r="CQ470" s="72"/>
      <c r="CR470" s="72"/>
      <c r="CS470" s="72"/>
      <c r="CT470" s="72"/>
      <c r="CU470" s="72"/>
      <c r="CV470" s="72"/>
      <c r="CW470" s="72"/>
      <c r="CX470" s="72"/>
      <c r="CY470" s="72"/>
      <c r="CZ470" s="72"/>
      <c r="DA470" s="72"/>
      <c r="DB470" s="72"/>
      <c r="DC470" s="72"/>
      <c r="DD470" s="72"/>
      <c r="DE470" s="72"/>
      <c r="DF470" s="72"/>
      <c r="DG470" s="72"/>
      <c r="DH470" s="72"/>
      <c r="DI470" s="72"/>
      <c r="DJ470" s="72"/>
      <c r="DK470" s="72"/>
      <c r="DL470" s="72"/>
      <c r="DM470" s="72"/>
      <c r="DN470" s="72"/>
      <c r="DO470" s="72"/>
      <c r="DP470" s="72"/>
      <c r="DQ470" s="72"/>
      <c r="DR470" s="72"/>
      <c r="DS470" s="72"/>
      <c r="DT470" s="72"/>
      <c r="DU470" s="72"/>
      <c r="DV470" s="72"/>
      <c r="DW470" s="72"/>
      <c r="DX470" s="72"/>
      <c r="DY470" s="72"/>
      <c r="DZ470" s="72"/>
      <c r="EA470" s="72"/>
      <c r="EB470" s="72"/>
      <c r="EC470" s="72"/>
      <c r="ED470" s="72"/>
      <c r="EE470" s="72"/>
      <c r="EF470" s="72"/>
      <c r="EG470" s="72"/>
      <c r="EH470" s="72"/>
      <c r="EI470" s="129"/>
      <c r="EJ470" s="129"/>
      <c r="EK470" s="129"/>
      <c r="EL470" s="129"/>
      <c r="EM470" s="72"/>
      <c r="EN470" s="72"/>
      <c r="EO470" s="72"/>
      <c r="EP470" s="72"/>
      <c r="EQ470" s="72"/>
      <c r="ER470" s="72"/>
      <c r="ES470" s="72"/>
      <c r="ET470" s="72"/>
    </row>
    <row r="471"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  <c r="CV471" s="72"/>
      <c r="CW471" s="72"/>
      <c r="CX471" s="72"/>
      <c r="CY471" s="72"/>
      <c r="CZ471" s="72"/>
      <c r="DA471" s="72"/>
      <c r="DB471" s="72"/>
      <c r="DC471" s="72"/>
      <c r="DD471" s="72"/>
      <c r="DE471" s="72"/>
      <c r="DF471" s="72"/>
      <c r="DG471" s="72"/>
      <c r="DH471" s="72"/>
      <c r="DI471" s="72"/>
      <c r="DJ471" s="72"/>
      <c r="DK471" s="72"/>
      <c r="DL471" s="72"/>
      <c r="DM471" s="72"/>
      <c r="DN471" s="72"/>
      <c r="DO471" s="72"/>
      <c r="DP471" s="72"/>
      <c r="DQ471" s="72"/>
      <c r="DR471" s="72"/>
      <c r="DS471" s="72"/>
      <c r="DT471" s="72"/>
      <c r="DU471" s="72"/>
      <c r="DV471" s="72"/>
      <c r="DW471" s="72"/>
      <c r="DX471" s="72"/>
      <c r="DY471" s="72"/>
      <c r="DZ471" s="72"/>
      <c r="EA471" s="72"/>
      <c r="EB471" s="72"/>
      <c r="EC471" s="72"/>
      <c r="ED471" s="72"/>
      <c r="EE471" s="72"/>
      <c r="EF471" s="72"/>
      <c r="EG471" s="72"/>
      <c r="EH471" s="72"/>
      <c r="EI471" s="129"/>
      <c r="EJ471" s="129"/>
      <c r="EK471" s="129"/>
      <c r="EL471" s="129"/>
      <c r="EM471" s="72"/>
      <c r="EN471" s="72"/>
      <c r="EO471" s="72"/>
      <c r="EP471" s="72"/>
      <c r="EQ471" s="72"/>
      <c r="ER471" s="72"/>
      <c r="ES471" s="72"/>
      <c r="ET471" s="72"/>
    </row>
    <row r="472">
      <c r="CD472" s="72"/>
      <c r="CE472" s="72"/>
      <c r="CF472" s="72"/>
      <c r="CG472" s="72"/>
      <c r="CH472" s="72"/>
      <c r="CI472" s="72"/>
      <c r="CJ472" s="72"/>
      <c r="CK472" s="72"/>
      <c r="CL472" s="72"/>
      <c r="CM472" s="72"/>
      <c r="CN472" s="72"/>
      <c r="CO472" s="72"/>
      <c r="CP472" s="72"/>
      <c r="CQ472" s="72"/>
      <c r="CR472" s="72"/>
      <c r="CS472" s="72"/>
      <c r="CT472" s="72"/>
      <c r="CU472" s="72"/>
      <c r="CV472" s="72"/>
      <c r="CW472" s="72"/>
      <c r="CX472" s="72"/>
      <c r="CY472" s="72"/>
      <c r="CZ472" s="72"/>
      <c r="DA472" s="72"/>
      <c r="DB472" s="72"/>
      <c r="DC472" s="72"/>
      <c r="DD472" s="72"/>
      <c r="DE472" s="72"/>
      <c r="DF472" s="72"/>
      <c r="DG472" s="72"/>
      <c r="DH472" s="72"/>
      <c r="DI472" s="72"/>
      <c r="DJ472" s="72"/>
      <c r="DK472" s="72"/>
      <c r="DL472" s="72"/>
      <c r="DM472" s="72"/>
      <c r="DN472" s="72"/>
      <c r="DO472" s="72"/>
      <c r="DP472" s="72"/>
      <c r="DQ472" s="72"/>
      <c r="DR472" s="72"/>
      <c r="DS472" s="72"/>
      <c r="DT472" s="72"/>
      <c r="DU472" s="72"/>
      <c r="DV472" s="72"/>
      <c r="DW472" s="72"/>
      <c r="DX472" s="72"/>
      <c r="DY472" s="72"/>
      <c r="DZ472" s="72"/>
      <c r="EA472" s="72"/>
      <c r="EB472" s="72"/>
      <c r="EC472" s="72"/>
      <c r="ED472" s="72"/>
      <c r="EE472" s="72"/>
      <c r="EF472" s="72"/>
      <c r="EG472" s="72"/>
      <c r="EH472" s="72"/>
      <c r="EI472" s="129"/>
      <c r="EJ472" s="129"/>
      <c r="EK472" s="129"/>
      <c r="EL472" s="129"/>
      <c r="EM472" s="72"/>
      <c r="EN472" s="72"/>
      <c r="EO472" s="72"/>
      <c r="EP472" s="72"/>
      <c r="EQ472" s="72"/>
      <c r="ER472" s="72"/>
      <c r="ES472" s="72"/>
      <c r="ET472" s="72"/>
    </row>
    <row r="473"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  <c r="CV473" s="72"/>
      <c r="CW473" s="72"/>
      <c r="CX473" s="72"/>
      <c r="CY473" s="72"/>
      <c r="CZ473" s="72"/>
      <c r="DA473" s="72"/>
      <c r="DB473" s="72"/>
      <c r="DC473" s="72"/>
      <c r="DD473" s="72"/>
      <c r="DE473" s="72"/>
      <c r="DF473" s="72"/>
      <c r="DG473" s="72"/>
      <c r="DH473" s="72"/>
      <c r="DI473" s="72"/>
      <c r="DJ473" s="72"/>
      <c r="DK473" s="72"/>
      <c r="DL473" s="72"/>
      <c r="DM473" s="72"/>
      <c r="DN473" s="72"/>
      <c r="DO473" s="72"/>
      <c r="DP473" s="72"/>
      <c r="DQ473" s="72"/>
      <c r="DR473" s="72"/>
      <c r="DS473" s="72"/>
      <c r="DT473" s="72"/>
      <c r="DU473" s="72"/>
      <c r="DV473" s="72"/>
      <c r="DW473" s="72"/>
      <c r="DX473" s="72"/>
      <c r="DY473" s="72"/>
      <c r="DZ473" s="72"/>
      <c r="EA473" s="72"/>
      <c r="EB473" s="72"/>
      <c r="EC473" s="72"/>
      <c r="ED473" s="72"/>
      <c r="EE473" s="72"/>
      <c r="EF473" s="72"/>
      <c r="EG473" s="72"/>
      <c r="EH473" s="72"/>
      <c r="EI473" s="129"/>
      <c r="EJ473" s="129"/>
      <c r="EK473" s="129"/>
      <c r="EL473" s="129"/>
      <c r="EM473" s="72"/>
      <c r="EN473" s="72"/>
      <c r="EO473" s="72"/>
      <c r="EP473" s="72"/>
      <c r="EQ473" s="72"/>
      <c r="ER473" s="72"/>
      <c r="ES473" s="72"/>
      <c r="ET473" s="72"/>
    </row>
    <row r="474">
      <c r="CD474" s="72"/>
      <c r="CE474" s="72"/>
      <c r="CF474" s="72"/>
      <c r="CG474" s="72"/>
      <c r="CH474" s="72"/>
      <c r="CI474" s="72"/>
      <c r="CJ474" s="72"/>
      <c r="CK474" s="72"/>
      <c r="CL474" s="72"/>
      <c r="CM474" s="72"/>
      <c r="CN474" s="72"/>
      <c r="CO474" s="72"/>
      <c r="CP474" s="72"/>
      <c r="CQ474" s="72"/>
      <c r="CR474" s="72"/>
      <c r="CS474" s="72"/>
      <c r="CT474" s="72"/>
      <c r="CU474" s="72"/>
      <c r="CV474" s="72"/>
      <c r="CW474" s="72"/>
      <c r="CX474" s="72"/>
      <c r="CY474" s="72"/>
      <c r="CZ474" s="72"/>
      <c r="DA474" s="72"/>
      <c r="DB474" s="72"/>
      <c r="DC474" s="72"/>
      <c r="DD474" s="72"/>
      <c r="DE474" s="72"/>
      <c r="DF474" s="72"/>
      <c r="DG474" s="72"/>
      <c r="DH474" s="72"/>
      <c r="DI474" s="72"/>
      <c r="DJ474" s="72"/>
      <c r="DK474" s="72"/>
      <c r="DL474" s="72"/>
      <c r="DM474" s="72"/>
      <c r="DN474" s="72"/>
      <c r="DO474" s="72"/>
      <c r="DP474" s="72"/>
      <c r="DQ474" s="72"/>
      <c r="DR474" s="72"/>
      <c r="DS474" s="72"/>
      <c r="DT474" s="72"/>
      <c r="DU474" s="72"/>
      <c r="DV474" s="72"/>
      <c r="DW474" s="72"/>
      <c r="DX474" s="72"/>
      <c r="DY474" s="72"/>
      <c r="DZ474" s="72"/>
      <c r="EA474" s="72"/>
      <c r="EB474" s="72"/>
      <c r="EC474" s="72"/>
      <c r="ED474" s="72"/>
      <c r="EE474" s="72"/>
      <c r="EF474" s="72"/>
      <c r="EG474" s="72"/>
      <c r="EH474" s="72"/>
      <c r="EI474" s="129"/>
      <c r="EJ474" s="129"/>
      <c r="EK474" s="129"/>
      <c r="EL474" s="129"/>
      <c r="EM474" s="72"/>
      <c r="EN474" s="72"/>
      <c r="EO474" s="72"/>
      <c r="EP474" s="72"/>
      <c r="EQ474" s="72"/>
      <c r="ER474" s="72"/>
      <c r="ES474" s="72"/>
      <c r="ET474" s="72"/>
    </row>
    <row r="475"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  <c r="CV475" s="72"/>
      <c r="CW475" s="72"/>
      <c r="CX475" s="72"/>
      <c r="CY475" s="72"/>
      <c r="CZ475" s="72"/>
      <c r="DA475" s="72"/>
      <c r="DB475" s="72"/>
      <c r="DC475" s="72"/>
      <c r="DD475" s="72"/>
      <c r="DE475" s="72"/>
      <c r="DF475" s="72"/>
      <c r="DG475" s="72"/>
      <c r="DH475" s="72"/>
      <c r="DI475" s="72"/>
      <c r="DJ475" s="72"/>
      <c r="DK475" s="72"/>
      <c r="DL475" s="72"/>
      <c r="DM475" s="72"/>
      <c r="DN475" s="72"/>
      <c r="DO475" s="72"/>
      <c r="DP475" s="72"/>
      <c r="DQ475" s="72"/>
      <c r="DR475" s="72"/>
      <c r="DS475" s="72"/>
      <c r="DT475" s="72"/>
      <c r="DU475" s="72"/>
      <c r="DV475" s="72"/>
      <c r="DW475" s="72"/>
      <c r="DX475" s="72"/>
      <c r="DY475" s="72"/>
      <c r="DZ475" s="72"/>
      <c r="EA475" s="72"/>
      <c r="EB475" s="72"/>
      <c r="EC475" s="72"/>
      <c r="ED475" s="72"/>
      <c r="EE475" s="72"/>
      <c r="EF475" s="72"/>
      <c r="EG475" s="72"/>
      <c r="EH475" s="72"/>
      <c r="EI475" s="129"/>
      <c r="EJ475" s="129"/>
      <c r="EK475" s="129"/>
      <c r="EL475" s="129"/>
      <c r="EM475" s="72"/>
      <c r="EN475" s="72"/>
      <c r="EO475" s="72"/>
      <c r="EP475" s="72"/>
      <c r="EQ475" s="72"/>
      <c r="ER475" s="72"/>
      <c r="ES475" s="72"/>
      <c r="ET475" s="72"/>
    </row>
    <row r="476">
      <c r="CD476" s="72"/>
      <c r="CE476" s="72"/>
      <c r="CF476" s="72"/>
      <c r="CG476" s="72"/>
      <c r="CH476" s="72"/>
      <c r="CI476" s="72"/>
      <c r="CJ476" s="72"/>
      <c r="CK476" s="72"/>
      <c r="CL476" s="72"/>
      <c r="CM476" s="72"/>
      <c r="CN476" s="72"/>
      <c r="CO476" s="72"/>
      <c r="CP476" s="72"/>
      <c r="CQ476" s="72"/>
      <c r="CR476" s="72"/>
      <c r="CS476" s="72"/>
      <c r="CT476" s="72"/>
      <c r="CU476" s="72"/>
      <c r="CV476" s="72"/>
      <c r="CW476" s="72"/>
      <c r="CX476" s="72"/>
      <c r="CY476" s="72"/>
      <c r="CZ476" s="72"/>
      <c r="DA476" s="72"/>
      <c r="DB476" s="72"/>
      <c r="DC476" s="72"/>
      <c r="DD476" s="72"/>
      <c r="DE476" s="72"/>
      <c r="DF476" s="72"/>
      <c r="DG476" s="72"/>
      <c r="DH476" s="72"/>
      <c r="DI476" s="72"/>
      <c r="DJ476" s="72"/>
      <c r="DK476" s="72"/>
      <c r="DL476" s="72"/>
      <c r="DM476" s="72"/>
      <c r="DN476" s="72"/>
      <c r="DO476" s="72"/>
      <c r="DP476" s="72"/>
      <c r="DQ476" s="72"/>
      <c r="DR476" s="72"/>
      <c r="DS476" s="72"/>
      <c r="DT476" s="72"/>
      <c r="DU476" s="72"/>
      <c r="DV476" s="72"/>
      <c r="DW476" s="72"/>
      <c r="DX476" s="72"/>
      <c r="DY476" s="72"/>
      <c r="DZ476" s="72"/>
      <c r="EA476" s="72"/>
      <c r="EB476" s="72"/>
      <c r="EC476" s="72"/>
      <c r="ED476" s="72"/>
      <c r="EE476" s="72"/>
      <c r="EF476" s="72"/>
      <c r="EG476" s="72"/>
      <c r="EH476" s="72"/>
      <c r="EI476" s="129"/>
      <c r="EJ476" s="129"/>
      <c r="EK476" s="129"/>
      <c r="EL476" s="129"/>
      <c r="EM476" s="72"/>
      <c r="EN476" s="72"/>
      <c r="EO476" s="72"/>
      <c r="EP476" s="72"/>
      <c r="EQ476" s="72"/>
      <c r="ER476" s="72"/>
      <c r="ES476" s="72"/>
      <c r="ET476" s="72"/>
    </row>
    <row r="477"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  <c r="CV477" s="72"/>
      <c r="CW477" s="72"/>
      <c r="CX477" s="72"/>
      <c r="CY477" s="72"/>
      <c r="CZ477" s="72"/>
      <c r="DA477" s="72"/>
      <c r="DB477" s="72"/>
      <c r="DC477" s="72"/>
      <c r="DD477" s="72"/>
      <c r="DE477" s="72"/>
      <c r="DF477" s="72"/>
      <c r="DG477" s="72"/>
      <c r="DH477" s="72"/>
      <c r="DI477" s="72"/>
      <c r="DJ477" s="72"/>
      <c r="DK477" s="72"/>
      <c r="DL477" s="72"/>
      <c r="DM477" s="72"/>
      <c r="DN477" s="72"/>
      <c r="DO477" s="72"/>
      <c r="DP477" s="72"/>
      <c r="DQ477" s="72"/>
      <c r="DR477" s="72"/>
      <c r="DS477" s="72"/>
      <c r="DT477" s="72"/>
      <c r="DU477" s="72"/>
      <c r="DV477" s="72"/>
      <c r="DW477" s="72"/>
      <c r="DX477" s="72"/>
      <c r="DY477" s="72"/>
      <c r="DZ477" s="72"/>
      <c r="EA477" s="72"/>
      <c r="EB477" s="72"/>
      <c r="EC477" s="72"/>
      <c r="ED477" s="72"/>
      <c r="EE477" s="72"/>
      <c r="EF477" s="72"/>
      <c r="EG477" s="72"/>
      <c r="EH477" s="72"/>
      <c r="EI477" s="129"/>
      <c r="EJ477" s="129"/>
      <c r="EK477" s="129"/>
      <c r="EL477" s="129"/>
      <c r="EM477" s="72"/>
      <c r="EN477" s="72"/>
      <c r="EO477" s="72"/>
      <c r="EP477" s="72"/>
      <c r="EQ477" s="72"/>
      <c r="ER477" s="72"/>
      <c r="ES477" s="72"/>
      <c r="ET477" s="72"/>
    </row>
    <row r="478">
      <c r="CD478" s="72"/>
      <c r="CE478" s="72"/>
      <c r="CF478" s="72"/>
      <c r="CG478" s="72"/>
      <c r="CH478" s="72"/>
      <c r="CI478" s="72"/>
      <c r="CJ478" s="72"/>
      <c r="CK478" s="72"/>
      <c r="CL478" s="72"/>
      <c r="CM478" s="72"/>
      <c r="CN478" s="72"/>
      <c r="CO478" s="72"/>
      <c r="CP478" s="72"/>
      <c r="CQ478" s="72"/>
      <c r="CR478" s="72"/>
      <c r="CS478" s="72"/>
      <c r="CT478" s="72"/>
      <c r="CU478" s="72"/>
      <c r="CV478" s="72"/>
      <c r="CW478" s="72"/>
      <c r="CX478" s="72"/>
      <c r="CY478" s="72"/>
      <c r="CZ478" s="72"/>
      <c r="DA478" s="72"/>
      <c r="DB478" s="72"/>
      <c r="DC478" s="72"/>
      <c r="DD478" s="72"/>
      <c r="DE478" s="72"/>
      <c r="DF478" s="72"/>
      <c r="DG478" s="72"/>
      <c r="DH478" s="72"/>
      <c r="DI478" s="72"/>
      <c r="DJ478" s="72"/>
      <c r="DK478" s="72"/>
      <c r="DL478" s="72"/>
      <c r="DM478" s="72"/>
      <c r="DN478" s="72"/>
      <c r="DO478" s="72"/>
      <c r="DP478" s="72"/>
      <c r="DQ478" s="72"/>
      <c r="DR478" s="72"/>
      <c r="DS478" s="72"/>
      <c r="DT478" s="72"/>
      <c r="DU478" s="72"/>
      <c r="DV478" s="72"/>
      <c r="DW478" s="72"/>
      <c r="DX478" s="72"/>
      <c r="DY478" s="72"/>
      <c r="DZ478" s="72"/>
      <c r="EA478" s="72"/>
      <c r="EB478" s="72"/>
      <c r="EC478" s="72"/>
      <c r="ED478" s="72"/>
      <c r="EE478" s="72"/>
      <c r="EF478" s="72"/>
      <c r="EG478" s="72"/>
      <c r="EH478" s="72"/>
      <c r="EI478" s="129"/>
      <c r="EJ478" s="129"/>
      <c r="EK478" s="129"/>
      <c r="EL478" s="129"/>
      <c r="EM478" s="72"/>
      <c r="EN478" s="72"/>
      <c r="EO478" s="72"/>
      <c r="EP478" s="72"/>
      <c r="EQ478" s="72"/>
      <c r="ER478" s="72"/>
      <c r="ES478" s="72"/>
      <c r="ET478" s="72"/>
    </row>
    <row r="479"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  <c r="CV479" s="72"/>
      <c r="CW479" s="72"/>
      <c r="CX479" s="72"/>
      <c r="CY479" s="72"/>
      <c r="CZ479" s="72"/>
      <c r="DA479" s="72"/>
      <c r="DB479" s="72"/>
      <c r="DC479" s="72"/>
      <c r="DD479" s="72"/>
      <c r="DE479" s="72"/>
      <c r="DF479" s="72"/>
      <c r="DG479" s="72"/>
      <c r="DH479" s="72"/>
      <c r="DI479" s="72"/>
      <c r="DJ479" s="72"/>
      <c r="DK479" s="72"/>
      <c r="DL479" s="72"/>
      <c r="DM479" s="72"/>
      <c r="DN479" s="72"/>
      <c r="DO479" s="72"/>
      <c r="DP479" s="72"/>
      <c r="DQ479" s="72"/>
      <c r="DR479" s="72"/>
      <c r="DS479" s="72"/>
      <c r="DT479" s="72"/>
      <c r="DU479" s="72"/>
      <c r="DV479" s="72"/>
      <c r="DW479" s="72"/>
      <c r="DX479" s="72"/>
      <c r="DY479" s="72"/>
      <c r="DZ479" s="72"/>
      <c r="EA479" s="72"/>
      <c r="EB479" s="72"/>
      <c r="EC479" s="72"/>
      <c r="ED479" s="72"/>
      <c r="EE479" s="72"/>
      <c r="EF479" s="72"/>
      <c r="EG479" s="72"/>
      <c r="EH479" s="72"/>
      <c r="EI479" s="129"/>
      <c r="EJ479" s="129"/>
      <c r="EK479" s="129"/>
      <c r="EL479" s="129"/>
      <c r="EM479" s="72"/>
      <c r="EN479" s="72"/>
      <c r="EO479" s="72"/>
      <c r="EP479" s="72"/>
      <c r="EQ479" s="72"/>
      <c r="ER479" s="72"/>
      <c r="ES479" s="72"/>
      <c r="ET479" s="72"/>
    </row>
    <row r="480">
      <c r="CD480" s="72"/>
      <c r="CE480" s="72"/>
      <c r="CF480" s="72"/>
      <c r="CG480" s="72"/>
      <c r="CH480" s="72"/>
      <c r="CI480" s="72"/>
      <c r="CJ480" s="72"/>
      <c r="CK480" s="72"/>
      <c r="CL480" s="72"/>
      <c r="CM480" s="72"/>
      <c r="CN480" s="72"/>
      <c r="CO480" s="72"/>
      <c r="CP480" s="72"/>
      <c r="CQ480" s="72"/>
      <c r="CR480" s="72"/>
      <c r="CS480" s="72"/>
      <c r="CT480" s="72"/>
      <c r="CU480" s="72"/>
      <c r="CV480" s="72"/>
      <c r="CW480" s="72"/>
      <c r="CX480" s="72"/>
      <c r="CY480" s="72"/>
      <c r="CZ480" s="72"/>
      <c r="DA480" s="72"/>
      <c r="DB480" s="72"/>
      <c r="DC480" s="72"/>
      <c r="DD480" s="72"/>
      <c r="DE480" s="72"/>
      <c r="DF480" s="72"/>
      <c r="DG480" s="72"/>
      <c r="DH480" s="72"/>
      <c r="DI480" s="72"/>
      <c r="DJ480" s="72"/>
      <c r="DK480" s="72"/>
      <c r="DL480" s="72"/>
      <c r="DM480" s="72"/>
      <c r="DN480" s="72"/>
      <c r="DO480" s="72"/>
      <c r="DP480" s="72"/>
      <c r="DQ480" s="72"/>
      <c r="DR480" s="72"/>
      <c r="DS480" s="72"/>
      <c r="DT480" s="72"/>
      <c r="DU480" s="72"/>
      <c r="DV480" s="72"/>
      <c r="DW480" s="72"/>
      <c r="DX480" s="72"/>
      <c r="DY480" s="72"/>
      <c r="DZ480" s="72"/>
      <c r="EA480" s="72"/>
      <c r="EB480" s="72"/>
      <c r="EC480" s="72"/>
      <c r="ED480" s="72"/>
      <c r="EE480" s="72"/>
      <c r="EF480" s="72"/>
      <c r="EG480" s="72"/>
      <c r="EH480" s="72"/>
      <c r="EI480" s="129"/>
      <c r="EJ480" s="129"/>
      <c r="EK480" s="129"/>
      <c r="EL480" s="129"/>
      <c r="EM480" s="72"/>
      <c r="EN480" s="72"/>
      <c r="EO480" s="72"/>
      <c r="EP480" s="72"/>
      <c r="EQ480" s="72"/>
      <c r="ER480" s="72"/>
      <c r="ES480" s="72"/>
      <c r="ET480" s="72"/>
    </row>
    <row r="481"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  <c r="CV481" s="72"/>
      <c r="CW481" s="72"/>
      <c r="CX481" s="72"/>
      <c r="CY481" s="72"/>
      <c r="CZ481" s="72"/>
      <c r="DA481" s="72"/>
      <c r="DB481" s="72"/>
      <c r="DC481" s="72"/>
      <c r="DD481" s="72"/>
      <c r="DE481" s="72"/>
      <c r="DF481" s="72"/>
      <c r="DG481" s="72"/>
      <c r="DH481" s="72"/>
      <c r="DI481" s="72"/>
      <c r="DJ481" s="72"/>
      <c r="DK481" s="72"/>
      <c r="DL481" s="72"/>
      <c r="DM481" s="72"/>
      <c r="DN481" s="72"/>
      <c r="DO481" s="72"/>
      <c r="DP481" s="72"/>
      <c r="DQ481" s="72"/>
      <c r="DR481" s="72"/>
      <c r="DS481" s="72"/>
      <c r="DT481" s="72"/>
      <c r="DU481" s="72"/>
      <c r="DV481" s="72"/>
      <c r="DW481" s="72"/>
      <c r="DX481" s="72"/>
      <c r="DY481" s="72"/>
      <c r="DZ481" s="72"/>
      <c r="EA481" s="72"/>
      <c r="EB481" s="72"/>
      <c r="EC481" s="72"/>
      <c r="ED481" s="72"/>
      <c r="EE481" s="72"/>
      <c r="EF481" s="72"/>
      <c r="EG481" s="72"/>
      <c r="EH481" s="72"/>
      <c r="EI481" s="129"/>
      <c r="EJ481" s="129"/>
      <c r="EK481" s="129"/>
      <c r="EL481" s="129"/>
      <c r="EM481" s="72"/>
      <c r="EN481" s="72"/>
      <c r="EO481" s="72"/>
      <c r="EP481" s="72"/>
      <c r="EQ481" s="72"/>
      <c r="ER481" s="72"/>
      <c r="ES481" s="72"/>
      <c r="ET481" s="72"/>
    </row>
    <row r="482">
      <c r="CD482" s="72"/>
      <c r="CE482" s="72"/>
      <c r="CF482" s="72"/>
      <c r="CG482" s="72"/>
      <c r="CH482" s="72"/>
      <c r="CI482" s="72"/>
      <c r="CJ482" s="72"/>
      <c r="CK482" s="72"/>
      <c r="CL482" s="72"/>
      <c r="CM482" s="72"/>
      <c r="CN482" s="72"/>
      <c r="CO482" s="72"/>
      <c r="CP482" s="72"/>
      <c r="CQ482" s="72"/>
      <c r="CR482" s="72"/>
      <c r="CS482" s="72"/>
      <c r="CT482" s="72"/>
      <c r="CU482" s="72"/>
      <c r="CV482" s="72"/>
      <c r="CW482" s="72"/>
      <c r="CX482" s="72"/>
      <c r="CY482" s="72"/>
      <c r="CZ482" s="72"/>
      <c r="DA482" s="72"/>
      <c r="DB482" s="72"/>
      <c r="DC482" s="72"/>
      <c r="DD482" s="72"/>
      <c r="DE482" s="72"/>
      <c r="DF482" s="72"/>
      <c r="DG482" s="72"/>
      <c r="DH482" s="72"/>
      <c r="DI482" s="72"/>
      <c r="DJ482" s="72"/>
      <c r="DK482" s="72"/>
      <c r="DL482" s="72"/>
      <c r="DM482" s="72"/>
      <c r="DN482" s="72"/>
      <c r="DO482" s="72"/>
      <c r="DP482" s="72"/>
      <c r="DQ482" s="72"/>
      <c r="DR482" s="72"/>
      <c r="DS482" s="72"/>
      <c r="DT482" s="72"/>
      <c r="DU482" s="72"/>
      <c r="DV482" s="72"/>
      <c r="DW482" s="72"/>
      <c r="DX482" s="72"/>
      <c r="DY482" s="72"/>
      <c r="DZ482" s="72"/>
      <c r="EA482" s="72"/>
      <c r="EB482" s="72"/>
      <c r="EC482" s="72"/>
      <c r="ED482" s="72"/>
      <c r="EE482" s="72"/>
      <c r="EF482" s="72"/>
      <c r="EG482" s="72"/>
      <c r="EH482" s="72"/>
      <c r="EI482" s="129"/>
      <c r="EJ482" s="129"/>
      <c r="EK482" s="129"/>
      <c r="EL482" s="129"/>
      <c r="EM482" s="72"/>
      <c r="EN482" s="72"/>
      <c r="EO482" s="72"/>
      <c r="EP482" s="72"/>
      <c r="EQ482" s="72"/>
      <c r="ER482" s="72"/>
      <c r="ES482" s="72"/>
      <c r="ET482" s="72"/>
    </row>
    <row r="483"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  <c r="CV483" s="72"/>
      <c r="CW483" s="72"/>
      <c r="CX483" s="72"/>
      <c r="CY483" s="72"/>
      <c r="CZ483" s="72"/>
      <c r="DA483" s="72"/>
      <c r="DB483" s="72"/>
      <c r="DC483" s="72"/>
      <c r="DD483" s="72"/>
      <c r="DE483" s="72"/>
      <c r="DF483" s="72"/>
      <c r="DG483" s="72"/>
      <c r="DH483" s="72"/>
      <c r="DI483" s="72"/>
      <c r="DJ483" s="72"/>
      <c r="DK483" s="72"/>
      <c r="DL483" s="72"/>
      <c r="DM483" s="72"/>
      <c r="DN483" s="72"/>
      <c r="DO483" s="72"/>
      <c r="DP483" s="72"/>
      <c r="DQ483" s="72"/>
      <c r="DR483" s="72"/>
      <c r="DS483" s="72"/>
      <c r="DT483" s="72"/>
      <c r="DU483" s="72"/>
      <c r="DV483" s="72"/>
      <c r="DW483" s="72"/>
      <c r="DX483" s="72"/>
      <c r="DY483" s="72"/>
      <c r="DZ483" s="72"/>
      <c r="EA483" s="72"/>
      <c r="EB483" s="72"/>
      <c r="EC483" s="72"/>
      <c r="ED483" s="72"/>
      <c r="EE483" s="72"/>
      <c r="EF483" s="72"/>
      <c r="EG483" s="72"/>
      <c r="EH483" s="72"/>
      <c r="EI483" s="129"/>
      <c r="EJ483" s="129"/>
      <c r="EK483" s="129"/>
      <c r="EL483" s="129"/>
      <c r="EM483" s="72"/>
      <c r="EN483" s="72"/>
      <c r="EO483" s="72"/>
      <c r="EP483" s="72"/>
      <c r="EQ483" s="72"/>
      <c r="ER483" s="72"/>
      <c r="ES483" s="72"/>
      <c r="ET483" s="72"/>
    </row>
    <row r="484">
      <c r="CD484" s="72"/>
      <c r="CE484" s="72"/>
      <c r="CF484" s="72"/>
      <c r="CG484" s="72"/>
      <c r="CH484" s="72"/>
      <c r="CI484" s="72"/>
      <c r="CJ484" s="72"/>
      <c r="CK484" s="72"/>
      <c r="CL484" s="72"/>
      <c r="CM484" s="72"/>
      <c r="CN484" s="72"/>
      <c r="CO484" s="72"/>
      <c r="CP484" s="72"/>
      <c r="CQ484" s="72"/>
      <c r="CR484" s="72"/>
      <c r="CS484" s="72"/>
      <c r="CT484" s="72"/>
      <c r="CU484" s="72"/>
      <c r="CV484" s="72"/>
      <c r="CW484" s="72"/>
      <c r="CX484" s="72"/>
      <c r="CY484" s="72"/>
      <c r="CZ484" s="72"/>
      <c r="DA484" s="72"/>
      <c r="DB484" s="72"/>
      <c r="DC484" s="72"/>
      <c r="DD484" s="72"/>
      <c r="DE484" s="72"/>
      <c r="DF484" s="72"/>
      <c r="DG484" s="72"/>
      <c r="DH484" s="72"/>
      <c r="DI484" s="72"/>
      <c r="DJ484" s="72"/>
      <c r="DK484" s="72"/>
      <c r="DL484" s="72"/>
      <c r="DM484" s="72"/>
      <c r="DN484" s="72"/>
      <c r="DO484" s="72"/>
      <c r="DP484" s="72"/>
      <c r="DQ484" s="72"/>
      <c r="DR484" s="72"/>
      <c r="DS484" s="72"/>
      <c r="DT484" s="72"/>
      <c r="DU484" s="72"/>
      <c r="DV484" s="72"/>
      <c r="DW484" s="72"/>
      <c r="DX484" s="72"/>
      <c r="DY484" s="72"/>
      <c r="DZ484" s="72"/>
      <c r="EA484" s="72"/>
      <c r="EB484" s="72"/>
      <c r="EC484" s="72"/>
      <c r="ED484" s="72"/>
      <c r="EE484" s="72"/>
      <c r="EF484" s="72"/>
      <c r="EG484" s="72"/>
      <c r="EH484" s="72"/>
      <c r="EI484" s="129"/>
      <c r="EJ484" s="129"/>
      <c r="EK484" s="129"/>
      <c r="EL484" s="129"/>
      <c r="EM484" s="72"/>
      <c r="EN484" s="72"/>
      <c r="EO484" s="72"/>
      <c r="EP484" s="72"/>
      <c r="EQ484" s="72"/>
      <c r="ER484" s="72"/>
      <c r="ES484" s="72"/>
      <c r="ET484" s="72"/>
    </row>
    <row r="485"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  <c r="CV485" s="72"/>
      <c r="CW485" s="72"/>
      <c r="CX485" s="72"/>
      <c r="CY485" s="72"/>
      <c r="CZ485" s="72"/>
      <c r="DA485" s="72"/>
      <c r="DB485" s="72"/>
      <c r="DC485" s="72"/>
      <c r="DD485" s="72"/>
      <c r="DE485" s="72"/>
      <c r="DF485" s="72"/>
      <c r="DG485" s="72"/>
      <c r="DH485" s="72"/>
      <c r="DI485" s="72"/>
      <c r="DJ485" s="72"/>
      <c r="DK485" s="72"/>
      <c r="DL485" s="72"/>
      <c r="DM485" s="72"/>
      <c r="DN485" s="72"/>
      <c r="DO485" s="72"/>
      <c r="DP485" s="72"/>
      <c r="DQ485" s="72"/>
      <c r="DR485" s="72"/>
      <c r="DS485" s="72"/>
      <c r="DT485" s="72"/>
      <c r="DU485" s="72"/>
      <c r="DV485" s="72"/>
      <c r="DW485" s="72"/>
      <c r="DX485" s="72"/>
      <c r="DY485" s="72"/>
      <c r="DZ485" s="72"/>
      <c r="EA485" s="72"/>
      <c r="EB485" s="72"/>
      <c r="EC485" s="72"/>
      <c r="ED485" s="72"/>
      <c r="EE485" s="72"/>
      <c r="EF485" s="72"/>
      <c r="EG485" s="72"/>
      <c r="EH485" s="72"/>
      <c r="EI485" s="129"/>
      <c r="EJ485" s="129"/>
      <c r="EK485" s="129"/>
      <c r="EL485" s="129"/>
      <c r="EM485" s="72"/>
      <c r="EN485" s="72"/>
      <c r="EO485" s="72"/>
      <c r="EP485" s="72"/>
      <c r="EQ485" s="72"/>
      <c r="ER485" s="72"/>
      <c r="ES485" s="72"/>
      <c r="ET485" s="72"/>
    </row>
    <row r="486">
      <c r="CD486" s="72"/>
      <c r="CE486" s="72"/>
      <c r="CF486" s="72"/>
      <c r="CG486" s="72"/>
      <c r="CH486" s="72"/>
      <c r="CI486" s="72"/>
      <c r="CJ486" s="72"/>
      <c r="CK486" s="72"/>
      <c r="CL486" s="72"/>
      <c r="CM486" s="72"/>
      <c r="CN486" s="72"/>
      <c r="CO486" s="72"/>
      <c r="CP486" s="72"/>
      <c r="CQ486" s="72"/>
      <c r="CR486" s="72"/>
      <c r="CS486" s="72"/>
      <c r="CT486" s="72"/>
      <c r="CU486" s="72"/>
      <c r="CV486" s="72"/>
      <c r="CW486" s="72"/>
      <c r="CX486" s="72"/>
      <c r="CY486" s="72"/>
      <c r="CZ486" s="72"/>
      <c r="DA486" s="72"/>
      <c r="DB486" s="72"/>
      <c r="DC486" s="72"/>
      <c r="DD486" s="72"/>
      <c r="DE486" s="72"/>
      <c r="DF486" s="72"/>
      <c r="DG486" s="72"/>
      <c r="DH486" s="72"/>
      <c r="DI486" s="72"/>
      <c r="DJ486" s="72"/>
      <c r="DK486" s="72"/>
      <c r="DL486" s="72"/>
      <c r="DM486" s="72"/>
      <c r="DN486" s="72"/>
      <c r="DO486" s="72"/>
      <c r="DP486" s="72"/>
      <c r="DQ486" s="72"/>
      <c r="DR486" s="72"/>
      <c r="DS486" s="72"/>
      <c r="DT486" s="72"/>
      <c r="DU486" s="72"/>
      <c r="DV486" s="72"/>
      <c r="DW486" s="72"/>
      <c r="DX486" s="72"/>
      <c r="DY486" s="72"/>
      <c r="DZ486" s="72"/>
      <c r="EA486" s="72"/>
      <c r="EB486" s="72"/>
      <c r="EC486" s="72"/>
      <c r="ED486" s="72"/>
      <c r="EE486" s="72"/>
      <c r="EF486" s="72"/>
      <c r="EG486" s="72"/>
      <c r="EH486" s="72"/>
      <c r="EI486" s="129"/>
      <c r="EJ486" s="129"/>
      <c r="EK486" s="129"/>
      <c r="EL486" s="129"/>
      <c r="EM486" s="72"/>
      <c r="EN486" s="72"/>
      <c r="EO486" s="72"/>
      <c r="EP486" s="72"/>
      <c r="EQ486" s="72"/>
      <c r="ER486" s="72"/>
      <c r="ES486" s="72"/>
      <c r="ET486" s="72"/>
    </row>
    <row r="487"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  <c r="CV487" s="72"/>
      <c r="CW487" s="72"/>
      <c r="CX487" s="72"/>
      <c r="CY487" s="72"/>
      <c r="CZ487" s="72"/>
      <c r="DA487" s="72"/>
      <c r="DB487" s="72"/>
      <c r="DC487" s="72"/>
      <c r="DD487" s="72"/>
      <c r="DE487" s="72"/>
      <c r="DF487" s="72"/>
      <c r="DG487" s="72"/>
      <c r="DH487" s="72"/>
      <c r="DI487" s="72"/>
      <c r="DJ487" s="72"/>
      <c r="DK487" s="72"/>
      <c r="DL487" s="72"/>
      <c r="DM487" s="72"/>
      <c r="DN487" s="72"/>
      <c r="DO487" s="72"/>
      <c r="DP487" s="72"/>
      <c r="DQ487" s="72"/>
      <c r="DR487" s="72"/>
      <c r="DS487" s="72"/>
      <c r="DT487" s="72"/>
      <c r="DU487" s="72"/>
      <c r="DV487" s="72"/>
      <c r="DW487" s="72"/>
      <c r="DX487" s="72"/>
      <c r="DY487" s="72"/>
      <c r="DZ487" s="72"/>
      <c r="EA487" s="72"/>
      <c r="EB487" s="72"/>
      <c r="EC487" s="72"/>
      <c r="ED487" s="72"/>
      <c r="EE487" s="72"/>
      <c r="EF487" s="72"/>
      <c r="EG487" s="72"/>
      <c r="EH487" s="72"/>
      <c r="EI487" s="129"/>
      <c r="EJ487" s="129"/>
      <c r="EK487" s="129"/>
      <c r="EL487" s="129"/>
      <c r="EM487" s="72"/>
      <c r="EN487" s="72"/>
      <c r="EO487" s="72"/>
      <c r="EP487" s="72"/>
      <c r="EQ487" s="72"/>
      <c r="ER487" s="72"/>
      <c r="ES487" s="72"/>
      <c r="ET487" s="72"/>
    </row>
    <row r="488">
      <c r="CD488" s="72"/>
      <c r="CE488" s="72"/>
      <c r="CF488" s="72"/>
      <c r="CG488" s="72"/>
      <c r="CH488" s="72"/>
      <c r="CI488" s="72"/>
      <c r="CJ488" s="72"/>
      <c r="CK488" s="72"/>
      <c r="CL488" s="72"/>
      <c r="CM488" s="72"/>
      <c r="CN488" s="72"/>
      <c r="CO488" s="72"/>
      <c r="CP488" s="72"/>
      <c r="CQ488" s="72"/>
      <c r="CR488" s="72"/>
      <c r="CS488" s="72"/>
      <c r="CT488" s="72"/>
      <c r="CU488" s="72"/>
      <c r="CV488" s="72"/>
      <c r="CW488" s="72"/>
      <c r="CX488" s="72"/>
      <c r="CY488" s="72"/>
      <c r="CZ488" s="72"/>
      <c r="DA488" s="72"/>
      <c r="DB488" s="72"/>
      <c r="DC488" s="72"/>
      <c r="DD488" s="72"/>
      <c r="DE488" s="72"/>
      <c r="DF488" s="72"/>
      <c r="DG488" s="72"/>
      <c r="DH488" s="72"/>
      <c r="DI488" s="72"/>
      <c r="DJ488" s="72"/>
      <c r="DK488" s="72"/>
      <c r="DL488" s="72"/>
      <c r="DM488" s="72"/>
      <c r="DN488" s="72"/>
      <c r="DO488" s="72"/>
      <c r="DP488" s="72"/>
      <c r="DQ488" s="72"/>
      <c r="DR488" s="72"/>
      <c r="DS488" s="72"/>
      <c r="DT488" s="72"/>
      <c r="DU488" s="72"/>
      <c r="DV488" s="72"/>
      <c r="DW488" s="72"/>
      <c r="DX488" s="72"/>
      <c r="DY488" s="72"/>
      <c r="DZ488" s="72"/>
      <c r="EA488" s="72"/>
      <c r="EB488" s="72"/>
      <c r="EC488" s="72"/>
      <c r="ED488" s="72"/>
      <c r="EE488" s="72"/>
      <c r="EF488" s="72"/>
      <c r="EG488" s="72"/>
      <c r="EH488" s="72"/>
      <c r="EI488" s="129"/>
      <c r="EJ488" s="129"/>
      <c r="EK488" s="129"/>
      <c r="EL488" s="129"/>
      <c r="EM488" s="72"/>
      <c r="EN488" s="72"/>
      <c r="EO488" s="72"/>
      <c r="EP488" s="72"/>
      <c r="EQ488" s="72"/>
      <c r="ER488" s="72"/>
      <c r="ES488" s="72"/>
      <c r="ET488" s="72"/>
    </row>
    <row r="489"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  <c r="CV489" s="72"/>
      <c r="CW489" s="72"/>
      <c r="CX489" s="72"/>
      <c r="CY489" s="72"/>
      <c r="CZ489" s="72"/>
      <c r="DA489" s="72"/>
      <c r="DB489" s="72"/>
      <c r="DC489" s="72"/>
      <c r="DD489" s="72"/>
      <c r="DE489" s="72"/>
      <c r="DF489" s="72"/>
      <c r="DG489" s="72"/>
      <c r="DH489" s="72"/>
      <c r="DI489" s="72"/>
      <c r="DJ489" s="72"/>
      <c r="DK489" s="72"/>
      <c r="DL489" s="72"/>
      <c r="DM489" s="72"/>
      <c r="DN489" s="72"/>
      <c r="DO489" s="72"/>
      <c r="DP489" s="72"/>
      <c r="DQ489" s="72"/>
      <c r="DR489" s="72"/>
      <c r="DS489" s="72"/>
      <c r="DT489" s="72"/>
      <c r="DU489" s="72"/>
      <c r="DV489" s="72"/>
      <c r="DW489" s="72"/>
      <c r="DX489" s="72"/>
      <c r="DY489" s="72"/>
      <c r="DZ489" s="72"/>
      <c r="EA489" s="72"/>
      <c r="EB489" s="72"/>
      <c r="EC489" s="72"/>
      <c r="ED489" s="72"/>
      <c r="EE489" s="72"/>
      <c r="EF489" s="72"/>
      <c r="EG489" s="72"/>
      <c r="EH489" s="72"/>
      <c r="EI489" s="129"/>
      <c r="EJ489" s="129"/>
      <c r="EK489" s="129"/>
      <c r="EL489" s="129"/>
      <c r="EM489" s="72"/>
      <c r="EN489" s="72"/>
      <c r="EO489" s="72"/>
      <c r="EP489" s="72"/>
      <c r="EQ489" s="72"/>
      <c r="ER489" s="72"/>
      <c r="ES489" s="72"/>
      <c r="ET489" s="72"/>
    </row>
    <row r="490">
      <c r="CD490" s="72"/>
      <c r="CE490" s="72"/>
      <c r="CF490" s="72"/>
      <c r="CG490" s="72"/>
      <c r="CH490" s="72"/>
      <c r="CI490" s="72"/>
      <c r="CJ490" s="72"/>
      <c r="CK490" s="72"/>
      <c r="CL490" s="72"/>
      <c r="CM490" s="72"/>
      <c r="CN490" s="72"/>
      <c r="CO490" s="72"/>
      <c r="CP490" s="72"/>
      <c r="CQ490" s="72"/>
      <c r="CR490" s="72"/>
      <c r="CS490" s="72"/>
      <c r="CT490" s="72"/>
      <c r="CU490" s="72"/>
      <c r="CV490" s="72"/>
      <c r="CW490" s="72"/>
      <c r="CX490" s="72"/>
      <c r="CY490" s="72"/>
      <c r="CZ490" s="72"/>
      <c r="DA490" s="72"/>
      <c r="DB490" s="72"/>
      <c r="DC490" s="72"/>
      <c r="DD490" s="72"/>
      <c r="DE490" s="72"/>
      <c r="DF490" s="72"/>
      <c r="DG490" s="72"/>
      <c r="DH490" s="72"/>
      <c r="DI490" s="72"/>
      <c r="DJ490" s="72"/>
      <c r="DK490" s="72"/>
      <c r="DL490" s="72"/>
      <c r="DM490" s="72"/>
      <c r="DN490" s="72"/>
      <c r="DO490" s="72"/>
      <c r="DP490" s="72"/>
      <c r="DQ490" s="72"/>
      <c r="DR490" s="72"/>
      <c r="DS490" s="72"/>
      <c r="DT490" s="72"/>
      <c r="DU490" s="72"/>
      <c r="DV490" s="72"/>
      <c r="DW490" s="72"/>
      <c r="DX490" s="72"/>
      <c r="DY490" s="72"/>
      <c r="DZ490" s="72"/>
      <c r="EA490" s="72"/>
      <c r="EB490" s="72"/>
      <c r="EC490" s="72"/>
      <c r="ED490" s="72"/>
      <c r="EE490" s="72"/>
      <c r="EF490" s="72"/>
      <c r="EG490" s="72"/>
      <c r="EH490" s="72"/>
      <c r="EI490" s="129"/>
      <c r="EJ490" s="129"/>
      <c r="EK490" s="129"/>
      <c r="EL490" s="129"/>
      <c r="EM490" s="72"/>
      <c r="EN490" s="72"/>
      <c r="EO490" s="72"/>
      <c r="EP490" s="72"/>
      <c r="EQ490" s="72"/>
      <c r="ER490" s="72"/>
      <c r="ES490" s="72"/>
      <c r="ET490" s="72"/>
    </row>
    <row r="491"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  <c r="CV491" s="72"/>
      <c r="CW491" s="72"/>
      <c r="CX491" s="72"/>
      <c r="CY491" s="72"/>
      <c r="CZ491" s="72"/>
      <c r="DA491" s="72"/>
      <c r="DB491" s="72"/>
      <c r="DC491" s="72"/>
      <c r="DD491" s="72"/>
      <c r="DE491" s="72"/>
      <c r="DF491" s="72"/>
      <c r="DG491" s="72"/>
      <c r="DH491" s="72"/>
      <c r="DI491" s="72"/>
      <c r="DJ491" s="72"/>
      <c r="DK491" s="72"/>
      <c r="DL491" s="72"/>
      <c r="DM491" s="72"/>
      <c r="DN491" s="72"/>
      <c r="DO491" s="72"/>
      <c r="DP491" s="72"/>
      <c r="DQ491" s="72"/>
      <c r="DR491" s="72"/>
      <c r="DS491" s="72"/>
      <c r="DT491" s="72"/>
      <c r="DU491" s="72"/>
      <c r="DV491" s="72"/>
      <c r="DW491" s="72"/>
      <c r="DX491" s="72"/>
      <c r="DY491" s="72"/>
      <c r="DZ491" s="72"/>
      <c r="EA491" s="72"/>
      <c r="EB491" s="72"/>
      <c r="EC491" s="72"/>
      <c r="ED491" s="72"/>
      <c r="EE491" s="72"/>
      <c r="EF491" s="72"/>
      <c r="EG491" s="72"/>
      <c r="EH491" s="72"/>
      <c r="EI491" s="129"/>
      <c r="EJ491" s="129"/>
      <c r="EK491" s="129"/>
      <c r="EL491" s="129"/>
      <c r="EM491" s="72"/>
      <c r="EN491" s="72"/>
      <c r="EO491" s="72"/>
      <c r="EP491" s="72"/>
      <c r="EQ491" s="72"/>
      <c r="ER491" s="72"/>
      <c r="ES491" s="72"/>
      <c r="ET491" s="72"/>
    </row>
    <row r="492">
      <c r="CD492" s="72"/>
      <c r="CE492" s="72"/>
      <c r="CF492" s="72"/>
      <c r="CG492" s="72"/>
      <c r="CH492" s="72"/>
      <c r="CI492" s="72"/>
      <c r="CJ492" s="72"/>
      <c r="CK492" s="72"/>
      <c r="CL492" s="72"/>
      <c r="CM492" s="72"/>
      <c r="CN492" s="72"/>
      <c r="CO492" s="72"/>
      <c r="CP492" s="72"/>
      <c r="CQ492" s="72"/>
      <c r="CR492" s="72"/>
      <c r="CS492" s="72"/>
      <c r="CT492" s="72"/>
      <c r="CU492" s="72"/>
      <c r="CV492" s="72"/>
      <c r="CW492" s="72"/>
      <c r="CX492" s="72"/>
      <c r="CY492" s="72"/>
      <c r="CZ492" s="72"/>
      <c r="DA492" s="72"/>
      <c r="DB492" s="72"/>
      <c r="DC492" s="72"/>
      <c r="DD492" s="72"/>
      <c r="DE492" s="72"/>
      <c r="DF492" s="72"/>
      <c r="DG492" s="72"/>
      <c r="DH492" s="72"/>
      <c r="DI492" s="72"/>
      <c r="DJ492" s="72"/>
      <c r="DK492" s="72"/>
      <c r="DL492" s="72"/>
      <c r="DM492" s="72"/>
      <c r="DN492" s="72"/>
      <c r="DO492" s="72"/>
      <c r="DP492" s="72"/>
      <c r="DQ492" s="72"/>
      <c r="DR492" s="72"/>
      <c r="DS492" s="72"/>
      <c r="DT492" s="72"/>
      <c r="DU492" s="72"/>
      <c r="DV492" s="72"/>
      <c r="DW492" s="72"/>
      <c r="DX492" s="72"/>
      <c r="DY492" s="72"/>
      <c r="DZ492" s="72"/>
      <c r="EA492" s="72"/>
      <c r="EB492" s="72"/>
      <c r="EC492" s="72"/>
      <c r="ED492" s="72"/>
      <c r="EE492" s="72"/>
      <c r="EF492" s="72"/>
      <c r="EG492" s="72"/>
      <c r="EH492" s="72"/>
      <c r="EI492" s="129"/>
      <c r="EJ492" s="129"/>
      <c r="EK492" s="129"/>
      <c r="EL492" s="129"/>
      <c r="EM492" s="72"/>
      <c r="EN492" s="72"/>
      <c r="EO492" s="72"/>
      <c r="EP492" s="72"/>
      <c r="EQ492" s="72"/>
      <c r="ER492" s="72"/>
      <c r="ES492" s="72"/>
      <c r="ET492" s="72"/>
    </row>
    <row r="493"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  <c r="CV493" s="72"/>
      <c r="CW493" s="72"/>
      <c r="CX493" s="72"/>
      <c r="CY493" s="72"/>
      <c r="CZ493" s="72"/>
      <c r="DA493" s="72"/>
      <c r="DB493" s="72"/>
      <c r="DC493" s="72"/>
      <c r="DD493" s="72"/>
      <c r="DE493" s="72"/>
      <c r="DF493" s="72"/>
      <c r="DG493" s="72"/>
      <c r="DH493" s="72"/>
      <c r="DI493" s="72"/>
      <c r="DJ493" s="72"/>
      <c r="DK493" s="72"/>
      <c r="DL493" s="72"/>
      <c r="DM493" s="72"/>
      <c r="DN493" s="72"/>
      <c r="DO493" s="72"/>
      <c r="DP493" s="72"/>
      <c r="DQ493" s="72"/>
      <c r="DR493" s="72"/>
      <c r="DS493" s="72"/>
      <c r="DT493" s="72"/>
      <c r="DU493" s="72"/>
      <c r="DV493" s="72"/>
      <c r="DW493" s="72"/>
      <c r="DX493" s="72"/>
      <c r="DY493" s="72"/>
      <c r="DZ493" s="72"/>
      <c r="EA493" s="72"/>
      <c r="EB493" s="72"/>
      <c r="EC493" s="72"/>
      <c r="ED493" s="72"/>
      <c r="EE493" s="72"/>
      <c r="EF493" s="72"/>
      <c r="EG493" s="72"/>
      <c r="EH493" s="72"/>
      <c r="EI493" s="129"/>
      <c r="EJ493" s="129"/>
      <c r="EK493" s="129"/>
      <c r="EL493" s="129"/>
      <c r="EM493" s="72"/>
      <c r="EN493" s="72"/>
      <c r="EO493" s="72"/>
      <c r="EP493" s="72"/>
      <c r="EQ493" s="72"/>
      <c r="ER493" s="72"/>
      <c r="ES493" s="72"/>
      <c r="ET493" s="72"/>
    </row>
    <row r="494">
      <c r="CD494" s="72"/>
      <c r="CE494" s="72"/>
      <c r="CF494" s="72"/>
      <c r="CG494" s="72"/>
      <c r="CH494" s="72"/>
      <c r="CI494" s="72"/>
      <c r="CJ494" s="72"/>
      <c r="CK494" s="72"/>
      <c r="CL494" s="72"/>
      <c r="CM494" s="72"/>
      <c r="CN494" s="72"/>
      <c r="CO494" s="72"/>
      <c r="CP494" s="72"/>
      <c r="CQ494" s="72"/>
      <c r="CR494" s="72"/>
      <c r="CS494" s="72"/>
      <c r="CT494" s="72"/>
      <c r="CU494" s="72"/>
      <c r="CV494" s="72"/>
      <c r="CW494" s="72"/>
      <c r="CX494" s="72"/>
      <c r="CY494" s="72"/>
      <c r="CZ494" s="72"/>
      <c r="DA494" s="72"/>
      <c r="DB494" s="72"/>
      <c r="DC494" s="72"/>
      <c r="DD494" s="72"/>
      <c r="DE494" s="72"/>
      <c r="DF494" s="72"/>
      <c r="DG494" s="72"/>
      <c r="DH494" s="72"/>
      <c r="DI494" s="72"/>
      <c r="DJ494" s="72"/>
      <c r="DK494" s="72"/>
      <c r="DL494" s="72"/>
      <c r="DM494" s="72"/>
      <c r="DN494" s="72"/>
      <c r="DO494" s="72"/>
      <c r="DP494" s="72"/>
      <c r="DQ494" s="72"/>
      <c r="DR494" s="72"/>
      <c r="DS494" s="72"/>
      <c r="DT494" s="72"/>
      <c r="DU494" s="72"/>
      <c r="DV494" s="72"/>
      <c r="DW494" s="72"/>
      <c r="DX494" s="72"/>
      <c r="DY494" s="72"/>
      <c r="DZ494" s="72"/>
      <c r="EA494" s="72"/>
      <c r="EB494" s="72"/>
      <c r="EC494" s="72"/>
      <c r="ED494" s="72"/>
      <c r="EE494" s="72"/>
      <c r="EF494" s="72"/>
      <c r="EG494" s="72"/>
      <c r="EH494" s="72"/>
      <c r="EI494" s="129"/>
      <c r="EJ494" s="129"/>
      <c r="EK494" s="129"/>
      <c r="EL494" s="129"/>
      <c r="EM494" s="72"/>
      <c r="EN494" s="72"/>
      <c r="EO494" s="72"/>
      <c r="EP494" s="72"/>
      <c r="EQ494" s="72"/>
      <c r="ER494" s="72"/>
      <c r="ES494" s="72"/>
      <c r="ET494" s="72"/>
    </row>
    <row r="495"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  <c r="CV495" s="72"/>
      <c r="CW495" s="72"/>
      <c r="CX495" s="72"/>
      <c r="CY495" s="72"/>
      <c r="CZ495" s="72"/>
      <c r="DA495" s="72"/>
      <c r="DB495" s="72"/>
      <c r="DC495" s="72"/>
      <c r="DD495" s="72"/>
      <c r="DE495" s="72"/>
      <c r="DF495" s="72"/>
      <c r="DG495" s="72"/>
      <c r="DH495" s="72"/>
      <c r="DI495" s="72"/>
      <c r="DJ495" s="72"/>
      <c r="DK495" s="72"/>
      <c r="DL495" s="72"/>
      <c r="DM495" s="72"/>
      <c r="DN495" s="72"/>
      <c r="DO495" s="72"/>
      <c r="DP495" s="72"/>
      <c r="DQ495" s="72"/>
      <c r="DR495" s="72"/>
      <c r="DS495" s="72"/>
      <c r="DT495" s="72"/>
      <c r="DU495" s="72"/>
      <c r="DV495" s="72"/>
      <c r="DW495" s="72"/>
      <c r="DX495" s="72"/>
      <c r="DY495" s="72"/>
      <c r="DZ495" s="72"/>
      <c r="EA495" s="72"/>
      <c r="EB495" s="72"/>
      <c r="EC495" s="72"/>
      <c r="ED495" s="72"/>
      <c r="EE495" s="72"/>
      <c r="EF495" s="72"/>
      <c r="EG495" s="72"/>
      <c r="EH495" s="72"/>
      <c r="EI495" s="129"/>
      <c r="EJ495" s="129"/>
      <c r="EK495" s="129"/>
      <c r="EL495" s="129"/>
      <c r="EM495" s="72"/>
      <c r="EN495" s="72"/>
      <c r="EO495" s="72"/>
      <c r="EP495" s="72"/>
      <c r="EQ495" s="72"/>
      <c r="ER495" s="72"/>
      <c r="ES495" s="72"/>
      <c r="ET495" s="72"/>
    </row>
    <row r="496">
      <c r="CD496" s="72"/>
      <c r="CE496" s="72"/>
      <c r="CF496" s="72"/>
      <c r="CG496" s="72"/>
      <c r="CH496" s="72"/>
      <c r="CI496" s="72"/>
      <c r="CJ496" s="72"/>
      <c r="CK496" s="72"/>
      <c r="CL496" s="72"/>
      <c r="CM496" s="72"/>
      <c r="CN496" s="72"/>
      <c r="CO496" s="72"/>
      <c r="CP496" s="72"/>
      <c r="CQ496" s="72"/>
      <c r="CR496" s="72"/>
      <c r="CS496" s="72"/>
      <c r="CT496" s="72"/>
      <c r="CU496" s="72"/>
      <c r="CV496" s="72"/>
      <c r="CW496" s="72"/>
      <c r="CX496" s="72"/>
      <c r="CY496" s="72"/>
      <c r="CZ496" s="72"/>
      <c r="DA496" s="72"/>
      <c r="DB496" s="72"/>
      <c r="DC496" s="72"/>
      <c r="DD496" s="72"/>
      <c r="DE496" s="72"/>
      <c r="DF496" s="72"/>
      <c r="DG496" s="72"/>
      <c r="DH496" s="72"/>
      <c r="DI496" s="72"/>
      <c r="DJ496" s="72"/>
      <c r="DK496" s="72"/>
      <c r="DL496" s="72"/>
      <c r="DM496" s="72"/>
      <c r="DN496" s="72"/>
      <c r="DO496" s="72"/>
      <c r="DP496" s="72"/>
      <c r="DQ496" s="72"/>
      <c r="DR496" s="72"/>
      <c r="DS496" s="72"/>
      <c r="DT496" s="72"/>
      <c r="DU496" s="72"/>
      <c r="DV496" s="72"/>
      <c r="DW496" s="72"/>
      <c r="DX496" s="72"/>
      <c r="DY496" s="72"/>
      <c r="DZ496" s="72"/>
      <c r="EA496" s="72"/>
      <c r="EB496" s="72"/>
      <c r="EC496" s="72"/>
      <c r="ED496" s="72"/>
      <c r="EE496" s="72"/>
      <c r="EF496" s="72"/>
      <c r="EG496" s="72"/>
      <c r="EH496" s="72"/>
      <c r="EI496" s="129"/>
      <c r="EJ496" s="129"/>
      <c r="EK496" s="129"/>
      <c r="EL496" s="129"/>
      <c r="EM496" s="72"/>
      <c r="EN496" s="72"/>
      <c r="EO496" s="72"/>
      <c r="EP496" s="72"/>
      <c r="EQ496" s="72"/>
      <c r="ER496" s="72"/>
      <c r="ES496" s="72"/>
      <c r="ET496" s="72"/>
    </row>
    <row r="497"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  <c r="CV497" s="72"/>
      <c r="CW497" s="72"/>
      <c r="CX497" s="72"/>
      <c r="CY497" s="72"/>
      <c r="CZ497" s="72"/>
      <c r="DA497" s="72"/>
      <c r="DB497" s="72"/>
      <c r="DC497" s="72"/>
      <c r="DD497" s="72"/>
      <c r="DE497" s="72"/>
      <c r="DF497" s="72"/>
      <c r="DG497" s="72"/>
      <c r="DH497" s="72"/>
      <c r="DI497" s="72"/>
      <c r="DJ497" s="72"/>
      <c r="DK497" s="72"/>
      <c r="DL497" s="72"/>
      <c r="DM497" s="72"/>
      <c r="DN497" s="72"/>
      <c r="DO497" s="72"/>
      <c r="DP497" s="72"/>
      <c r="DQ497" s="72"/>
      <c r="DR497" s="72"/>
      <c r="DS497" s="72"/>
      <c r="DT497" s="72"/>
      <c r="DU497" s="72"/>
      <c r="DV497" s="72"/>
      <c r="DW497" s="72"/>
      <c r="DX497" s="72"/>
      <c r="DY497" s="72"/>
      <c r="DZ497" s="72"/>
      <c r="EA497" s="72"/>
      <c r="EB497" s="72"/>
      <c r="EC497" s="72"/>
      <c r="ED497" s="72"/>
      <c r="EE497" s="72"/>
      <c r="EF497" s="72"/>
      <c r="EG497" s="72"/>
      <c r="EH497" s="72"/>
      <c r="EI497" s="129"/>
      <c r="EJ497" s="129"/>
      <c r="EK497" s="129"/>
      <c r="EL497" s="129"/>
      <c r="EM497" s="72"/>
      <c r="EN497" s="72"/>
      <c r="EO497" s="72"/>
      <c r="EP497" s="72"/>
      <c r="EQ497" s="72"/>
      <c r="ER497" s="72"/>
      <c r="ES497" s="72"/>
      <c r="ET497" s="72"/>
    </row>
    <row r="498">
      <c r="CD498" s="72"/>
      <c r="CE498" s="72"/>
      <c r="CF498" s="72"/>
      <c r="CG498" s="72"/>
      <c r="CH498" s="72"/>
      <c r="CI498" s="72"/>
      <c r="CJ498" s="72"/>
      <c r="CK498" s="72"/>
      <c r="CL498" s="72"/>
      <c r="CM498" s="72"/>
      <c r="CN498" s="72"/>
      <c r="CO498" s="72"/>
      <c r="CP498" s="72"/>
      <c r="CQ498" s="72"/>
      <c r="CR498" s="72"/>
      <c r="CS498" s="72"/>
      <c r="CT498" s="72"/>
      <c r="CU498" s="72"/>
      <c r="CV498" s="72"/>
      <c r="CW498" s="72"/>
      <c r="CX498" s="72"/>
      <c r="CY498" s="72"/>
      <c r="CZ498" s="72"/>
      <c r="DA498" s="72"/>
      <c r="DB498" s="72"/>
      <c r="DC498" s="72"/>
      <c r="DD498" s="72"/>
      <c r="DE498" s="72"/>
      <c r="DF498" s="72"/>
      <c r="DG498" s="72"/>
      <c r="DH498" s="72"/>
      <c r="DI498" s="72"/>
      <c r="DJ498" s="72"/>
      <c r="DK498" s="72"/>
      <c r="DL498" s="72"/>
      <c r="DM498" s="72"/>
      <c r="DN498" s="72"/>
      <c r="DO498" s="72"/>
      <c r="DP498" s="72"/>
      <c r="DQ498" s="72"/>
      <c r="DR498" s="72"/>
      <c r="DS498" s="72"/>
      <c r="DT498" s="72"/>
      <c r="DU498" s="72"/>
      <c r="DV498" s="72"/>
      <c r="DW498" s="72"/>
      <c r="DX498" s="72"/>
      <c r="DY498" s="72"/>
      <c r="DZ498" s="72"/>
      <c r="EA498" s="72"/>
      <c r="EB498" s="72"/>
      <c r="EC498" s="72"/>
      <c r="ED498" s="72"/>
      <c r="EE498" s="72"/>
      <c r="EF498" s="72"/>
      <c r="EG498" s="72"/>
      <c r="EH498" s="72"/>
      <c r="EI498" s="129"/>
      <c r="EJ498" s="129"/>
      <c r="EK498" s="129"/>
      <c r="EL498" s="129"/>
      <c r="EM498" s="72"/>
      <c r="EN498" s="72"/>
      <c r="EO498" s="72"/>
      <c r="EP498" s="72"/>
      <c r="EQ498" s="72"/>
      <c r="ER498" s="72"/>
      <c r="ES498" s="72"/>
      <c r="ET498" s="72"/>
    </row>
    <row r="499"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  <c r="CV499" s="72"/>
      <c r="CW499" s="72"/>
      <c r="CX499" s="72"/>
      <c r="CY499" s="72"/>
      <c r="CZ499" s="72"/>
      <c r="DA499" s="72"/>
      <c r="DB499" s="72"/>
      <c r="DC499" s="72"/>
      <c r="DD499" s="72"/>
      <c r="DE499" s="72"/>
      <c r="DF499" s="72"/>
      <c r="DG499" s="72"/>
      <c r="DH499" s="72"/>
      <c r="DI499" s="72"/>
      <c r="DJ499" s="72"/>
      <c r="DK499" s="72"/>
      <c r="DL499" s="72"/>
      <c r="DM499" s="72"/>
      <c r="DN499" s="72"/>
      <c r="DO499" s="72"/>
      <c r="DP499" s="72"/>
      <c r="DQ499" s="72"/>
      <c r="DR499" s="72"/>
      <c r="DS499" s="72"/>
      <c r="DT499" s="72"/>
      <c r="DU499" s="72"/>
      <c r="DV499" s="72"/>
      <c r="DW499" s="72"/>
      <c r="DX499" s="72"/>
      <c r="DY499" s="72"/>
      <c r="DZ499" s="72"/>
      <c r="EA499" s="72"/>
      <c r="EB499" s="72"/>
      <c r="EC499" s="72"/>
      <c r="ED499" s="72"/>
      <c r="EE499" s="72"/>
      <c r="EF499" s="72"/>
      <c r="EG499" s="72"/>
      <c r="EH499" s="72"/>
      <c r="EI499" s="129"/>
      <c r="EJ499" s="129"/>
      <c r="EK499" s="129"/>
      <c r="EL499" s="129"/>
      <c r="EM499" s="72"/>
      <c r="EN499" s="72"/>
      <c r="EO499" s="72"/>
      <c r="EP499" s="72"/>
      <c r="EQ499" s="72"/>
      <c r="ER499" s="72"/>
      <c r="ES499" s="72"/>
      <c r="ET499" s="72"/>
    </row>
    <row r="500">
      <c r="CD500" s="72"/>
      <c r="CE500" s="72"/>
      <c r="CF500" s="72"/>
      <c r="CG500" s="72"/>
      <c r="CH500" s="72"/>
      <c r="CI500" s="72"/>
      <c r="CJ500" s="72"/>
      <c r="CK500" s="72"/>
      <c r="CL500" s="72"/>
      <c r="CM500" s="72"/>
      <c r="CN500" s="72"/>
      <c r="CO500" s="72"/>
      <c r="CP500" s="72"/>
      <c r="CQ500" s="72"/>
      <c r="CR500" s="72"/>
      <c r="CS500" s="72"/>
      <c r="CT500" s="72"/>
      <c r="CU500" s="72"/>
      <c r="CV500" s="72"/>
      <c r="CW500" s="72"/>
      <c r="CX500" s="72"/>
      <c r="CY500" s="72"/>
      <c r="CZ500" s="72"/>
      <c r="DA500" s="72"/>
      <c r="DB500" s="72"/>
      <c r="DC500" s="72"/>
      <c r="DD500" s="72"/>
      <c r="DE500" s="72"/>
      <c r="DF500" s="72"/>
      <c r="DG500" s="72"/>
      <c r="DH500" s="72"/>
      <c r="DI500" s="72"/>
      <c r="DJ500" s="72"/>
      <c r="DK500" s="72"/>
      <c r="DL500" s="72"/>
      <c r="DM500" s="72"/>
      <c r="DN500" s="72"/>
      <c r="DO500" s="72"/>
      <c r="DP500" s="72"/>
      <c r="DQ500" s="72"/>
      <c r="DR500" s="72"/>
      <c r="DS500" s="72"/>
      <c r="DT500" s="72"/>
      <c r="DU500" s="72"/>
      <c r="DV500" s="72"/>
      <c r="DW500" s="72"/>
      <c r="DX500" s="72"/>
      <c r="DY500" s="72"/>
      <c r="DZ500" s="72"/>
      <c r="EA500" s="72"/>
      <c r="EB500" s="72"/>
      <c r="EC500" s="72"/>
      <c r="ED500" s="72"/>
      <c r="EE500" s="72"/>
      <c r="EF500" s="72"/>
      <c r="EG500" s="72"/>
      <c r="EH500" s="72"/>
      <c r="EI500" s="129"/>
      <c r="EJ500" s="129"/>
      <c r="EK500" s="129"/>
      <c r="EL500" s="129"/>
      <c r="EM500" s="72"/>
      <c r="EN500" s="72"/>
      <c r="EO500" s="72"/>
      <c r="EP500" s="72"/>
      <c r="EQ500" s="72"/>
      <c r="ER500" s="72"/>
      <c r="ES500" s="72"/>
      <c r="ET500" s="72"/>
    </row>
    <row r="501">
      <c r="CD501" s="72"/>
      <c r="CE501" s="72"/>
      <c r="CF501" s="72"/>
      <c r="CG501" s="72"/>
      <c r="CH501" s="72"/>
      <c r="CI501" s="72"/>
      <c r="CJ501" s="72"/>
      <c r="CK501" s="72"/>
      <c r="CL501" s="72"/>
      <c r="CM501" s="72"/>
      <c r="CN501" s="72"/>
      <c r="CO501" s="72"/>
      <c r="CP501" s="72"/>
      <c r="CQ501" s="72"/>
      <c r="CR501" s="72"/>
      <c r="CS501" s="72"/>
      <c r="CT501" s="72"/>
      <c r="CU501" s="72"/>
      <c r="CV501" s="72"/>
      <c r="CW501" s="72"/>
      <c r="CX501" s="72"/>
      <c r="CY501" s="72"/>
      <c r="CZ501" s="72"/>
      <c r="DA501" s="72"/>
      <c r="DB501" s="72"/>
      <c r="DC501" s="72"/>
      <c r="DD501" s="72"/>
      <c r="DE501" s="72"/>
      <c r="DF501" s="72"/>
      <c r="DG501" s="72"/>
      <c r="DH501" s="72"/>
      <c r="DI501" s="72"/>
      <c r="DJ501" s="72"/>
      <c r="DK501" s="72"/>
      <c r="DL501" s="72"/>
      <c r="DM501" s="72"/>
      <c r="DN501" s="72"/>
      <c r="DO501" s="72"/>
      <c r="DP501" s="72"/>
      <c r="DQ501" s="72"/>
      <c r="DR501" s="72"/>
      <c r="DS501" s="72"/>
      <c r="DT501" s="72"/>
      <c r="DU501" s="72"/>
      <c r="DV501" s="72"/>
      <c r="DW501" s="72"/>
      <c r="DX501" s="72"/>
      <c r="DY501" s="72"/>
      <c r="DZ501" s="72"/>
      <c r="EA501" s="72"/>
      <c r="EB501" s="72"/>
      <c r="EC501" s="72"/>
      <c r="ED501" s="72"/>
      <c r="EE501" s="72"/>
      <c r="EF501" s="72"/>
      <c r="EG501" s="72"/>
      <c r="EH501" s="72"/>
      <c r="EI501" s="129"/>
      <c r="EJ501" s="129"/>
      <c r="EK501" s="129"/>
      <c r="EL501" s="129"/>
      <c r="EM501" s="72"/>
      <c r="EN501" s="72"/>
      <c r="EO501" s="72"/>
      <c r="EP501" s="72"/>
      <c r="EQ501" s="72"/>
      <c r="ER501" s="72"/>
      <c r="ES501" s="72"/>
      <c r="ET501" s="72"/>
    </row>
    <row r="502">
      <c r="CD502" s="72"/>
      <c r="CE502" s="72"/>
      <c r="CF502" s="72"/>
      <c r="CG502" s="72"/>
      <c r="CH502" s="72"/>
      <c r="CI502" s="72"/>
      <c r="CJ502" s="72"/>
      <c r="CK502" s="72"/>
      <c r="CL502" s="72"/>
      <c r="CM502" s="72"/>
      <c r="CN502" s="72"/>
      <c r="CO502" s="72"/>
      <c r="CP502" s="72"/>
      <c r="CQ502" s="72"/>
      <c r="CR502" s="72"/>
      <c r="CS502" s="72"/>
      <c r="CT502" s="72"/>
      <c r="CU502" s="72"/>
      <c r="CV502" s="72"/>
      <c r="CW502" s="72"/>
      <c r="CX502" s="72"/>
      <c r="CY502" s="72"/>
      <c r="CZ502" s="72"/>
      <c r="DA502" s="72"/>
      <c r="DB502" s="72"/>
      <c r="DC502" s="72"/>
      <c r="DD502" s="72"/>
      <c r="DE502" s="72"/>
      <c r="DF502" s="72"/>
      <c r="DG502" s="72"/>
      <c r="DH502" s="72"/>
      <c r="DI502" s="72"/>
      <c r="DJ502" s="72"/>
      <c r="DK502" s="72"/>
      <c r="DL502" s="72"/>
      <c r="DM502" s="72"/>
      <c r="DN502" s="72"/>
      <c r="DO502" s="72"/>
      <c r="DP502" s="72"/>
      <c r="DQ502" s="72"/>
      <c r="DR502" s="72"/>
      <c r="DS502" s="72"/>
      <c r="DT502" s="72"/>
      <c r="DU502" s="72"/>
      <c r="DV502" s="72"/>
      <c r="DW502" s="72"/>
      <c r="DX502" s="72"/>
      <c r="DY502" s="72"/>
      <c r="DZ502" s="72"/>
      <c r="EA502" s="72"/>
      <c r="EB502" s="72"/>
      <c r="EC502" s="72"/>
      <c r="ED502" s="72"/>
      <c r="EE502" s="72"/>
      <c r="EF502" s="72"/>
      <c r="EG502" s="72"/>
      <c r="EH502" s="72"/>
      <c r="EI502" s="129"/>
      <c r="EJ502" s="129"/>
      <c r="EK502" s="129"/>
      <c r="EL502" s="129"/>
      <c r="EM502" s="72"/>
      <c r="EN502" s="72"/>
      <c r="EO502" s="72"/>
      <c r="EP502" s="72"/>
      <c r="EQ502" s="72"/>
      <c r="ER502" s="72"/>
      <c r="ES502" s="72"/>
      <c r="ET502" s="72"/>
    </row>
    <row r="503">
      <c r="CD503" s="72"/>
      <c r="CE503" s="72"/>
      <c r="CF503" s="72"/>
      <c r="CG503" s="72"/>
      <c r="CH503" s="72"/>
      <c r="CI503" s="72"/>
      <c r="CJ503" s="72"/>
      <c r="CK503" s="72"/>
      <c r="CL503" s="72"/>
      <c r="CM503" s="72"/>
      <c r="CN503" s="72"/>
      <c r="CO503" s="72"/>
      <c r="CP503" s="72"/>
      <c r="CQ503" s="72"/>
      <c r="CR503" s="72"/>
      <c r="CS503" s="72"/>
      <c r="CT503" s="72"/>
      <c r="CU503" s="72"/>
      <c r="CV503" s="72"/>
      <c r="CW503" s="72"/>
      <c r="CX503" s="72"/>
      <c r="CY503" s="72"/>
      <c r="CZ503" s="72"/>
      <c r="DA503" s="72"/>
      <c r="DB503" s="72"/>
      <c r="DC503" s="72"/>
      <c r="DD503" s="72"/>
      <c r="DE503" s="72"/>
      <c r="DF503" s="72"/>
      <c r="DG503" s="72"/>
      <c r="DH503" s="72"/>
      <c r="DI503" s="72"/>
      <c r="DJ503" s="72"/>
      <c r="DK503" s="72"/>
      <c r="DL503" s="72"/>
      <c r="DM503" s="72"/>
      <c r="DN503" s="72"/>
      <c r="DO503" s="72"/>
      <c r="DP503" s="72"/>
      <c r="DQ503" s="72"/>
      <c r="DR503" s="72"/>
      <c r="DS503" s="72"/>
      <c r="DT503" s="72"/>
      <c r="DU503" s="72"/>
      <c r="DV503" s="72"/>
      <c r="DW503" s="72"/>
      <c r="DX503" s="72"/>
      <c r="DY503" s="72"/>
      <c r="DZ503" s="72"/>
      <c r="EA503" s="72"/>
      <c r="EB503" s="72"/>
      <c r="EC503" s="72"/>
      <c r="ED503" s="72"/>
      <c r="EE503" s="72"/>
      <c r="EF503" s="72"/>
      <c r="EG503" s="72"/>
      <c r="EH503" s="72"/>
      <c r="EI503" s="129"/>
      <c r="EJ503" s="129"/>
      <c r="EK503" s="129"/>
      <c r="EL503" s="129"/>
      <c r="EM503" s="72"/>
      <c r="EN503" s="72"/>
      <c r="EO503" s="72"/>
      <c r="EP503" s="72"/>
      <c r="EQ503" s="72"/>
      <c r="ER503" s="72"/>
      <c r="ES503" s="72"/>
      <c r="ET503" s="72"/>
    </row>
    <row r="504">
      <c r="CD504" s="72"/>
      <c r="CE504" s="72"/>
      <c r="CF504" s="72"/>
      <c r="CG504" s="72"/>
      <c r="CH504" s="72"/>
      <c r="CI504" s="72"/>
      <c r="CJ504" s="72"/>
      <c r="CK504" s="72"/>
      <c r="CL504" s="72"/>
      <c r="CM504" s="72"/>
      <c r="CN504" s="72"/>
      <c r="CO504" s="72"/>
      <c r="CP504" s="72"/>
      <c r="CQ504" s="72"/>
      <c r="CR504" s="72"/>
      <c r="CS504" s="72"/>
      <c r="CT504" s="72"/>
      <c r="CU504" s="72"/>
      <c r="CV504" s="72"/>
      <c r="CW504" s="72"/>
      <c r="CX504" s="72"/>
      <c r="CY504" s="72"/>
      <c r="CZ504" s="72"/>
      <c r="DA504" s="72"/>
      <c r="DB504" s="72"/>
      <c r="DC504" s="72"/>
      <c r="DD504" s="72"/>
      <c r="DE504" s="72"/>
      <c r="DF504" s="72"/>
      <c r="DG504" s="72"/>
      <c r="DH504" s="72"/>
      <c r="DI504" s="72"/>
      <c r="DJ504" s="72"/>
      <c r="DK504" s="72"/>
      <c r="DL504" s="72"/>
      <c r="DM504" s="72"/>
      <c r="DN504" s="72"/>
      <c r="DO504" s="72"/>
      <c r="DP504" s="72"/>
      <c r="DQ504" s="72"/>
      <c r="DR504" s="72"/>
      <c r="DS504" s="72"/>
      <c r="DT504" s="72"/>
      <c r="DU504" s="72"/>
      <c r="DV504" s="72"/>
      <c r="DW504" s="72"/>
      <c r="DX504" s="72"/>
      <c r="DY504" s="72"/>
      <c r="DZ504" s="72"/>
      <c r="EA504" s="72"/>
      <c r="EB504" s="72"/>
      <c r="EC504" s="72"/>
      <c r="ED504" s="72"/>
      <c r="EE504" s="72"/>
      <c r="EF504" s="72"/>
      <c r="EG504" s="72"/>
      <c r="EH504" s="72"/>
      <c r="EI504" s="129"/>
      <c r="EJ504" s="129"/>
      <c r="EK504" s="129"/>
      <c r="EL504" s="129"/>
      <c r="EM504" s="72"/>
      <c r="EN504" s="72"/>
      <c r="EO504" s="72"/>
      <c r="EP504" s="72"/>
      <c r="EQ504" s="72"/>
      <c r="ER504" s="72"/>
      <c r="ES504" s="72"/>
      <c r="ET504" s="72"/>
    </row>
    <row r="505">
      <c r="CD505" s="72"/>
      <c r="CE505" s="72"/>
      <c r="CF505" s="72"/>
      <c r="CG505" s="72"/>
      <c r="CH505" s="72"/>
      <c r="CI505" s="72"/>
      <c r="CJ505" s="72"/>
      <c r="CK505" s="72"/>
      <c r="CL505" s="72"/>
      <c r="CM505" s="72"/>
      <c r="CN505" s="72"/>
      <c r="CO505" s="72"/>
      <c r="CP505" s="72"/>
      <c r="CQ505" s="72"/>
      <c r="CR505" s="72"/>
      <c r="CS505" s="72"/>
      <c r="CT505" s="72"/>
      <c r="CU505" s="72"/>
      <c r="CV505" s="72"/>
      <c r="CW505" s="72"/>
      <c r="CX505" s="72"/>
      <c r="CY505" s="72"/>
      <c r="CZ505" s="72"/>
      <c r="DA505" s="72"/>
      <c r="DB505" s="72"/>
      <c r="DC505" s="72"/>
      <c r="DD505" s="72"/>
      <c r="DE505" s="72"/>
      <c r="DF505" s="72"/>
      <c r="DG505" s="72"/>
      <c r="DH505" s="72"/>
      <c r="DI505" s="72"/>
      <c r="DJ505" s="72"/>
      <c r="DK505" s="72"/>
      <c r="DL505" s="72"/>
      <c r="DM505" s="72"/>
      <c r="DN505" s="72"/>
      <c r="DO505" s="72"/>
      <c r="DP505" s="72"/>
      <c r="DQ505" s="72"/>
      <c r="DR505" s="72"/>
      <c r="DS505" s="72"/>
      <c r="DT505" s="72"/>
      <c r="DU505" s="72"/>
      <c r="DV505" s="72"/>
      <c r="DW505" s="72"/>
      <c r="DX505" s="72"/>
      <c r="DY505" s="72"/>
      <c r="DZ505" s="72"/>
      <c r="EA505" s="72"/>
      <c r="EB505" s="72"/>
      <c r="EC505" s="72"/>
      <c r="ED505" s="72"/>
      <c r="EE505" s="72"/>
      <c r="EF505" s="72"/>
      <c r="EG505" s="72"/>
      <c r="EH505" s="72"/>
      <c r="EI505" s="129"/>
      <c r="EJ505" s="129"/>
      <c r="EK505" s="129"/>
      <c r="EL505" s="129"/>
      <c r="EM505" s="72"/>
      <c r="EN505" s="72"/>
      <c r="EO505" s="72"/>
      <c r="EP505" s="72"/>
      <c r="EQ505" s="72"/>
      <c r="ER505" s="72"/>
      <c r="ES505" s="72"/>
      <c r="ET505" s="72"/>
    </row>
    <row r="506">
      <c r="CD506" s="72"/>
      <c r="CE506" s="72"/>
      <c r="CF506" s="72"/>
      <c r="CG506" s="72"/>
      <c r="CH506" s="72"/>
      <c r="CI506" s="72"/>
      <c r="CJ506" s="72"/>
      <c r="CK506" s="72"/>
      <c r="CL506" s="72"/>
      <c r="CM506" s="72"/>
      <c r="CN506" s="72"/>
      <c r="CO506" s="72"/>
      <c r="CP506" s="72"/>
      <c r="CQ506" s="72"/>
      <c r="CR506" s="72"/>
      <c r="CS506" s="72"/>
      <c r="CT506" s="72"/>
      <c r="CU506" s="72"/>
      <c r="CV506" s="72"/>
      <c r="CW506" s="72"/>
      <c r="CX506" s="72"/>
      <c r="CY506" s="72"/>
      <c r="CZ506" s="72"/>
      <c r="DA506" s="72"/>
      <c r="DB506" s="72"/>
      <c r="DC506" s="72"/>
      <c r="DD506" s="72"/>
      <c r="DE506" s="72"/>
      <c r="DF506" s="72"/>
      <c r="DG506" s="72"/>
      <c r="DH506" s="72"/>
      <c r="DI506" s="72"/>
      <c r="DJ506" s="72"/>
      <c r="DK506" s="72"/>
      <c r="DL506" s="72"/>
      <c r="DM506" s="72"/>
      <c r="DN506" s="72"/>
      <c r="DO506" s="72"/>
      <c r="DP506" s="72"/>
      <c r="DQ506" s="72"/>
      <c r="DR506" s="72"/>
      <c r="DS506" s="72"/>
      <c r="DT506" s="72"/>
      <c r="DU506" s="72"/>
      <c r="DV506" s="72"/>
      <c r="DW506" s="72"/>
      <c r="DX506" s="72"/>
      <c r="DY506" s="72"/>
      <c r="DZ506" s="72"/>
      <c r="EA506" s="72"/>
      <c r="EB506" s="72"/>
      <c r="EC506" s="72"/>
      <c r="ED506" s="72"/>
      <c r="EE506" s="72"/>
      <c r="EF506" s="72"/>
      <c r="EG506" s="72"/>
      <c r="EH506" s="72"/>
      <c r="EI506" s="129"/>
      <c r="EJ506" s="129"/>
      <c r="EK506" s="129"/>
      <c r="EL506" s="129"/>
      <c r="EM506" s="72"/>
      <c r="EN506" s="72"/>
      <c r="EO506" s="72"/>
      <c r="EP506" s="72"/>
      <c r="EQ506" s="72"/>
      <c r="ER506" s="72"/>
      <c r="ES506" s="72"/>
      <c r="ET506" s="72"/>
    </row>
    <row r="507">
      <c r="CD507" s="72"/>
      <c r="CE507" s="72"/>
      <c r="CF507" s="72"/>
      <c r="CG507" s="72"/>
      <c r="CH507" s="72"/>
      <c r="CI507" s="72"/>
      <c r="CJ507" s="72"/>
      <c r="CK507" s="72"/>
      <c r="CL507" s="72"/>
      <c r="CM507" s="72"/>
      <c r="CN507" s="72"/>
      <c r="CO507" s="72"/>
      <c r="CP507" s="72"/>
      <c r="CQ507" s="72"/>
      <c r="CR507" s="72"/>
      <c r="CS507" s="72"/>
      <c r="CT507" s="72"/>
      <c r="CU507" s="72"/>
      <c r="CV507" s="72"/>
      <c r="CW507" s="72"/>
      <c r="CX507" s="72"/>
      <c r="CY507" s="72"/>
      <c r="CZ507" s="72"/>
      <c r="DA507" s="72"/>
      <c r="DB507" s="72"/>
      <c r="DC507" s="72"/>
      <c r="DD507" s="72"/>
      <c r="DE507" s="72"/>
      <c r="DF507" s="72"/>
      <c r="DG507" s="72"/>
      <c r="DH507" s="72"/>
      <c r="DI507" s="72"/>
      <c r="DJ507" s="72"/>
      <c r="DK507" s="72"/>
      <c r="DL507" s="72"/>
      <c r="DM507" s="72"/>
      <c r="DN507" s="72"/>
      <c r="DO507" s="72"/>
      <c r="DP507" s="72"/>
      <c r="DQ507" s="72"/>
      <c r="DR507" s="72"/>
      <c r="DS507" s="72"/>
      <c r="DT507" s="72"/>
      <c r="DU507" s="72"/>
      <c r="DV507" s="72"/>
      <c r="DW507" s="72"/>
      <c r="DX507" s="72"/>
      <c r="DY507" s="72"/>
      <c r="DZ507" s="72"/>
      <c r="EA507" s="72"/>
      <c r="EB507" s="72"/>
      <c r="EC507" s="72"/>
      <c r="ED507" s="72"/>
      <c r="EE507" s="72"/>
      <c r="EF507" s="72"/>
      <c r="EG507" s="72"/>
      <c r="EH507" s="72"/>
      <c r="EI507" s="129"/>
      <c r="EJ507" s="129"/>
      <c r="EK507" s="129"/>
      <c r="EL507" s="129"/>
      <c r="EM507" s="72"/>
      <c r="EN507" s="72"/>
      <c r="EO507" s="72"/>
      <c r="EP507" s="72"/>
      <c r="EQ507" s="72"/>
      <c r="ER507" s="72"/>
      <c r="ES507" s="72"/>
      <c r="ET507" s="72"/>
    </row>
    <row r="508">
      <c r="CD508" s="72"/>
      <c r="CE508" s="72"/>
      <c r="CF508" s="72"/>
      <c r="CG508" s="72"/>
      <c r="CH508" s="72"/>
      <c r="CI508" s="72"/>
      <c r="CJ508" s="72"/>
      <c r="CK508" s="72"/>
      <c r="CL508" s="72"/>
      <c r="CM508" s="72"/>
      <c r="CN508" s="72"/>
      <c r="CO508" s="72"/>
      <c r="CP508" s="72"/>
      <c r="CQ508" s="72"/>
      <c r="CR508" s="72"/>
      <c r="CS508" s="72"/>
      <c r="CT508" s="72"/>
      <c r="CU508" s="72"/>
      <c r="CV508" s="72"/>
      <c r="CW508" s="72"/>
      <c r="CX508" s="72"/>
      <c r="CY508" s="72"/>
      <c r="CZ508" s="72"/>
      <c r="DA508" s="72"/>
      <c r="DB508" s="72"/>
      <c r="DC508" s="72"/>
      <c r="DD508" s="72"/>
      <c r="DE508" s="72"/>
      <c r="DF508" s="72"/>
      <c r="DG508" s="72"/>
      <c r="DH508" s="72"/>
      <c r="DI508" s="72"/>
      <c r="DJ508" s="72"/>
      <c r="DK508" s="72"/>
      <c r="DL508" s="72"/>
      <c r="DM508" s="72"/>
      <c r="DN508" s="72"/>
      <c r="DO508" s="72"/>
      <c r="DP508" s="72"/>
      <c r="DQ508" s="72"/>
      <c r="DR508" s="72"/>
      <c r="DS508" s="72"/>
      <c r="DT508" s="72"/>
      <c r="DU508" s="72"/>
      <c r="DV508" s="72"/>
      <c r="DW508" s="72"/>
      <c r="DX508" s="72"/>
      <c r="DY508" s="72"/>
      <c r="DZ508" s="72"/>
      <c r="EA508" s="72"/>
      <c r="EB508" s="72"/>
      <c r="EC508" s="72"/>
      <c r="ED508" s="72"/>
      <c r="EE508" s="72"/>
      <c r="EF508" s="72"/>
      <c r="EG508" s="72"/>
      <c r="EH508" s="72"/>
      <c r="EI508" s="129"/>
      <c r="EJ508" s="129"/>
      <c r="EK508" s="129"/>
      <c r="EL508" s="129"/>
      <c r="EM508" s="72"/>
      <c r="EN508" s="72"/>
      <c r="EO508" s="72"/>
      <c r="EP508" s="72"/>
      <c r="EQ508" s="72"/>
      <c r="ER508" s="72"/>
      <c r="ES508" s="72"/>
      <c r="ET508" s="72"/>
    </row>
    <row r="509">
      <c r="CD509" s="72"/>
      <c r="CE509" s="72"/>
      <c r="CF509" s="72"/>
      <c r="CG509" s="72"/>
      <c r="CH509" s="72"/>
      <c r="CI509" s="72"/>
      <c r="CJ509" s="72"/>
      <c r="CK509" s="72"/>
      <c r="CL509" s="72"/>
      <c r="CM509" s="72"/>
      <c r="CN509" s="72"/>
      <c r="CO509" s="72"/>
      <c r="CP509" s="72"/>
      <c r="CQ509" s="72"/>
      <c r="CR509" s="72"/>
      <c r="CS509" s="72"/>
      <c r="CT509" s="72"/>
      <c r="CU509" s="72"/>
      <c r="CV509" s="72"/>
      <c r="CW509" s="72"/>
      <c r="CX509" s="72"/>
      <c r="CY509" s="72"/>
      <c r="CZ509" s="72"/>
      <c r="DA509" s="72"/>
      <c r="DB509" s="72"/>
      <c r="DC509" s="72"/>
      <c r="DD509" s="72"/>
      <c r="DE509" s="72"/>
      <c r="DF509" s="72"/>
      <c r="DG509" s="72"/>
      <c r="DH509" s="72"/>
      <c r="DI509" s="72"/>
      <c r="DJ509" s="72"/>
      <c r="DK509" s="72"/>
      <c r="DL509" s="72"/>
      <c r="DM509" s="72"/>
      <c r="DN509" s="72"/>
      <c r="DO509" s="72"/>
      <c r="DP509" s="72"/>
      <c r="DQ509" s="72"/>
      <c r="DR509" s="72"/>
      <c r="DS509" s="72"/>
      <c r="DT509" s="72"/>
      <c r="DU509" s="72"/>
      <c r="DV509" s="72"/>
      <c r="DW509" s="72"/>
      <c r="DX509" s="72"/>
      <c r="DY509" s="72"/>
      <c r="DZ509" s="72"/>
      <c r="EA509" s="72"/>
      <c r="EB509" s="72"/>
      <c r="EC509" s="72"/>
      <c r="ED509" s="72"/>
      <c r="EE509" s="72"/>
      <c r="EF509" s="72"/>
      <c r="EG509" s="72"/>
      <c r="EH509" s="72"/>
      <c r="EI509" s="129"/>
      <c r="EJ509" s="129"/>
      <c r="EK509" s="129"/>
      <c r="EL509" s="129"/>
      <c r="EM509" s="72"/>
      <c r="EN509" s="72"/>
      <c r="EO509" s="72"/>
      <c r="EP509" s="72"/>
      <c r="EQ509" s="72"/>
      <c r="ER509" s="72"/>
      <c r="ES509" s="72"/>
      <c r="ET509" s="72"/>
    </row>
    <row r="510">
      <c r="CD510" s="72"/>
      <c r="CE510" s="72"/>
      <c r="CF510" s="72"/>
      <c r="CG510" s="72"/>
      <c r="CH510" s="72"/>
      <c r="CI510" s="72"/>
      <c r="CJ510" s="72"/>
      <c r="CK510" s="72"/>
      <c r="CL510" s="72"/>
      <c r="CM510" s="72"/>
      <c r="CN510" s="72"/>
      <c r="CO510" s="72"/>
      <c r="CP510" s="72"/>
      <c r="CQ510" s="72"/>
      <c r="CR510" s="72"/>
      <c r="CS510" s="72"/>
      <c r="CT510" s="72"/>
      <c r="CU510" s="72"/>
      <c r="CV510" s="72"/>
      <c r="CW510" s="72"/>
      <c r="CX510" s="72"/>
      <c r="CY510" s="72"/>
      <c r="CZ510" s="72"/>
      <c r="DA510" s="72"/>
      <c r="DB510" s="72"/>
      <c r="DC510" s="72"/>
      <c r="DD510" s="72"/>
      <c r="DE510" s="72"/>
      <c r="DF510" s="72"/>
      <c r="DG510" s="72"/>
      <c r="DH510" s="72"/>
      <c r="DI510" s="72"/>
      <c r="DJ510" s="72"/>
      <c r="DK510" s="72"/>
      <c r="DL510" s="72"/>
      <c r="DM510" s="72"/>
      <c r="DN510" s="72"/>
      <c r="DO510" s="72"/>
      <c r="DP510" s="72"/>
      <c r="DQ510" s="72"/>
      <c r="DR510" s="72"/>
      <c r="DS510" s="72"/>
      <c r="DT510" s="72"/>
      <c r="DU510" s="72"/>
      <c r="DV510" s="72"/>
      <c r="DW510" s="72"/>
      <c r="DX510" s="72"/>
      <c r="DY510" s="72"/>
      <c r="DZ510" s="72"/>
      <c r="EA510" s="72"/>
      <c r="EB510" s="72"/>
      <c r="EC510" s="72"/>
      <c r="ED510" s="72"/>
      <c r="EE510" s="72"/>
      <c r="EF510" s="72"/>
      <c r="EG510" s="72"/>
      <c r="EH510" s="72"/>
      <c r="EI510" s="129"/>
      <c r="EJ510" s="129"/>
      <c r="EK510" s="129"/>
      <c r="EL510" s="129"/>
      <c r="EM510" s="72"/>
      <c r="EN510" s="72"/>
      <c r="EO510" s="72"/>
      <c r="EP510" s="72"/>
      <c r="EQ510" s="72"/>
      <c r="ER510" s="72"/>
      <c r="ES510" s="72"/>
      <c r="ET510" s="72"/>
    </row>
    <row r="511">
      <c r="CD511" s="72"/>
      <c r="CE511" s="72"/>
      <c r="CF511" s="72"/>
      <c r="CG511" s="72"/>
      <c r="CH511" s="72"/>
      <c r="CI511" s="72"/>
      <c r="CJ511" s="72"/>
      <c r="CK511" s="72"/>
      <c r="CL511" s="72"/>
      <c r="CM511" s="72"/>
      <c r="CN511" s="72"/>
      <c r="CO511" s="72"/>
      <c r="CP511" s="72"/>
      <c r="CQ511" s="72"/>
      <c r="CR511" s="72"/>
      <c r="CS511" s="72"/>
      <c r="CT511" s="72"/>
      <c r="CU511" s="72"/>
      <c r="CV511" s="72"/>
      <c r="CW511" s="72"/>
      <c r="CX511" s="72"/>
      <c r="CY511" s="72"/>
      <c r="CZ511" s="72"/>
      <c r="DA511" s="72"/>
      <c r="DB511" s="72"/>
      <c r="DC511" s="72"/>
      <c r="DD511" s="72"/>
      <c r="DE511" s="72"/>
      <c r="DF511" s="72"/>
      <c r="DG511" s="72"/>
      <c r="DH511" s="72"/>
      <c r="DI511" s="72"/>
      <c r="DJ511" s="72"/>
      <c r="DK511" s="72"/>
      <c r="DL511" s="72"/>
      <c r="DM511" s="72"/>
      <c r="DN511" s="72"/>
      <c r="DO511" s="72"/>
      <c r="DP511" s="72"/>
      <c r="DQ511" s="72"/>
      <c r="DR511" s="72"/>
      <c r="DS511" s="72"/>
      <c r="DT511" s="72"/>
      <c r="DU511" s="72"/>
      <c r="DV511" s="72"/>
      <c r="DW511" s="72"/>
      <c r="DX511" s="72"/>
      <c r="DY511" s="72"/>
      <c r="DZ511" s="72"/>
      <c r="EA511" s="72"/>
      <c r="EB511" s="72"/>
      <c r="EC511" s="72"/>
      <c r="ED511" s="72"/>
      <c r="EE511" s="72"/>
      <c r="EF511" s="72"/>
      <c r="EG511" s="72"/>
      <c r="EH511" s="72"/>
      <c r="EI511" s="129"/>
      <c r="EJ511" s="129"/>
      <c r="EK511" s="129"/>
      <c r="EL511" s="129"/>
      <c r="EM511" s="72"/>
      <c r="EN511" s="72"/>
      <c r="EO511" s="72"/>
      <c r="EP511" s="72"/>
      <c r="EQ511" s="72"/>
      <c r="ER511" s="72"/>
      <c r="ES511" s="72"/>
      <c r="ET511" s="72"/>
    </row>
    <row r="512">
      <c r="CD512" s="72"/>
      <c r="CE512" s="72"/>
      <c r="CF512" s="72"/>
      <c r="CG512" s="72"/>
      <c r="CH512" s="72"/>
      <c r="CI512" s="72"/>
      <c r="CJ512" s="72"/>
      <c r="CK512" s="72"/>
      <c r="CL512" s="72"/>
      <c r="CM512" s="72"/>
      <c r="CN512" s="72"/>
      <c r="CO512" s="72"/>
      <c r="CP512" s="72"/>
      <c r="CQ512" s="72"/>
      <c r="CR512" s="72"/>
      <c r="CS512" s="72"/>
      <c r="CT512" s="72"/>
      <c r="CU512" s="72"/>
      <c r="CV512" s="72"/>
      <c r="CW512" s="72"/>
      <c r="CX512" s="72"/>
      <c r="CY512" s="72"/>
      <c r="CZ512" s="72"/>
      <c r="DA512" s="72"/>
      <c r="DB512" s="72"/>
      <c r="DC512" s="72"/>
      <c r="DD512" s="72"/>
      <c r="DE512" s="72"/>
      <c r="DF512" s="72"/>
      <c r="DG512" s="72"/>
      <c r="DH512" s="72"/>
      <c r="DI512" s="72"/>
      <c r="DJ512" s="72"/>
      <c r="DK512" s="72"/>
      <c r="DL512" s="72"/>
      <c r="DM512" s="72"/>
      <c r="DN512" s="72"/>
      <c r="DO512" s="72"/>
      <c r="DP512" s="72"/>
      <c r="DQ512" s="72"/>
      <c r="DR512" s="72"/>
      <c r="DS512" s="72"/>
      <c r="DT512" s="72"/>
      <c r="DU512" s="72"/>
      <c r="DV512" s="72"/>
      <c r="DW512" s="72"/>
      <c r="DX512" s="72"/>
      <c r="DY512" s="72"/>
      <c r="DZ512" s="72"/>
      <c r="EA512" s="72"/>
      <c r="EB512" s="72"/>
      <c r="EC512" s="72"/>
      <c r="ED512" s="72"/>
      <c r="EE512" s="72"/>
      <c r="EF512" s="72"/>
      <c r="EG512" s="72"/>
      <c r="EH512" s="72"/>
      <c r="EI512" s="129"/>
      <c r="EJ512" s="129"/>
      <c r="EK512" s="129"/>
      <c r="EL512" s="129"/>
      <c r="EM512" s="72"/>
      <c r="EN512" s="72"/>
      <c r="EO512" s="72"/>
      <c r="EP512" s="72"/>
      <c r="EQ512" s="72"/>
      <c r="ER512" s="72"/>
      <c r="ES512" s="72"/>
      <c r="ET512" s="72"/>
    </row>
    <row r="513">
      <c r="CD513" s="72"/>
      <c r="CE513" s="72"/>
      <c r="CF513" s="72"/>
      <c r="CG513" s="72"/>
      <c r="CH513" s="72"/>
      <c r="CI513" s="72"/>
      <c r="CJ513" s="72"/>
      <c r="CK513" s="72"/>
      <c r="CL513" s="72"/>
      <c r="CM513" s="72"/>
      <c r="CN513" s="72"/>
      <c r="CO513" s="72"/>
      <c r="CP513" s="72"/>
      <c r="CQ513" s="72"/>
      <c r="CR513" s="72"/>
      <c r="CS513" s="72"/>
      <c r="CT513" s="72"/>
      <c r="CU513" s="72"/>
      <c r="CV513" s="72"/>
      <c r="CW513" s="72"/>
      <c r="CX513" s="72"/>
      <c r="CY513" s="72"/>
      <c r="CZ513" s="72"/>
      <c r="DA513" s="72"/>
      <c r="DB513" s="72"/>
      <c r="DC513" s="72"/>
      <c r="DD513" s="72"/>
      <c r="DE513" s="72"/>
      <c r="DF513" s="72"/>
      <c r="DG513" s="72"/>
      <c r="DH513" s="72"/>
      <c r="DI513" s="72"/>
      <c r="DJ513" s="72"/>
      <c r="DK513" s="72"/>
      <c r="DL513" s="72"/>
      <c r="DM513" s="72"/>
      <c r="DN513" s="72"/>
      <c r="DO513" s="72"/>
      <c r="DP513" s="72"/>
      <c r="DQ513" s="72"/>
      <c r="DR513" s="72"/>
      <c r="DS513" s="72"/>
      <c r="DT513" s="72"/>
      <c r="DU513" s="72"/>
      <c r="DV513" s="72"/>
      <c r="DW513" s="72"/>
      <c r="DX513" s="72"/>
      <c r="DY513" s="72"/>
      <c r="DZ513" s="72"/>
      <c r="EA513" s="72"/>
      <c r="EB513" s="72"/>
      <c r="EC513" s="72"/>
      <c r="ED513" s="72"/>
      <c r="EE513" s="72"/>
      <c r="EF513" s="72"/>
      <c r="EG513" s="72"/>
      <c r="EH513" s="72"/>
      <c r="EI513" s="129"/>
      <c r="EJ513" s="129"/>
      <c r="EK513" s="129"/>
      <c r="EL513" s="129"/>
      <c r="EM513" s="72"/>
      <c r="EN513" s="72"/>
      <c r="EO513" s="72"/>
      <c r="EP513" s="72"/>
      <c r="EQ513" s="72"/>
      <c r="ER513" s="72"/>
      <c r="ES513" s="72"/>
      <c r="ET513" s="72"/>
    </row>
    <row r="514">
      <c r="CD514" s="72"/>
      <c r="CE514" s="72"/>
      <c r="CF514" s="72"/>
      <c r="CG514" s="72"/>
      <c r="CH514" s="72"/>
      <c r="CI514" s="72"/>
      <c r="CJ514" s="72"/>
      <c r="CK514" s="72"/>
      <c r="CL514" s="72"/>
      <c r="CM514" s="72"/>
      <c r="CN514" s="72"/>
      <c r="CO514" s="72"/>
      <c r="CP514" s="72"/>
      <c r="CQ514" s="72"/>
      <c r="CR514" s="72"/>
      <c r="CS514" s="72"/>
      <c r="CT514" s="72"/>
      <c r="CU514" s="72"/>
      <c r="CV514" s="72"/>
      <c r="CW514" s="72"/>
      <c r="CX514" s="72"/>
      <c r="CY514" s="72"/>
      <c r="CZ514" s="72"/>
      <c r="DA514" s="72"/>
      <c r="DB514" s="72"/>
      <c r="DC514" s="72"/>
      <c r="DD514" s="72"/>
      <c r="DE514" s="72"/>
      <c r="DF514" s="72"/>
      <c r="DG514" s="72"/>
      <c r="DH514" s="72"/>
      <c r="DI514" s="72"/>
      <c r="DJ514" s="72"/>
      <c r="DK514" s="72"/>
      <c r="DL514" s="72"/>
      <c r="DM514" s="72"/>
      <c r="DN514" s="72"/>
      <c r="DO514" s="72"/>
      <c r="DP514" s="72"/>
      <c r="DQ514" s="72"/>
      <c r="DR514" s="72"/>
      <c r="DS514" s="72"/>
      <c r="DT514" s="72"/>
      <c r="DU514" s="72"/>
      <c r="DV514" s="72"/>
      <c r="DW514" s="72"/>
      <c r="DX514" s="72"/>
      <c r="DY514" s="72"/>
      <c r="DZ514" s="72"/>
      <c r="EA514" s="72"/>
      <c r="EB514" s="72"/>
      <c r="EC514" s="72"/>
      <c r="ED514" s="72"/>
      <c r="EE514" s="72"/>
      <c r="EF514" s="72"/>
      <c r="EG514" s="72"/>
      <c r="EH514" s="72"/>
      <c r="EI514" s="129"/>
      <c r="EJ514" s="129"/>
      <c r="EK514" s="129"/>
      <c r="EL514" s="129"/>
      <c r="EM514" s="72"/>
      <c r="EN514" s="72"/>
      <c r="EO514" s="72"/>
      <c r="EP514" s="72"/>
      <c r="EQ514" s="72"/>
      <c r="ER514" s="72"/>
      <c r="ES514" s="72"/>
      <c r="ET514" s="72"/>
    </row>
    <row r="515">
      <c r="CD515" s="72"/>
      <c r="CE515" s="72"/>
      <c r="CF515" s="72"/>
      <c r="CG515" s="72"/>
      <c r="CH515" s="72"/>
      <c r="CI515" s="72"/>
      <c r="CJ515" s="72"/>
      <c r="CK515" s="72"/>
      <c r="CL515" s="72"/>
      <c r="CM515" s="72"/>
      <c r="CN515" s="72"/>
      <c r="CO515" s="72"/>
      <c r="CP515" s="72"/>
      <c r="CQ515" s="72"/>
      <c r="CR515" s="72"/>
      <c r="CS515" s="72"/>
      <c r="CT515" s="72"/>
      <c r="CU515" s="72"/>
      <c r="CV515" s="72"/>
      <c r="CW515" s="72"/>
      <c r="CX515" s="72"/>
      <c r="CY515" s="72"/>
      <c r="CZ515" s="72"/>
      <c r="DA515" s="72"/>
      <c r="DB515" s="72"/>
      <c r="DC515" s="72"/>
      <c r="DD515" s="72"/>
      <c r="DE515" s="72"/>
      <c r="DF515" s="72"/>
      <c r="DG515" s="72"/>
      <c r="DH515" s="72"/>
      <c r="DI515" s="72"/>
      <c r="DJ515" s="72"/>
      <c r="DK515" s="72"/>
      <c r="DL515" s="72"/>
      <c r="DM515" s="72"/>
      <c r="DN515" s="72"/>
      <c r="DO515" s="72"/>
      <c r="DP515" s="72"/>
      <c r="DQ515" s="72"/>
      <c r="DR515" s="72"/>
      <c r="DS515" s="72"/>
      <c r="DT515" s="72"/>
      <c r="DU515" s="72"/>
      <c r="DV515" s="72"/>
      <c r="DW515" s="72"/>
      <c r="DX515" s="72"/>
      <c r="DY515" s="72"/>
      <c r="DZ515" s="72"/>
      <c r="EA515" s="72"/>
      <c r="EB515" s="72"/>
      <c r="EC515" s="72"/>
      <c r="ED515" s="72"/>
      <c r="EE515" s="72"/>
      <c r="EF515" s="72"/>
      <c r="EG515" s="72"/>
      <c r="EH515" s="72"/>
      <c r="EI515" s="129"/>
      <c r="EJ515" s="129"/>
      <c r="EK515" s="129"/>
      <c r="EL515" s="129"/>
      <c r="EM515" s="72"/>
      <c r="EN515" s="72"/>
      <c r="EO515" s="72"/>
      <c r="EP515" s="72"/>
      <c r="EQ515" s="72"/>
      <c r="ER515" s="72"/>
      <c r="ES515" s="72"/>
      <c r="ET515" s="72"/>
    </row>
    <row r="516">
      <c r="CD516" s="72"/>
      <c r="CE516" s="72"/>
      <c r="CF516" s="72"/>
      <c r="CG516" s="72"/>
      <c r="CH516" s="72"/>
      <c r="CI516" s="72"/>
      <c r="CJ516" s="72"/>
      <c r="CK516" s="72"/>
      <c r="CL516" s="72"/>
      <c r="CM516" s="72"/>
      <c r="CN516" s="72"/>
      <c r="CO516" s="72"/>
      <c r="CP516" s="72"/>
      <c r="CQ516" s="72"/>
      <c r="CR516" s="72"/>
      <c r="CS516" s="72"/>
      <c r="CT516" s="72"/>
      <c r="CU516" s="72"/>
      <c r="CV516" s="72"/>
      <c r="CW516" s="72"/>
      <c r="CX516" s="72"/>
      <c r="CY516" s="72"/>
      <c r="CZ516" s="72"/>
      <c r="DA516" s="72"/>
      <c r="DB516" s="72"/>
      <c r="DC516" s="72"/>
      <c r="DD516" s="72"/>
      <c r="DE516" s="72"/>
      <c r="DF516" s="72"/>
      <c r="DG516" s="72"/>
      <c r="DH516" s="72"/>
      <c r="DI516" s="72"/>
      <c r="DJ516" s="72"/>
      <c r="DK516" s="72"/>
      <c r="DL516" s="72"/>
      <c r="DM516" s="72"/>
      <c r="DN516" s="72"/>
      <c r="DO516" s="72"/>
      <c r="DP516" s="72"/>
      <c r="DQ516" s="72"/>
      <c r="DR516" s="72"/>
      <c r="DS516" s="72"/>
      <c r="DT516" s="72"/>
      <c r="DU516" s="72"/>
      <c r="DV516" s="72"/>
      <c r="DW516" s="72"/>
      <c r="DX516" s="72"/>
      <c r="DY516" s="72"/>
      <c r="DZ516" s="72"/>
      <c r="EA516" s="72"/>
      <c r="EB516" s="72"/>
      <c r="EC516" s="72"/>
      <c r="ED516" s="72"/>
      <c r="EE516" s="72"/>
      <c r="EF516" s="72"/>
      <c r="EG516" s="72"/>
      <c r="EH516" s="72"/>
      <c r="EI516" s="129"/>
      <c r="EJ516" s="129"/>
      <c r="EK516" s="129"/>
      <c r="EL516" s="129"/>
      <c r="EM516" s="72"/>
      <c r="EN516" s="72"/>
      <c r="EO516" s="72"/>
      <c r="EP516" s="72"/>
      <c r="EQ516" s="72"/>
      <c r="ER516" s="72"/>
      <c r="ES516" s="72"/>
      <c r="ET516" s="72"/>
    </row>
    <row r="517">
      <c r="CD517" s="72"/>
      <c r="CE517" s="72"/>
      <c r="CF517" s="72"/>
      <c r="CG517" s="72"/>
      <c r="CH517" s="72"/>
      <c r="CI517" s="72"/>
      <c r="CJ517" s="72"/>
      <c r="CK517" s="72"/>
      <c r="CL517" s="72"/>
      <c r="CM517" s="72"/>
      <c r="CN517" s="72"/>
      <c r="CO517" s="72"/>
      <c r="CP517" s="72"/>
      <c r="CQ517" s="72"/>
      <c r="CR517" s="72"/>
      <c r="CS517" s="72"/>
      <c r="CT517" s="72"/>
      <c r="CU517" s="72"/>
      <c r="CV517" s="72"/>
      <c r="CW517" s="72"/>
      <c r="CX517" s="72"/>
      <c r="CY517" s="72"/>
      <c r="CZ517" s="72"/>
      <c r="DA517" s="72"/>
      <c r="DB517" s="72"/>
      <c r="DC517" s="72"/>
      <c r="DD517" s="72"/>
      <c r="DE517" s="72"/>
      <c r="DF517" s="72"/>
      <c r="DG517" s="72"/>
      <c r="DH517" s="72"/>
      <c r="DI517" s="72"/>
      <c r="DJ517" s="72"/>
      <c r="DK517" s="72"/>
      <c r="DL517" s="72"/>
      <c r="DM517" s="72"/>
      <c r="DN517" s="72"/>
      <c r="DO517" s="72"/>
      <c r="DP517" s="72"/>
      <c r="DQ517" s="72"/>
      <c r="DR517" s="72"/>
      <c r="DS517" s="72"/>
      <c r="DT517" s="72"/>
      <c r="DU517" s="72"/>
      <c r="DV517" s="72"/>
      <c r="DW517" s="72"/>
      <c r="DX517" s="72"/>
      <c r="DY517" s="72"/>
      <c r="DZ517" s="72"/>
      <c r="EA517" s="72"/>
      <c r="EB517" s="72"/>
      <c r="EC517" s="72"/>
      <c r="ED517" s="72"/>
      <c r="EE517" s="72"/>
      <c r="EF517" s="72"/>
      <c r="EG517" s="72"/>
      <c r="EH517" s="72"/>
      <c r="EI517" s="129"/>
      <c r="EJ517" s="129"/>
      <c r="EK517" s="129"/>
      <c r="EL517" s="129"/>
      <c r="EM517" s="72"/>
      <c r="EN517" s="72"/>
      <c r="EO517" s="72"/>
      <c r="EP517" s="72"/>
      <c r="EQ517" s="72"/>
      <c r="ER517" s="72"/>
      <c r="ES517" s="72"/>
      <c r="ET517" s="72"/>
    </row>
    <row r="518">
      <c r="CD518" s="72"/>
      <c r="CE518" s="72"/>
      <c r="CF518" s="72"/>
      <c r="CG518" s="72"/>
      <c r="CH518" s="72"/>
      <c r="CI518" s="72"/>
      <c r="CJ518" s="72"/>
      <c r="CK518" s="72"/>
      <c r="CL518" s="72"/>
      <c r="CM518" s="72"/>
      <c r="CN518" s="72"/>
      <c r="CO518" s="72"/>
      <c r="CP518" s="72"/>
      <c r="CQ518" s="72"/>
      <c r="CR518" s="72"/>
      <c r="CS518" s="72"/>
      <c r="CT518" s="72"/>
      <c r="CU518" s="72"/>
      <c r="CV518" s="72"/>
      <c r="CW518" s="72"/>
      <c r="CX518" s="72"/>
      <c r="CY518" s="72"/>
      <c r="CZ518" s="72"/>
      <c r="DA518" s="72"/>
      <c r="DB518" s="72"/>
      <c r="DC518" s="72"/>
      <c r="DD518" s="72"/>
      <c r="DE518" s="72"/>
      <c r="DF518" s="72"/>
      <c r="DG518" s="72"/>
      <c r="DH518" s="72"/>
      <c r="DI518" s="72"/>
      <c r="DJ518" s="72"/>
      <c r="DK518" s="72"/>
      <c r="DL518" s="72"/>
      <c r="DM518" s="72"/>
      <c r="DN518" s="72"/>
      <c r="DO518" s="72"/>
      <c r="DP518" s="72"/>
      <c r="DQ518" s="72"/>
      <c r="DR518" s="72"/>
      <c r="DS518" s="72"/>
      <c r="DT518" s="72"/>
      <c r="DU518" s="72"/>
      <c r="DV518" s="72"/>
      <c r="DW518" s="72"/>
      <c r="DX518" s="72"/>
      <c r="DY518" s="72"/>
      <c r="DZ518" s="72"/>
      <c r="EA518" s="72"/>
      <c r="EB518" s="72"/>
      <c r="EC518" s="72"/>
      <c r="ED518" s="72"/>
      <c r="EE518" s="72"/>
      <c r="EF518" s="72"/>
      <c r="EG518" s="72"/>
      <c r="EH518" s="72"/>
      <c r="EI518" s="129"/>
      <c r="EJ518" s="129"/>
      <c r="EK518" s="129"/>
      <c r="EL518" s="129"/>
      <c r="EM518" s="72"/>
      <c r="EN518" s="72"/>
      <c r="EO518" s="72"/>
      <c r="EP518" s="72"/>
      <c r="EQ518" s="72"/>
      <c r="ER518" s="72"/>
      <c r="ES518" s="72"/>
      <c r="ET518" s="72"/>
    </row>
    <row r="519">
      <c r="CD519" s="72"/>
      <c r="CE519" s="72"/>
      <c r="CF519" s="72"/>
      <c r="CG519" s="72"/>
      <c r="CH519" s="72"/>
      <c r="CI519" s="72"/>
      <c r="CJ519" s="72"/>
      <c r="CK519" s="72"/>
      <c r="CL519" s="72"/>
      <c r="CM519" s="72"/>
      <c r="CN519" s="72"/>
      <c r="CO519" s="72"/>
      <c r="CP519" s="72"/>
      <c r="CQ519" s="72"/>
      <c r="CR519" s="72"/>
      <c r="CS519" s="72"/>
      <c r="CT519" s="72"/>
      <c r="CU519" s="72"/>
      <c r="CV519" s="72"/>
      <c r="CW519" s="72"/>
      <c r="CX519" s="72"/>
      <c r="CY519" s="72"/>
      <c r="CZ519" s="72"/>
      <c r="DA519" s="72"/>
      <c r="DB519" s="72"/>
      <c r="DC519" s="72"/>
      <c r="DD519" s="72"/>
      <c r="DE519" s="72"/>
      <c r="DF519" s="72"/>
      <c r="DG519" s="72"/>
      <c r="DH519" s="72"/>
      <c r="DI519" s="72"/>
      <c r="DJ519" s="72"/>
      <c r="DK519" s="72"/>
      <c r="DL519" s="72"/>
      <c r="DM519" s="72"/>
      <c r="DN519" s="72"/>
      <c r="DO519" s="72"/>
      <c r="DP519" s="72"/>
      <c r="DQ519" s="72"/>
      <c r="DR519" s="72"/>
      <c r="DS519" s="72"/>
      <c r="DT519" s="72"/>
      <c r="DU519" s="72"/>
      <c r="DV519" s="72"/>
      <c r="DW519" s="72"/>
      <c r="DX519" s="72"/>
      <c r="DY519" s="72"/>
      <c r="DZ519" s="72"/>
      <c r="EA519" s="72"/>
      <c r="EB519" s="72"/>
      <c r="EC519" s="72"/>
      <c r="ED519" s="72"/>
      <c r="EE519" s="72"/>
      <c r="EF519" s="72"/>
      <c r="EG519" s="72"/>
      <c r="EH519" s="72"/>
      <c r="EI519" s="129"/>
      <c r="EJ519" s="129"/>
      <c r="EK519" s="129"/>
      <c r="EL519" s="129"/>
      <c r="EM519" s="72"/>
      <c r="EN519" s="72"/>
      <c r="EO519" s="72"/>
      <c r="EP519" s="72"/>
      <c r="EQ519" s="72"/>
      <c r="ER519" s="72"/>
      <c r="ES519" s="72"/>
      <c r="ET519" s="72"/>
    </row>
    <row r="520"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72"/>
      <c r="CY520" s="72"/>
      <c r="CZ520" s="72"/>
      <c r="DA520" s="72"/>
      <c r="DB520" s="72"/>
      <c r="DC520" s="72"/>
      <c r="DD520" s="72"/>
      <c r="DE520" s="72"/>
      <c r="DF520" s="72"/>
      <c r="DG520" s="72"/>
      <c r="DH520" s="72"/>
      <c r="DI520" s="72"/>
      <c r="DJ520" s="72"/>
      <c r="DK520" s="72"/>
      <c r="DL520" s="72"/>
      <c r="DM520" s="72"/>
      <c r="DN520" s="72"/>
      <c r="DO520" s="72"/>
      <c r="DP520" s="72"/>
      <c r="DQ520" s="72"/>
      <c r="DR520" s="72"/>
      <c r="DS520" s="72"/>
      <c r="DT520" s="72"/>
      <c r="DU520" s="72"/>
      <c r="DV520" s="72"/>
      <c r="DW520" s="72"/>
      <c r="DX520" s="72"/>
      <c r="DY520" s="72"/>
      <c r="DZ520" s="72"/>
      <c r="EA520" s="72"/>
      <c r="EB520" s="72"/>
      <c r="EC520" s="72"/>
      <c r="ED520" s="72"/>
      <c r="EE520" s="72"/>
      <c r="EF520" s="72"/>
      <c r="EG520" s="72"/>
      <c r="EH520" s="72"/>
      <c r="EI520" s="129"/>
      <c r="EJ520" s="129"/>
      <c r="EK520" s="129"/>
      <c r="EL520" s="129"/>
      <c r="EM520" s="72"/>
      <c r="EN520" s="72"/>
      <c r="EO520" s="72"/>
      <c r="EP520" s="72"/>
      <c r="EQ520" s="72"/>
      <c r="ER520" s="72"/>
      <c r="ES520" s="72"/>
      <c r="ET520" s="72"/>
    </row>
    <row r="521">
      <c r="CD521" s="72"/>
      <c r="CE521" s="72"/>
      <c r="CF521" s="72"/>
      <c r="CG521" s="72"/>
      <c r="CH521" s="72"/>
      <c r="CI521" s="72"/>
      <c r="CJ521" s="72"/>
      <c r="CK521" s="72"/>
      <c r="CL521" s="72"/>
      <c r="CM521" s="72"/>
      <c r="CN521" s="72"/>
      <c r="CO521" s="72"/>
      <c r="CP521" s="72"/>
      <c r="CQ521" s="72"/>
      <c r="CR521" s="72"/>
      <c r="CS521" s="72"/>
      <c r="CT521" s="72"/>
      <c r="CU521" s="72"/>
      <c r="CV521" s="72"/>
      <c r="CW521" s="72"/>
      <c r="CX521" s="72"/>
      <c r="CY521" s="72"/>
      <c r="CZ521" s="72"/>
      <c r="DA521" s="72"/>
      <c r="DB521" s="72"/>
      <c r="DC521" s="72"/>
      <c r="DD521" s="72"/>
      <c r="DE521" s="72"/>
      <c r="DF521" s="72"/>
      <c r="DG521" s="72"/>
      <c r="DH521" s="72"/>
      <c r="DI521" s="72"/>
      <c r="DJ521" s="72"/>
      <c r="DK521" s="72"/>
      <c r="DL521" s="72"/>
      <c r="DM521" s="72"/>
      <c r="DN521" s="72"/>
      <c r="DO521" s="72"/>
      <c r="DP521" s="72"/>
      <c r="DQ521" s="72"/>
      <c r="DR521" s="72"/>
      <c r="DS521" s="72"/>
      <c r="DT521" s="72"/>
      <c r="DU521" s="72"/>
      <c r="DV521" s="72"/>
      <c r="DW521" s="72"/>
      <c r="DX521" s="72"/>
      <c r="DY521" s="72"/>
      <c r="DZ521" s="72"/>
      <c r="EA521" s="72"/>
      <c r="EB521" s="72"/>
      <c r="EC521" s="72"/>
      <c r="ED521" s="72"/>
      <c r="EE521" s="72"/>
      <c r="EF521" s="72"/>
      <c r="EG521" s="72"/>
      <c r="EH521" s="72"/>
      <c r="EI521" s="129"/>
      <c r="EJ521" s="129"/>
      <c r="EK521" s="129"/>
      <c r="EL521" s="129"/>
      <c r="EM521" s="72"/>
      <c r="EN521" s="72"/>
      <c r="EO521" s="72"/>
      <c r="EP521" s="72"/>
      <c r="EQ521" s="72"/>
      <c r="ER521" s="72"/>
      <c r="ES521" s="72"/>
      <c r="ET521" s="72"/>
    </row>
    <row r="522">
      <c r="CD522" s="72"/>
      <c r="CE522" s="72"/>
      <c r="CF522" s="72"/>
      <c r="CG522" s="72"/>
      <c r="CH522" s="72"/>
      <c r="CI522" s="72"/>
      <c r="CJ522" s="72"/>
      <c r="CK522" s="72"/>
      <c r="CL522" s="72"/>
      <c r="CM522" s="72"/>
      <c r="CN522" s="72"/>
      <c r="CO522" s="72"/>
      <c r="CP522" s="72"/>
      <c r="CQ522" s="72"/>
      <c r="CR522" s="72"/>
      <c r="CS522" s="72"/>
      <c r="CT522" s="72"/>
      <c r="CU522" s="72"/>
      <c r="CV522" s="72"/>
      <c r="CW522" s="72"/>
      <c r="CX522" s="72"/>
      <c r="CY522" s="72"/>
      <c r="CZ522" s="72"/>
      <c r="DA522" s="72"/>
      <c r="DB522" s="72"/>
      <c r="DC522" s="72"/>
      <c r="DD522" s="72"/>
      <c r="DE522" s="72"/>
      <c r="DF522" s="72"/>
      <c r="DG522" s="72"/>
      <c r="DH522" s="72"/>
      <c r="DI522" s="72"/>
      <c r="DJ522" s="72"/>
      <c r="DK522" s="72"/>
      <c r="DL522" s="72"/>
      <c r="DM522" s="72"/>
      <c r="DN522" s="72"/>
      <c r="DO522" s="72"/>
      <c r="DP522" s="72"/>
      <c r="DQ522" s="72"/>
      <c r="DR522" s="72"/>
      <c r="DS522" s="72"/>
      <c r="DT522" s="72"/>
      <c r="DU522" s="72"/>
      <c r="DV522" s="72"/>
      <c r="DW522" s="72"/>
      <c r="DX522" s="72"/>
      <c r="DY522" s="72"/>
      <c r="DZ522" s="72"/>
      <c r="EA522" s="72"/>
      <c r="EB522" s="72"/>
      <c r="EC522" s="72"/>
      <c r="ED522" s="72"/>
      <c r="EE522" s="72"/>
      <c r="EF522" s="72"/>
      <c r="EG522" s="72"/>
      <c r="EH522" s="72"/>
      <c r="EI522" s="129"/>
      <c r="EJ522" s="129"/>
      <c r="EK522" s="129"/>
      <c r="EL522" s="129"/>
      <c r="EM522" s="72"/>
      <c r="EN522" s="72"/>
      <c r="EO522" s="72"/>
      <c r="EP522" s="72"/>
      <c r="EQ522" s="72"/>
      <c r="ER522" s="72"/>
      <c r="ES522" s="72"/>
      <c r="ET522" s="72"/>
    </row>
    <row r="523">
      <c r="CD523" s="72"/>
      <c r="CE523" s="72"/>
      <c r="CF523" s="72"/>
      <c r="CG523" s="72"/>
      <c r="CH523" s="72"/>
      <c r="CI523" s="72"/>
      <c r="CJ523" s="72"/>
      <c r="CK523" s="72"/>
      <c r="CL523" s="72"/>
      <c r="CM523" s="72"/>
      <c r="CN523" s="72"/>
      <c r="CO523" s="72"/>
      <c r="CP523" s="72"/>
      <c r="CQ523" s="72"/>
      <c r="CR523" s="72"/>
      <c r="CS523" s="72"/>
      <c r="CT523" s="72"/>
      <c r="CU523" s="72"/>
      <c r="CV523" s="72"/>
      <c r="CW523" s="72"/>
      <c r="CX523" s="72"/>
      <c r="CY523" s="72"/>
      <c r="CZ523" s="72"/>
      <c r="DA523" s="72"/>
      <c r="DB523" s="72"/>
      <c r="DC523" s="72"/>
      <c r="DD523" s="72"/>
      <c r="DE523" s="72"/>
      <c r="DF523" s="72"/>
      <c r="DG523" s="72"/>
      <c r="DH523" s="72"/>
      <c r="DI523" s="72"/>
      <c r="DJ523" s="72"/>
      <c r="DK523" s="72"/>
      <c r="DL523" s="72"/>
      <c r="DM523" s="72"/>
      <c r="DN523" s="72"/>
      <c r="DO523" s="72"/>
      <c r="DP523" s="72"/>
      <c r="DQ523" s="72"/>
      <c r="DR523" s="72"/>
      <c r="DS523" s="72"/>
      <c r="DT523" s="72"/>
      <c r="DU523" s="72"/>
      <c r="DV523" s="72"/>
      <c r="DW523" s="72"/>
      <c r="DX523" s="72"/>
      <c r="DY523" s="72"/>
      <c r="DZ523" s="72"/>
      <c r="EA523" s="72"/>
      <c r="EB523" s="72"/>
      <c r="EC523" s="72"/>
      <c r="ED523" s="72"/>
      <c r="EE523" s="72"/>
      <c r="EF523" s="72"/>
      <c r="EG523" s="72"/>
      <c r="EH523" s="72"/>
      <c r="EI523" s="129"/>
      <c r="EJ523" s="129"/>
      <c r="EK523" s="129"/>
      <c r="EL523" s="129"/>
      <c r="EM523" s="72"/>
      <c r="EN523" s="72"/>
      <c r="EO523" s="72"/>
      <c r="EP523" s="72"/>
      <c r="EQ523" s="72"/>
      <c r="ER523" s="72"/>
      <c r="ES523" s="72"/>
      <c r="ET523" s="72"/>
    </row>
    <row r="524">
      <c r="CD524" s="72"/>
      <c r="CE524" s="72"/>
      <c r="CF524" s="72"/>
      <c r="CG524" s="72"/>
      <c r="CH524" s="72"/>
      <c r="CI524" s="72"/>
      <c r="CJ524" s="72"/>
      <c r="CK524" s="72"/>
      <c r="CL524" s="72"/>
      <c r="CM524" s="72"/>
      <c r="CN524" s="72"/>
      <c r="CO524" s="72"/>
      <c r="CP524" s="72"/>
      <c r="CQ524" s="72"/>
      <c r="CR524" s="72"/>
      <c r="CS524" s="72"/>
      <c r="CT524" s="72"/>
      <c r="CU524" s="72"/>
      <c r="CV524" s="72"/>
      <c r="CW524" s="72"/>
      <c r="CX524" s="72"/>
      <c r="CY524" s="72"/>
      <c r="CZ524" s="72"/>
      <c r="DA524" s="72"/>
      <c r="DB524" s="72"/>
      <c r="DC524" s="72"/>
      <c r="DD524" s="72"/>
      <c r="DE524" s="72"/>
      <c r="DF524" s="72"/>
      <c r="DG524" s="72"/>
      <c r="DH524" s="72"/>
      <c r="DI524" s="72"/>
      <c r="DJ524" s="72"/>
      <c r="DK524" s="72"/>
      <c r="DL524" s="72"/>
      <c r="DM524" s="72"/>
      <c r="DN524" s="72"/>
      <c r="DO524" s="72"/>
      <c r="DP524" s="72"/>
      <c r="DQ524" s="72"/>
      <c r="DR524" s="72"/>
      <c r="DS524" s="72"/>
      <c r="DT524" s="72"/>
      <c r="DU524" s="72"/>
      <c r="DV524" s="72"/>
      <c r="DW524" s="72"/>
      <c r="DX524" s="72"/>
      <c r="DY524" s="72"/>
      <c r="DZ524" s="72"/>
      <c r="EA524" s="72"/>
      <c r="EB524" s="72"/>
      <c r="EC524" s="72"/>
      <c r="ED524" s="72"/>
      <c r="EE524" s="72"/>
      <c r="EF524" s="72"/>
      <c r="EG524" s="72"/>
      <c r="EH524" s="72"/>
      <c r="EI524" s="129"/>
      <c r="EJ524" s="129"/>
      <c r="EK524" s="129"/>
      <c r="EL524" s="129"/>
      <c r="EM524" s="72"/>
      <c r="EN524" s="72"/>
      <c r="EO524" s="72"/>
      <c r="EP524" s="72"/>
      <c r="EQ524" s="72"/>
      <c r="ER524" s="72"/>
      <c r="ES524" s="72"/>
      <c r="ET524" s="72"/>
    </row>
    <row r="525">
      <c r="CD525" s="72"/>
      <c r="CE525" s="72"/>
      <c r="CF525" s="72"/>
      <c r="CG525" s="72"/>
      <c r="CH525" s="72"/>
      <c r="CI525" s="72"/>
      <c r="CJ525" s="72"/>
      <c r="CK525" s="72"/>
      <c r="CL525" s="72"/>
      <c r="CM525" s="72"/>
      <c r="CN525" s="72"/>
      <c r="CO525" s="72"/>
      <c r="CP525" s="72"/>
      <c r="CQ525" s="72"/>
      <c r="CR525" s="72"/>
      <c r="CS525" s="72"/>
      <c r="CT525" s="72"/>
      <c r="CU525" s="72"/>
      <c r="CV525" s="72"/>
      <c r="CW525" s="72"/>
      <c r="CX525" s="72"/>
      <c r="CY525" s="72"/>
      <c r="CZ525" s="72"/>
      <c r="DA525" s="72"/>
      <c r="DB525" s="72"/>
      <c r="DC525" s="72"/>
      <c r="DD525" s="72"/>
      <c r="DE525" s="72"/>
      <c r="DF525" s="72"/>
      <c r="DG525" s="72"/>
      <c r="DH525" s="72"/>
      <c r="DI525" s="72"/>
      <c r="DJ525" s="72"/>
      <c r="DK525" s="72"/>
      <c r="DL525" s="72"/>
      <c r="DM525" s="72"/>
      <c r="DN525" s="72"/>
      <c r="DO525" s="72"/>
      <c r="DP525" s="72"/>
      <c r="DQ525" s="72"/>
      <c r="DR525" s="72"/>
      <c r="DS525" s="72"/>
      <c r="DT525" s="72"/>
      <c r="DU525" s="72"/>
      <c r="DV525" s="72"/>
      <c r="DW525" s="72"/>
      <c r="DX525" s="72"/>
      <c r="DY525" s="72"/>
      <c r="DZ525" s="72"/>
      <c r="EA525" s="72"/>
      <c r="EB525" s="72"/>
      <c r="EC525" s="72"/>
      <c r="ED525" s="72"/>
      <c r="EE525" s="72"/>
      <c r="EF525" s="72"/>
      <c r="EG525" s="72"/>
      <c r="EH525" s="72"/>
      <c r="EI525" s="129"/>
      <c r="EJ525" s="129"/>
      <c r="EK525" s="129"/>
      <c r="EL525" s="129"/>
      <c r="EM525" s="72"/>
      <c r="EN525" s="72"/>
      <c r="EO525" s="72"/>
      <c r="EP525" s="72"/>
      <c r="EQ525" s="72"/>
      <c r="ER525" s="72"/>
      <c r="ES525" s="72"/>
      <c r="ET525" s="72"/>
    </row>
    <row r="526">
      <c r="CD526" s="72"/>
      <c r="CE526" s="72"/>
      <c r="CF526" s="72"/>
      <c r="CG526" s="72"/>
      <c r="CH526" s="72"/>
      <c r="CI526" s="72"/>
      <c r="CJ526" s="72"/>
      <c r="CK526" s="72"/>
      <c r="CL526" s="72"/>
      <c r="CM526" s="72"/>
      <c r="CN526" s="72"/>
      <c r="CO526" s="72"/>
      <c r="CP526" s="72"/>
      <c r="CQ526" s="72"/>
      <c r="CR526" s="72"/>
      <c r="CS526" s="72"/>
      <c r="CT526" s="72"/>
      <c r="CU526" s="72"/>
      <c r="CV526" s="72"/>
      <c r="CW526" s="72"/>
      <c r="CX526" s="72"/>
      <c r="CY526" s="72"/>
      <c r="CZ526" s="72"/>
      <c r="DA526" s="72"/>
      <c r="DB526" s="72"/>
      <c r="DC526" s="72"/>
      <c r="DD526" s="72"/>
      <c r="DE526" s="72"/>
      <c r="DF526" s="72"/>
      <c r="DG526" s="72"/>
      <c r="DH526" s="72"/>
      <c r="DI526" s="72"/>
      <c r="DJ526" s="72"/>
      <c r="DK526" s="72"/>
      <c r="DL526" s="72"/>
      <c r="DM526" s="72"/>
      <c r="DN526" s="72"/>
      <c r="DO526" s="72"/>
      <c r="DP526" s="72"/>
      <c r="DQ526" s="72"/>
      <c r="DR526" s="72"/>
      <c r="DS526" s="72"/>
      <c r="DT526" s="72"/>
      <c r="DU526" s="72"/>
      <c r="DV526" s="72"/>
      <c r="DW526" s="72"/>
      <c r="DX526" s="72"/>
      <c r="DY526" s="72"/>
      <c r="DZ526" s="72"/>
      <c r="EA526" s="72"/>
      <c r="EB526" s="72"/>
      <c r="EC526" s="72"/>
      <c r="ED526" s="72"/>
      <c r="EE526" s="72"/>
      <c r="EF526" s="72"/>
      <c r="EG526" s="72"/>
      <c r="EH526" s="72"/>
      <c r="EI526" s="129"/>
      <c r="EJ526" s="129"/>
      <c r="EK526" s="129"/>
      <c r="EL526" s="129"/>
      <c r="EM526" s="72"/>
      <c r="EN526" s="72"/>
      <c r="EO526" s="72"/>
      <c r="EP526" s="72"/>
      <c r="EQ526" s="72"/>
      <c r="ER526" s="72"/>
      <c r="ES526" s="72"/>
      <c r="ET526" s="72"/>
    </row>
    <row r="527">
      <c r="CD527" s="72"/>
      <c r="CE527" s="72"/>
      <c r="CF527" s="72"/>
      <c r="CG527" s="72"/>
      <c r="CH527" s="72"/>
      <c r="CI527" s="72"/>
      <c r="CJ527" s="72"/>
      <c r="CK527" s="72"/>
      <c r="CL527" s="72"/>
      <c r="CM527" s="72"/>
      <c r="CN527" s="72"/>
      <c r="CO527" s="72"/>
      <c r="CP527" s="72"/>
      <c r="CQ527" s="72"/>
      <c r="CR527" s="72"/>
      <c r="CS527" s="72"/>
      <c r="CT527" s="72"/>
      <c r="CU527" s="72"/>
      <c r="CV527" s="72"/>
      <c r="CW527" s="72"/>
      <c r="CX527" s="72"/>
      <c r="CY527" s="72"/>
      <c r="CZ527" s="72"/>
      <c r="DA527" s="72"/>
      <c r="DB527" s="72"/>
      <c r="DC527" s="72"/>
      <c r="DD527" s="72"/>
      <c r="DE527" s="72"/>
      <c r="DF527" s="72"/>
      <c r="DG527" s="72"/>
      <c r="DH527" s="72"/>
      <c r="DI527" s="72"/>
      <c r="DJ527" s="72"/>
      <c r="DK527" s="72"/>
      <c r="DL527" s="72"/>
      <c r="DM527" s="72"/>
      <c r="DN527" s="72"/>
      <c r="DO527" s="72"/>
      <c r="DP527" s="72"/>
      <c r="DQ527" s="72"/>
      <c r="DR527" s="72"/>
      <c r="DS527" s="72"/>
      <c r="DT527" s="72"/>
      <c r="DU527" s="72"/>
      <c r="DV527" s="72"/>
      <c r="DW527" s="72"/>
      <c r="DX527" s="72"/>
      <c r="DY527" s="72"/>
      <c r="DZ527" s="72"/>
      <c r="EA527" s="72"/>
      <c r="EB527" s="72"/>
      <c r="EC527" s="72"/>
      <c r="ED527" s="72"/>
      <c r="EE527" s="72"/>
      <c r="EF527" s="72"/>
      <c r="EG527" s="72"/>
      <c r="EH527" s="72"/>
      <c r="EI527" s="129"/>
      <c r="EJ527" s="129"/>
      <c r="EK527" s="129"/>
      <c r="EL527" s="129"/>
      <c r="EM527" s="72"/>
      <c r="EN527" s="72"/>
      <c r="EO527" s="72"/>
      <c r="EP527" s="72"/>
      <c r="EQ527" s="72"/>
      <c r="ER527" s="72"/>
      <c r="ES527" s="72"/>
      <c r="ET527" s="72"/>
    </row>
    <row r="528">
      <c r="CD528" s="72"/>
      <c r="CE528" s="72"/>
      <c r="CF528" s="72"/>
      <c r="CG528" s="72"/>
      <c r="CH528" s="72"/>
      <c r="CI528" s="72"/>
      <c r="CJ528" s="72"/>
      <c r="CK528" s="72"/>
      <c r="CL528" s="72"/>
      <c r="CM528" s="72"/>
      <c r="CN528" s="72"/>
      <c r="CO528" s="72"/>
      <c r="CP528" s="72"/>
      <c r="CQ528" s="72"/>
      <c r="CR528" s="72"/>
      <c r="CS528" s="72"/>
      <c r="CT528" s="72"/>
      <c r="CU528" s="72"/>
      <c r="CV528" s="72"/>
      <c r="CW528" s="72"/>
      <c r="CX528" s="72"/>
      <c r="CY528" s="72"/>
      <c r="CZ528" s="72"/>
      <c r="DA528" s="72"/>
      <c r="DB528" s="72"/>
      <c r="DC528" s="72"/>
      <c r="DD528" s="72"/>
      <c r="DE528" s="72"/>
      <c r="DF528" s="72"/>
      <c r="DG528" s="72"/>
      <c r="DH528" s="72"/>
      <c r="DI528" s="72"/>
      <c r="DJ528" s="72"/>
      <c r="DK528" s="72"/>
      <c r="DL528" s="72"/>
      <c r="DM528" s="72"/>
      <c r="DN528" s="72"/>
      <c r="DO528" s="72"/>
      <c r="DP528" s="72"/>
      <c r="DQ528" s="72"/>
      <c r="DR528" s="72"/>
      <c r="DS528" s="72"/>
      <c r="DT528" s="72"/>
      <c r="DU528" s="72"/>
      <c r="DV528" s="72"/>
      <c r="DW528" s="72"/>
      <c r="DX528" s="72"/>
      <c r="DY528" s="72"/>
      <c r="DZ528" s="72"/>
      <c r="EA528" s="72"/>
      <c r="EB528" s="72"/>
      <c r="EC528" s="72"/>
      <c r="ED528" s="72"/>
      <c r="EE528" s="72"/>
      <c r="EF528" s="72"/>
      <c r="EG528" s="72"/>
      <c r="EH528" s="72"/>
      <c r="EI528" s="129"/>
      <c r="EJ528" s="129"/>
      <c r="EK528" s="129"/>
      <c r="EL528" s="129"/>
      <c r="EM528" s="72"/>
      <c r="EN528" s="72"/>
      <c r="EO528" s="72"/>
      <c r="EP528" s="72"/>
      <c r="EQ528" s="72"/>
      <c r="ER528" s="72"/>
      <c r="ES528" s="72"/>
      <c r="ET528" s="72"/>
    </row>
    <row r="529">
      <c r="CD529" s="72"/>
      <c r="CE529" s="72"/>
      <c r="CF529" s="72"/>
      <c r="CG529" s="72"/>
      <c r="CH529" s="72"/>
      <c r="CI529" s="72"/>
      <c r="CJ529" s="72"/>
      <c r="CK529" s="72"/>
      <c r="CL529" s="72"/>
      <c r="CM529" s="72"/>
      <c r="CN529" s="72"/>
      <c r="CO529" s="72"/>
      <c r="CP529" s="72"/>
      <c r="CQ529" s="72"/>
      <c r="CR529" s="72"/>
      <c r="CS529" s="72"/>
      <c r="CT529" s="72"/>
      <c r="CU529" s="72"/>
      <c r="CV529" s="72"/>
      <c r="CW529" s="72"/>
      <c r="CX529" s="72"/>
      <c r="CY529" s="72"/>
      <c r="CZ529" s="72"/>
      <c r="DA529" s="72"/>
      <c r="DB529" s="72"/>
      <c r="DC529" s="72"/>
      <c r="DD529" s="72"/>
      <c r="DE529" s="72"/>
      <c r="DF529" s="72"/>
      <c r="DG529" s="72"/>
      <c r="DH529" s="72"/>
      <c r="DI529" s="72"/>
      <c r="DJ529" s="72"/>
      <c r="DK529" s="72"/>
      <c r="DL529" s="72"/>
      <c r="DM529" s="72"/>
      <c r="DN529" s="72"/>
      <c r="DO529" s="72"/>
      <c r="DP529" s="72"/>
      <c r="DQ529" s="72"/>
      <c r="DR529" s="72"/>
      <c r="DS529" s="72"/>
      <c r="DT529" s="72"/>
      <c r="DU529" s="72"/>
      <c r="DV529" s="72"/>
      <c r="DW529" s="72"/>
      <c r="DX529" s="72"/>
      <c r="DY529" s="72"/>
      <c r="DZ529" s="72"/>
      <c r="EA529" s="72"/>
      <c r="EB529" s="72"/>
      <c r="EC529" s="72"/>
      <c r="ED529" s="72"/>
      <c r="EE529" s="72"/>
      <c r="EF529" s="72"/>
      <c r="EG529" s="72"/>
      <c r="EH529" s="72"/>
      <c r="EI529" s="129"/>
      <c r="EJ529" s="129"/>
      <c r="EK529" s="129"/>
      <c r="EL529" s="129"/>
      <c r="EM529" s="72"/>
      <c r="EN529" s="72"/>
      <c r="EO529" s="72"/>
      <c r="EP529" s="72"/>
      <c r="EQ529" s="72"/>
      <c r="ER529" s="72"/>
      <c r="ES529" s="72"/>
      <c r="ET529" s="72"/>
    </row>
    <row r="530">
      <c r="CD530" s="72"/>
      <c r="CE530" s="72"/>
      <c r="CF530" s="72"/>
      <c r="CG530" s="72"/>
      <c r="CH530" s="72"/>
      <c r="CI530" s="72"/>
      <c r="CJ530" s="72"/>
      <c r="CK530" s="72"/>
      <c r="CL530" s="72"/>
      <c r="CM530" s="72"/>
      <c r="CN530" s="72"/>
      <c r="CO530" s="72"/>
      <c r="CP530" s="72"/>
      <c r="CQ530" s="72"/>
      <c r="CR530" s="72"/>
      <c r="CS530" s="72"/>
      <c r="CT530" s="72"/>
      <c r="CU530" s="72"/>
      <c r="CV530" s="72"/>
      <c r="CW530" s="72"/>
      <c r="CX530" s="72"/>
      <c r="CY530" s="72"/>
      <c r="CZ530" s="72"/>
      <c r="DA530" s="72"/>
      <c r="DB530" s="72"/>
      <c r="DC530" s="72"/>
      <c r="DD530" s="72"/>
      <c r="DE530" s="72"/>
      <c r="DF530" s="72"/>
      <c r="DG530" s="72"/>
      <c r="DH530" s="72"/>
      <c r="DI530" s="72"/>
      <c r="DJ530" s="72"/>
      <c r="DK530" s="72"/>
      <c r="DL530" s="72"/>
      <c r="DM530" s="72"/>
      <c r="DN530" s="72"/>
      <c r="DO530" s="72"/>
      <c r="DP530" s="72"/>
      <c r="DQ530" s="72"/>
      <c r="DR530" s="72"/>
      <c r="DS530" s="72"/>
      <c r="DT530" s="72"/>
      <c r="DU530" s="72"/>
      <c r="DV530" s="72"/>
      <c r="DW530" s="72"/>
      <c r="DX530" s="72"/>
      <c r="DY530" s="72"/>
      <c r="DZ530" s="72"/>
      <c r="EA530" s="72"/>
      <c r="EB530" s="72"/>
      <c r="EC530" s="72"/>
      <c r="ED530" s="72"/>
      <c r="EE530" s="72"/>
      <c r="EF530" s="72"/>
      <c r="EG530" s="72"/>
      <c r="EH530" s="72"/>
      <c r="EI530" s="129"/>
      <c r="EJ530" s="129"/>
      <c r="EK530" s="129"/>
      <c r="EL530" s="129"/>
      <c r="EM530" s="72"/>
      <c r="EN530" s="72"/>
      <c r="EO530" s="72"/>
      <c r="EP530" s="72"/>
      <c r="EQ530" s="72"/>
      <c r="ER530" s="72"/>
      <c r="ES530" s="72"/>
      <c r="ET530" s="72"/>
    </row>
    <row r="531">
      <c r="CD531" s="72"/>
      <c r="CE531" s="72"/>
      <c r="CF531" s="72"/>
      <c r="CG531" s="72"/>
      <c r="CH531" s="72"/>
      <c r="CI531" s="72"/>
      <c r="CJ531" s="72"/>
      <c r="CK531" s="72"/>
      <c r="CL531" s="72"/>
      <c r="CM531" s="72"/>
      <c r="CN531" s="72"/>
      <c r="CO531" s="72"/>
      <c r="CP531" s="72"/>
      <c r="CQ531" s="72"/>
      <c r="CR531" s="72"/>
      <c r="CS531" s="72"/>
      <c r="CT531" s="72"/>
      <c r="CU531" s="72"/>
      <c r="CV531" s="72"/>
      <c r="CW531" s="72"/>
      <c r="CX531" s="72"/>
      <c r="CY531" s="72"/>
      <c r="CZ531" s="72"/>
      <c r="DA531" s="72"/>
      <c r="DB531" s="72"/>
      <c r="DC531" s="72"/>
      <c r="DD531" s="72"/>
      <c r="DE531" s="72"/>
      <c r="DF531" s="72"/>
      <c r="DG531" s="72"/>
      <c r="DH531" s="72"/>
      <c r="DI531" s="72"/>
      <c r="DJ531" s="72"/>
      <c r="DK531" s="72"/>
      <c r="DL531" s="72"/>
      <c r="DM531" s="72"/>
      <c r="DN531" s="72"/>
      <c r="DO531" s="72"/>
      <c r="DP531" s="72"/>
      <c r="DQ531" s="72"/>
      <c r="DR531" s="72"/>
      <c r="DS531" s="72"/>
      <c r="DT531" s="72"/>
      <c r="DU531" s="72"/>
      <c r="DV531" s="72"/>
      <c r="DW531" s="72"/>
      <c r="DX531" s="72"/>
      <c r="DY531" s="72"/>
      <c r="DZ531" s="72"/>
      <c r="EA531" s="72"/>
      <c r="EB531" s="72"/>
      <c r="EC531" s="72"/>
      <c r="ED531" s="72"/>
      <c r="EE531" s="72"/>
      <c r="EF531" s="72"/>
      <c r="EG531" s="72"/>
      <c r="EH531" s="72"/>
      <c r="EI531" s="129"/>
      <c r="EJ531" s="129"/>
      <c r="EK531" s="129"/>
      <c r="EL531" s="129"/>
      <c r="EM531" s="72"/>
      <c r="EN531" s="72"/>
      <c r="EO531" s="72"/>
      <c r="EP531" s="72"/>
      <c r="EQ531" s="72"/>
      <c r="ER531" s="72"/>
      <c r="ES531" s="72"/>
      <c r="ET531" s="72"/>
    </row>
    <row r="532">
      <c r="CD532" s="72"/>
      <c r="CE532" s="72"/>
      <c r="CF532" s="72"/>
      <c r="CG532" s="72"/>
      <c r="CH532" s="72"/>
      <c r="CI532" s="72"/>
      <c r="CJ532" s="72"/>
      <c r="CK532" s="72"/>
      <c r="CL532" s="72"/>
      <c r="CM532" s="72"/>
      <c r="CN532" s="72"/>
      <c r="CO532" s="72"/>
      <c r="CP532" s="72"/>
      <c r="CQ532" s="72"/>
      <c r="CR532" s="72"/>
      <c r="CS532" s="72"/>
      <c r="CT532" s="72"/>
      <c r="CU532" s="72"/>
      <c r="CV532" s="72"/>
      <c r="CW532" s="72"/>
      <c r="CX532" s="72"/>
      <c r="CY532" s="72"/>
      <c r="CZ532" s="72"/>
      <c r="DA532" s="72"/>
      <c r="DB532" s="72"/>
      <c r="DC532" s="72"/>
      <c r="DD532" s="72"/>
      <c r="DE532" s="72"/>
      <c r="DF532" s="72"/>
      <c r="DG532" s="72"/>
      <c r="DH532" s="72"/>
      <c r="DI532" s="72"/>
      <c r="DJ532" s="72"/>
      <c r="DK532" s="72"/>
      <c r="DL532" s="72"/>
      <c r="DM532" s="72"/>
      <c r="DN532" s="72"/>
      <c r="DO532" s="72"/>
      <c r="DP532" s="72"/>
      <c r="DQ532" s="72"/>
      <c r="DR532" s="72"/>
      <c r="DS532" s="72"/>
      <c r="DT532" s="72"/>
      <c r="DU532" s="72"/>
      <c r="DV532" s="72"/>
      <c r="DW532" s="72"/>
      <c r="DX532" s="72"/>
      <c r="DY532" s="72"/>
      <c r="DZ532" s="72"/>
      <c r="EA532" s="72"/>
      <c r="EB532" s="72"/>
      <c r="EC532" s="72"/>
      <c r="ED532" s="72"/>
      <c r="EE532" s="72"/>
      <c r="EF532" s="72"/>
      <c r="EG532" s="72"/>
      <c r="EH532" s="72"/>
      <c r="EI532" s="129"/>
      <c r="EJ532" s="129"/>
      <c r="EK532" s="129"/>
      <c r="EL532" s="129"/>
      <c r="EM532" s="72"/>
      <c r="EN532" s="72"/>
      <c r="EO532" s="72"/>
      <c r="EP532" s="72"/>
      <c r="EQ532" s="72"/>
      <c r="ER532" s="72"/>
      <c r="ES532" s="72"/>
      <c r="ET532" s="72"/>
    </row>
    <row r="533">
      <c r="CD533" s="72"/>
      <c r="CE533" s="72"/>
      <c r="CF533" s="72"/>
      <c r="CG533" s="72"/>
      <c r="CH533" s="72"/>
      <c r="CI533" s="72"/>
      <c r="CJ533" s="72"/>
      <c r="CK533" s="72"/>
      <c r="CL533" s="72"/>
      <c r="CM533" s="72"/>
      <c r="CN533" s="72"/>
      <c r="CO533" s="72"/>
      <c r="CP533" s="72"/>
      <c r="CQ533" s="72"/>
      <c r="CR533" s="72"/>
      <c r="CS533" s="72"/>
      <c r="CT533" s="72"/>
      <c r="CU533" s="72"/>
      <c r="CV533" s="72"/>
      <c r="CW533" s="72"/>
      <c r="CX533" s="72"/>
      <c r="CY533" s="72"/>
      <c r="CZ533" s="72"/>
      <c r="DA533" s="72"/>
      <c r="DB533" s="72"/>
      <c r="DC533" s="72"/>
      <c r="DD533" s="72"/>
      <c r="DE533" s="72"/>
      <c r="DF533" s="72"/>
      <c r="DG533" s="72"/>
      <c r="DH533" s="72"/>
      <c r="DI533" s="72"/>
      <c r="DJ533" s="72"/>
      <c r="DK533" s="72"/>
      <c r="DL533" s="72"/>
      <c r="DM533" s="72"/>
      <c r="DN533" s="72"/>
      <c r="DO533" s="72"/>
      <c r="DP533" s="72"/>
      <c r="DQ533" s="72"/>
      <c r="DR533" s="72"/>
      <c r="DS533" s="72"/>
      <c r="DT533" s="72"/>
      <c r="DU533" s="72"/>
      <c r="DV533" s="72"/>
      <c r="DW533" s="72"/>
      <c r="DX533" s="72"/>
      <c r="DY533" s="72"/>
      <c r="DZ533" s="72"/>
      <c r="EA533" s="72"/>
      <c r="EB533" s="72"/>
      <c r="EC533" s="72"/>
      <c r="ED533" s="72"/>
      <c r="EE533" s="72"/>
      <c r="EF533" s="72"/>
      <c r="EG533" s="72"/>
      <c r="EH533" s="72"/>
      <c r="EI533" s="129"/>
      <c r="EJ533" s="129"/>
      <c r="EK533" s="129"/>
      <c r="EL533" s="129"/>
      <c r="EM533" s="72"/>
      <c r="EN533" s="72"/>
      <c r="EO533" s="72"/>
      <c r="EP533" s="72"/>
      <c r="EQ533" s="72"/>
      <c r="ER533" s="72"/>
      <c r="ES533" s="72"/>
      <c r="ET533" s="72"/>
    </row>
    <row r="534">
      <c r="CD534" s="72"/>
      <c r="CE534" s="72"/>
      <c r="CF534" s="72"/>
      <c r="CG534" s="72"/>
      <c r="CH534" s="72"/>
      <c r="CI534" s="72"/>
      <c r="CJ534" s="72"/>
      <c r="CK534" s="72"/>
      <c r="CL534" s="72"/>
      <c r="CM534" s="72"/>
      <c r="CN534" s="72"/>
      <c r="CO534" s="72"/>
      <c r="CP534" s="72"/>
      <c r="CQ534" s="72"/>
      <c r="CR534" s="72"/>
      <c r="CS534" s="72"/>
      <c r="CT534" s="72"/>
      <c r="CU534" s="72"/>
      <c r="CV534" s="72"/>
      <c r="CW534" s="72"/>
      <c r="CX534" s="72"/>
      <c r="CY534" s="72"/>
      <c r="CZ534" s="72"/>
      <c r="DA534" s="72"/>
      <c r="DB534" s="72"/>
      <c r="DC534" s="72"/>
      <c r="DD534" s="72"/>
      <c r="DE534" s="72"/>
      <c r="DF534" s="72"/>
      <c r="DG534" s="72"/>
      <c r="DH534" s="72"/>
      <c r="DI534" s="72"/>
      <c r="DJ534" s="72"/>
      <c r="DK534" s="72"/>
      <c r="DL534" s="72"/>
      <c r="DM534" s="72"/>
      <c r="DN534" s="72"/>
      <c r="DO534" s="72"/>
      <c r="DP534" s="72"/>
      <c r="DQ534" s="72"/>
      <c r="DR534" s="72"/>
      <c r="DS534" s="72"/>
      <c r="DT534" s="72"/>
      <c r="DU534" s="72"/>
      <c r="DV534" s="72"/>
      <c r="DW534" s="72"/>
      <c r="DX534" s="72"/>
      <c r="DY534" s="72"/>
      <c r="DZ534" s="72"/>
      <c r="EA534" s="72"/>
      <c r="EB534" s="72"/>
      <c r="EC534" s="72"/>
      <c r="ED534" s="72"/>
      <c r="EE534" s="72"/>
      <c r="EF534" s="72"/>
      <c r="EG534" s="72"/>
      <c r="EH534" s="72"/>
      <c r="EI534" s="129"/>
      <c r="EJ534" s="129"/>
      <c r="EK534" s="129"/>
      <c r="EL534" s="129"/>
      <c r="EM534" s="72"/>
      <c r="EN534" s="72"/>
      <c r="EO534" s="72"/>
      <c r="EP534" s="72"/>
      <c r="EQ534" s="72"/>
      <c r="ER534" s="72"/>
      <c r="ES534" s="72"/>
      <c r="ET534" s="72"/>
    </row>
    <row r="535">
      <c r="CD535" s="72"/>
      <c r="CE535" s="72"/>
      <c r="CF535" s="72"/>
      <c r="CG535" s="72"/>
      <c r="CH535" s="72"/>
      <c r="CI535" s="72"/>
      <c r="CJ535" s="72"/>
      <c r="CK535" s="72"/>
      <c r="CL535" s="72"/>
      <c r="CM535" s="72"/>
      <c r="CN535" s="72"/>
      <c r="CO535" s="72"/>
      <c r="CP535" s="72"/>
      <c r="CQ535" s="72"/>
      <c r="CR535" s="72"/>
      <c r="CS535" s="72"/>
      <c r="CT535" s="72"/>
      <c r="CU535" s="72"/>
      <c r="CV535" s="72"/>
      <c r="CW535" s="72"/>
      <c r="CX535" s="72"/>
      <c r="CY535" s="72"/>
      <c r="CZ535" s="72"/>
      <c r="DA535" s="72"/>
      <c r="DB535" s="72"/>
      <c r="DC535" s="72"/>
      <c r="DD535" s="72"/>
      <c r="DE535" s="72"/>
      <c r="DF535" s="72"/>
      <c r="DG535" s="72"/>
      <c r="DH535" s="72"/>
      <c r="DI535" s="72"/>
      <c r="DJ535" s="72"/>
      <c r="DK535" s="72"/>
      <c r="DL535" s="72"/>
      <c r="DM535" s="72"/>
      <c r="DN535" s="72"/>
      <c r="DO535" s="72"/>
      <c r="DP535" s="72"/>
      <c r="DQ535" s="72"/>
      <c r="DR535" s="72"/>
      <c r="DS535" s="72"/>
      <c r="DT535" s="72"/>
      <c r="DU535" s="72"/>
      <c r="DV535" s="72"/>
      <c r="DW535" s="72"/>
      <c r="DX535" s="72"/>
      <c r="DY535" s="72"/>
      <c r="DZ535" s="72"/>
      <c r="EA535" s="72"/>
      <c r="EB535" s="72"/>
      <c r="EC535" s="72"/>
      <c r="ED535" s="72"/>
      <c r="EE535" s="72"/>
      <c r="EF535" s="72"/>
      <c r="EG535" s="72"/>
      <c r="EH535" s="72"/>
      <c r="EI535" s="129"/>
      <c r="EJ535" s="129"/>
      <c r="EK535" s="129"/>
      <c r="EL535" s="129"/>
      <c r="EM535" s="72"/>
      <c r="EN535" s="72"/>
      <c r="EO535" s="72"/>
      <c r="EP535" s="72"/>
      <c r="EQ535" s="72"/>
      <c r="ER535" s="72"/>
      <c r="ES535" s="72"/>
      <c r="ET535" s="72"/>
    </row>
    <row r="536">
      <c r="CD536" s="72"/>
      <c r="CE536" s="72"/>
      <c r="CF536" s="72"/>
      <c r="CG536" s="72"/>
      <c r="CH536" s="72"/>
      <c r="CI536" s="72"/>
      <c r="CJ536" s="72"/>
      <c r="CK536" s="72"/>
      <c r="CL536" s="72"/>
      <c r="CM536" s="72"/>
      <c r="CN536" s="72"/>
      <c r="CO536" s="72"/>
      <c r="CP536" s="72"/>
      <c r="CQ536" s="72"/>
      <c r="CR536" s="72"/>
      <c r="CS536" s="72"/>
      <c r="CT536" s="72"/>
      <c r="CU536" s="72"/>
      <c r="CV536" s="72"/>
      <c r="CW536" s="72"/>
      <c r="CX536" s="72"/>
      <c r="CY536" s="72"/>
      <c r="CZ536" s="72"/>
      <c r="DA536" s="72"/>
      <c r="DB536" s="72"/>
      <c r="DC536" s="72"/>
      <c r="DD536" s="72"/>
      <c r="DE536" s="72"/>
      <c r="DF536" s="72"/>
      <c r="DG536" s="72"/>
      <c r="DH536" s="72"/>
      <c r="DI536" s="72"/>
      <c r="DJ536" s="72"/>
      <c r="DK536" s="72"/>
      <c r="DL536" s="72"/>
      <c r="DM536" s="72"/>
      <c r="DN536" s="72"/>
      <c r="DO536" s="72"/>
      <c r="DP536" s="72"/>
      <c r="DQ536" s="72"/>
      <c r="DR536" s="72"/>
      <c r="DS536" s="72"/>
      <c r="DT536" s="72"/>
      <c r="DU536" s="72"/>
      <c r="DV536" s="72"/>
      <c r="DW536" s="72"/>
      <c r="DX536" s="72"/>
      <c r="DY536" s="72"/>
      <c r="DZ536" s="72"/>
      <c r="EA536" s="72"/>
      <c r="EB536" s="72"/>
      <c r="EC536" s="72"/>
      <c r="ED536" s="72"/>
      <c r="EE536" s="72"/>
      <c r="EF536" s="72"/>
      <c r="EG536" s="72"/>
      <c r="EH536" s="72"/>
      <c r="EI536" s="129"/>
      <c r="EJ536" s="129"/>
      <c r="EK536" s="129"/>
      <c r="EL536" s="129"/>
      <c r="EM536" s="72"/>
      <c r="EN536" s="72"/>
      <c r="EO536" s="72"/>
      <c r="EP536" s="72"/>
      <c r="EQ536" s="72"/>
      <c r="ER536" s="72"/>
      <c r="ES536" s="72"/>
      <c r="ET536" s="72"/>
    </row>
    <row r="537">
      <c r="CD537" s="72"/>
      <c r="CE537" s="72"/>
      <c r="CF537" s="72"/>
      <c r="CG537" s="72"/>
      <c r="CH537" s="72"/>
      <c r="CI537" s="72"/>
      <c r="CJ537" s="72"/>
      <c r="CK537" s="72"/>
      <c r="CL537" s="72"/>
      <c r="CM537" s="72"/>
      <c r="CN537" s="72"/>
      <c r="CO537" s="72"/>
      <c r="CP537" s="72"/>
      <c r="CQ537" s="72"/>
      <c r="CR537" s="72"/>
      <c r="CS537" s="72"/>
      <c r="CT537" s="72"/>
      <c r="CU537" s="72"/>
      <c r="CV537" s="72"/>
      <c r="CW537" s="72"/>
      <c r="CX537" s="72"/>
      <c r="CY537" s="72"/>
      <c r="CZ537" s="72"/>
      <c r="DA537" s="72"/>
      <c r="DB537" s="72"/>
      <c r="DC537" s="72"/>
      <c r="DD537" s="72"/>
      <c r="DE537" s="72"/>
      <c r="DF537" s="72"/>
      <c r="DG537" s="72"/>
      <c r="DH537" s="72"/>
      <c r="DI537" s="72"/>
      <c r="DJ537" s="72"/>
      <c r="DK537" s="72"/>
      <c r="DL537" s="72"/>
      <c r="DM537" s="72"/>
      <c r="DN537" s="72"/>
      <c r="DO537" s="72"/>
      <c r="DP537" s="72"/>
      <c r="DQ537" s="72"/>
      <c r="DR537" s="72"/>
      <c r="DS537" s="72"/>
      <c r="DT537" s="72"/>
      <c r="DU537" s="72"/>
      <c r="DV537" s="72"/>
      <c r="DW537" s="72"/>
      <c r="DX537" s="72"/>
      <c r="DY537" s="72"/>
      <c r="DZ537" s="72"/>
      <c r="EA537" s="72"/>
      <c r="EB537" s="72"/>
      <c r="EC537" s="72"/>
      <c r="ED537" s="72"/>
      <c r="EE537" s="72"/>
      <c r="EF537" s="72"/>
      <c r="EG537" s="72"/>
      <c r="EH537" s="72"/>
      <c r="EI537" s="129"/>
      <c r="EJ537" s="129"/>
      <c r="EK537" s="129"/>
      <c r="EL537" s="129"/>
      <c r="EM537" s="72"/>
      <c r="EN537" s="72"/>
      <c r="EO537" s="72"/>
      <c r="EP537" s="72"/>
      <c r="EQ537" s="72"/>
      <c r="ER537" s="72"/>
      <c r="ES537" s="72"/>
      <c r="ET537" s="72"/>
    </row>
    <row r="538"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72"/>
      <c r="CY538" s="72"/>
      <c r="CZ538" s="72"/>
      <c r="DA538" s="72"/>
      <c r="DB538" s="72"/>
      <c r="DC538" s="72"/>
      <c r="DD538" s="72"/>
      <c r="DE538" s="72"/>
      <c r="DF538" s="72"/>
      <c r="DG538" s="72"/>
      <c r="DH538" s="72"/>
      <c r="DI538" s="72"/>
      <c r="DJ538" s="72"/>
      <c r="DK538" s="72"/>
      <c r="DL538" s="72"/>
      <c r="DM538" s="72"/>
      <c r="DN538" s="72"/>
      <c r="DO538" s="72"/>
      <c r="DP538" s="72"/>
      <c r="DQ538" s="72"/>
      <c r="DR538" s="72"/>
      <c r="DS538" s="72"/>
      <c r="DT538" s="72"/>
      <c r="DU538" s="72"/>
      <c r="DV538" s="72"/>
      <c r="DW538" s="72"/>
      <c r="DX538" s="72"/>
      <c r="DY538" s="72"/>
      <c r="DZ538" s="72"/>
      <c r="EA538" s="72"/>
      <c r="EB538" s="72"/>
      <c r="EC538" s="72"/>
      <c r="ED538" s="72"/>
      <c r="EE538" s="72"/>
      <c r="EF538" s="72"/>
      <c r="EG538" s="72"/>
      <c r="EH538" s="72"/>
      <c r="EI538" s="129"/>
      <c r="EJ538" s="129"/>
      <c r="EK538" s="129"/>
      <c r="EL538" s="129"/>
      <c r="EM538" s="72"/>
      <c r="EN538" s="72"/>
      <c r="EO538" s="72"/>
      <c r="EP538" s="72"/>
      <c r="EQ538" s="72"/>
      <c r="ER538" s="72"/>
      <c r="ES538" s="72"/>
      <c r="ET538" s="72"/>
    </row>
    <row r="539">
      <c r="CD539" s="72"/>
      <c r="CE539" s="72"/>
      <c r="CF539" s="72"/>
      <c r="CG539" s="72"/>
      <c r="CH539" s="72"/>
      <c r="CI539" s="72"/>
      <c r="CJ539" s="72"/>
      <c r="CK539" s="72"/>
      <c r="CL539" s="72"/>
      <c r="CM539" s="72"/>
      <c r="CN539" s="72"/>
      <c r="CO539" s="72"/>
      <c r="CP539" s="72"/>
      <c r="CQ539" s="72"/>
      <c r="CR539" s="72"/>
      <c r="CS539" s="72"/>
      <c r="CT539" s="72"/>
      <c r="CU539" s="72"/>
      <c r="CV539" s="72"/>
      <c r="CW539" s="72"/>
      <c r="CX539" s="72"/>
      <c r="CY539" s="72"/>
      <c r="CZ539" s="72"/>
      <c r="DA539" s="72"/>
      <c r="DB539" s="72"/>
      <c r="DC539" s="72"/>
      <c r="DD539" s="72"/>
      <c r="DE539" s="72"/>
      <c r="DF539" s="72"/>
      <c r="DG539" s="72"/>
      <c r="DH539" s="72"/>
      <c r="DI539" s="72"/>
      <c r="DJ539" s="72"/>
      <c r="DK539" s="72"/>
      <c r="DL539" s="72"/>
      <c r="DM539" s="72"/>
      <c r="DN539" s="72"/>
      <c r="DO539" s="72"/>
      <c r="DP539" s="72"/>
      <c r="DQ539" s="72"/>
      <c r="DR539" s="72"/>
      <c r="DS539" s="72"/>
      <c r="DT539" s="72"/>
      <c r="DU539" s="72"/>
      <c r="DV539" s="72"/>
      <c r="DW539" s="72"/>
      <c r="DX539" s="72"/>
      <c r="DY539" s="72"/>
      <c r="DZ539" s="72"/>
      <c r="EA539" s="72"/>
      <c r="EB539" s="72"/>
      <c r="EC539" s="72"/>
      <c r="ED539" s="72"/>
      <c r="EE539" s="72"/>
      <c r="EF539" s="72"/>
      <c r="EG539" s="72"/>
      <c r="EH539" s="72"/>
      <c r="EI539" s="129"/>
      <c r="EJ539" s="129"/>
      <c r="EK539" s="129"/>
      <c r="EL539" s="129"/>
      <c r="EM539" s="72"/>
      <c r="EN539" s="72"/>
      <c r="EO539" s="72"/>
      <c r="EP539" s="72"/>
      <c r="EQ539" s="72"/>
      <c r="ER539" s="72"/>
      <c r="ES539" s="72"/>
      <c r="ET539" s="72"/>
    </row>
    <row r="540">
      <c r="CD540" s="72"/>
      <c r="CE540" s="72"/>
      <c r="CF540" s="72"/>
      <c r="CG540" s="72"/>
      <c r="CH540" s="72"/>
      <c r="CI540" s="72"/>
      <c r="CJ540" s="72"/>
      <c r="CK540" s="72"/>
      <c r="CL540" s="72"/>
      <c r="CM540" s="72"/>
      <c r="CN540" s="72"/>
      <c r="CO540" s="72"/>
      <c r="CP540" s="72"/>
      <c r="CQ540" s="72"/>
      <c r="CR540" s="72"/>
      <c r="CS540" s="72"/>
      <c r="CT540" s="72"/>
      <c r="CU540" s="72"/>
      <c r="CV540" s="72"/>
      <c r="CW540" s="72"/>
      <c r="CX540" s="72"/>
      <c r="CY540" s="72"/>
      <c r="CZ540" s="72"/>
      <c r="DA540" s="72"/>
      <c r="DB540" s="72"/>
      <c r="DC540" s="72"/>
      <c r="DD540" s="72"/>
      <c r="DE540" s="72"/>
      <c r="DF540" s="72"/>
      <c r="DG540" s="72"/>
      <c r="DH540" s="72"/>
      <c r="DI540" s="72"/>
      <c r="DJ540" s="72"/>
      <c r="DK540" s="72"/>
      <c r="DL540" s="72"/>
      <c r="DM540" s="72"/>
      <c r="DN540" s="72"/>
      <c r="DO540" s="72"/>
      <c r="DP540" s="72"/>
      <c r="DQ540" s="72"/>
      <c r="DR540" s="72"/>
      <c r="DS540" s="72"/>
      <c r="DT540" s="72"/>
      <c r="DU540" s="72"/>
      <c r="DV540" s="72"/>
      <c r="DW540" s="72"/>
      <c r="DX540" s="72"/>
      <c r="DY540" s="72"/>
      <c r="DZ540" s="72"/>
      <c r="EA540" s="72"/>
      <c r="EB540" s="72"/>
      <c r="EC540" s="72"/>
      <c r="ED540" s="72"/>
      <c r="EE540" s="72"/>
      <c r="EF540" s="72"/>
      <c r="EG540" s="72"/>
      <c r="EH540" s="72"/>
      <c r="EI540" s="129"/>
      <c r="EJ540" s="129"/>
      <c r="EK540" s="129"/>
      <c r="EL540" s="129"/>
      <c r="EM540" s="72"/>
      <c r="EN540" s="72"/>
      <c r="EO540" s="72"/>
      <c r="EP540" s="72"/>
      <c r="EQ540" s="72"/>
      <c r="ER540" s="72"/>
      <c r="ES540" s="72"/>
      <c r="ET540" s="72"/>
    </row>
    <row r="541">
      <c r="CD541" s="72"/>
      <c r="CE541" s="72"/>
      <c r="CF541" s="72"/>
      <c r="CG541" s="72"/>
      <c r="CH541" s="72"/>
      <c r="CI541" s="72"/>
      <c r="CJ541" s="72"/>
      <c r="CK541" s="72"/>
      <c r="CL541" s="72"/>
      <c r="CM541" s="72"/>
      <c r="CN541" s="72"/>
      <c r="CO541" s="72"/>
      <c r="CP541" s="72"/>
      <c r="CQ541" s="72"/>
      <c r="CR541" s="72"/>
      <c r="CS541" s="72"/>
      <c r="CT541" s="72"/>
      <c r="CU541" s="72"/>
      <c r="CV541" s="72"/>
      <c r="CW541" s="72"/>
      <c r="CX541" s="72"/>
      <c r="CY541" s="72"/>
      <c r="CZ541" s="72"/>
      <c r="DA541" s="72"/>
      <c r="DB541" s="72"/>
      <c r="DC541" s="72"/>
      <c r="DD541" s="72"/>
      <c r="DE541" s="72"/>
      <c r="DF541" s="72"/>
      <c r="DG541" s="72"/>
      <c r="DH541" s="72"/>
      <c r="DI541" s="72"/>
      <c r="DJ541" s="72"/>
      <c r="DK541" s="72"/>
      <c r="DL541" s="72"/>
      <c r="DM541" s="72"/>
      <c r="DN541" s="72"/>
      <c r="DO541" s="72"/>
      <c r="DP541" s="72"/>
      <c r="DQ541" s="72"/>
      <c r="DR541" s="72"/>
      <c r="DS541" s="72"/>
      <c r="DT541" s="72"/>
      <c r="DU541" s="72"/>
      <c r="DV541" s="72"/>
      <c r="DW541" s="72"/>
      <c r="DX541" s="72"/>
      <c r="DY541" s="72"/>
      <c r="DZ541" s="72"/>
      <c r="EA541" s="72"/>
      <c r="EB541" s="72"/>
      <c r="EC541" s="72"/>
      <c r="ED541" s="72"/>
      <c r="EE541" s="72"/>
      <c r="EF541" s="72"/>
      <c r="EG541" s="72"/>
      <c r="EH541" s="72"/>
      <c r="EI541" s="129"/>
      <c r="EJ541" s="129"/>
      <c r="EK541" s="129"/>
      <c r="EL541" s="129"/>
      <c r="EM541" s="72"/>
      <c r="EN541" s="72"/>
      <c r="EO541" s="72"/>
      <c r="EP541" s="72"/>
      <c r="EQ541" s="72"/>
      <c r="ER541" s="72"/>
      <c r="ES541" s="72"/>
      <c r="ET541" s="72"/>
    </row>
    <row r="542">
      <c r="CD542" s="72"/>
      <c r="CE542" s="72"/>
      <c r="CF542" s="72"/>
      <c r="CG542" s="72"/>
      <c r="CH542" s="72"/>
      <c r="CI542" s="72"/>
      <c r="CJ542" s="72"/>
      <c r="CK542" s="72"/>
      <c r="CL542" s="72"/>
      <c r="CM542" s="72"/>
      <c r="CN542" s="72"/>
      <c r="CO542" s="72"/>
      <c r="CP542" s="72"/>
      <c r="CQ542" s="72"/>
      <c r="CR542" s="72"/>
      <c r="CS542" s="72"/>
      <c r="CT542" s="72"/>
      <c r="CU542" s="72"/>
      <c r="CV542" s="72"/>
      <c r="CW542" s="72"/>
      <c r="CX542" s="72"/>
      <c r="CY542" s="72"/>
      <c r="CZ542" s="72"/>
      <c r="DA542" s="72"/>
      <c r="DB542" s="72"/>
      <c r="DC542" s="72"/>
      <c r="DD542" s="72"/>
      <c r="DE542" s="72"/>
      <c r="DF542" s="72"/>
      <c r="DG542" s="72"/>
      <c r="DH542" s="72"/>
      <c r="DI542" s="72"/>
      <c r="DJ542" s="72"/>
      <c r="DK542" s="72"/>
      <c r="DL542" s="72"/>
      <c r="DM542" s="72"/>
      <c r="DN542" s="72"/>
      <c r="DO542" s="72"/>
      <c r="DP542" s="72"/>
      <c r="DQ542" s="72"/>
      <c r="DR542" s="72"/>
      <c r="DS542" s="72"/>
      <c r="DT542" s="72"/>
      <c r="DU542" s="72"/>
      <c r="DV542" s="72"/>
      <c r="DW542" s="72"/>
      <c r="DX542" s="72"/>
      <c r="DY542" s="72"/>
      <c r="DZ542" s="72"/>
      <c r="EA542" s="72"/>
      <c r="EB542" s="72"/>
      <c r="EC542" s="72"/>
      <c r="ED542" s="72"/>
      <c r="EE542" s="72"/>
      <c r="EF542" s="72"/>
      <c r="EG542" s="72"/>
      <c r="EH542" s="72"/>
      <c r="EI542" s="129"/>
      <c r="EJ542" s="129"/>
      <c r="EK542" s="129"/>
      <c r="EL542" s="129"/>
      <c r="EM542" s="72"/>
      <c r="EN542" s="72"/>
      <c r="EO542" s="72"/>
      <c r="EP542" s="72"/>
      <c r="EQ542" s="72"/>
      <c r="ER542" s="72"/>
      <c r="ES542" s="72"/>
      <c r="ET542" s="72"/>
    </row>
    <row r="543">
      <c r="CD543" s="72"/>
      <c r="CE543" s="72"/>
      <c r="CF543" s="72"/>
      <c r="CG543" s="72"/>
      <c r="CH543" s="72"/>
      <c r="CI543" s="72"/>
      <c r="CJ543" s="72"/>
      <c r="CK543" s="72"/>
      <c r="CL543" s="72"/>
      <c r="CM543" s="72"/>
      <c r="CN543" s="72"/>
      <c r="CO543" s="72"/>
      <c r="CP543" s="72"/>
      <c r="CQ543" s="72"/>
      <c r="CR543" s="72"/>
      <c r="CS543" s="72"/>
      <c r="CT543" s="72"/>
      <c r="CU543" s="72"/>
      <c r="CV543" s="72"/>
      <c r="CW543" s="72"/>
      <c r="CX543" s="72"/>
      <c r="CY543" s="72"/>
      <c r="CZ543" s="72"/>
      <c r="DA543" s="72"/>
      <c r="DB543" s="72"/>
      <c r="DC543" s="72"/>
      <c r="DD543" s="72"/>
      <c r="DE543" s="72"/>
      <c r="DF543" s="72"/>
      <c r="DG543" s="72"/>
      <c r="DH543" s="72"/>
      <c r="DI543" s="72"/>
      <c r="DJ543" s="72"/>
      <c r="DK543" s="72"/>
      <c r="DL543" s="72"/>
      <c r="DM543" s="72"/>
      <c r="DN543" s="72"/>
      <c r="DO543" s="72"/>
      <c r="DP543" s="72"/>
      <c r="DQ543" s="72"/>
      <c r="DR543" s="72"/>
      <c r="DS543" s="72"/>
      <c r="DT543" s="72"/>
      <c r="DU543" s="72"/>
      <c r="DV543" s="72"/>
      <c r="DW543" s="72"/>
      <c r="DX543" s="72"/>
      <c r="DY543" s="72"/>
      <c r="DZ543" s="72"/>
      <c r="EA543" s="72"/>
      <c r="EB543" s="72"/>
      <c r="EC543" s="72"/>
      <c r="ED543" s="72"/>
      <c r="EE543" s="72"/>
      <c r="EF543" s="72"/>
      <c r="EG543" s="72"/>
      <c r="EH543" s="72"/>
      <c r="EI543" s="129"/>
      <c r="EJ543" s="129"/>
      <c r="EK543" s="129"/>
      <c r="EL543" s="129"/>
      <c r="EM543" s="72"/>
      <c r="EN543" s="72"/>
      <c r="EO543" s="72"/>
      <c r="EP543" s="72"/>
      <c r="EQ543" s="72"/>
      <c r="ER543" s="72"/>
      <c r="ES543" s="72"/>
      <c r="ET543" s="72"/>
    </row>
    <row r="544">
      <c r="CD544" s="72"/>
      <c r="CE544" s="72"/>
      <c r="CF544" s="72"/>
      <c r="CG544" s="72"/>
      <c r="CH544" s="72"/>
      <c r="CI544" s="72"/>
      <c r="CJ544" s="72"/>
      <c r="CK544" s="72"/>
      <c r="CL544" s="72"/>
      <c r="CM544" s="72"/>
      <c r="CN544" s="72"/>
      <c r="CO544" s="72"/>
      <c r="CP544" s="72"/>
      <c r="CQ544" s="72"/>
      <c r="CR544" s="72"/>
      <c r="CS544" s="72"/>
      <c r="CT544" s="72"/>
      <c r="CU544" s="72"/>
      <c r="CV544" s="72"/>
      <c r="CW544" s="72"/>
      <c r="CX544" s="72"/>
      <c r="CY544" s="72"/>
      <c r="CZ544" s="72"/>
      <c r="DA544" s="72"/>
      <c r="DB544" s="72"/>
      <c r="DC544" s="72"/>
      <c r="DD544" s="72"/>
      <c r="DE544" s="72"/>
      <c r="DF544" s="72"/>
      <c r="DG544" s="72"/>
      <c r="DH544" s="72"/>
      <c r="DI544" s="72"/>
      <c r="DJ544" s="72"/>
      <c r="DK544" s="72"/>
      <c r="DL544" s="72"/>
      <c r="DM544" s="72"/>
      <c r="DN544" s="72"/>
      <c r="DO544" s="72"/>
      <c r="DP544" s="72"/>
      <c r="DQ544" s="72"/>
      <c r="DR544" s="72"/>
      <c r="DS544" s="72"/>
      <c r="DT544" s="72"/>
      <c r="DU544" s="72"/>
      <c r="DV544" s="72"/>
      <c r="DW544" s="72"/>
      <c r="DX544" s="72"/>
      <c r="DY544" s="72"/>
      <c r="DZ544" s="72"/>
      <c r="EA544" s="72"/>
      <c r="EB544" s="72"/>
      <c r="EC544" s="72"/>
      <c r="ED544" s="72"/>
      <c r="EE544" s="72"/>
      <c r="EF544" s="72"/>
      <c r="EG544" s="72"/>
      <c r="EH544" s="72"/>
      <c r="EI544" s="129"/>
      <c r="EJ544" s="129"/>
      <c r="EK544" s="129"/>
      <c r="EL544" s="129"/>
      <c r="EM544" s="72"/>
      <c r="EN544" s="72"/>
      <c r="EO544" s="72"/>
      <c r="EP544" s="72"/>
      <c r="EQ544" s="72"/>
      <c r="ER544" s="72"/>
      <c r="ES544" s="72"/>
      <c r="ET544" s="72"/>
    </row>
    <row r="545">
      <c r="CD545" s="72"/>
      <c r="CE545" s="72"/>
      <c r="CF545" s="72"/>
      <c r="CG545" s="72"/>
      <c r="CH545" s="72"/>
      <c r="CI545" s="72"/>
      <c r="CJ545" s="72"/>
      <c r="CK545" s="72"/>
      <c r="CL545" s="72"/>
      <c r="CM545" s="72"/>
      <c r="CN545" s="72"/>
      <c r="CO545" s="72"/>
      <c r="CP545" s="72"/>
      <c r="CQ545" s="72"/>
      <c r="CR545" s="72"/>
      <c r="CS545" s="72"/>
      <c r="CT545" s="72"/>
      <c r="CU545" s="72"/>
      <c r="CV545" s="72"/>
      <c r="CW545" s="72"/>
      <c r="CX545" s="72"/>
      <c r="CY545" s="72"/>
      <c r="CZ545" s="72"/>
      <c r="DA545" s="72"/>
      <c r="DB545" s="72"/>
      <c r="DC545" s="72"/>
      <c r="DD545" s="72"/>
      <c r="DE545" s="72"/>
      <c r="DF545" s="72"/>
      <c r="DG545" s="72"/>
      <c r="DH545" s="72"/>
      <c r="DI545" s="72"/>
      <c r="DJ545" s="72"/>
      <c r="DK545" s="72"/>
      <c r="DL545" s="72"/>
      <c r="DM545" s="72"/>
      <c r="DN545" s="72"/>
      <c r="DO545" s="72"/>
      <c r="DP545" s="72"/>
      <c r="DQ545" s="72"/>
      <c r="DR545" s="72"/>
      <c r="DS545" s="72"/>
      <c r="DT545" s="72"/>
      <c r="DU545" s="72"/>
      <c r="DV545" s="72"/>
      <c r="DW545" s="72"/>
      <c r="DX545" s="72"/>
      <c r="DY545" s="72"/>
      <c r="DZ545" s="72"/>
      <c r="EA545" s="72"/>
      <c r="EB545" s="72"/>
      <c r="EC545" s="72"/>
      <c r="ED545" s="72"/>
      <c r="EE545" s="72"/>
      <c r="EF545" s="72"/>
      <c r="EG545" s="72"/>
      <c r="EH545" s="72"/>
      <c r="EI545" s="129"/>
      <c r="EJ545" s="129"/>
      <c r="EK545" s="129"/>
      <c r="EL545" s="129"/>
      <c r="EM545" s="72"/>
      <c r="EN545" s="72"/>
      <c r="EO545" s="72"/>
      <c r="EP545" s="72"/>
      <c r="EQ545" s="72"/>
      <c r="ER545" s="72"/>
      <c r="ES545" s="72"/>
      <c r="ET545" s="72"/>
    </row>
    <row r="546">
      <c r="CD546" s="72"/>
      <c r="CE546" s="72"/>
      <c r="CF546" s="72"/>
      <c r="CG546" s="72"/>
      <c r="CH546" s="72"/>
      <c r="CI546" s="72"/>
      <c r="CJ546" s="72"/>
      <c r="CK546" s="72"/>
      <c r="CL546" s="72"/>
      <c r="CM546" s="72"/>
      <c r="CN546" s="72"/>
      <c r="CO546" s="72"/>
      <c r="CP546" s="72"/>
      <c r="CQ546" s="72"/>
      <c r="CR546" s="72"/>
      <c r="CS546" s="72"/>
      <c r="CT546" s="72"/>
      <c r="CU546" s="72"/>
      <c r="CV546" s="72"/>
      <c r="CW546" s="72"/>
      <c r="CX546" s="72"/>
      <c r="CY546" s="72"/>
      <c r="CZ546" s="72"/>
      <c r="DA546" s="72"/>
      <c r="DB546" s="72"/>
      <c r="DC546" s="72"/>
      <c r="DD546" s="72"/>
      <c r="DE546" s="72"/>
      <c r="DF546" s="72"/>
      <c r="DG546" s="72"/>
      <c r="DH546" s="72"/>
      <c r="DI546" s="72"/>
      <c r="DJ546" s="72"/>
      <c r="DK546" s="72"/>
      <c r="DL546" s="72"/>
      <c r="DM546" s="72"/>
      <c r="DN546" s="72"/>
      <c r="DO546" s="72"/>
      <c r="DP546" s="72"/>
      <c r="DQ546" s="72"/>
      <c r="DR546" s="72"/>
      <c r="DS546" s="72"/>
      <c r="DT546" s="72"/>
      <c r="DU546" s="72"/>
      <c r="DV546" s="72"/>
      <c r="DW546" s="72"/>
      <c r="DX546" s="72"/>
      <c r="DY546" s="72"/>
      <c r="DZ546" s="72"/>
      <c r="EA546" s="72"/>
      <c r="EB546" s="72"/>
      <c r="EC546" s="72"/>
      <c r="ED546" s="72"/>
      <c r="EE546" s="72"/>
      <c r="EF546" s="72"/>
      <c r="EG546" s="72"/>
      <c r="EH546" s="72"/>
      <c r="EI546" s="129"/>
      <c r="EJ546" s="129"/>
      <c r="EK546" s="129"/>
      <c r="EL546" s="129"/>
      <c r="EM546" s="72"/>
      <c r="EN546" s="72"/>
      <c r="EO546" s="72"/>
      <c r="EP546" s="72"/>
      <c r="EQ546" s="72"/>
      <c r="ER546" s="72"/>
      <c r="ES546" s="72"/>
      <c r="ET546" s="72"/>
    </row>
    <row r="547">
      <c r="CD547" s="72"/>
      <c r="CE547" s="72"/>
      <c r="CF547" s="72"/>
      <c r="CG547" s="72"/>
      <c r="CH547" s="72"/>
      <c r="CI547" s="72"/>
      <c r="CJ547" s="72"/>
      <c r="CK547" s="72"/>
      <c r="CL547" s="72"/>
      <c r="CM547" s="72"/>
      <c r="CN547" s="72"/>
      <c r="CO547" s="72"/>
      <c r="CP547" s="72"/>
      <c r="CQ547" s="72"/>
      <c r="CR547" s="72"/>
      <c r="CS547" s="72"/>
      <c r="CT547" s="72"/>
      <c r="CU547" s="72"/>
      <c r="CV547" s="72"/>
      <c r="CW547" s="72"/>
      <c r="CX547" s="72"/>
      <c r="CY547" s="72"/>
      <c r="CZ547" s="72"/>
      <c r="DA547" s="72"/>
      <c r="DB547" s="72"/>
      <c r="DC547" s="72"/>
      <c r="DD547" s="72"/>
      <c r="DE547" s="72"/>
      <c r="DF547" s="72"/>
      <c r="DG547" s="72"/>
      <c r="DH547" s="72"/>
      <c r="DI547" s="72"/>
      <c r="DJ547" s="72"/>
      <c r="DK547" s="72"/>
      <c r="DL547" s="72"/>
      <c r="DM547" s="72"/>
      <c r="DN547" s="72"/>
      <c r="DO547" s="72"/>
      <c r="DP547" s="72"/>
      <c r="DQ547" s="72"/>
      <c r="DR547" s="72"/>
      <c r="DS547" s="72"/>
      <c r="DT547" s="72"/>
      <c r="DU547" s="72"/>
      <c r="DV547" s="72"/>
      <c r="DW547" s="72"/>
      <c r="DX547" s="72"/>
      <c r="DY547" s="72"/>
      <c r="DZ547" s="72"/>
      <c r="EA547" s="72"/>
      <c r="EB547" s="72"/>
      <c r="EC547" s="72"/>
      <c r="ED547" s="72"/>
      <c r="EE547" s="72"/>
      <c r="EF547" s="72"/>
      <c r="EG547" s="72"/>
      <c r="EH547" s="72"/>
      <c r="EI547" s="129"/>
      <c r="EJ547" s="129"/>
      <c r="EK547" s="129"/>
      <c r="EL547" s="129"/>
      <c r="EM547" s="72"/>
      <c r="EN547" s="72"/>
      <c r="EO547" s="72"/>
      <c r="EP547" s="72"/>
      <c r="EQ547" s="72"/>
      <c r="ER547" s="72"/>
      <c r="ES547" s="72"/>
      <c r="ET547" s="72"/>
    </row>
    <row r="548">
      <c r="CD548" s="72"/>
      <c r="CE548" s="72"/>
      <c r="CF548" s="72"/>
      <c r="CG548" s="72"/>
      <c r="CH548" s="72"/>
      <c r="CI548" s="72"/>
      <c r="CJ548" s="72"/>
      <c r="CK548" s="72"/>
      <c r="CL548" s="72"/>
      <c r="CM548" s="72"/>
      <c r="CN548" s="72"/>
      <c r="CO548" s="72"/>
      <c r="CP548" s="72"/>
      <c r="CQ548" s="72"/>
      <c r="CR548" s="72"/>
      <c r="CS548" s="72"/>
      <c r="CT548" s="72"/>
      <c r="CU548" s="72"/>
      <c r="CV548" s="72"/>
      <c r="CW548" s="72"/>
      <c r="CX548" s="72"/>
      <c r="CY548" s="72"/>
      <c r="CZ548" s="72"/>
      <c r="DA548" s="72"/>
      <c r="DB548" s="72"/>
      <c r="DC548" s="72"/>
      <c r="DD548" s="72"/>
      <c r="DE548" s="72"/>
      <c r="DF548" s="72"/>
      <c r="DG548" s="72"/>
      <c r="DH548" s="72"/>
      <c r="DI548" s="72"/>
      <c r="DJ548" s="72"/>
      <c r="DK548" s="72"/>
      <c r="DL548" s="72"/>
      <c r="DM548" s="72"/>
      <c r="DN548" s="72"/>
      <c r="DO548" s="72"/>
      <c r="DP548" s="72"/>
      <c r="DQ548" s="72"/>
      <c r="DR548" s="72"/>
      <c r="DS548" s="72"/>
      <c r="DT548" s="72"/>
      <c r="DU548" s="72"/>
      <c r="DV548" s="72"/>
      <c r="DW548" s="72"/>
      <c r="DX548" s="72"/>
      <c r="DY548" s="72"/>
      <c r="DZ548" s="72"/>
      <c r="EA548" s="72"/>
      <c r="EB548" s="72"/>
      <c r="EC548" s="72"/>
      <c r="ED548" s="72"/>
      <c r="EE548" s="72"/>
      <c r="EF548" s="72"/>
      <c r="EG548" s="72"/>
      <c r="EH548" s="72"/>
      <c r="EI548" s="129"/>
      <c r="EJ548" s="129"/>
      <c r="EK548" s="129"/>
      <c r="EL548" s="129"/>
      <c r="EM548" s="72"/>
      <c r="EN548" s="72"/>
      <c r="EO548" s="72"/>
      <c r="EP548" s="72"/>
      <c r="EQ548" s="72"/>
      <c r="ER548" s="72"/>
      <c r="ES548" s="72"/>
      <c r="ET548" s="72"/>
    </row>
    <row r="549">
      <c r="CD549" s="72"/>
      <c r="CE549" s="72"/>
      <c r="CF549" s="72"/>
      <c r="CG549" s="72"/>
      <c r="CH549" s="72"/>
      <c r="CI549" s="72"/>
      <c r="CJ549" s="72"/>
      <c r="CK549" s="72"/>
      <c r="CL549" s="72"/>
      <c r="CM549" s="72"/>
      <c r="CN549" s="72"/>
      <c r="CO549" s="72"/>
      <c r="CP549" s="72"/>
      <c r="CQ549" s="72"/>
      <c r="CR549" s="72"/>
      <c r="CS549" s="72"/>
      <c r="CT549" s="72"/>
      <c r="CU549" s="72"/>
      <c r="CV549" s="72"/>
      <c r="CW549" s="72"/>
      <c r="CX549" s="72"/>
      <c r="CY549" s="72"/>
      <c r="CZ549" s="72"/>
      <c r="DA549" s="72"/>
      <c r="DB549" s="72"/>
      <c r="DC549" s="72"/>
      <c r="DD549" s="72"/>
      <c r="DE549" s="72"/>
      <c r="DF549" s="72"/>
      <c r="DG549" s="72"/>
      <c r="DH549" s="72"/>
      <c r="DI549" s="72"/>
      <c r="DJ549" s="72"/>
      <c r="DK549" s="72"/>
      <c r="DL549" s="72"/>
      <c r="DM549" s="72"/>
      <c r="DN549" s="72"/>
      <c r="DO549" s="72"/>
      <c r="DP549" s="72"/>
      <c r="DQ549" s="72"/>
      <c r="DR549" s="72"/>
      <c r="DS549" s="72"/>
      <c r="DT549" s="72"/>
      <c r="DU549" s="72"/>
      <c r="DV549" s="72"/>
      <c r="DW549" s="72"/>
      <c r="DX549" s="72"/>
      <c r="DY549" s="72"/>
      <c r="DZ549" s="72"/>
      <c r="EA549" s="72"/>
      <c r="EB549" s="72"/>
      <c r="EC549" s="72"/>
      <c r="ED549" s="72"/>
      <c r="EE549" s="72"/>
      <c r="EF549" s="72"/>
      <c r="EG549" s="72"/>
      <c r="EH549" s="72"/>
      <c r="EI549" s="129"/>
      <c r="EJ549" s="129"/>
      <c r="EK549" s="129"/>
      <c r="EL549" s="129"/>
      <c r="EM549" s="72"/>
      <c r="EN549" s="72"/>
      <c r="EO549" s="72"/>
      <c r="EP549" s="72"/>
      <c r="EQ549" s="72"/>
      <c r="ER549" s="72"/>
      <c r="ES549" s="72"/>
      <c r="ET549" s="72"/>
    </row>
    <row r="550">
      <c r="CD550" s="72"/>
      <c r="CE550" s="72"/>
      <c r="CF550" s="72"/>
      <c r="CG550" s="72"/>
      <c r="CH550" s="72"/>
      <c r="CI550" s="72"/>
      <c r="CJ550" s="72"/>
      <c r="CK550" s="72"/>
      <c r="CL550" s="72"/>
      <c r="CM550" s="72"/>
      <c r="CN550" s="72"/>
      <c r="CO550" s="72"/>
      <c r="CP550" s="72"/>
      <c r="CQ550" s="72"/>
      <c r="CR550" s="72"/>
      <c r="CS550" s="72"/>
      <c r="CT550" s="72"/>
      <c r="CU550" s="72"/>
      <c r="CV550" s="72"/>
      <c r="CW550" s="72"/>
      <c r="CX550" s="72"/>
      <c r="CY550" s="72"/>
      <c r="CZ550" s="72"/>
      <c r="DA550" s="72"/>
      <c r="DB550" s="72"/>
      <c r="DC550" s="72"/>
      <c r="DD550" s="72"/>
      <c r="DE550" s="72"/>
      <c r="DF550" s="72"/>
      <c r="DG550" s="72"/>
      <c r="DH550" s="72"/>
      <c r="DI550" s="72"/>
      <c r="DJ550" s="72"/>
      <c r="DK550" s="72"/>
      <c r="DL550" s="72"/>
      <c r="DM550" s="72"/>
      <c r="DN550" s="72"/>
      <c r="DO550" s="72"/>
      <c r="DP550" s="72"/>
      <c r="DQ550" s="72"/>
      <c r="DR550" s="72"/>
      <c r="DS550" s="72"/>
      <c r="DT550" s="72"/>
      <c r="DU550" s="72"/>
      <c r="DV550" s="72"/>
      <c r="DW550" s="72"/>
      <c r="DX550" s="72"/>
      <c r="DY550" s="72"/>
      <c r="DZ550" s="72"/>
      <c r="EA550" s="72"/>
      <c r="EB550" s="72"/>
      <c r="EC550" s="72"/>
      <c r="ED550" s="72"/>
      <c r="EE550" s="72"/>
      <c r="EF550" s="72"/>
      <c r="EG550" s="72"/>
      <c r="EH550" s="72"/>
      <c r="EI550" s="129"/>
      <c r="EJ550" s="129"/>
      <c r="EK550" s="129"/>
      <c r="EL550" s="129"/>
      <c r="EM550" s="72"/>
      <c r="EN550" s="72"/>
      <c r="EO550" s="72"/>
      <c r="EP550" s="72"/>
      <c r="EQ550" s="72"/>
      <c r="ER550" s="72"/>
      <c r="ES550" s="72"/>
      <c r="ET550" s="72"/>
    </row>
    <row r="551">
      <c r="CD551" s="72"/>
      <c r="CE551" s="72"/>
      <c r="CF551" s="72"/>
      <c r="CG551" s="72"/>
      <c r="CH551" s="72"/>
      <c r="CI551" s="72"/>
      <c r="CJ551" s="72"/>
      <c r="CK551" s="72"/>
      <c r="CL551" s="72"/>
      <c r="CM551" s="72"/>
      <c r="CN551" s="72"/>
      <c r="CO551" s="72"/>
      <c r="CP551" s="72"/>
      <c r="CQ551" s="72"/>
      <c r="CR551" s="72"/>
      <c r="CS551" s="72"/>
      <c r="CT551" s="72"/>
      <c r="CU551" s="72"/>
      <c r="CV551" s="72"/>
      <c r="CW551" s="72"/>
      <c r="CX551" s="72"/>
      <c r="CY551" s="72"/>
      <c r="CZ551" s="72"/>
      <c r="DA551" s="72"/>
      <c r="DB551" s="72"/>
      <c r="DC551" s="72"/>
      <c r="DD551" s="72"/>
      <c r="DE551" s="72"/>
      <c r="DF551" s="72"/>
      <c r="DG551" s="72"/>
      <c r="DH551" s="72"/>
      <c r="DI551" s="72"/>
      <c r="DJ551" s="72"/>
      <c r="DK551" s="72"/>
      <c r="DL551" s="72"/>
      <c r="DM551" s="72"/>
      <c r="DN551" s="72"/>
      <c r="DO551" s="72"/>
      <c r="DP551" s="72"/>
      <c r="DQ551" s="72"/>
      <c r="DR551" s="72"/>
      <c r="DS551" s="72"/>
      <c r="DT551" s="72"/>
      <c r="DU551" s="72"/>
      <c r="DV551" s="72"/>
      <c r="DW551" s="72"/>
      <c r="DX551" s="72"/>
      <c r="DY551" s="72"/>
      <c r="DZ551" s="72"/>
      <c r="EA551" s="72"/>
      <c r="EB551" s="72"/>
      <c r="EC551" s="72"/>
      <c r="ED551" s="72"/>
      <c r="EE551" s="72"/>
      <c r="EF551" s="72"/>
      <c r="EG551" s="72"/>
      <c r="EH551" s="72"/>
      <c r="EI551" s="129"/>
      <c r="EJ551" s="129"/>
      <c r="EK551" s="129"/>
      <c r="EL551" s="129"/>
      <c r="EM551" s="72"/>
      <c r="EN551" s="72"/>
      <c r="EO551" s="72"/>
      <c r="EP551" s="72"/>
      <c r="EQ551" s="72"/>
      <c r="ER551" s="72"/>
      <c r="ES551" s="72"/>
      <c r="ET551" s="72"/>
    </row>
    <row r="552">
      <c r="CD552" s="72"/>
      <c r="CE552" s="72"/>
      <c r="CF552" s="72"/>
      <c r="CG552" s="72"/>
      <c r="CH552" s="72"/>
      <c r="CI552" s="72"/>
      <c r="CJ552" s="72"/>
      <c r="CK552" s="72"/>
      <c r="CL552" s="72"/>
      <c r="CM552" s="72"/>
      <c r="CN552" s="72"/>
      <c r="CO552" s="72"/>
      <c r="CP552" s="72"/>
      <c r="CQ552" s="72"/>
      <c r="CR552" s="72"/>
      <c r="CS552" s="72"/>
      <c r="CT552" s="72"/>
      <c r="CU552" s="72"/>
      <c r="CV552" s="72"/>
      <c r="CW552" s="72"/>
      <c r="CX552" s="72"/>
      <c r="CY552" s="72"/>
      <c r="CZ552" s="72"/>
      <c r="DA552" s="72"/>
      <c r="DB552" s="72"/>
      <c r="DC552" s="72"/>
      <c r="DD552" s="72"/>
      <c r="DE552" s="72"/>
      <c r="DF552" s="72"/>
      <c r="DG552" s="72"/>
      <c r="DH552" s="72"/>
      <c r="DI552" s="72"/>
      <c r="DJ552" s="72"/>
      <c r="DK552" s="72"/>
      <c r="DL552" s="72"/>
      <c r="DM552" s="72"/>
      <c r="DN552" s="72"/>
      <c r="DO552" s="72"/>
      <c r="DP552" s="72"/>
      <c r="DQ552" s="72"/>
      <c r="DR552" s="72"/>
      <c r="DS552" s="72"/>
      <c r="DT552" s="72"/>
      <c r="DU552" s="72"/>
      <c r="DV552" s="72"/>
      <c r="DW552" s="72"/>
      <c r="DX552" s="72"/>
      <c r="DY552" s="72"/>
      <c r="DZ552" s="72"/>
      <c r="EA552" s="72"/>
      <c r="EB552" s="72"/>
      <c r="EC552" s="72"/>
      <c r="ED552" s="72"/>
      <c r="EE552" s="72"/>
      <c r="EF552" s="72"/>
      <c r="EG552" s="72"/>
      <c r="EH552" s="72"/>
      <c r="EI552" s="129"/>
      <c r="EJ552" s="129"/>
      <c r="EK552" s="129"/>
      <c r="EL552" s="129"/>
      <c r="EM552" s="72"/>
      <c r="EN552" s="72"/>
      <c r="EO552" s="72"/>
      <c r="EP552" s="72"/>
      <c r="EQ552" s="72"/>
      <c r="ER552" s="72"/>
      <c r="ES552" s="72"/>
      <c r="ET552" s="72"/>
    </row>
    <row r="553">
      <c r="CD553" s="72"/>
      <c r="CE553" s="72"/>
      <c r="CF553" s="72"/>
      <c r="CG553" s="72"/>
      <c r="CH553" s="72"/>
      <c r="CI553" s="72"/>
      <c r="CJ553" s="72"/>
      <c r="CK553" s="72"/>
      <c r="CL553" s="72"/>
      <c r="CM553" s="72"/>
      <c r="CN553" s="72"/>
      <c r="CO553" s="72"/>
      <c r="CP553" s="72"/>
      <c r="CQ553" s="72"/>
      <c r="CR553" s="72"/>
      <c r="CS553" s="72"/>
      <c r="CT553" s="72"/>
      <c r="CU553" s="72"/>
      <c r="CV553" s="72"/>
      <c r="CW553" s="72"/>
      <c r="CX553" s="72"/>
      <c r="CY553" s="72"/>
      <c r="CZ553" s="72"/>
      <c r="DA553" s="72"/>
      <c r="DB553" s="72"/>
      <c r="DC553" s="72"/>
      <c r="DD553" s="72"/>
      <c r="DE553" s="72"/>
      <c r="DF553" s="72"/>
      <c r="DG553" s="72"/>
      <c r="DH553" s="72"/>
      <c r="DI553" s="72"/>
      <c r="DJ553" s="72"/>
      <c r="DK553" s="72"/>
      <c r="DL553" s="72"/>
      <c r="DM553" s="72"/>
      <c r="DN553" s="72"/>
      <c r="DO553" s="72"/>
      <c r="DP553" s="72"/>
      <c r="DQ553" s="72"/>
      <c r="DR553" s="72"/>
      <c r="DS553" s="72"/>
      <c r="DT553" s="72"/>
      <c r="DU553" s="72"/>
      <c r="DV553" s="72"/>
      <c r="DW553" s="72"/>
      <c r="DX553" s="72"/>
      <c r="DY553" s="72"/>
      <c r="DZ553" s="72"/>
      <c r="EA553" s="72"/>
      <c r="EB553" s="72"/>
      <c r="EC553" s="72"/>
      <c r="ED553" s="72"/>
      <c r="EE553" s="72"/>
      <c r="EF553" s="72"/>
      <c r="EG553" s="72"/>
      <c r="EH553" s="72"/>
      <c r="EI553" s="129"/>
      <c r="EJ553" s="129"/>
      <c r="EK553" s="129"/>
      <c r="EL553" s="129"/>
      <c r="EM553" s="72"/>
      <c r="EN553" s="72"/>
      <c r="EO553" s="72"/>
      <c r="EP553" s="72"/>
      <c r="EQ553" s="72"/>
      <c r="ER553" s="72"/>
      <c r="ES553" s="72"/>
      <c r="ET553" s="72"/>
    </row>
    <row r="554">
      <c r="CD554" s="72"/>
      <c r="CE554" s="72"/>
      <c r="CF554" s="72"/>
      <c r="CG554" s="72"/>
      <c r="CH554" s="72"/>
      <c r="CI554" s="72"/>
      <c r="CJ554" s="72"/>
      <c r="CK554" s="72"/>
      <c r="CL554" s="72"/>
      <c r="CM554" s="72"/>
      <c r="CN554" s="72"/>
      <c r="CO554" s="72"/>
      <c r="CP554" s="72"/>
      <c r="CQ554" s="72"/>
      <c r="CR554" s="72"/>
      <c r="CS554" s="72"/>
      <c r="CT554" s="72"/>
      <c r="CU554" s="72"/>
      <c r="CV554" s="72"/>
      <c r="CW554" s="72"/>
      <c r="CX554" s="72"/>
      <c r="CY554" s="72"/>
      <c r="CZ554" s="72"/>
      <c r="DA554" s="72"/>
      <c r="DB554" s="72"/>
      <c r="DC554" s="72"/>
      <c r="DD554" s="72"/>
      <c r="DE554" s="72"/>
      <c r="DF554" s="72"/>
      <c r="DG554" s="72"/>
      <c r="DH554" s="72"/>
      <c r="DI554" s="72"/>
      <c r="DJ554" s="72"/>
      <c r="DK554" s="72"/>
      <c r="DL554" s="72"/>
      <c r="DM554" s="72"/>
      <c r="DN554" s="72"/>
      <c r="DO554" s="72"/>
      <c r="DP554" s="72"/>
      <c r="DQ554" s="72"/>
      <c r="DR554" s="72"/>
      <c r="DS554" s="72"/>
      <c r="DT554" s="72"/>
      <c r="DU554" s="72"/>
      <c r="DV554" s="72"/>
      <c r="DW554" s="72"/>
      <c r="DX554" s="72"/>
      <c r="DY554" s="72"/>
      <c r="DZ554" s="72"/>
      <c r="EA554" s="72"/>
      <c r="EB554" s="72"/>
      <c r="EC554" s="72"/>
      <c r="ED554" s="72"/>
      <c r="EE554" s="72"/>
      <c r="EF554" s="72"/>
      <c r="EG554" s="72"/>
      <c r="EH554" s="72"/>
      <c r="EI554" s="129"/>
      <c r="EJ554" s="129"/>
      <c r="EK554" s="129"/>
      <c r="EL554" s="129"/>
      <c r="EM554" s="72"/>
      <c r="EN554" s="72"/>
      <c r="EO554" s="72"/>
      <c r="EP554" s="72"/>
      <c r="EQ554" s="72"/>
      <c r="ER554" s="72"/>
      <c r="ES554" s="72"/>
      <c r="ET554" s="72"/>
    </row>
    <row r="555">
      <c r="CD555" s="72"/>
      <c r="CE555" s="72"/>
      <c r="CF555" s="72"/>
      <c r="CG555" s="72"/>
      <c r="CH555" s="72"/>
      <c r="CI555" s="72"/>
      <c r="CJ555" s="72"/>
      <c r="CK555" s="72"/>
      <c r="CL555" s="72"/>
      <c r="CM555" s="72"/>
      <c r="CN555" s="72"/>
      <c r="CO555" s="72"/>
      <c r="CP555" s="72"/>
      <c r="CQ555" s="72"/>
      <c r="CR555" s="72"/>
      <c r="CS555" s="72"/>
      <c r="CT555" s="72"/>
      <c r="CU555" s="72"/>
      <c r="CV555" s="72"/>
      <c r="CW555" s="72"/>
      <c r="CX555" s="72"/>
      <c r="CY555" s="72"/>
      <c r="CZ555" s="72"/>
      <c r="DA555" s="72"/>
      <c r="DB555" s="72"/>
      <c r="DC555" s="72"/>
      <c r="DD555" s="72"/>
      <c r="DE555" s="72"/>
      <c r="DF555" s="72"/>
      <c r="DG555" s="72"/>
      <c r="DH555" s="72"/>
      <c r="DI555" s="72"/>
      <c r="DJ555" s="72"/>
      <c r="DK555" s="72"/>
      <c r="DL555" s="72"/>
      <c r="DM555" s="72"/>
      <c r="DN555" s="72"/>
      <c r="DO555" s="72"/>
      <c r="DP555" s="72"/>
      <c r="DQ555" s="72"/>
      <c r="DR555" s="72"/>
      <c r="DS555" s="72"/>
      <c r="DT555" s="72"/>
      <c r="DU555" s="72"/>
      <c r="DV555" s="72"/>
      <c r="DW555" s="72"/>
      <c r="DX555" s="72"/>
      <c r="DY555" s="72"/>
      <c r="DZ555" s="72"/>
      <c r="EA555" s="72"/>
      <c r="EB555" s="72"/>
      <c r="EC555" s="72"/>
      <c r="ED555" s="72"/>
      <c r="EE555" s="72"/>
      <c r="EF555" s="72"/>
      <c r="EG555" s="72"/>
      <c r="EH555" s="72"/>
      <c r="EI555" s="129"/>
      <c r="EJ555" s="129"/>
      <c r="EK555" s="129"/>
      <c r="EL555" s="129"/>
      <c r="EM555" s="72"/>
      <c r="EN555" s="72"/>
      <c r="EO555" s="72"/>
      <c r="EP555" s="72"/>
      <c r="EQ555" s="72"/>
      <c r="ER555" s="72"/>
      <c r="ES555" s="72"/>
      <c r="ET555" s="72"/>
    </row>
    <row r="556">
      <c r="CD556" s="72"/>
      <c r="CE556" s="72"/>
      <c r="CF556" s="72"/>
      <c r="CG556" s="72"/>
      <c r="CH556" s="72"/>
      <c r="CI556" s="72"/>
      <c r="CJ556" s="72"/>
      <c r="CK556" s="72"/>
      <c r="CL556" s="72"/>
      <c r="CM556" s="72"/>
      <c r="CN556" s="72"/>
      <c r="CO556" s="72"/>
      <c r="CP556" s="72"/>
      <c r="CQ556" s="72"/>
      <c r="CR556" s="72"/>
      <c r="CS556" s="72"/>
      <c r="CT556" s="72"/>
      <c r="CU556" s="72"/>
      <c r="CV556" s="72"/>
      <c r="CW556" s="72"/>
      <c r="CX556" s="72"/>
      <c r="CY556" s="72"/>
      <c r="CZ556" s="72"/>
      <c r="DA556" s="72"/>
      <c r="DB556" s="72"/>
      <c r="DC556" s="72"/>
      <c r="DD556" s="72"/>
      <c r="DE556" s="72"/>
      <c r="DF556" s="72"/>
      <c r="DG556" s="72"/>
      <c r="DH556" s="72"/>
      <c r="DI556" s="72"/>
      <c r="DJ556" s="72"/>
      <c r="DK556" s="72"/>
      <c r="DL556" s="72"/>
      <c r="DM556" s="72"/>
      <c r="DN556" s="72"/>
      <c r="DO556" s="72"/>
      <c r="DP556" s="72"/>
      <c r="DQ556" s="72"/>
      <c r="DR556" s="72"/>
      <c r="DS556" s="72"/>
      <c r="DT556" s="72"/>
      <c r="DU556" s="72"/>
      <c r="DV556" s="72"/>
      <c r="DW556" s="72"/>
      <c r="DX556" s="72"/>
      <c r="DY556" s="72"/>
      <c r="DZ556" s="72"/>
      <c r="EA556" s="72"/>
      <c r="EB556" s="72"/>
      <c r="EC556" s="72"/>
      <c r="ED556" s="72"/>
      <c r="EE556" s="72"/>
      <c r="EF556" s="72"/>
      <c r="EG556" s="72"/>
      <c r="EH556" s="72"/>
      <c r="EI556" s="129"/>
      <c r="EJ556" s="129"/>
      <c r="EK556" s="129"/>
      <c r="EL556" s="129"/>
      <c r="EM556" s="72"/>
      <c r="EN556" s="72"/>
      <c r="EO556" s="72"/>
      <c r="EP556" s="72"/>
      <c r="EQ556" s="72"/>
      <c r="ER556" s="72"/>
      <c r="ES556" s="72"/>
      <c r="ET556" s="72"/>
    </row>
    <row r="557">
      <c r="CD557" s="72"/>
      <c r="CE557" s="72"/>
      <c r="CF557" s="72"/>
      <c r="CG557" s="72"/>
      <c r="CH557" s="72"/>
      <c r="CI557" s="72"/>
      <c r="CJ557" s="72"/>
      <c r="CK557" s="72"/>
      <c r="CL557" s="72"/>
      <c r="CM557" s="72"/>
      <c r="CN557" s="72"/>
      <c r="CO557" s="72"/>
      <c r="CP557" s="72"/>
      <c r="CQ557" s="72"/>
      <c r="CR557" s="72"/>
      <c r="CS557" s="72"/>
      <c r="CT557" s="72"/>
      <c r="CU557" s="72"/>
      <c r="CV557" s="72"/>
      <c r="CW557" s="72"/>
      <c r="CX557" s="72"/>
      <c r="CY557" s="72"/>
      <c r="CZ557" s="72"/>
      <c r="DA557" s="72"/>
      <c r="DB557" s="72"/>
      <c r="DC557" s="72"/>
      <c r="DD557" s="72"/>
      <c r="DE557" s="72"/>
      <c r="DF557" s="72"/>
      <c r="DG557" s="72"/>
      <c r="DH557" s="72"/>
      <c r="DI557" s="72"/>
      <c r="DJ557" s="72"/>
      <c r="DK557" s="72"/>
      <c r="DL557" s="72"/>
      <c r="DM557" s="72"/>
      <c r="DN557" s="72"/>
      <c r="DO557" s="72"/>
      <c r="DP557" s="72"/>
      <c r="DQ557" s="72"/>
      <c r="DR557" s="72"/>
      <c r="DS557" s="72"/>
      <c r="DT557" s="72"/>
      <c r="DU557" s="72"/>
      <c r="DV557" s="72"/>
      <c r="DW557" s="72"/>
      <c r="DX557" s="72"/>
      <c r="DY557" s="72"/>
      <c r="DZ557" s="72"/>
      <c r="EA557" s="72"/>
      <c r="EB557" s="72"/>
      <c r="EC557" s="72"/>
      <c r="ED557" s="72"/>
      <c r="EE557" s="72"/>
      <c r="EF557" s="72"/>
      <c r="EG557" s="72"/>
      <c r="EH557" s="72"/>
      <c r="EI557" s="129"/>
      <c r="EJ557" s="129"/>
      <c r="EK557" s="129"/>
      <c r="EL557" s="129"/>
      <c r="EM557" s="72"/>
      <c r="EN557" s="72"/>
      <c r="EO557" s="72"/>
      <c r="EP557" s="72"/>
      <c r="EQ557" s="72"/>
      <c r="ER557" s="72"/>
      <c r="ES557" s="72"/>
      <c r="ET557" s="72"/>
    </row>
    <row r="558">
      <c r="CD558" s="72"/>
      <c r="CE558" s="72"/>
      <c r="CF558" s="72"/>
      <c r="CG558" s="72"/>
      <c r="CH558" s="72"/>
      <c r="CI558" s="72"/>
      <c r="CJ558" s="72"/>
      <c r="CK558" s="72"/>
      <c r="CL558" s="72"/>
      <c r="CM558" s="72"/>
      <c r="CN558" s="72"/>
      <c r="CO558" s="72"/>
      <c r="CP558" s="72"/>
      <c r="CQ558" s="72"/>
      <c r="CR558" s="72"/>
      <c r="CS558" s="72"/>
      <c r="CT558" s="72"/>
      <c r="CU558" s="72"/>
      <c r="CV558" s="72"/>
      <c r="CW558" s="72"/>
      <c r="CX558" s="72"/>
      <c r="CY558" s="72"/>
      <c r="CZ558" s="72"/>
      <c r="DA558" s="72"/>
      <c r="DB558" s="72"/>
      <c r="DC558" s="72"/>
      <c r="DD558" s="72"/>
      <c r="DE558" s="72"/>
      <c r="DF558" s="72"/>
      <c r="DG558" s="72"/>
      <c r="DH558" s="72"/>
      <c r="DI558" s="72"/>
      <c r="DJ558" s="72"/>
      <c r="DK558" s="72"/>
      <c r="DL558" s="72"/>
      <c r="DM558" s="72"/>
      <c r="DN558" s="72"/>
      <c r="DO558" s="72"/>
      <c r="DP558" s="72"/>
      <c r="DQ558" s="72"/>
      <c r="DR558" s="72"/>
      <c r="DS558" s="72"/>
      <c r="DT558" s="72"/>
      <c r="DU558" s="72"/>
      <c r="DV558" s="72"/>
      <c r="DW558" s="72"/>
      <c r="DX558" s="72"/>
      <c r="DY558" s="72"/>
      <c r="DZ558" s="72"/>
      <c r="EA558" s="72"/>
      <c r="EB558" s="72"/>
      <c r="EC558" s="72"/>
      <c r="ED558" s="72"/>
      <c r="EE558" s="72"/>
      <c r="EF558" s="72"/>
      <c r="EG558" s="72"/>
      <c r="EH558" s="72"/>
      <c r="EI558" s="129"/>
      <c r="EJ558" s="129"/>
      <c r="EK558" s="129"/>
      <c r="EL558" s="129"/>
      <c r="EM558" s="72"/>
      <c r="EN558" s="72"/>
      <c r="EO558" s="72"/>
      <c r="EP558" s="72"/>
      <c r="EQ558" s="72"/>
      <c r="ER558" s="72"/>
      <c r="ES558" s="72"/>
      <c r="ET558" s="72"/>
    </row>
    <row r="559">
      <c r="CD559" s="72"/>
      <c r="CE559" s="72"/>
      <c r="CF559" s="72"/>
      <c r="CG559" s="72"/>
      <c r="CH559" s="72"/>
      <c r="CI559" s="72"/>
      <c r="CJ559" s="72"/>
      <c r="CK559" s="72"/>
      <c r="CL559" s="72"/>
      <c r="CM559" s="72"/>
      <c r="CN559" s="72"/>
      <c r="CO559" s="72"/>
      <c r="CP559" s="72"/>
      <c r="CQ559" s="72"/>
      <c r="CR559" s="72"/>
      <c r="CS559" s="72"/>
      <c r="CT559" s="72"/>
      <c r="CU559" s="72"/>
      <c r="CV559" s="72"/>
      <c r="CW559" s="72"/>
      <c r="CX559" s="72"/>
      <c r="CY559" s="72"/>
      <c r="CZ559" s="72"/>
      <c r="DA559" s="72"/>
      <c r="DB559" s="72"/>
      <c r="DC559" s="72"/>
      <c r="DD559" s="72"/>
      <c r="DE559" s="72"/>
      <c r="DF559" s="72"/>
      <c r="DG559" s="72"/>
      <c r="DH559" s="72"/>
      <c r="DI559" s="72"/>
      <c r="DJ559" s="72"/>
      <c r="DK559" s="72"/>
      <c r="DL559" s="72"/>
      <c r="DM559" s="72"/>
      <c r="DN559" s="72"/>
      <c r="DO559" s="72"/>
      <c r="DP559" s="72"/>
      <c r="DQ559" s="72"/>
      <c r="DR559" s="72"/>
      <c r="DS559" s="72"/>
      <c r="DT559" s="72"/>
      <c r="DU559" s="72"/>
      <c r="DV559" s="72"/>
      <c r="DW559" s="72"/>
      <c r="DX559" s="72"/>
      <c r="DY559" s="72"/>
      <c r="DZ559" s="72"/>
      <c r="EA559" s="72"/>
      <c r="EB559" s="72"/>
      <c r="EC559" s="72"/>
      <c r="ED559" s="72"/>
      <c r="EE559" s="72"/>
      <c r="EF559" s="72"/>
      <c r="EG559" s="72"/>
      <c r="EH559" s="72"/>
      <c r="EI559" s="129"/>
      <c r="EJ559" s="129"/>
      <c r="EK559" s="129"/>
      <c r="EL559" s="129"/>
      <c r="EM559" s="72"/>
      <c r="EN559" s="72"/>
      <c r="EO559" s="72"/>
      <c r="EP559" s="72"/>
      <c r="EQ559" s="72"/>
      <c r="ER559" s="72"/>
      <c r="ES559" s="72"/>
      <c r="ET559" s="72"/>
    </row>
    <row r="560">
      <c r="CD560" s="72"/>
      <c r="CE560" s="72"/>
      <c r="CF560" s="72"/>
      <c r="CG560" s="72"/>
      <c r="CH560" s="72"/>
      <c r="CI560" s="72"/>
      <c r="CJ560" s="72"/>
      <c r="CK560" s="72"/>
      <c r="CL560" s="72"/>
      <c r="CM560" s="72"/>
      <c r="CN560" s="72"/>
      <c r="CO560" s="72"/>
      <c r="CP560" s="72"/>
      <c r="CQ560" s="72"/>
      <c r="CR560" s="72"/>
      <c r="CS560" s="72"/>
      <c r="CT560" s="72"/>
      <c r="CU560" s="72"/>
      <c r="CV560" s="72"/>
      <c r="CW560" s="72"/>
      <c r="CX560" s="72"/>
      <c r="CY560" s="72"/>
      <c r="CZ560" s="72"/>
      <c r="DA560" s="72"/>
      <c r="DB560" s="72"/>
      <c r="DC560" s="72"/>
      <c r="DD560" s="72"/>
      <c r="DE560" s="72"/>
      <c r="DF560" s="72"/>
      <c r="DG560" s="72"/>
      <c r="DH560" s="72"/>
      <c r="DI560" s="72"/>
      <c r="DJ560" s="72"/>
      <c r="DK560" s="72"/>
      <c r="DL560" s="72"/>
      <c r="DM560" s="72"/>
      <c r="DN560" s="72"/>
      <c r="DO560" s="72"/>
      <c r="DP560" s="72"/>
      <c r="DQ560" s="72"/>
      <c r="DR560" s="72"/>
      <c r="DS560" s="72"/>
      <c r="DT560" s="72"/>
      <c r="DU560" s="72"/>
      <c r="DV560" s="72"/>
      <c r="DW560" s="72"/>
      <c r="DX560" s="72"/>
      <c r="DY560" s="72"/>
      <c r="DZ560" s="72"/>
      <c r="EA560" s="72"/>
      <c r="EB560" s="72"/>
      <c r="EC560" s="72"/>
      <c r="ED560" s="72"/>
      <c r="EE560" s="72"/>
      <c r="EF560" s="72"/>
      <c r="EG560" s="72"/>
      <c r="EH560" s="72"/>
      <c r="EI560" s="129"/>
      <c r="EJ560" s="129"/>
      <c r="EK560" s="129"/>
      <c r="EL560" s="129"/>
      <c r="EM560" s="72"/>
      <c r="EN560" s="72"/>
      <c r="EO560" s="72"/>
      <c r="EP560" s="72"/>
      <c r="EQ560" s="72"/>
      <c r="ER560" s="72"/>
      <c r="ES560" s="72"/>
      <c r="ET560" s="72"/>
    </row>
    <row r="561">
      <c r="CD561" s="72"/>
      <c r="CE561" s="72"/>
      <c r="CF561" s="72"/>
      <c r="CG561" s="72"/>
      <c r="CH561" s="72"/>
      <c r="CI561" s="72"/>
      <c r="CJ561" s="72"/>
      <c r="CK561" s="72"/>
      <c r="CL561" s="72"/>
      <c r="CM561" s="72"/>
      <c r="CN561" s="72"/>
      <c r="CO561" s="72"/>
      <c r="CP561" s="72"/>
      <c r="CQ561" s="72"/>
      <c r="CR561" s="72"/>
      <c r="CS561" s="72"/>
      <c r="CT561" s="72"/>
      <c r="CU561" s="72"/>
      <c r="CV561" s="72"/>
      <c r="CW561" s="72"/>
      <c r="CX561" s="72"/>
      <c r="CY561" s="72"/>
      <c r="CZ561" s="72"/>
      <c r="DA561" s="72"/>
      <c r="DB561" s="72"/>
      <c r="DC561" s="72"/>
      <c r="DD561" s="72"/>
      <c r="DE561" s="72"/>
      <c r="DF561" s="72"/>
      <c r="DG561" s="72"/>
      <c r="DH561" s="72"/>
      <c r="DI561" s="72"/>
      <c r="DJ561" s="72"/>
      <c r="DK561" s="72"/>
      <c r="DL561" s="72"/>
      <c r="DM561" s="72"/>
      <c r="DN561" s="72"/>
      <c r="DO561" s="72"/>
      <c r="DP561" s="72"/>
      <c r="DQ561" s="72"/>
      <c r="DR561" s="72"/>
      <c r="DS561" s="72"/>
      <c r="DT561" s="72"/>
      <c r="DU561" s="72"/>
      <c r="DV561" s="72"/>
      <c r="DW561" s="72"/>
      <c r="DX561" s="72"/>
      <c r="DY561" s="72"/>
      <c r="DZ561" s="72"/>
      <c r="EA561" s="72"/>
      <c r="EB561" s="72"/>
      <c r="EC561" s="72"/>
      <c r="ED561" s="72"/>
      <c r="EE561" s="72"/>
      <c r="EF561" s="72"/>
      <c r="EG561" s="72"/>
      <c r="EH561" s="72"/>
      <c r="EI561" s="129"/>
      <c r="EJ561" s="129"/>
      <c r="EK561" s="129"/>
      <c r="EL561" s="129"/>
      <c r="EM561" s="72"/>
      <c r="EN561" s="72"/>
      <c r="EO561" s="72"/>
      <c r="EP561" s="72"/>
      <c r="EQ561" s="72"/>
      <c r="ER561" s="72"/>
      <c r="ES561" s="72"/>
      <c r="ET561" s="72"/>
    </row>
    <row r="562">
      <c r="CD562" s="72"/>
      <c r="CE562" s="72"/>
      <c r="CF562" s="72"/>
      <c r="CG562" s="72"/>
      <c r="CH562" s="72"/>
      <c r="CI562" s="72"/>
      <c r="CJ562" s="72"/>
      <c r="CK562" s="72"/>
      <c r="CL562" s="72"/>
      <c r="CM562" s="72"/>
      <c r="CN562" s="72"/>
      <c r="CO562" s="72"/>
      <c r="CP562" s="72"/>
      <c r="CQ562" s="72"/>
      <c r="CR562" s="72"/>
      <c r="CS562" s="72"/>
      <c r="CT562" s="72"/>
      <c r="CU562" s="72"/>
      <c r="CV562" s="72"/>
      <c r="CW562" s="72"/>
      <c r="CX562" s="72"/>
      <c r="CY562" s="72"/>
      <c r="CZ562" s="72"/>
      <c r="DA562" s="72"/>
      <c r="DB562" s="72"/>
      <c r="DC562" s="72"/>
      <c r="DD562" s="72"/>
      <c r="DE562" s="72"/>
      <c r="DF562" s="72"/>
      <c r="DG562" s="72"/>
      <c r="DH562" s="72"/>
      <c r="DI562" s="72"/>
      <c r="DJ562" s="72"/>
      <c r="DK562" s="72"/>
      <c r="DL562" s="72"/>
      <c r="DM562" s="72"/>
      <c r="DN562" s="72"/>
      <c r="DO562" s="72"/>
      <c r="DP562" s="72"/>
      <c r="DQ562" s="72"/>
      <c r="DR562" s="72"/>
      <c r="DS562" s="72"/>
      <c r="DT562" s="72"/>
      <c r="DU562" s="72"/>
      <c r="DV562" s="72"/>
      <c r="DW562" s="72"/>
      <c r="DX562" s="72"/>
      <c r="DY562" s="72"/>
      <c r="DZ562" s="72"/>
      <c r="EA562" s="72"/>
      <c r="EB562" s="72"/>
      <c r="EC562" s="72"/>
      <c r="ED562" s="72"/>
      <c r="EE562" s="72"/>
      <c r="EF562" s="72"/>
      <c r="EG562" s="72"/>
      <c r="EH562" s="72"/>
      <c r="EI562" s="129"/>
      <c r="EJ562" s="129"/>
      <c r="EK562" s="129"/>
      <c r="EL562" s="129"/>
      <c r="EM562" s="72"/>
      <c r="EN562" s="72"/>
      <c r="EO562" s="72"/>
      <c r="EP562" s="72"/>
      <c r="EQ562" s="72"/>
      <c r="ER562" s="72"/>
      <c r="ES562" s="72"/>
      <c r="ET562" s="72"/>
    </row>
    <row r="563">
      <c r="CD563" s="72"/>
      <c r="CE563" s="72"/>
      <c r="CF563" s="72"/>
      <c r="CG563" s="72"/>
      <c r="CH563" s="72"/>
      <c r="CI563" s="72"/>
      <c r="CJ563" s="72"/>
      <c r="CK563" s="72"/>
      <c r="CL563" s="72"/>
      <c r="CM563" s="72"/>
      <c r="CN563" s="72"/>
      <c r="CO563" s="72"/>
      <c r="CP563" s="72"/>
      <c r="CQ563" s="72"/>
      <c r="CR563" s="72"/>
      <c r="CS563" s="72"/>
      <c r="CT563" s="72"/>
      <c r="CU563" s="72"/>
      <c r="CV563" s="72"/>
      <c r="CW563" s="72"/>
      <c r="CX563" s="72"/>
      <c r="CY563" s="72"/>
      <c r="CZ563" s="72"/>
      <c r="DA563" s="72"/>
      <c r="DB563" s="72"/>
      <c r="DC563" s="72"/>
      <c r="DD563" s="72"/>
      <c r="DE563" s="72"/>
      <c r="DF563" s="72"/>
      <c r="DG563" s="72"/>
      <c r="DH563" s="72"/>
      <c r="DI563" s="72"/>
      <c r="DJ563" s="72"/>
      <c r="DK563" s="72"/>
      <c r="DL563" s="72"/>
      <c r="DM563" s="72"/>
      <c r="DN563" s="72"/>
      <c r="DO563" s="72"/>
      <c r="DP563" s="72"/>
      <c r="DQ563" s="72"/>
      <c r="DR563" s="72"/>
      <c r="DS563" s="72"/>
      <c r="DT563" s="72"/>
      <c r="DU563" s="72"/>
      <c r="DV563" s="72"/>
      <c r="DW563" s="72"/>
      <c r="DX563" s="72"/>
      <c r="DY563" s="72"/>
      <c r="DZ563" s="72"/>
      <c r="EA563" s="72"/>
      <c r="EB563" s="72"/>
      <c r="EC563" s="72"/>
      <c r="ED563" s="72"/>
      <c r="EE563" s="72"/>
      <c r="EF563" s="72"/>
      <c r="EG563" s="72"/>
      <c r="EH563" s="72"/>
      <c r="EI563" s="129"/>
      <c r="EJ563" s="129"/>
      <c r="EK563" s="129"/>
      <c r="EL563" s="129"/>
      <c r="EM563" s="72"/>
      <c r="EN563" s="72"/>
      <c r="EO563" s="72"/>
      <c r="EP563" s="72"/>
      <c r="EQ563" s="72"/>
      <c r="ER563" s="72"/>
      <c r="ES563" s="72"/>
      <c r="ET563" s="72"/>
    </row>
    <row r="564">
      <c r="CD564" s="72"/>
      <c r="CE564" s="72"/>
      <c r="CF564" s="72"/>
      <c r="CG564" s="72"/>
      <c r="CH564" s="72"/>
      <c r="CI564" s="72"/>
      <c r="CJ564" s="72"/>
      <c r="CK564" s="72"/>
      <c r="CL564" s="72"/>
      <c r="CM564" s="72"/>
      <c r="CN564" s="72"/>
      <c r="CO564" s="72"/>
      <c r="CP564" s="72"/>
      <c r="CQ564" s="72"/>
      <c r="CR564" s="72"/>
      <c r="CS564" s="72"/>
      <c r="CT564" s="72"/>
      <c r="CU564" s="72"/>
      <c r="CV564" s="72"/>
      <c r="CW564" s="72"/>
      <c r="CX564" s="72"/>
      <c r="CY564" s="72"/>
      <c r="CZ564" s="72"/>
      <c r="DA564" s="72"/>
      <c r="DB564" s="72"/>
      <c r="DC564" s="72"/>
      <c r="DD564" s="72"/>
      <c r="DE564" s="72"/>
      <c r="DF564" s="72"/>
      <c r="DG564" s="72"/>
      <c r="DH564" s="72"/>
      <c r="DI564" s="72"/>
      <c r="DJ564" s="72"/>
      <c r="DK564" s="72"/>
      <c r="DL564" s="72"/>
      <c r="DM564" s="72"/>
      <c r="DN564" s="72"/>
      <c r="DO564" s="72"/>
      <c r="DP564" s="72"/>
      <c r="DQ564" s="72"/>
      <c r="DR564" s="72"/>
      <c r="DS564" s="72"/>
      <c r="DT564" s="72"/>
      <c r="DU564" s="72"/>
      <c r="DV564" s="72"/>
      <c r="DW564" s="72"/>
      <c r="DX564" s="72"/>
      <c r="DY564" s="72"/>
      <c r="DZ564" s="72"/>
      <c r="EA564" s="72"/>
      <c r="EB564" s="72"/>
      <c r="EC564" s="72"/>
      <c r="ED564" s="72"/>
      <c r="EE564" s="72"/>
      <c r="EF564" s="72"/>
      <c r="EG564" s="72"/>
      <c r="EH564" s="72"/>
      <c r="EI564" s="129"/>
      <c r="EJ564" s="129"/>
      <c r="EK564" s="129"/>
      <c r="EL564" s="129"/>
      <c r="EM564" s="72"/>
      <c r="EN564" s="72"/>
      <c r="EO564" s="72"/>
      <c r="EP564" s="72"/>
      <c r="EQ564" s="72"/>
      <c r="ER564" s="72"/>
      <c r="ES564" s="72"/>
      <c r="ET564" s="72"/>
    </row>
    <row r="565">
      <c r="CD565" s="72"/>
      <c r="CE565" s="72"/>
      <c r="CF565" s="72"/>
      <c r="CG565" s="72"/>
      <c r="CH565" s="72"/>
      <c r="CI565" s="72"/>
      <c r="CJ565" s="72"/>
      <c r="CK565" s="72"/>
      <c r="CL565" s="72"/>
      <c r="CM565" s="72"/>
      <c r="CN565" s="72"/>
      <c r="CO565" s="72"/>
      <c r="CP565" s="72"/>
      <c r="CQ565" s="72"/>
      <c r="CR565" s="72"/>
      <c r="CS565" s="72"/>
      <c r="CT565" s="72"/>
      <c r="CU565" s="72"/>
      <c r="CV565" s="72"/>
      <c r="CW565" s="72"/>
      <c r="CX565" s="72"/>
      <c r="CY565" s="72"/>
      <c r="CZ565" s="72"/>
      <c r="DA565" s="72"/>
      <c r="DB565" s="72"/>
      <c r="DC565" s="72"/>
      <c r="DD565" s="72"/>
      <c r="DE565" s="72"/>
      <c r="DF565" s="72"/>
      <c r="DG565" s="72"/>
      <c r="DH565" s="72"/>
      <c r="DI565" s="72"/>
      <c r="DJ565" s="72"/>
      <c r="DK565" s="72"/>
      <c r="DL565" s="72"/>
      <c r="DM565" s="72"/>
      <c r="DN565" s="72"/>
      <c r="DO565" s="72"/>
      <c r="DP565" s="72"/>
      <c r="DQ565" s="72"/>
      <c r="DR565" s="72"/>
      <c r="DS565" s="72"/>
      <c r="DT565" s="72"/>
      <c r="DU565" s="72"/>
      <c r="DV565" s="72"/>
      <c r="DW565" s="72"/>
      <c r="DX565" s="72"/>
      <c r="DY565" s="72"/>
      <c r="DZ565" s="72"/>
      <c r="EA565" s="72"/>
      <c r="EB565" s="72"/>
      <c r="EC565" s="72"/>
      <c r="ED565" s="72"/>
      <c r="EE565" s="72"/>
      <c r="EF565" s="72"/>
      <c r="EG565" s="72"/>
      <c r="EH565" s="72"/>
      <c r="EI565" s="129"/>
      <c r="EJ565" s="129"/>
      <c r="EK565" s="129"/>
      <c r="EL565" s="129"/>
      <c r="EM565" s="72"/>
      <c r="EN565" s="72"/>
      <c r="EO565" s="72"/>
      <c r="EP565" s="72"/>
      <c r="EQ565" s="72"/>
      <c r="ER565" s="72"/>
      <c r="ES565" s="72"/>
      <c r="ET565" s="72"/>
    </row>
    <row r="566">
      <c r="CD566" s="72"/>
      <c r="CE566" s="72"/>
      <c r="CF566" s="72"/>
      <c r="CG566" s="72"/>
      <c r="CH566" s="72"/>
      <c r="CI566" s="72"/>
      <c r="CJ566" s="72"/>
      <c r="CK566" s="72"/>
      <c r="CL566" s="72"/>
      <c r="CM566" s="72"/>
      <c r="CN566" s="72"/>
      <c r="CO566" s="72"/>
      <c r="CP566" s="72"/>
      <c r="CQ566" s="72"/>
      <c r="CR566" s="72"/>
      <c r="CS566" s="72"/>
      <c r="CT566" s="72"/>
      <c r="CU566" s="72"/>
      <c r="CV566" s="72"/>
      <c r="CW566" s="72"/>
      <c r="CX566" s="72"/>
      <c r="CY566" s="72"/>
      <c r="CZ566" s="72"/>
      <c r="DA566" s="72"/>
      <c r="DB566" s="72"/>
      <c r="DC566" s="72"/>
      <c r="DD566" s="72"/>
      <c r="DE566" s="72"/>
      <c r="DF566" s="72"/>
      <c r="DG566" s="72"/>
      <c r="DH566" s="72"/>
      <c r="DI566" s="72"/>
      <c r="DJ566" s="72"/>
      <c r="DK566" s="72"/>
      <c r="DL566" s="72"/>
      <c r="DM566" s="72"/>
      <c r="DN566" s="72"/>
      <c r="DO566" s="72"/>
      <c r="DP566" s="72"/>
      <c r="DQ566" s="72"/>
      <c r="DR566" s="72"/>
      <c r="DS566" s="72"/>
      <c r="DT566" s="72"/>
      <c r="DU566" s="72"/>
      <c r="DV566" s="72"/>
      <c r="DW566" s="72"/>
      <c r="DX566" s="72"/>
      <c r="DY566" s="72"/>
      <c r="DZ566" s="72"/>
      <c r="EA566" s="72"/>
      <c r="EB566" s="72"/>
      <c r="EC566" s="72"/>
      <c r="ED566" s="72"/>
      <c r="EE566" s="72"/>
      <c r="EF566" s="72"/>
      <c r="EG566" s="72"/>
      <c r="EH566" s="72"/>
      <c r="EI566" s="129"/>
      <c r="EJ566" s="129"/>
      <c r="EK566" s="129"/>
      <c r="EL566" s="129"/>
      <c r="EM566" s="72"/>
      <c r="EN566" s="72"/>
      <c r="EO566" s="72"/>
      <c r="EP566" s="72"/>
      <c r="EQ566" s="72"/>
      <c r="ER566" s="72"/>
      <c r="ES566" s="72"/>
      <c r="ET566" s="72"/>
    </row>
    <row r="567">
      <c r="CD567" s="72"/>
      <c r="CE567" s="72"/>
      <c r="CF567" s="72"/>
      <c r="CG567" s="72"/>
      <c r="CH567" s="72"/>
      <c r="CI567" s="72"/>
      <c r="CJ567" s="72"/>
      <c r="CK567" s="72"/>
      <c r="CL567" s="72"/>
      <c r="CM567" s="72"/>
      <c r="CN567" s="72"/>
      <c r="CO567" s="72"/>
      <c r="CP567" s="72"/>
      <c r="CQ567" s="72"/>
      <c r="CR567" s="72"/>
      <c r="CS567" s="72"/>
      <c r="CT567" s="72"/>
      <c r="CU567" s="72"/>
      <c r="CV567" s="72"/>
      <c r="CW567" s="72"/>
      <c r="CX567" s="72"/>
      <c r="CY567" s="72"/>
      <c r="CZ567" s="72"/>
      <c r="DA567" s="72"/>
      <c r="DB567" s="72"/>
      <c r="DC567" s="72"/>
      <c r="DD567" s="72"/>
      <c r="DE567" s="72"/>
      <c r="DF567" s="72"/>
      <c r="DG567" s="72"/>
      <c r="DH567" s="72"/>
      <c r="DI567" s="72"/>
      <c r="DJ567" s="72"/>
      <c r="DK567" s="72"/>
      <c r="DL567" s="72"/>
      <c r="DM567" s="72"/>
      <c r="DN567" s="72"/>
      <c r="DO567" s="72"/>
      <c r="DP567" s="72"/>
      <c r="DQ567" s="72"/>
      <c r="DR567" s="72"/>
      <c r="DS567" s="72"/>
      <c r="DT567" s="72"/>
      <c r="DU567" s="72"/>
      <c r="DV567" s="72"/>
      <c r="DW567" s="72"/>
      <c r="DX567" s="72"/>
      <c r="DY567" s="72"/>
      <c r="DZ567" s="72"/>
      <c r="EA567" s="72"/>
      <c r="EB567" s="72"/>
      <c r="EC567" s="72"/>
      <c r="ED567" s="72"/>
      <c r="EE567" s="72"/>
      <c r="EF567" s="72"/>
      <c r="EG567" s="72"/>
      <c r="EH567" s="72"/>
      <c r="EI567" s="129"/>
      <c r="EJ567" s="129"/>
      <c r="EK567" s="129"/>
      <c r="EL567" s="129"/>
      <c r="EM567" s="72"/>
      <c r="EN567" s="72"/>
      <c r="EO567" s="72"/>
      <c r="EP567" s="72"/>
      <c r="EQ567" s="72"/>
      <c r="ER567" s="72"/>
      <c r="ES567" s="72"/>
      <c r="ET567" s="72"/>
    </row>
    <row r="568">
      <c r="CD568" s="72"/>
      <c r="CE568" s="72"/>
      <c r="CF568" s="72"/>
      <c r="CG568" s="72"/>
      <c r="CH568" s="72"/>
      <c r="CI568" s="72"/>
      <c r="CJ568" s="72"/>
      <c r="CK568" s="72"/>
      <c r="CL568" s="72"/>
      <c r="CM568" s="72"/>
      <c r="CN568" s="72"/>
      <c r="CO568" s="72"/>
      <c r="CP568" s="72"/>
      <c r="CQ568" s="72"/>
      <c r="CR568" s="72"/>
      <c r="CS568" s="72"/>
      <c r="CT568" s="72"/>
      <c r="CU568" s="72"/>
      <c r="CV568" s="72"/>
      <c r="CW568" s="72"/>
      <c r="CX568" s="72"/>
      <c r="CY568" s="72"/>
      <c r="CZ568" s="72"/>
      <c r="DA568" s="72"/>
      <c r="DB568" s="72"/>
      <c r="DC568" s="72"/>
      <c r="DD568" s="72"/>
      <c r="DE568" s="72"/>
      <c r="DF568" s="72"/>
      <c r="DG568" s="72"/>
      <c r="DH568" s="72"/>
      <c r="DI568" s="72"/>
      <c r="DJ568" s="72"/>
      <c r="DK568" s="72"/>
      <c r="DL568" s="72"/>
      <c r="DM568" s="72"/>
      <c r="DN568" s="72"/>
      <c r="DO568" s="72"/>
      <c r="DP568" s="72"/>
      <c r="DQ568" s="72"/>
      <c r="DR568" s="72"/>
      <c r="DS568" s="72"/>
      <c r="DT568" s="72"/>
      <c r="DU568" s="72"/>
      <c r="DV568" s="72"/>
      <c r="DW568" s="72"/>
      <c r="DX568" s="72"/>
      <c r="DY568" s="72"/>
      <c r="DZ568" s="72"/>
      <c r="EA568" s="72"/>
      <c r="EB568" s="72"/>
      <c r="EC568" s="72"/>
      <c r="ED568" s="72"/>
      <c r="EE568" s="72"/>
      <c r="EF568" s="72"/>
      <c r="EG568" s="72"/>
      <c r="EH568" s="72"/>
      <c r="EI568" s="129"/>
      <c r="EJ568" s="129"/>
      <c r="EK568" s="129"/>
      <c r="EL568" s="129"/>
      <c r="EM568" s="72"/>
      <c r="EN568" s="72"/>
      <c r="EO568" s="72"/>
      <c r="EP568" s="72"/>
      <c r="EQ568" s="72"/>
      <c r="ER568" s="72"/>
      <c r="ES568" s="72"/>
      <c r="ET568" s="72"/>
    </row>
    <row r="569">
      <c r="CD569" s="72"/>
      <c r="CE569" s="72"/>
      <c r="CF569" s="72"/>
      <c r="CG569" s="72"/>
      <c r="CH569" s="72"/>
      <c r="CI569" s="72"/>
      <c r="CJ569" s="72"/>
      <c r="CK569" s="72"/>
      <c r="CL569" s="72"/>
      <c r="CM569" s="72"/>
      <c r="CN569" s="72"/>
      <c r="CO569" s="72"/>
      <c r="CP569" s="72"/>
      <c r="CQ569" s="72"/>
      <c r="CR569" s="72"/>
      <c r="CS569" s="72"/>
      <c r="CT569" s="72"/>
      <c r="CU569" s="72"/>
      <c r="CV569" s="72"/>
      <c r="CW569" s="72"/>
      <c r="CX569" s="72"/>
      <c r="CY569" s="72"/>
      <c r="CZ569" s="72"/>
      <c r="DA569" s="72"/>
      <c r="DB569" s="72"/>
      <c r="DC569" s="72"/>
      <c r="DD569" s="72"/>
      <c r="DE569" s="72"/>
      <c r="DF569" s="72"/>
      <c r="DG569" s="72"/>
      <c r="DH569" s="72"/>
      <c r="DI569" s="72"/>
      <c r="DJ569" s="72"/>
      <c r="DK569" s="72"/>
      <c r="DL569" s="72"/>
      <c r="DM569" s="72"/>
      <c r="DN569" s="72"/>
      <c r="DO569" s="72"/>
      <c r="DP569" s="72"/>
      <c r="DQ569" s="72"/>
      <c r="DR569" s="72"/>
      <c r="DS569" s="72"/>
      <c r="DT569" s="72"/>
      <c r="DU569" s="72"/>
      <c r="DV569" s="72"/>
      <c r="DW569" s="72"/>
      <c r="DX569" s="72"/>
      <c r="DY569" s="72"/>
      <c r="DZ569" s="72"/>
      <c r="EA569" s="72"/>
      <c r="EB569" s="72"/>
      <c r="EC569" s="72"/>
      <c r="ED569" s="72"/>
      <c r="EE569" s="72"/>
      <c r="EF569" s="72"/>
      <c r="EG569" s="72"/>
      <c r="EH569" s="72"/>
      <c r="EI569" s="129"/>
      <c r="EJ569" s="129"/>
      <c r="EK569" s="129"/>
      <c r="EL569" s="129"/>
      <c r="EM569" s="72"/>
      <c r="EN569" s="72"/>
      <c r="EO569" s="72"/>
      <c r="EP569" s="72"/>
      <c r="EQ569" s="72"/>
      <c r="ER569" s="72"/>
      <c r="ES569" s="72"/>
      <c r="ET569" s="72"/>
    </row>
    <row r="570">
      <c r="CD570" s="72"/>
      <c r="CE570" s="72"/>
      <c r="CF570" s="72"/>
      <c r="CG570" s="72"/>
      <c r="CH570" s="72"/>
      <c r="CI570" s="72"/>
      <c r="CJ570" s="72"/>
      <c r="CK570" s="72"/>
      <c r="CL570" s="72"/>
      <c r="CM570" s="72"/>
      <c r="CN570" s="72"/>
      <c r="CO570" s="72"/>
      <c r="CP570" s="72"/>
      <c r="CQ570" s="72"/>
      <c r="CR570" s="72"/>
      <c r="CS570" s="72"/>
      <c r="CT570" s="72"/>
      <c r="CU570" s="72"/>
      <c r="CV570" s="72"/>
      <c r="CW570" s="72"/>
      <c r="CX570" s="72"/>
      <c r="CY570" s="72"/>
      <c r="CZ570" s="72"/>
      <c r="DA570" s="72"/>
      <c r="DB570" s="72"/>
      <c r="DC570" s="72"/>
      <c r="DD570" s="72"/>
      <c r="DE570" s="72"/>
      <c r="DF570" s="72"/>
      <c r="DG570" s="72"/>
      <c r="DH570" s="72"/>
      <c r="DI570" s="72"/>
      <c r="DJ570" s="72"/>
      <c r="DK570" s="72"/>
      <c r="DL570" s="72"/>
      <c r="DM570" s="72"/>
      <c r="DN570" s="72"/>
      <c r="DO570" s="72"/>
      <c r="DP570" s="72"/>
      <c r="DQ570" s="72"/>
      <c r="DR570" s="72"/>
      <c r="DS570" s="72"/>
      <c r="DT570" s="72"/>
      <c r="DU570" s="72"/>
      <c r="DV570" s="72"/>
      <c r="DW570" s="72"/>
      <c r="DX570" s="72"/>
      <c r="DY570" s="72"/>
      <c r="DZ570" s="72"/>
      <c r="EA570" s="72"/>
      <c r="EB570" s="72"/>
      <c r="EC570" s="72"/>
      <c r="ED570" s="72"/>
      <c r="EE570" s="72"/>
      <c r="EF570" s="72"/>
      <c r="EG570" s="72"/>
      <c r="EH570" s="72"/>
      <c r="EI570" s="129"/>
      <c r="EJ570" s="129"/>
      <c r="EK570" s="129"/>
      <c r="EL570" s="129"/>
      <c r="EM570" s="72"/>
      <c r="EN570" s="72"/>
      <c r="EO570" s="72"/>
      <c r="EP570" s="72"/>
      <c r="EQ570" s="72"/>
      <c r="ER570" s="72"/>
      <c r="ES570" s="72"/>
      <c r="ET570" s="72"/>
    </row>
    <row r="571">
      <c r="CD571" s="72"/>
      <c r="CE571" s="72"/>
      <c r="CF571" s="72"/>
      <c r="CG571" s="72"/>
      <c r="CH571" s="72"/>
      <c r="CI571" s="72"/>
      <c r="CJ571" s="72"/>
      <c r="CK571" s="72"/>
      <c r="CL571" s="72"/>
      <c r="CM571" s="72"/>
      <c r="CN571" s="72"/>
      <c r="CO571" s="72"/>
      <c r="CP571" s="72"/>
      <c r="CQ571" s="72"/>
      <c r="CR571" s="72"/>
      <c r="CS571" s="72"/>
      <c r="CT571" s="72"/>
      <c r="CU571" s="72"/>
      <c r="CV571" s="72"/>
      <c r="CW571" s="72"/>
      <c r="CX571" s="72"/>
      <c r="CY571" s="72"/>
      <c r="CZ571" s="72"/>
      <c r="DA571" s="72"/>
      <c r="DB571" s="72"/>
      <c r="DC571" s="72"/>
      <c r="DD571" s="72"/>
      <c r="DE571" s="72"/>
      <c r="DF571" s="72"/>
      <c r="DG571" s="72"/>
      <c r="DH571" s="72"/>
      <c r="DI571" s="72"/>
      <c r="DJ571" s="72"/>
      <c r="DK571" s="72"/>
      <c r="DL571" s="72"/>
      <c r="DM571" s="72"/>
      <c r="DN571" s="72"/>
      <c r="DO571" s="72"/>
      <c r="DP571" s="72"/>
      <c r="DQ571" s="72"/>
      <c r="DR571" s="72"/>
      <c r="DS571" s="72"/>
      <c r="DT571" s="72"/>
      <c r="DU571" s="72"/>
      <c r="DV571" s="72"/>
      <c r="DW571" s="72"/>
      <c r="DX571" s="72"/>
      <c r="DY571" s="72"/>
      <c r="DZ571" s="72"/>
      <c r="EA571" s="72"/>
      <c r="EB571" s="72"/>
      <c r="EC571" s="72"/>
      <c r="ED571" s="72"/>
      <c r="EE571" s="72"/>
      <c r="EF571" s="72"/>
      <c r="EG571" s="72"/>
      <c r="EH571" s="72"/>
      <c r="EI571" s="129"/>
      <c r="EJ571" s="129"/>
      <c r="EK571" s="129"/>
      <c r="EL571" s="129"/>
      <c r="EM571" s="72"/>
      <c r="EN571" s="72"/>
      <c r="EO571" s="72"/>
      <c r="EP571" s="72"/>
      <c r="EQ571" s="72"/>
      <c r="ER571" s="72"/>
      <c r="ES571" s="72"/>
      <c r="ET571" s="72"/>
    </row>
    <row r="572">
      <c r="CD572" s="72"/>
      <c r="CE572" s="72"/>
      <c r="CF572" s="72"/>
      <c r="CG572" s="72"/>
      <c r="CH572" s="72"/>
      <c r="CI572" s="72"/>
      <c r="CJ572" s="72"/>
      <c r="CK572" s="72"/>
      <c r="CL572" s="72"/>
      <c r="CM572" s="72"/>
      <c r="CN572" s="72"/>
      <c r="CO572" s="72"/>
      <c r="CP572" s="72"/>
      <c r="CQ572" s="72"/>
      <c r="CR572" s="72"/>
      <c r="CS572" s="72"/>
      <c r="CT572" s="72"/>
      <c r="CU572" s="72"/>
      <c r="CV572" s="72"/>
      <c r="CW572" s="72"/>
      <c r="CX572" s="72"/>
      <c r="CY572" s="72"/>
      <c r="CZ572" s="72"/>
      <c r="DA572" s="72"/>
      <c r="DB572" s="72"/>
      <c r="DC572" s="72"/>
      <c r="DD572" s="72"/>
      <c r="DE572" s="72"/>
      <c r="DF572" s="72"/>
      <c r="DG572" s="72"/>
      <c r="DH572" s="72"/>
      <c r="DI572" s="72"/>
      <c r="DJ572" s="72"/>
      <c r="DK572" s="72"/>
      <c r="DL572" s="72"/>
      <c r="DM572" s="72"/>
      <c r="DN572" s="72"/>
      <c r="DO572" s="72"/>
      <c r="DP572" s="72"/>
      <c r="DQ572" s="72"/>
      <c r="DR572" s="72"/>
      <c r="DS572" s="72"/>
      <c r="DT572" s="72"/>
      <c r="DU572" s="72"/>
      <c r="DV572" s="72"/>
      <c r="DW572" s="72"/>
      <c r="DX572" s="72"/>
      <c r="DY572" s="72"/>
      <c r="DZ572" s="72"/>
      <c r="EA572" s="72"/>
      <c r="EB572" s="72"/>
      <c r="EC572" s="72"/>
      <c r="ED572" s="72"/>
      <c r="EE572" s="72"/>
      <c r="EF572" s="72"/>
      <c r="EG572" s="72"/>
      <c r="EH572" s="72"/>
      <c r="EI572" s="129"/>
      <c r="EJ572" s="129"/>
      <c r="EK572" s="129"/>
      <c r="EL572" s="129"/>
      <c r="EM572" s="72"/>
      <c r="EN572" s="72"/>
      <c r="EO572" s="72"/>
      <c r="EP572" s="72"/>
      <c r="EQ572" s="72"/>
      <c r="ER572" s="72"/>
      <c r="ES572" s="72"/>
      <c r="ET572" s="72"/>
    </row>
    <row r="573">
      <c r="CD573" s="72"/>
      <c r="CE573" s="72"/>
      <c r="CF573" s="72"/>
      <c r="CG573" s="72"/>
      <c r="CH573" s="72"/>
      <c r="CI573" s="72"/>
      <c r="CJ573" s="72"/>
      <c r="CK573" s="72"/>
      <c r="CL573" s="72"/>
      <c r="CM573" s="72"/>
      <c r="CN573" s="72"/>
      <c r="CO573" s="72"/>
      <c r="CP573" s="72"/>
      <c r="CQ573" s="72"/>
      <c r="CR573" s="72"/>
      <c r="CS573" s="72"/>
      <c r="CT573" s="72"/>
      <c r="CU573" s="72"/>
      <c r="CV573" s="72"/>
      <c r="CW573" s="72"/>
      <c r="CX573" s="72"/>
      <c r="CY573" s="72"/>
      <c r="CZ573" s="72"/>
      <c r="DA573" s="72"/>
      <c r="DB573" s="72"/>
      <c r="DC573" s="72"/>
      <c r="DD573" s="72"/>
      <c r="DE573" s="72"/>
      <c r="DF573" s="72"/>
      <c r="DG573" s="72"/>
      <c r="DH573" s="72"/>
      <c r="DI573" s="72"/>
      <c r="DJ573" s="72"/>
      <c r="DK573" s="72"/>
      <c r="DL573" s="72"/>
      <c r="DM573" s="72"/>
      <c r="DN573" s="72"/>
      <c r="DO573" s="72"/>
      <c r="DP573" s="72"/>
      <c r="DQ573" s="72"/>
      <c r="DR573" s="72"/>
      <c r="DS573" s="72"/>
      <c r="DT573" s="72"/>
      <c r="DU573" s="72"/>
      <c r="DV573" s="72"/>
      <c r="DW573" s="72"/>
      <c r="DX573" s="72"/>
      <c r="DY573" s="72"/>
      <c r="DZ573" s="72"/>
      <c r="EA573" s="72"/>
      <c r="EB573" s="72"/>
      <c r="EC573" s="72"/>
      <c r="ED573" s="72"/>
      <c r="EE573" s="72"/>
      <c r="EF573" s="72"/>
      <c r="EG573" s="72"/>
      <c r="EH573" s="72"/>
      <c r="EI573" s="129"/>
      <c r="EJ573" s="129"/>
      <c r="EK573" s="129"/>
      <c r="EL573" s="129"/>
      <c r="EM573" s="72"/>
      <c r="EN573" s="72"/>
      <c r="EO573" s="72"/>
      <c r="EP573" s="72"/>
      <c r="EQ573" s="72"/>
      <c r="ER573" s="72"/>
      <c r="ES573" s="72"/>
      <c r="ET573" s="72"/>
    </row>
    <row r="574">
      <c r="CD574" s="72"/>
      <c r="CE574" s="72"/>
      <c r="CF574" s="72"/>
      <c r="CG574" s="72"/>
      <c r="CH574" s="72"/>
      <c r="CI574" s="72"/>
      <c r="CJ574" s="72"/>
      <c r="CK574" s="72"/>
      <c r="CL574" s="72"/>
      <c r="CM574" s="72"/>
      <c r="CN574" s="72"/>
      <c r="CO574" s="72"/>
      <c r="CP574" s="72"/>
      <c r="CQ574" s="72"/>
      <c r="CR574" s="72"/>
      <c r="CS574" s="72"/>
      <c r="CT574" s="72"/>
      <c r="CU574" s="72"/>
      <c r="CV574" s="72"/>
      <c r="CW574" s="72"/>
      <c r="CX574" s="72"/>
      <c r="CY574" s="72"/>
      <c r="CZ574" s="72"/>
      <c r="DA574" s="72"/>
      <c r="DB574" s="72"/>
      <c r="DC574" s="72"/>
      <c r="DD574" s="72"/>
      <c r="DE574" s="72"/>
      <c r="DF574" s="72"/>
      <c r="DG574" s="72"/>
      <c r="DH574" s="72"/>
      <c r="DI574" s="72"/>
      <c r="DJ574" s="72"/>
      <c r="DK574" s="72"/>
      <c r="DL574" s="72"/>
      <c r="DM574" s="72"/>
      <c r="DN574" s="72"/>
      <c r="DO574" s="72"/>
      <c r="DP574" s="72"/>
      <c r="DQ574" s="72"/>
      <c r="DR574" s="72"/>
      <c r="DS574" s="72"/>
      <c r="DT574" s="72"/>
      <c r="DU574" s="72"/>
      <c r="DV574" s="72"/>
      <c r="DW574" s="72"/>
      <c r="DX574" s="72"/>
      <c r="DY574" s="72"/>
      <c r="DZ574" s="72"/>
      <c r="EA574" s="72"/>
      <c r="EB574" s="72"/>
      <c r="EC574" s="72"/>
      <c r="ED574" s="72"/>
      <c r="EE574" s="72"/>
      <c r="EF574" s="72"/>
      <c r="EG574" s="72"/>
      <c r="EH574" s="72"/>
      <c r="EI574" s="129"/>
      <c r="EJ574" s="129"/>
      <c r="EK574" s="129"/>
      <c r="EL574" s="129"/>
      <c r="EM574" s="72"/>
      <c r="EN574" s="72"/>
      <c r="EO574" s="72"/>
      <c r="EP574" s="72"/>
      <c r="EQ574" s="72"/>
      <c r="ER574" s="72"/>
      <c r="ES574" s="72"/>
      <c r="ET574" s="72"/>
    </row>
    <row r="575">
      <c r="CD575" s="72"/>
      <c r="CE575" s="72"/>
      <c r="CF575" s="72"/>
      <c r="CG575" s="72"/>
      <c r="CH575" s="72"/>
      <c r="CI575" s="72"/>
      <c r="CJ575" s="72"/>
      <c r="CK575" s="72"/>
      <c r="CL575" s="72"/>
      <c r="CM575" s="72"/>
      <c r="CN575" s="72"/>
      <c r="CO575" s="72"/>
      <c r="CP575" s="72"/>
      <c r="CQ575" s="72"/>
      <c r="CR575" s="72"/>
      <c r="CS575" s="72"/>
      <c r="CT575" s="72"/>
      <c r="CU575" s="72"/>
      <c r="CV575" s="72"/>
      <c r="CW575" s="72"/>
      <c r="CX575" s="72"/>
      <c r="CY575" s="72"/>
      <c r="CZ575" s="72"/>
      <c r="DA575" s="72"/>
      <c r="DB575" s="72"/>
      <c r="DC575" s="72"/>
      <c r="DD575" s="72"/>
      <c r="DE575" s="72"/>
      <c r="DF575" s="72"/>
      <c r="DG575" s="72"/>
      <c r="DH575" s="72"/>
      <c r="DI575" s="72"/>
      <c r="DJ575" s="72"/>
      <c r="DK575" s="72"/>
      <c r="DL575" s="72"/>
      <c r="DM575" s="72"/>
      <c r="DN575" s="72"/>
      <c r="DO575" s="72"/>
      <c r="DP575" s="72"/>
      <c r="DQ575" s="72"/>
      <c r="DR575" s="72"/>
      <c r="DS575" s="72"/>
      <c r="DT575" s="72"/>
      <c r="DU575" s="72"/>
      <c r="DV575" s="72"/>
      <c r="DW575" s="72"/>
      <c r="DX575" s="72"/>
      <c r="DY575" s="72"/>
      <c r="DZ575" s="72"/>
      <c r="EA575" s="72"/>
      <c r="EB575" s="72"/>
      <c r="EC575" s="72"/>
      <c r="ED575" s="72"/>
      <c r="EE575" s="72"/>
      <c r="EF575" s="72"/>
      <c r="EG575" s="72"/>
      <c r="EH575" s="72"/>
      <c r="EI575" s="129"/>
      <c r="EJ575" s="129"/>
      <c r="EK575" s="129"/>
      <c r="EL575" s="129"/>
      <c r="EM575" s="72"/>
      <c r="EN575" s="72"/>
      <c r="EO575" s="72"/>
      <c r="EP575" s="72"/>
      <c r="EQ575" s="72"/>
      <c r="ER575" s="72"/>
      <c r="ES575" s="72"/>
      <c r="ET575" s="72"/>
    </row>
    <row r="576">
      <c r="CD576" s="72"/>
      <c r="CE576" s="72"/>
      <c r="CF576" s="72"/>
      <c r="CG576" s="72"/>
      <c r="CH576" s="72"/>
      <c r="CI576" s="72"/>
      <c r="CJ576" s="72"/>
      <c r="CK576" s="72"/>
      <c r="CL576" s="72"/>
      <c r="CM576" s="72"/>
      <c r="CN576" s="72"/>
      <c r="CO576" s="72"/>
      <c r="CP576" s="72"/>
      <c r="CQ576" s="72"/>
      <c r="CR576" s="72"/>
      <c r="CS576" s="72"/>
      <c r="CT576" s="72"/>
      <c r="CU576" s="72"/>
      <c r="CV576" s="72"/>
      <c r="CW576" s="72"/>
      <c r="CX576" s="72"/>
      <c r="CY576" s="72"/>
      <c r="CZ576" s="72"/>
      <c r="DA576" s="72"/>
      <c r="DB576" s="72"/>
      <c r="DC576" s="72"/>
      <c r="DD576" s="72"/>
      <c r="DE576" s="72"/>
      <c r="DF576" s="72"/>
      <c r="DG576" s="72"/>
      <c r="DH576" s="72"/>
      <c r="DI576" s="72"/>
      <c r="DJ576" s="72"/>
      <c r="DK576" s="72"/>
      <c r="DL576" s="72"/>
      <c r="DM576" s="72"/>
      <c r="DN576" s="72"/>
      <c r="DO576" s="72"/>
      <c r="DP576" s="72"/>
      <c r="DQ576" s="72"/>
      <c r="DR576" s="72"/>
      <c r="DS576" s="72"/>
      <c r="DT576" s="72"/>
      <c r="DU576" s="72"/>
      <c r="DV576" s="72"/>
      <c r="DW576" s="72"/>
      <c r="DX576" s="72"/>
      <c r="DY576" s="72"/>
      <c r="DZ576" s="72"/>
      <c r="EA576" s="72"/>
      <c r="EB576" s="72"/>
      <c r="EC576" s="72"/>
      <c r="ED576" s="72"/>
      <c r="EE576" s="72"/>
      <c r="EF576" s="72"/>
      <c r="EG576" s="72"/>
      <c r="EH576" s="72"/>
      <c r="EI576" s="129"/>
      <c r="EJ576" s="129"/>
      <c r="EK576" s="129"/>
      <c r="EL576" s="129"/>
      <c r="EM576" s="72"/>
      <c r="EN576" s="72"/>
      <c r="EO576" s="72"/>
      <c r="EP576" s="72"/>
      <c r="EQ576" s="72"/>
      <c r="ER576" s="72"/>
      <c r="ES576" s="72"/>
      <c r="ET576" s="72"/>
    </row>
    <row r="577">
      <c r="CD577" s="72"/>
      <c r="CE577" s="72"/>
      <c r="CF577" s="72"/>
      <c r="CG577" s="72"/>
      <c r="CH577" s="72"/>
      <c r="CI577" s="72"/>
      <c r="CJ577" s="72"/>
      <c r="CK577" s="72"/>
      <c r="CL577" s="72"/>
      <c r="CM577" s="72"/>
      <c r="CN577" s="72"/>
      <c r="CO577" s="72"/>
      <c r="CP577" s="72"/>
      <c r="CQ577" s="72"/>
      <c r="CR577" s="72"/>
      <c r="CS577" s="72"/>
      <c r="CT577" s="72"/>
      <c r="CU577" s="72"/>
      <c r="CV577" s="72"/>
      <c r="CW577" s="72"/>
      <c r="CX577" s="72"/>
      <c r="CY577" s="72"/>
      <c r="CZ577" s="72"/>
      <c r="DA577" s="72"/>
      <c r="DB577" s="72"/>
      <c r="DC577" s="72"/>
      <c r="DD577" s="72"/>
      <c r="DE577" s="72"/>
      <c r="DF577" s="72"/>
      <c r="DG577" s="72"/>
      <c r="DH577" s="72"/>
      <c r="DI577" s="72"/>
      <c r="DJ577" s="72"/>
      <c r="DK577" s="72"/>
      <c r="DL577" s="72"/>
      <c r="DM577" s="72"/>
      <c r="DN577" s="72"/>
      <c r="DO577" s="72"/>
      <c r="DP577" s="72"/>
      <c r="DQ577" s="72"/>
      <c r="DR577" s="72"/>
      <c r="DS577" s="72"/>
      <c r="DT577" s="72"/>
      <c r="DU577" s="72"/>
      <c r="DV577" s="72"/>
      <c r="DW577" s="72"/>
      <c r="DX577" s="72"/>
      <c r="DY577" s="72"/>
      <c r="DZ577" s="72"/>
      <c r="EA577" s="72"/>
      <c r="EB577" s="72"/>
      <c r="EC577" s="72"/>
      <c r="ED577" s="72"/>
      <c r="EE577" s="72"/>
      <c r="EF577" s="72"/>
      <c r="EG577" s="72"/>
      <c r="EH577" s="72"/>
      <c r="EI577" s="129"/>
      <c r="EJ577" s="129"/>
      <c r="EK577" s="129"/>
      <c r="EL577" s="129"/>
      <c r="EM577" s="72"/>
      <c r="EN577" s="72"/>
      <c r="EO577" s="72"/>
      <c r="EP577" s="72"/>
      <c r="EQ577" s="72"/>
      <c r="ER577" s="72"/>
      <c r="ES577" s="72"/>
      <c r="ET577" s="72"/>
    </row>
    <row r="578">
      <c r="CD578" s="72"/>
      <c r="CE578" s="72"/>
      <c r="CF578" s="72"/>
      <c r="CG578" s="72"/>
      <c r="CH578" s="72"/>
      <c r="CI578" s="72"/>
      <c r="CJ578" s="72"/>
      <c r="CK578" s="72"/>
      <c r="CL578" s="72"/>
      <c r="CM578" s="72"/>
      <c r="CN578" s="72"/>
      <c r="CO578" s="72"/>
      <c r="CP578" s="72"/>
      <c r="CQ578" s="72"/>
      <c r="CR578" s="72"/>
      <c r="CS578" s="72"/>
      <c r="CT578" s="72"/>
      <c r="CU578" s="72"/>
      <c r="CV578" s="72"/>
      <c r="CW578" s="72"/>
      <c r="CX578" s="72"/>
      <c r="CY578" s="72"/>
      <c r="CZ578" s="72"/>
      <c r="DA578" s="72"/>
      <c r="DB578" s="72"/>
      <c r="DC578" s="72"/>
      <c r="DD578" s="72"/>
      <c r="DE578" s="72"/>
      <c r="DF578" s="72"/>
      <c r="DG578" s="72"/>
      <c r="DH578" s="72"/>
      <c r="DI578" s="72"/>
      <c r="DJ578" s="72"/>
      <c r="DK578" s="72"/>
      <c r="DL578" s="72"/>
      <c r="DM578" s="72"/>
      <c r="DN578" s="72"/>
      <c r="DO578" s="72"/>
      <c r="DP578" s="72"/>
      <c r="DQ578" s="72"/>
      <c r="DR578" s="72"/>
      <c r="DS578" s="72"/>
      <c r="DT578" s="72"/>
      <c r="DU578" s="72"/>
      <c r="DV578" s="72"/>
      <c r="DW578" s="72"/>
      <c r="DX578" s="72"/>
      <c r="DY578" s="72"/>
      <c r="DZ578" s="72"/>
      <c r="EA578" s="72"/>
      <c r="EB578" s="72"/>
      <c r="EC578" s="72"/>
      <c r="ED578" s="72"/>
      <c r="EE578" s="72"/>
      <c r="EF578" s="72"/>
      <c r="EG578" s="72"/>
      <c r="EH578" s="72"/>
      <c r="EI578" s="129"/>
      <c r="EJ578" s="129"/>
      <c r="EK578" s="129"/>
      <c r="EL578" s="129"/>
      <c r="EM578" s="72"/>
      <c r="EN578" s="72"/>
      <c r="EO578" s="72"/>
      <c r="EP578" s="72"/>
      <c r="EQ578" s="72"/>
      <c r="ER578" s="72"/>
      <c r="ES578" s="72"/>
      <c r="ET578" s="72"/>
    </row>
    <row r="579">
      <c r="CD579" s="72"/>
      <c r="CE579" s="72"/>
      <c r="CF579" s="72"/>
      <c r="CG579" s="72"/>
      <c r="CH579" s="72"/>
      <c r="CI579" s="72"/>
      <c r="CJ579" s="72"/>
      <c r="CK579" s="72"/>
      <c r="CL579" s="72"/>
      <c r="CM579" s="72"/>
      <c r="CN579" s="72"/>
      <c r="CO579" s="72"/>
      <c r="CP579" s="72"/>
      <c r="CQ579" s="72"/>
      <c r="CR579" s="72"/>
      <c r="CS579" s="72"/>
      <c r="CT579" s="72"/>
      <c r="CU579" s="72"/>
      <c r="CV579" s="72"/>
      <c r="CW579" s="72"/>
      <c r="CX579" s="72"/>
      <c r="CY579" s="72"/>
      <c r="CZ579" s="72"/>
      <c r="DA579" s="72"/>
      <c r="DB579" s="72"/>
      <c r="DC579" s="72"/>
      <c r="DD579" s="72"/>
      <c r="DE579" s="72"/>
      <c r="DF579" s="72"/>
      <c r="DG579" s="72"/>
      <c r="DH579" s="72"/>
      <c r="DI579" s="72"/>
      <c r="DJ579" s="72"/>
      <c r="DK579" s="72"/>
      <c r="DL579" s="72"/>
      <c r="DM579" s="72"/>
      <c r="DN579" s="72"/>
      <c r="DO579" s="72"/>
      <c r="DP579" s="72"/>
      <c r="DQ579" s="72"/>
      <c r="DR579" s="72"/>
      <c r="DS579" s="72"/>
      <c r="DT579" s="72"/>
      <c r="DU579" s="72"/>
      <c r="DV579" s="72"/>
      <c r="DW579" s="72"/>
      <c r="DX579" s="72"/>
      <c r="DY579" s="72"/>
      <c r="DZ579" s="72"/>
      <c r="EA579" s="72"/>
      <c r="EB579" s="72"/>
      <c r="EC579" s="72"/>
      <c r="ED579" s="72"/>
      <c r="EE579" s="72"/>
      <c r="EF579" s="72"/>
      <c r="EG579" s="72"/>
      <c r="EH579" s="72"/>
      <c r="EI579" s="129"/>
      <c r="EJ579" s="129"/>
      <c r="EK579" s="129"/>
      <c r="EL579" s="129"/>
      <c r="EM579" s="72"/>
      <c r="EN579" s="72"/>
      <c r="EO579" s="72"/>
      <c r="EP579" s="72"/>
      <c r="EQ579" s="72"/>
      <c r="ER579" s="72"/>
      <c r="ES579" s="72"/>
      <c r="ET579" s="72"/>
    </row>
    <row r="580">
      <c r="CD580" s="72"/>
      <c r="CE580" s="72"/>
      <c r="CF580" s="72"/>
      <c r="CG580" s="72"/>
      <c r="CH580" s="72"/>
      <c r="CI580" s="72"/>
      <c r="CJ580" s="72"/>
      <c r="CK580" s="72"/>
      <c r="CL580" s="72"/>
      <c r="CM580" s="72"/>
      <c r="CN580" s="72"/>
      <c r="CO580" s="72"/>
      <c r="CP580" s="72"/>
      <c r="CQ580" s="72"/>
      <c r="CR580" s="72"/>
      <c r="CS580" s="72"/>
      <c r="CT580" s="72"/>
      <c r="CU580" s="72"/>
      <c r="CV580" s="72"/>
      <c r="CW580" s="72"/>
      <c r="CX580" s="72"/>
      <c r="CY580" s="72"/>
      <c r="CZ580" s="72"/>
      <c r="DA580" s="72"/>
      <c r="DB580" s="72"/>
      <c r="DC580" s="72"/>
      <c r="DD580" s="72"/>
      <c r="DE580" s="72"/>
      <c r="DF580" s="72"/>
      <c r="DG580" s="72"/>
      <c r="DH580" s="72"/>
      <c r="DI580" s="72"/>
      <c r="DJ580" s="72"/>
      <c r="DK580" s="72"/>
      <c r="DL580" s="72"/>
      <c r="DM580" s="72"/>
      <c r="DN580" s="72"/>
      <c r="DO580" s="72"/>
      <c r="DP580" s="72"/>
      <c r="DQ580" s="72"/>
      <c r="DR580" s="72"/>
      <c r="DS580" s="72"/>
      <c r="DT580" s="72"/>
      <c r="DU580" s="72"/>
      <c r="DV580" s="72"/>
      <c r="DW580" s="72"/>
      <c r="DX580" s="72"/>
      <c r="DY580" s="72"/>
      <c r="DZ580" s="72"/>
      <c r="EA580" s="72"/>
      <c r="EB580" s="72"/>
      <c r="EC580" s="72"/>
      <c r="ED580" s="72"/>
      <c r="EE580" s="72"/>
      <c r="EF580" s="72"/>
      <c r="EG580" s="72"/>
      <c r="EH580" s="72"/>
      <c r="EI580" s="129"/>
      <c r="EJ580" s="129"/>
      <c r="EK580" s="129"/>
      <c r="EL580" s="129"/>
      <c r="EM580" s="72"/>
      <c r="EN580" s="72"/>
      <c r="EO580" s="72"/>
      <c r="EP580" s="72"/>
      <c r="EQ580" s="72"/>
      <c r="ER580" s="72"/>
      <c r="ES580" s="72"/>
      <c r="ET580" s="72"/>
    </row>
    <row r="581">
      <c r="CD581" s="72"/>
      <c r="CE581" s="72"/>
      <c r="CF581" s="72"/>
      <c r="CG581" s="72"/>
      <c r="CH581" s="72"/>
      <c r="CI581" s="72"/>
      <c r="CJ581" s="72"/>
      <c r="CK581" s="72"/>
      <c r="CL581" s="72"/>
      <c r="CM581" s="72"/>
      <c r="CN581" s="72"/>
      <c r="CO581" s="72"/>
      <c r="CP581" s="72"/>
      <c r="CQ581" s="72"/>
      <c r="CR581" s="72"/>
      <c r="CS581" s="72"/>
      <c r="CT581" s="72"/>
      <c r="CU581" s="72"/>
      <c r="CV581" s="72"/>
      <c r="CW581" s="72"/>
      <c r="CX581" s="72"/>
      <c r="CY581" s="72"/>
      <c r="CZ581" s="72"/>
      <c r="DA581" s="72"/>
      <c r="DB581" s="72"/>
      <c r="DC581" s="72"/>
      <c r="DD581" s="72"/>
      <c r="DE581" s="72"/>
      <c r="DF581" s="72"/>
      <c r="DG581" s="72"/>
      <c r="DH581" s="72"/>
      <c r="DI581" s="72"/>
      <c r="DJ581" s="72"/>
      <c r="DK581" s="72"/>
      <c r="DL581" s="72"/>
      <c r="DM581" s="72"/>
      <c r="DN581" s="72"/>
      <c r="DO581" s="72"/>
      <c r="DP581" s="72"/>
      <c r="DQ581" s="72"/>
      <c r="DR581" s="72"/>
      <c r="DS581" s="72"/>
      <c r="DT581" s="72"/>
      <c r="DU581" s="72"/>
      <c r="DV581" s="72"/>
      <c r="DW581" s="72"/>
      <c r="DX581" s="72"/>
      <c r="DY581" s="72"/>
      <c r="DZ581" s="72"/>
      <c r="EA581" s="72"/>
      <c r="EB581" s="72"/>
      <c r="EC581" s="72"/>
      <c r="ED581" s="72"/>
      <c r="EE581" s="72"/>
      <c r="EF581" s="72"/>
      <c r="EG581" s="72"/>
      <c r="EH581" s="72"/>
      <c r="EI581" s="129"/>
      <c r="EJ581" s="129"/>
      <c r="EK581" s="129"/>
      <c r="EL581" s="129"/>
      <c r="EM581" s="72"/>
      <c r="EN581" s="72"/>
      <c r="EO581" s="72"/>
      <c r="EP581" s="72"/>
      <c r="EQ581" s="72"/>
      <c r="ER581" s="72"/>
      <c r="ES581" s="72"/>
      <c r="ET581" s="72"/>
    </row>
    <row r="582">
      <c r="CD582" s="72"/>
      <c r="CE582" s="72"/>
      <c r="CF582" s="72"/>
      <c r="CG582" s="72"/>
      <c r="CH582" s="72"/>
      <c r="CI582" s="72"/>
      <c r="CJ582" s="72"/>
      <c r="CK582" s="72"/>
      <c r="CL582" s="72"/>
      <c r="CM582" s="72"/>
      <c r="CN582" s="72"/>
      <c r="CO582" s="72"/>
      <c r="CP582" s="72"/>
      <c r="CQ582" s="72"/>
      <c r="CR582" s="72"/>
      <c r="CS582" s="72"/>
      <c r="CT582" s="72"/>
      <c r="CU582" s="72"/>
      <c r="CV582" s="72"/>
      <c r="CW582" s="72"/>
      <c r="CX582" s="72"/>
      <c r="CY582" s="72"/>
      <c r="CZ582" s="72"/>
      <c r="DA582" s="72"/>
      <c r="DB582" s="72"/>
      <c r="DC582" s="72"/>
      <c r="DD582" s="72"/>
      <c r="DE582" s="72"/>
      <c r="DF582" s="72"/>
      <c r="DG582" s="72"/>
      <c r="DH582" s="72"/>
      <c r="DI582" s="72"/>
      <c r="DJ582" s="72"/>
      <c r="DK582" s="72"/>
      <c r="DL582" s="72"/>
      <c r="DM582" s="72"/>
      <c r="DN582" s="72"/>
      <c r="DO582" s="72"/>
      <c r="DP582" s="72"/>
      <c r="DQ582" s="72"/>
      <c r="DR582" s="72"/>
      <c r="DS582" s="72"/>
      <c r="DT582" s="72"/>
      <c r="DU582" s="72"/>
      <c r="DV582" s="72"/>
      <c r="DW582" s="72"/>
      <c r="DX582" s="72"/>
      <c r="DY582" s="72"/>
      <c r="DZ582" s="72"/>
      <c r="EA582" s="72"/>
      <c r="EB582" s="72"/>
      <c r="EC582" s="72"/>
      <c r="ED582" s="72"/>
      <c r="EE582" s="72"/>
      <c r="EF582" s="72"/>
      <c r="EG582" s="72"/>
      <c r="EH582" s="72"/>
      <c r="EI582" s="129"/>
      <c r="EJ582" s="129"/>
      <c r="EK582" s="129"/>
      <c r="EL582" s="129"/>
      <c r="EM582" s="72"/>
      <c r="EN582" s="72"/>
      <c r="EO582" s="72"/>
      <c r="EP582" s="72"/>
      <c r="EQ582" s="72"/>
      <c r="ER582" s="72"/>
      <c r="ES582" s="72"/>
      <c r="ET582" s="72"/>
    </row>
    <row r="583">
      <c r="CD583" s="72"/>
      <c r="CE583" s="72"/>
      <c r="CF583" s="72"/>
      <c r="CG583" s="72"/>
      <c r="CH583" s="72"/>
      <c r="CI583" s="72"/>
      <c r="CJ583" s="72"/>
      <c r="CK583" s="72"/>
      <c r="CL583" s="72"/>
      <c r="CM583" s="72"/>
      <c r="CN583" s="72"/>
      <c r="CO583" s="72"/>
      <c r="CP583" s="72"/>
      <c r="CQ583" s="72"/>
      <c r="CR583" s="72"/>
      <c r="CS583" s="72"/>
      <c r="CT583" s="72"/>
      <c r="CU583" s="72"/>
      <c r="CV583" s="72"/>
      <c r="CW583" s="72"/>
      <c r="CX583" s="72"/>
      <c r="CY583" s="72"/>
      <c r="CZ583" s="72"/>
      <c r="DA583" s="72"/>
      <c r="DB583" s="72"/>
      <c r="DC583" s="72"/>
      <c r="DD583" s="72"/>
      <c r="DE583" s="72"/>
      <c r="DF583" s="72"/>
      <c r="DG583" s="72"/>
      <c r="DH583" s="72"/>
      <c r="DI583" s="72"/>
      <c r="DJ583" s="72"/>
      <c r="DK583" s="72"/>
      <c r="DL583" s="72"/>
      <c r="DM583" s="72"/>
      <c r="DN583" s="72"/>
      <c r="DO583" s="72"/>
      <c r="DP583" s="72"/>
      <c r="DQ583" s="72"/>
      <c r="DR583" s="72"/>
      <c r="DS583" s="72"/>
      <c r="DT583" s="72"/>
      <c r="DU583" s="72"/>
      <c r="DV583" s="72"/>
      <c r="DW583" s="72"/>
      <c r="DX583" s="72"/>
      <c r="DY583" s="72"/>
      <c r="DZ583" s="72"/>
      <c r="EA583" s="72"/>
      <c r="EB583" s="72"/>
      <c r="EC583" s="72"/>
      <c r="ED583" s="72"/>
      <c r="EE583" s="72"/>
      <c r="EF583" s="72"/>
      <c r="EG583" s="72"/>
      <c r="EH583" s="72"/>
      <c r="EI583" s="129"/>
      <c r="EJ583" s="129"/>
      <c r="EK583" s="129"/>
      <c r="EL583" s="129"/>
      <c r="EM583" s="72"/>
      <c r="EN583" s="72"/>
      <c r="EO583" s="72"/>
      <c r="EP583" s="72"/>
      <c r="EQ583" s="72"/>
      <c r="ER583" s="72"/>
      <c r="ES583" s="72"/>
      <c r="ET583" s="72"/>
    </row>
    <row r="584">
      <c r="CD584" s="72"/>
      <c r="CE584" s="72"/>
      <c r="CF584" s="72"/>
      <c r="CG584" s="72"/>
      <c r="CH584" s="72"/>
      <c r="CI584" s="72"/>
      <c r="CJ584" s="72"/>
      <c r="CK584" s="72"/>
      <c r="CL584" s="72"/>
      <c r="CM584" s="72"/>
      <c r="CN584" s="72"/>
      <c r="CO584" s="72"/>
      <c r="CP584" s="72"/>
      <c r="CQ584" s="72"/>
      <c r="CR584" s="72"/>
      <c r="CS584" s="72"/>
      <c r="CT584" s="72"/>
      <c r="CU584" s="72"/>
      <c r="CV584" s="72"/>
      <c r="CW584" s="72"/>
      <c r="CX584" s="72"/>
      <c r="CY584" s="72"/>
      <c r="CZ584" s="72"/>
      <c r="DA584" s="72"/>
      <c r="DB584" s="72"/>
      <c r="DC584" s="72"/>
      <c r="DD584" s="72"/>
      <c r="DE584" s="72"/>
      <c r="DF584" s="72"/>
      <c r="DG584" s="72"/>
      <c r="DH584" s="72"/>
      <c r="DI584" s="72"/>
      <c r="DJ584" s="72"/>
      <c r="DK584" s="72"/>
      <c r="DL584" s="72"/>
      <c r="DM584" s="72"/>
      <c r="DN584" s="72"/>
      <c r="DO584" s="72"/>
      <c r="DP584" s="72"/>
      <c r="DQ584" s="72"/>
      <c r="DR584" s="72"/>
      <c r="DS584" s="72"/>
      <c r="DT584" s="72"/>
      <c r="DU584" s="72"/>
      <c r="DV584" s="72"/>
      <c r="DW584" s="72"/>
      <c r="DX584" s="72"/>
      <c r="DY584" s="72"/>
      <c r="DZ584" s="72"/>
      <c r="EA584" s="72"/>
      <c r="EB584" s="72"/>
      <c r="EC584" s="72"/>
      <c r="ED584" s="72"/>
      <c r="EE584" s="72"/>
      <c r="EF584" s="72"/>
      <c r="EG584" s="72"/>
      <c r="EH584" s="72"/>
      <c r="EI584" s="129"/>
      <c r="EJ584" s="129"/>
      <c r="EK584" s="129"/>
      <c r="EL584" s="129"/>
      <c r="EM584" s="72"/>
      <c r="EN584" s="72"/>
      <c r="EO584" s="72"/>
      <c r="EP584" s="72"/>
      <c r="EQ584" s="72"/>
      <c r="ER584" s="72"/>
      <c r="ES584" s="72"/>
      <c r="ET584" s="72"/>
    </row>
    <row r="585">
      <c r="CD585" s="72"/>
      <c r="CE585" s="72"/>
      <c r="CF585" s="72"/>
      <c r="CG585" s="72"/>
      <c r="CH585" s="72"/>
      <c r="CI585" s="72"/>
      <c r="CJ585" s="72"/>
      <c r="CK585" s="72"/>
      <c r="CL585" s="72"/>
      <c r="CM585" s="72"/>
      <c r="CN585" s="72"/>
      <c r="CO585" s="72"/>
      <c r="CP585" s="72"/>
      <c r="CQ585" s="72"/>
      <c r="CR585" s="72"/>
      <c r="CS585" s="72"/>
      <c r="CT585" s="72"/>
      <c r="CU585" s="72"/>
      <c r="CV585" s="72"/>
      <c r="CW585" s="72"/>
      <c r="CX585" s="72"/>
      <c r="CY585" s="72"/>
      <c r="CZ585" s="72"/>
      <c r="DA585" s="72"/>
      <c r="DB585" s="72"/>
      <c r="DC585" s="72"/>
      <c r="DD585" s="72"/>
      <c r="DE585" s="72"/>
      <c r="DF585" s="72"/>
      <c r="DG585" s="72"/>
      <c r="DH585" s="72"/>
      <c r="DI585" s="72"/>
      <c r="DJ585" s="72"/>
      <c r="DK585" s="72"/>
      <c r="DL585" s="72"/>
      <c r="DM585" s="72"/>
      <c r="DN585" s="72"/>
      <c r="DO585" s="72"/>
      <c r="DP585" s="72"/>
      <c r="DQ585" s="72"/>
      <c r="DR585" s="72"/>
      <c r="DS585" s="72"/>
      <c r="DT585" s="72"/>
      <c r="DU585" s="72"/>
      <c r="DV585" s="72"/>
      <c r="DW585" s="72"/>
      <c r="DX585" s="72"/>
      <c r="DY585" s="72"/>
      <c r="DZ585" s="72"/>
      <c r="EA585" s="72"/>
      <c r="EB585" s="72"/>
      <c r="EC585" s="72"/>
      <c r="ED585" s="72"/>
      <c r="EE585" s="72"/>
      <c r="EF585" s="72"/>
      <c r="EG585" s="72"/>
      <c r="EH585" s="72"/>
      <c r="EI585" s="129"/>
      <c r="EJ585" s="129"/>
      <c r="EK585" s="129"/>
      <c r="EL585" s="129"/>
      <c r="EM585" s="72"/>
      <c r="EN585" s="72"/>
      <c r="EO585" s="72"/>
      <c r="EP585" s="72"/>
      <c r="EQ585" s="72"/>
      <c r="ER585" s="72"/>
      <c r="ES585" s="72"/>
      <c r="ET585" s="72"/>
    </row>
    <row r="586">
      <c r="CD586" s="72"/>
      <c r="CE586" s="72"/>
      <c r="CF586" s="72"/>
      <c r="CG586" s="72"/>
      <c r="CH586" s="72"/>
      <c r="CI586" s="72"/>
      <c r="CJ586" s="72"/>
      <c r="CK586" s="72"/>
      <c r="CL586" s="72"/>
      <c r="CM586" s="72"/>
      <c r="CN586" s="72"/>
      <c r="CO586" s="72"/>
      <c r="CP586" s="72"/>
      <c r="CQ586" s="72"/>
      <c r="CR586" s="72"/>
      <c r="CS586" s="72"/>
      <c r="CT586" s="72"/>
      <c r="CU586" s="72"/>
      <c r="CV586" s="72"/>
      <c r="CW586" s="72"/>
      <c r="CX586" s="72"/>
      <c r="CY586" s="72"/>
      <c r="CZ586" s="72"/>
      <c r="DA586" s="72"/>
      <c r="DB586" s="72"/>
      <c r="DC586" s="72"/>
      <c r="DD586" s="72"/>
      <c r="DE586" s="72"/>
      <c r="DF586" s="72"/>
      <c r="DG586" s="72"/>
      <c r="DH586" s="72"/>
      <c r="DI586" s="72"/>
      <c r="DJ586" s="72"/>
      <c r="DK586" s="72"/>
      <c r="DL586" s="72"/>
      <c r="DM586" s="72"/>
      <c r="DN586" s="72"/>
      <c r="DO586" s="72"/>
      <c r="DP586" s="72"/>
      <c r="DQ586" s="72"/>
      <c r="DR586" s="72"/>
      <c r="DS586" s="72"/>
      <c r="DT586" s="72"/>
      <c r="DU586" s="72"/>
      <c r="DV586" s="72"/>
      <c r="DW586" s="72"/>
      <c r="DX586" s="72"/>
      <c r="DY586" s="72"/>
      <c r="DZ586" s="72"/>
      <c r="EA586" s="72"/>
      <c r="EB586" s="72"/>
      <c r="EC586" s="72"/>
      <c r="ED586" s="72"/>
      <c r="EE586" s="72"/>
      <c r="EF586" s="72"/>
      <c r="EG586" s="72"/>
      <c r="EH586" s="72"/>
      <c r="EI586" s="129"/>
      <c r="EJ586" s="129"/>
      <c r="EK586" s="129"/>
      <c r="EL586" s="129"/>
      <c r="EM586" s="72"/>
      <c r="EN586" s="72"/>
      <c r="EO586" s="72"/>
      <c r="EP586" s="72"/>
      <c r="EQ586" s="72"/>
      <c r="ER586" s="72"/>
      <c r="ES586" s="72"/>
      <c r="ET586" s="72"/>
    </row>
    <row r="587">
      <c r="CD587" s="72"/>
      <c r="CE587" s="72"/>
      <c r="CF587" s="72"/>
      <c r="CG587" s="72"/>
      <c r="CH587" s="72"/>
      <c r="CI587" s="72"/>
      <c r="CJ587" s="72"/>
      <c r="CK587" s="72"/>
      <c r="CL587" s="72"/>
      <c r="CM587" s="72"/>
      <c r="CN587" s="72"/>
      <c r="CO587" s="72"/>
      <c r="CP587" s="72"/>
      <c r="CQ587" s="72"/>
      <c r="CR587" s="72"/>
      <c r="CS587" s="72"/>
      <c r="CT587" s="72"/>
      <c r="CU587" s="72"/>
      <c r="CV587" s="72"/>
      <c r="CW587" s="72"/>
      <c r="CX587" s="72"/>
      <c r="CY587" s="72"/>
      <c r="CZ587" s="72"/>
      <c r="DA587" s="72"/>
      <c r="DB587" s="72"/>
      <c r="DC587" s="72"/>
      <c r="DD587" s="72"/>
      <c r="DE587" s="72"/>
      <c r="DF587" s="72"/>
      <c r="DG587" s="72"/>
      <c r="DH587" s="72"/>
      <c r="DI587" s="72"/>
      <c r="DJ587" s="72"/>
      <c r="DK587" s="72"/>
      <c r="DL587" s="72"/>
      <c r="DM587" s="72"/>
      <c r="DN587" s="72"/>
      <c r="DO587" s="72"/>
      <c r="DP587" s="72"/>
      <c r="DQ587" s="72"/>
      <c r="DR587" s="72"/>
      <c r="DS587" s="72"/>
      <c r="DT587" s="72"/>
      <c r="DU587" s="72"/>
      <c r="DV587" s="72"/>
      <c r="DW587" s="72"/>
      <c r="DX587" s="72"/>
      <c r="DY587" s="72"/>
      <c r="DZ587" s="72"/>
      <c r="EA587" s="72"/>
      <c r="EB587" s="72"/>
      <c r="EC587" s="72"/>
      <c r="ED587" s="72"/>
      <c r="EE587" s="72"/>
      <c r="EF587" s="72"/>
      <c r="EG587" s="72"/>
      <c r="EH587" s="72"/>
      <c r="EI587" s="129"/>
      <c r="EJ587" s="129"/>
      <c r="EK587" s="129"/>
      <c r="EL587" s="129"/>
      <c r="EM587" s="72"/>
      <c r="EN587" s="72"/>
      <c r="EO587" s="72"/>
      <c r="EP587" s="72"/>
      <c r="EQ587" s="72"/>
      <c r="ER587" s="72"/>
      <c r="ES587" s="72"/>
      <c r="ET587" s="72"/>
    </row>
    <row r="588">
      <c r="CD588" s="72"/>
      <c r="CE588" s="72"/>
      <c r="CF588" s="72"/>
      <c r="CG588" s="72"/>
      <c r="CH588" s="72"/>
      <c r="CI588" s="72"/>
      <c r="CJ588" s="72"/>
      <c r="CK588" s="72"/>
      <c r="CL588" s="72"/>
      <c r="CM588" s="72"/>
      <c r="CN588" s="72"/>
      <c r="CO588" s="72"/>
      <c r="CP588" s="72"/>
      <c r="CQ588" s="72"/>
      <c r="CR588" s="72"/>
      <c r="CS588" s="72"/>
      <c r="CT588" s="72"/>
      <c r="CU588" s="72"/>
      <c r="CV588" s="72"/>
      <c r="CW588" s="72"/>
      <c r="CX588" s="72"/>
      <c r="CY588" s="72"/>
      <c r="CZ588" s="72"/>
      <c r="DA588" s="72"/>
      <c r="DB588" s="72"/>
      <c r="DC588" s="72"/>
      <c r="DD588" s="72"/>
      <c r="DE588" s="72"/>
      <c r="DF588" s="72"/>
      <c r="DG588" s="72"/>
      <c r="DH588" s="72"/>
      <c r="DI588" s="72"/>
      <c r="DJ588" s="72"/>
      <c r="DK588" s="72"/>
      <c r="DL588" s="72"/>
      <c r="DM588" s="72"/>
      <c r="DN588" s="72"/>
      <c r="DO588" s="72"/>
      <c r="DP588" s="72"/>
      <c r="DQ588" s="72"/>
      <c r="DR588" s="72"/>
      <c r="DS588" s="72"/>
      <c r="DT588" s="72"/>
      <c r="DU588" s="72"/>
      <c r="DV588" s="72"/>
      <c r="DW588" s="72"/>
      <c r="DX588" s="72"/>
      <c r="DY588" s="72"/>
      <c r="DZ588" s="72"/>
      <c r="EA588" s="72"/>
      <c r="EB588" s="72"/>
      <c r="EC588" s="72"/>
      <c r="ED588" s="72"/>
      <c r="EE588" s="72"/>
      <c r="EF588" s="72"/>
      <c r="EG588" s="72"/>
      <c r="EH588" s="72"/>
      <c r="EI588" s="129"/>
      <c r="EJ588" s="129"/>
      <c r="EK588" s="129"/>
      <c r="EL588" s="129"/>
      <c r="EM588" s="72"/>
      <c r="EN588" s="72"/>
      <c r="EO588" s="72"/>
      <c r="EP588" s="72"/>
      <c r="EQ588" s="72"/>
      <c r="ER588" s="72"/>
      <c r="ES588" s="72"/>
      <c r="ET588" s="72"/>
    </row>
    <row r="589">
      <c r="CD589" s="72"/>
      <c r="CE589" s="72"/>
      <c r="CF589" s="72"/>
      <c r="CG589" s="72"/>
      <c r="CH589" s="72"/>
      <c r="CI589" s="72"/>
      <c r="CJ589" s="72"/>
      <c r="CK589" s="72"/>
      <c r="CL589" s="72"/>
      <c r="CM589" s="72"/>
      <c r="CN589" s="72"/>
      <c r="CO589" s="72"/>
      <c r="CP589" s="72"/>
      <c r="CQ589" s="72"/>
      <c r="CR589" s="72"/>
      <c r="CS589" s="72"/>
      <c r="CT589" s="72"/>
      <c r="CU589" s="72"/>
      <c r="CV589" s="72"/>
      <c r="CW589" s="72"/>
      <c r="CX589" s="72"/>
      <c r="CY589" s="72"/>
      <c r="CZ589" s="72"/>
      <c r="DA589" s="72"/>
      <c r="DB589" s="72"/>
      <c r="DC589" s="72"/>
      <c r="DD589" s="72"/>
      <c r="DE589" s="72"/>
      <c r="DF589" s="72"/>
      <c r="DG589" s="72"/>
      <c r="DH589" s="72"/>
      <c r="DI589" s="72"/>
      <c r="DJ589" s="72"/>
      <c r="DK589" s="72"/>
      <c r="DL589" s="72"/>
      <c r="DM589" s="72"/>
      <c r="DN589" s="72"/>
      <c r="DO589" s="72"/>
      <c r="DP589" s="72"/>
      <c r="DQ589" s="72"/>
      <c r="DR589" s="72"/>
      <c r="DS589" s="72"/>
      <c r="DT589" s="72"/>
      <c r="DU589" s="72"/>
      <c r="DV589" s="72"/>
      <c r="DW589" s="72"/>
      <c r="DX589" s="72"/>
      <c r="DY589" s="72"/>
      <c r="DZ589" s="72"/>
      <c r="EA589" s="72"/>
      <c r="EB589" s="72"/>
      <c r="EC589" s="72"/>
      <c r="ED589" s="72"/>
      <c r="EE589" s="72"/>
      <c r="EF589" s="72"/>
      <c r="EG589" s="72"/>
      <c r="EH589" s="72"/>
      <c r="EI589" s="129"/>
      <c r="EJ589" s="129"/>
      <c r="EK589" s="129"/>
      <c r="EL589" s="129"/>
      <c r="EM589" s="72"/>
      <c r="EN589" s="72"/>
      <c r="EO589" s="72"/>
      <c r="EP589" s="72"/>
      <c r="EQ589" s="72"/>
      <c r="ER589" s="72"/>
      <c r="ES589" s="72"/>
      <c r="ET589" s="72"/>
    </row>
    <row r="590">
      <c r="CD590" s="72"/>
      <c r="CE590" s="72"/>
      <c r="CF590" s="72"/>
      <c r="CG590" s="72"/>
      <c r="CH590" s="72"/>
      <c r="CI590" s="72"/>
      <c r="CJ590" s="72"/>
      <c r="CK590" s="72"/>
      <c r="CL590" s="72"/>
      <c r="CM590" s="72"/>
      <c r="CN590" s="72"/>
      <c r="CO590" s="72"/>
      <c r="CP590" s="72"/>
      <c r="CQ590" s="72"/>
      <c r="CR590" s="72"/>
      <c r="CS590" s="72"/>
      <c r="CT590" s="72"/>
      <c r="CU590" s="72"/>
      <c r="CV590" s="72"/>
      <c r="CW590" s="72"/>
      <c r="CX590" s="72"/>
      <c r="CY590" s="72"/>
      <c r="CZ590" s="72"/>
      <c r="DA590" s="72"/>
      <c r="DB590" s="72"/>
      <c r="DC590" s="72"/>
      <c r="DD590" s="72"/>
      <c r="DE590" s="72"/>
      <c r="DF590" s="72"/>
      <c r="DG590" s="72"/>
      <c r="DH590" s="72"/>
      <c r="DI590" s="72"/>
      <c r="DJ590" s="72"/>
      <c r="DK590" s="72"/>
      <c r="DL590" s="72"/>
      <c r="DM590" s="72"/>
      <c r="DN590" s="72"/>
      <c r="DO590" s="72"/>
      <c r="DP590" s="72"/>
      <c r="DQ590" s="72"/>
      <c r="DR590" s="72"/>
      <c r="DS590" s="72"/>
      <c r="DT590" s="72"/>
      <c r="DU590" s="72"/>
      <c r="DV590" s="72"/>
      <c r="DW590" s="72"/>
      <c r="DX590" s="72"/>
      <c r="DY590" s="72"/>
      <c r="DZ590" s="72"/>
      <c r="EA590" s="72"/>
      <c r="EB590" s="72"/>
      <c r="EC590" s="72"/>
      <c r="ED590" s="72"/>
      <c r="EE590" s="72"/>
      <c r="EF590" s="72"/>
      <c r="EG590" s="72"/>
      <c r="EH590" s="72"/>
      <c r="EI590" s="129"/>
      <c r="EJ590" s="129"/>
      <c r="EK590" s="129"/>
      <c r="EL590" s="129"/>
      <c r="EM590" s="72"/>
      <c r="EN590" s="72"/>
      <c r="EO590" s="72"/>
      <c r="EP590" s="72"/>
      <c r="EQ590" s="72"/>
      <c r="ER590" s="72"/>
      <c r="ES590" s="72"/>
      <c r="ET590" s="72"/>
    </row>
    <row r="591">
      <c r="CD591" s="72"/>
      <c r="CE591" s="72"/>
      <c r="CF591" s="72"/>
      <c r="CG591" s="72"/>
      <c r="CH591" s="72"/>
      <c r="CI591" s="72"/>
      <c r="CJ591" s="72"/>
      <c r="CK591" s="72"/>
      <c r="CL591" s="72"/>
      <c r="CM591" s="72"/>
      <c r="CN591" s="72"/>
      <c r="CO591" s="72"/>
      <c r="CP591" s="72"/>
      <c r="CQ591" s="72"/>
      <c r="CR591" s="72"/>
      <c r="CS591" s="72"/>
      <c r="CT591" s="72"/>
      <c r="CU591" s="72"/>
      <c r="CV591" s="72"/>
      <c r="CW591" s="72"/>
      <c r="CX591" s="72"/>
      <c r="CY591" s="72"/>
      <c r="CZ591" s="72"/>
      <c r="DA591" s="72"/>
      <c r="DB591" s="72"/>
      <c r="DC591" s="72"/>
      <c r="DD591" s="72"/>
      <c r="DE591" s="72"/>
      <c r="DF591" s="72"/>
      <c r="DG591" s="72"/>
      <c r="DH591" s="72"/>
      <c r="DI591" s="72"/>
      <c r="DJ591" s="72"/>
      <c r="DK591" s="72"/>
      <c r="DL591" s="72"/>
      <c r="DM591" s="72"/>
      <c r="DN591" s="72"/>
      <c r="DO591" s="72"/>
      <c r="DP591" s="72"/>
      <c r="DQ591" s="72"/>
      <c r="DR591" s="72"/>
      <c r="DS591" s="72"/>
      <c r="DT591" s="72"/>
      <c r="DU591" s="72"/>
      <c r="DV591" s="72"/>
      <c r="DW591" s="72"/>
      <c r="DX591" s="72"/>
      <c r="DY591" s="72"/>
      <c r="DZ591" s="72"/>
      <c r="EA591" s="72"/>
      <c r="EB591" s="72"/>
      <c r="EC591" s="72"/>
      <c r="ED591" s="72"/>
      <c r="EE591" s="72"/>
      <c r="EF591" s="72"/>
      <c r="EG591" s="72"/>
      <c r="EH591" s="72"/>
      <c r="EI591" s="129"/>
      <c r="EJ591" s="129"/>
      <c r="EK591" s="129"/>
      <c r="EL591" s="129"/>
      <c r="EM591" s="72"/>
      <c r="EN591" s="72"/>
      <c r="EO591" s="72"/>
      <c r="EP591" s="72"/>
      <c r="EQ591" s="72"/>
      <c r="ER591" s="72"/>
      <c r="ES591" s="72"/>
      <c r="ET591" s="72"/>
    </row>
    <row r="592">
      <c r="CD592" s="72"/>
      <c r="CE592" s="72"/>
      <c r="CF592" s="72"/>
      <c r="CG592" s="72"/>
      <c r="CH592" s="72"/>
      <c r="CI592" s="72"/>
      <c r="CJ592" s="72"/>
      <c r="CK592" s="72"/>
      <c r="CL592" s="72"/>
      <c r="CM592" s="72"/>
      <c r="CN592" s="72"/>
      <c r="CO592" s="72"/>
      <c r="CP592" s="72"/>
      <c r="CQ592" s="72"/>
      <c r="CR592" s="72"/>
      <c r="CS592" s="72"/>
      <c r="CT592" s="72"/>
      <c r="CU592" s="72"/>
      <c r="CV592" s="72"/>
      <c r="CW592" s="72"/>
      <c r="CX592" s="72"/>
      <c r="CY592" s="72"/>
      <c r="CZ592" s="72"/>
      <c r="DA592" s="72"/>
      <c r="DB592" s="72"/>
      <c r="DC592" s="72"/>
      <c r="DD592" s="72"/>
      <c r="DE592" s="72"/>
      <c r="DF592" s="72"/>
      <c r="DG592" s="72"/>
      <c r="DH592" s="72"/>
      <c r="DI592" s="72"/>
      <c r="DJ592" s="72"/>
      <c r="DK592" s="72"/>
      <c r="DL592" s="72"/>
      <c r="DM592" s="72"/>
      <c r="DN592" s="72"/>
      <c r="DO592" s="72"/>
      <c r="DP592" s="72"/>
      <c r="DQ592" s="72"/>
      <c r="DR592" s="72"/>
      <c r="DS592" s="72"/>
      <c r="DT592" s="72"/>
      <c r="DU592" s="72"/>
      <c r="DV592" s="72"/>
      <c r="DW592" s="72"/>
      <c r="DX592" s="72"/>
      <c r="DY592" s="72"/>
      <c r="DZ592" s="72"/>
      <c r="EA592" s="72"/>
      <c r="EB592" s="72"/>
      <c r="EC592" s="72"/>
      <c r="ED592" s="72"/>
      <c r="EE592" s="72"/>
      <c r="EF592" s="72"/>
      <c r="EG592" s="72"/>
      <c r="EH592" s="72"/>
      <c r="EI592" s="129"/>
      <c r="EJ592" s="129"/>
      <c r="EK592" s="129"/>
      <c r="EL592" s="129"/>
      <c r="EM592" s="72"/>
      <c r="EN592" s="72"/>
      <c r="EO592" s="72"/>
      <c r="EP592" s="72"/>
      <c r="EQ592" s="72"/>
      <c r="ER592" s="72"/>
      <c r="ES592" s="72"/>
      <c r="ET592" s="72"/>
    </row>
    <row r="593">
      <c r="CD593" s="72"/>
      <c r="CE593" s="72"/>
      <c r="CF593" s="72"/>
      <c r="CG593" s="72"/>
      <c r="CH593" s="72"/>
      <c r="CI593" s="72"/>
      <c r="CJ593" s="72"/>
      <c r="CK593" s="72"/>
      <c r="CL593" s="72"/>
      <c r="CM593" s="72"/>
      <c r="CN593" s="72"/>
      <c r="CO593" s="72"/>
      <c r="CP593" s="72"/>
      <c r="CQ593" s="72"/>
      <c r="CR593" s="72"/>
      <c r="CS593" s="72"/>
      <c r="CT593" s="72"/>
      <c r="CU593" s="72"/>
      <c r="CV593" s="72"/>
      <c r="CW593" s="72"/>
      <c r="CX593" s="72"/>
      <c r="CY593" s="72"/>
      <c r="CZ593" s="72"/>
      <c r="DA593" s="72"/>
      <c r="DB593" s="72"/>
      <c r="DC593" s="72"/>
      <c r="DD593" s="72"/>
      <c r="DE593" s="72"/>
      <c r="DF593" s="72"/>
      <c r="DG593" s="72"/>
      <c r="DH593" s="72"/>
      <c r="DI593" s="72"/>
      <c r="DJ593" s="72"/>
      <c r="DK593" s="72"/>
      <c r="DL593" s="72"/>
      <c r="DM593" s="72"/>
      <c r="DN593" s="72"/>
      <c r="DO593" s="72"/>
      <c r="DP593" s="72"/>
      <c r="DQ593" s="72"/>
      <c r="DR593" s="72"/>
      <c r="DS593" s="72"/>
      <c r="DT593" s="72"/>
      <c r="DU593" s="72"/>
      <c r="DV593" s="72"/>
      <c r="DW593" s="72"/>
      <c r="DX593" s="72"/>
      <c r="DY593" s="72"/>
      <c r="DZ593" s="72"/>
      <c r="EA593" s="72"/>
      <c r="EB593" s="72"/>
      <c r="EC593" s="72"/>
      <c r="ED593" s="72"/>
      <c r="EE593" s="72"/>
      <c r="EF593" s="72"/>
      <c r="EG593" s="72"/>
      <c r="EH593" s="72"/>
      <c r="EI593" s="129"/>
      <c r="EJ593" s="129"/>
      <c r="EK593" s="129"/>
      <c r="EL593" s="129"/>
      <c r="EM593" s="72"/>
      <c r="EN593" s="72"/>
      <c r="EO593" s="72"/>
      <c r="EP593" s="72"/>
      <c r="EQ593" s="72"/>
      <c r="ER593" s="72"/>
      <c r="ES593" s="72"/>
      <c r="ET593" s="72"/>
    </row>
    <row r="594">
      <c r="CD594" s="72"/>
      <c r="CE594" s="72"/>
      <c r="CF594" s="72"/>
      <c r="CG594" s="72"/>
      <c r="CH594" s="72"/>
      <c r="CI594" s="72"/>
      <c r="CJ594" s="72"/>
      <c r="CK594" s="72"/>
      <c r="CL594" s="72"/>
      <c r="CM594" s="72"/>
      <c r="CN594" s="72"/>
      <c r="CO594" s="72"/>
      <c r="CP594" s="72"/>
      <c r="CQ594" s="72"/>
      <c r="CR594" s="72"/>
      <c r="CS594" s="72"/>
      <c r="CT594" s="72"/>
      <c r="CU594" s="72"/>
      <c r="CV594" s="72"/>
      <c r="CW594" s="72"/>
      <c r="CX594" s="72"/>
      <c r="CY594" s="72"/>
      <c r="CZ594" s="72"/>
      <c r="DA594" s="72"/>
      <c r="DB594" s="72"/>
      <c r="DC594" s="72"/>
      <c r="DD594" s="72"/>
      <c r="DE594" s="72"/>
      <c r="DF594" s="72"/>
      <c r="DG594" s="72"/>
      <c r="DH594" s="72"/>
      <c r="DI594" s="72"/>
      <c r="DJ594" s="72"/>
      <c r="DK594" s="72"/>
      <c r="DL594" s="72"/>
      <c r="DM594" s="72"/>
      <c r="DN594" s="72"/>
      <c r="DO594" s="72"/>
      <c r="DP594" s="72"/>
      <c r="DQ594" s="72"/>
      <c r="DR594" s="72"/>
      <c r="DS594" s="72"/>
      <c r="DT594" s="72"/>
      <c r="DU594" s="72"/>
      <c r="DV594" s="72"/>
      <c r="DW594" s="72"/>
      <c r="DX594" s="72"/>
      <c r="DY594" s="72"/>
      <c r="DZ594" s="72"/>
      <c r="EA594" s="72"/>
      <c r="EB594" s="72"/>
      <c r="EC594" s="72"/>
      <c r="ED594" s="72"/>
      <c r="EE594" s="72"/>
      <c r="EF594" s="72"/>
      <c r="EG594" s="72"/>
      <c r="EH594" s="72"/>
      <c r="EI594" s="129"/>
      <c r="EJ594" s="129"/>
      <c r="EK594" s="129"/>
      <c r="EL594" s="129"/>
      <c r="EM594" s="72"/>
      <c r="EN594" s="72"/>
      <c r="EO594" s="72"/>
      <c r="EP594" s="72"/>
      <c r="EQ594" s="72"/>
      <c r="ER594" s="72"/>
      <c r="ES594" s="72"/>
      <c r="ET594" s="72"/>
    </row>
    <row r="595">
      <c r="CD595" s="72"/>
      <c r="CE595" s="72"/>
      <c r="CF595" s="72"/>
      <c r="CG595" s="72"/>
      <c r="CH595" s="72"/>
      <c r="CI595" s="72"/>
      <c r="CJ595" s="72"/>
      <c r="CK595" s="72"/>
      <c r="CL595" s="72"/>
      <c r="CM595" s="72"/>
      <c r="CN595" s="72"/>
      <c r="CO595" s="72"/>
      <c r="CP595" s="72"/>
      <c r="CQ595" s="72"/>
      <c r="CR595" s="72"/>
      <c r="CS595" s="72"/>
      <c r="CT595" s="72"/>
      <c r="CU595" s="72"/>
      <c r="CV595" s="72"/>
      <c r="CW595" s="72"/>
      <c r="CX595" s="72"/>
      <c r="CY595" s="72"/>
      <c r="CZ595" s="72"/>
      <c r="DA595" s="72"/>
      <c r="DB595" s="72"/>
      <c r="DC595" s="72"/>
      <c r="DD595" s="72"/>
      <c r="DE595" s="72"/>
      <c r="DF595" s="72"/>
      <c r="DG595" s="72"/>
      <c r="DH595" s="72"/>
      <c r="DI595" s="72"/>
      <c r="DJ595" s="72"/>
      <c r="DK595" s="72"/>
      <c r="DL595" s="72"/>
      <c r="DM595" s="72"/>
      <c r="DN595" s="72"/>
      <c r="DO595" s="72"/>
      <c r="DP595" s="72"/>
      <c r="DQ595" s="72"/>
      <c r="DR595" s="72"/>
      <c r="DS595" s="72"/>
      <c r="DT595" s="72"/>
      <c r="DU595" s="72"/>
      <c r="DV595" s="72"/>
      <c r="DW595" s="72"/>
      <c r="DX595" s="72"/>
      <c r="DY595" s="72"/>
      <c r="DZ595" s="72"/>
      <c r="EA595" s="72"/>
      <c r="EB595" s="72"/>
      <c r="EC595" s="72"/>
      <c r="ED595" s="72"/>
      <c r="EE595" s="72"/>
      <c r="EF595" s="72"/>
      <c r="EG595" s="72"/>
      <c r="EH595" s="72"/>
      <c r="EI595" s="129"/>
      <c r="EJ595" s="129"/>
      <c r="EK595" s="129"/>
      <c r="EL595" s="129"/>
      <c r="EM595" s="72"/>
      <c r="EN595" s="72"/>
      <c r="EO595" s="72"/>
      <c r="EP595" s="72"/>
      <c r="EQ595" s="72"/>
      <c r="ER595" s="72"/>
      <c r="ES595" s="72"/>
      <c r="ET595" s="72"/>
    </row>
    <row r="596">
      <c r="CD596" s="72"/>
      <c r="CE596" s="72"/>
      <c r="CF596" s="72"/>
      <c r="CG596" s="72"/>
      <c r="CH596" s="72"/>
      <c r="CI596" s="72"/>
      <c r="CJ596" s="72"/>
      <c r="CK596" s="72"/>
      <c r="CL596" s="72"/>
      <c r="CM596" s="72"/>
      <c r="CN596" s="72"/>
      <c r="CO596" s="72"/>
      <c r="CP596" s="72"/>
      <c r="CQ596" s="72"/>
      <c r="CR596" s="72"/>
      <c r="CS596" s="72"/>
      <c r="CT596" s="72"/>
      <c r="CU596" s="72"/>
      <c r="CV596" s="72"/>
      <c r="CW596" s="72"/>
      <c r="CX596" s="72"/>
      <c r="CY596" s="72"/>
      <c r="CZ596" s="72"/>
      <c r="DA596" s="72"/>
      <c r="DB596" s="72"/>
      <c r="DC596" s="72"/>
      <c r="DD596" s="72"/>
      <c r="DE596" s="72"/>
      <c r="DF596" s="72"/>
      <c r="DG596" s="72"/>
      <c r="DH596" s="72"/>
      <c r="DI596" s="72"/>
      <c r="DJ596" s="72"/>
      <c r="DK596" s="72"/>
      <c r="DL596" s="72"/>
      <c r="DM596" s="72"/>
      <c r="DN596" s="72"/>
      <c r="DO596" s="72"/>
      <c r="DP596" s="72"/>
      <c r="DQ596" s="72"/>
      <c r="DR596" s="72"/>
      <c r="DS596" s="72"/>
      <c r="DT596" s="72"/>
      <c r="DU596" s="72"/>
      <c r="DV596" s="72"/>
      <c r="DW596" s="72"/>
      <c r="DX596" s="72"/>
      <c r="DY596" s="72"/>
      <c r="DZ596" s="72"/>
      <c r="EA596" s="72"/>
      <c r="EB596" s="72"/>
      <c r="EC596" s="72"/>
      <c r="ED596" s="72"/>
      <c r="EE596" s="72"/>
      <c r="EF596" s="72"/>
      <c r="EG596" s="72"/>
      <c r="EH596" s="72"/>
      <c r="EI596" s="129"/>
      <c r="EJ596" s="129"/>
      <c r="EK596" s="129"/>
      <c r="EL596" s="129"/>
      <c r="EM596" s="72"/>
      <c r="EN596" s="72"/>
      <c r="EO596" s="72"/>
      <c r="EP596" s="72"/>
      <c r="EQ596" s="72"/>
      <c r="ER596" s="72"/>
      <c r="ES596" s="72"/>
      <c r="ET596" s="72"/>
    </row>
    <row r="597">
      <c r="CD597" s="72"/>
      <c r="CE597" s="72"/>
      <c r="CF597" s="72"/>
      <c r="CG597" s="72"/>
      <c r="CH597" s="72"/>
      <c r="CI597" s="72"/>
      <c r="CJ597" s="72"/>
      <c r="CK597" s="72"/>
      <c r="CL597" s="72"/>
      <c r="CM597" s="72"/>
      <c r="CN597" s="72"/>
      <c r="CO597" s="72"/>
      <c r="CP597" s="72"/>
      <c r="CQ597" s="72"/>
      <c r="CR597" s="72"/>
      <c r="CS597" s="72"/>
      <c r="CT597" s="72"/>
      <c r="CU597" s="72"/>
      <c r="CV597" s="72"/>
      <c r="CW597" s="72"/>
      <c r="CX597" s="72"/>
      <c r="CY597" s="72"/>
      <c r="CZ597" s="72"/>
      <c r="DA597" s="72"/>
      <c r="DB597" s="72"/>
      <c r="DC597" s="72"/>
      <c r="DD597" s="72"/>
      <c r="DE597" s="72"/>
      <c r="DF597" s="72"/>
      <c r="DG597" s="72"/>
      <c r="DH597" s="72"/>
      <c r="DI597" s="72"/>
      <c r="DJ597" s="72"/>
      <c r="DK597" s="72"/>
      <c r="DL597" s="72"/>
      <c r="DM597" s="72"/>
      <c r="DN597" s="72"/>
      <c r="DO597" s="72"/>
      <c r="DP597" s="72"/>
      <c r="DQ597" s="72"/>
      <c r="DR597" s="72"/>
      <c r="DS597" s="72"/>
      <c r="DT597" s="72"/>
      <c r="DU597" s="72"/>
      <c r="DV597" s="72"/>
      <c r="DW597" s="72"/>
      <c r="DX597" s="72"/>
      <c r="DY597" s="72"/>
      <c r="DZ597" s="72"/>
      <c r="EA597" s="72"/>
      <c r="EB597" s="72"/>
      <c r="EC597" s="72"/>
      <c r="ED597" s="72"/>
      <c r="EE597" s="72"/>
      <c r="EF597" s="72"/>
      <c r="EG597" s="72"/>
      <c r="EH597" s="72"/>
      <c r="EI597" s="129"/>
      <c r="EJ597" s="129"/>
      <c r="EK597" s="129"/>
      <c r="EL597" s="129"/>
      <c r="EM597" s="72"/>
      <c r="EN597" s="72"/>
      <c r="EO597" s="72"/>
      <c r="EP597" s="72"/>
      <c r="EQ597" s="72"/>
      <c r="ER597" s="72"/>
      <c r="ES597" s="72"/>
      <c r="ET597" s="72"/>
    </row>
    <row r="598">
      <c r="CD598" s="72"/>
      <c r="CE598" s="72"/>
      <c r="CF598" s="72"/>
      <c r="CG598" s="72"/>
      <c r="CH598" s="72"/>
      <c r="CI598" s="72"/>
      <c r="CJ598" s="72"/>
      <c r="CK598" s="72"/>
      <c r="CL598" s="72"/>
      <c r="CM598" s="72"/>
      <c r="CN598" s="72"/>
      <c r="CO598" s="72"/>
      <c r="CP598" s="72"/>
      <c r="CQ598" s="72"/>
      <c r="CR598" s="72"/>
      <c r="CS598" s="72"/>
      <c r="CT598" s="72"/>
      <c r="CU598" s="72"/>
      <c r="CV598" s="72"/>
      <c r="CW598" s="72"/>
      <c r="CX598" s="72"/>
      <c r="CY598" s="72"/>
      <c r="CZ598" s="72"/>
      <c r="DA598" s="72"/>
      <c r="DB598" s="72"/>
      <c r="DC598" s="72"/>
      <c r="DD598" s="72"/>
      <c r="DE598" s="72"/>
      <c r="DF598" s="72"/>
      <c r="DG598" s="72"/>
      <c r="DH598" s="72"/>
      <c r="DI598" s="72"/>
      <c r="DJ598" s="72"/>
      <c r="DK598" s="72"/>
      <c r="DL598" s="72"/>
      <c r="DM598" s="72"/>
      <c r="DN598" s="72"/>
      <c r="DO598" s="72"/>
      <c r="DP598" s="72"/>
      <c r="DQ598" s="72"/>
      <c r="DR598" s="72"/>
      <c r="DS598" s="72"/>
      <c r="DT598" s="72"/>
      <c r="DU598" s="72"/>
      <c r="DV598" s="72"/>
      <c r="DW598" s="72"/>
      <c r="DX598" s="72"/>
      <c r="DY598" s="72"/>
      <c r="DZ598" s="72"/>
      <c r="EA598" s="72"/>
      <c r="EB598" s="72"/>
      <c r="EC598" s="72"/>
      <c r="ED598" s="72"/>
      <c r="EE598" s="72"/>
      <c r="EF598" s="72"/>
      <c r="EG598" s="72"/>
      <c r="EH598" s="72"/>
      <c r="EI598" s="129"/>
      <c r="EJ598" s="129"/>
      <c r="EK598" s="129"/>
      <c r="EL598" s="129"/>
      <c r="EM598" s="72"/>
      <c r="EN598" s="72"/>
      <c r="EO598" s="72"/>
      <c r="EP598" s="72"/>
      <c r="EQ598" s="72"/>
      <c r="ER598" s="72"/>
      <c r="ES598" s="72"/>
      <c r="ET598" s="72"/>
    </row>
    <row r="599">
      <c r="CD599" s="72"/>
      <c r="CE599" s="72"/>
      <c r="CF599" s="72"/>
      <c r="CG599" s="72"/>
      <c r="CH599" s="72"/>
      <c r="CI599" s="72"/>
      <c r="CJ599" s="72"/>
      <c r="CK599" s="72"/>
      <c r="CL599" s="72"/>
      <c r="CM599" s="72"/>
      <c r="CN599" s="72"/>
      <c r="CO599" s="72"/>
      <c r="CP599" s="72"/>
      <c r="CQ599" s="72"/>
      <c r="CR599" s="72"/>
      <c r="CS599" s="72"/>
      <c r="CT599" s="72"/>
      <c r="CU599" s="72"/>
      <c r="CV599" s="72"/>
      <c r="CW599" s="72"/>
      <c r="CX599" s="72"/>
      <c r="CY599" s="72"/>
      <c r="CZ599" s="72"/>
      <c r="DA599" s="72"/>
      <c r="DB599" s="72"/>
      <c r="DC599" s="72"/>
      <c r="DD599" s="72"/>
      <c r="DE599" s="72"/>
      <c r="DF599" s="72"/>
      <c r="DG599" s="72"/>
      <c r="DH599" s="72"/>
      <c r="DI599" s="72"/>
      <c r="DJ599" s="72"/>
      <c r="DK599" s="72"/>
      <c r="DL599" s="72"/>
      <c r="DM599" s="72"/>
      <c r="DN599" s="72"/>
      <c r="DO599" s="72"/>
      <c r="DP599" s="72"/>
      <c r="DQ599" s="72"/>
      <c r="DR599" s="72"/>
      <c r="DS599" s="72"/>
      <c r="DT599" s="72"/>
      <c r="DU599" s="72"/>
      <c r="DV599" s="72"/>
      <c r="DW599" s="72"/>
      <c r="DX599" s="72"/>
      <c r="DY599" s="72"/>
      <c r="DZ599" s="72"/>
      <c r="EA599" s="72"/>
      <c r="EB599" s="72"/>
      <c r="EC599" s="72"/>
      <c r="ED599" s="72"/>
      <c r="EE599" s="72"/>
      <c r="EF599" s="72"/>
      <c r="EG599" s="72"/>
      <c r="EH599" s="72"/>
      <c r="EI599" s="129"/>
      <c r="EJ599" s="129"/>
      <c r="EK599" s="129"/>
      <c r="EL599" s="129"/>
      <c r="EM599" s="72"/>
      <c r="EN599" s="72"/>
      <c r="EO599" s="72"/>
      <c r="EP599" s="72"/>
      <c r="EQ599" s="72"/>
      <c r="ER599" s="72"/>
      <c r="ES599" s="72"/>
      <c r="ET599" s="72"/>
    </row>
    <row r="600">
      <c r="CD600" s="72"/>
      <c r="CE600" s="72"/>
      <c r="CF600" s="72"/>
      <c r="CG600" s="72"/>
      <c r="CH600" s="72"/>
      <c r="CI600" s="72"/>
      <c r="CJ600" s="72"/>
      <c r="CK600" s="72"/>
      <c r="CL600" s="72"/>
      <c r="CM600" s="72"/>
      <c r="CN600" s="72"/>
      <c r="CO600" s="72"/>
      <c r="CP600" s="72"/>
      <c r="CQ600" s="72"/>
      <c r="CR600" s="72"/>
      <c r="CS600" s="72"/>
      <c r="CT600" s="72"/>
      <c r="CU600" s="72"/>
      <c r="CV600" s="72"/>
      <c r="CW600" s="72"/>
      <c r="CX600" s="72"/>
      <c r="CY600" s="72"/>
      <c r="CZ600" s="72"/>
      <c r="DA600" s="72"/>
      <c r="DB600" s="72"/>
      <c r="DC600" s="72"/>
      <c r="DD600" s="72"/>
      <c r="DE600" s="72"/>
      <c r="DF600" s="72"/>
      <c r="DG600" s="72"/>
      <c r="DH600" s="72"/>
      <c r="DI600" s="72"/>
      <c r="DJ600" s="72"/>
      <c r="DK600" s="72"/>
      <c r="DL600" s="72"/>
      <c r="DM600" s="72"/>
      <c r="DN600" s="72"/>
      <c r="DO600" s="72"/>
      <c r="DP600" s="72"/>
      <c r="DQ600" s="72"/>
      <c r="DR600" s="72"/>
      <c r="DS600" s="72"/>
      <c r="DT600" s="72"/>
      <c r="DU600" s="72"/>
      <c r="DV600" s="72"/>
      <c r="DW600" s="72"/>
      <c r="DX600" s="72"/>
      <c r="DY600" s="72"/>
      <c r="DZ600" s="72"/>
      <c r="EA600" s="72"/>
      <c r="EB600" s="72"/>
      <c r="EC600" s="72"/>
      <c r="ED600" s="72"/>
      <c r="EE600" s="72"/>
      <c r="EF600" s="72"/>
      <c r="EG600" s="72"/>
      <c r="EH600" s="72"/>
      <c r="EI600" s="129"/>
      <c r="EJ600" s="129"/>
      <c r="EK600" s="129"/>
      <c r="EL600" s="129"/>
      <c r="EM600" s="72"/>
      <c r="EN600" s="72"/>
      <c r="EO600" s="72"/>
      <c r="EP600" s="72"/>
      <c r="EQ600" s="72"/>
      <c r="ER600" s="72"/>
      <c r="ES600" s="72"/>
      <c r="ET600" s="72"/>
    </row>
    <row r="601">
      <c r="CD601" s="72"/>
      <c r="CE601" s="72"/>
      <c r="CF601" s="72"/>
      <c r="CG601" s="72"/>
      <c r="CH601" s="72"/>
      <c r="CI601" s="72"/>
      <c r="CJ601" s="72"/>
      <c r="CK601" s="72"/>
      <c r="CL601" s="72"/>
      <c r="CM601" s="72"/>
      <c r="CN601" s="72"/>
      <c r="CO601" s="72"/>
      <c r="CP601" s="72"/>
      <c r="CQ601" s="72"/>
      <c r="CR601" s="72"/>
      <c r="CS601" s="72"/>
      <c r="CT601" s="72"/>
      <c r="CU601" s="72"/>
      <c r="CV601" s="72"/>
      <c r="CW601" s="72"/>
      <c r="CX601" s="72"/>
      <c r="CY601" s="72"/>
      <c r="CZ601" s="72"/>
      <c r="DA601" s="72"/>
      <c r="DB601" s="72"/>
      <c r="DC601" s="72"/>
      <c r="DD601" s="72"/>
      <c r="DE601" s="72"/>
      <c r="DF601" s="72"/>
      <c r="DG601" s="72"/>
      <c r="DH601" s="72"/>
      <c r="DI601" s="72"/>
      <c r="DJ601" s="72"/>
      <c r="DK601" s="72"/>
      <c r="DL601" s="72"/>
      <c r="DM601" s="72"/>
      <c r="DN601" s="72"/>
      <c r="DO601" s="72"/>
      <c r="DP601" s="72"/>
      <c r="DQ601" s="72"/>
      <c r="DR601" s="72"/>
      <c r="DS601" s="72"/>
      <c r="DT601" s="72"/>
      <c r="DU601" s="72"/>
      <c r="DV601" s="72"/>
      <c r="DW601" s="72"/>
      <c r="DX601" s="72"/>
      <c r="DY601" s="72"/>
      <c r="DZ601" s="72"/>
      <c r="EA601" s="72"/>
      <c r="EB601" s="72"/>
      <c r="EC601" s="72"/>
      <c r="ED601" s="72"/>
      <c r="EE601" s="72"/>
      <c r="EF601" s="72"/>
      <c r="EG601" s="72"/>
      <c r="EH601" s="72"/>
      <c r="EI601" s="129"/>
      <c r="EJ601" s="129"/>
      <c r="EK601" s="129"/>
      <c r="EL601" s="129"/>
      <c r="EM601" s="72"/>
      <c r="EN601" s="72"/>
      <c r="EO601" s="72"/>
      <c r="EP601" s="72"/>
      <c r="EQ601" s="72"/>
      <c r="ER601" s="72"/>
      <c r="ES601" s="72"/>
      <c r="ET601" s="72"/>
    </row>
    <row r="602">
      <c r="CD602" s="72"/>
      <c r="CE602" s="72"/>
      <c r="CF602" s="72"/>
      <c r="CG602" s="72"/>
      <c r="CH602" s="72"/>
      <c r="CI602" s="72"/>
      <c r="CJ602" s="72"/>
      <c r="CK602" s="72"/>
      <c r="CL602" s="72"/>
      <c r="CM602" s="72"/>
      <c r="CN602" s="72"/>
      <c r="CO602" s="72"/>
      <c r="CP602" s="72"/>
      <c r="CQ602" s="72"/>
      <c r="CR602" s="72"/>
      <c r="CS602" s="72"/>
      <c r="CT602" s="72"/>
      <c r="CU602" s="72"/>
      <c r="CV602" s="72"/>
      <c r="CW602" s="72"/>
      <c r="CX602" s="72"/>
      <c r="CY602" s="72"/>
      <c r="CZ602" s="72"/>
      <c r="DA602" s="72"/>
      <c r="DB602" s="72"/>
      <c r="DC602" s="72"/>
      <c r="DD602" s="72"/>
      <c r="DE602" s="72"/>
      <c r="DF602" s="72"/>
      <c r="DG602" s="72"/>
      <c r="DH602" s="72"/>
      <c r="DI602" s="72"/>
      <c r="DJ602" s="72"/>
      <c r="DK602" s="72"/>
      <c r="DL602" s="72"/>
      <c r="DM602" s="72"/>
      <c r="DN602" s="72"/>
      <c r="DO602" s="72"/>
      <c r="DP602" s="72"/>
      <c r="DQ602" s="72"/>
      <c r="DR602" s="72"/>
      <c r="DS602" s="72"/>
      <c r="DT602" s="72"/>
      <c r="DU602" s="72"/>
      <c r="DV602" s="72"/>
      <c r="DW602" s="72"/>
      <c r="DX602" s="72"/>
      <c r="DY602" s="72"/>
      <c r="DZ602" s="72"/>
      <c r="EA602" s="72"/>
      <c r="EB602" s="72"/>
      <c r="EC602" s="72"/>
      <c r="ED602" s="72"/>
      <c r="EE602" s="72"/>
      <c r="EF602" s="72"/>
      <c r="EG602" s="72"/>
      <c r="EH602" s="72"/>
      <c r="EI602" s="129"/>
      <c r="EJ602" s="129"/>
      <c r="EK602" s="129"/>
      <c r="EL602" s="129"/>
      <c r="EM602" s="72"/>
      <c r="EN602" s="72"/>
      <c r="EO602" s="72"/>
      <c r="EP602" s="72"/>
      <c r="EQ602" s="72"/>
      <c r="ER602" s="72"/>
      <c r="ES602" s="72"/>
      <c r="ET602" s="72"/>
    </row>
    <row r="603">
      <c r="CD603" s="72"/>
      <c r="CE603" s="72"/>
      <c r="CF603" s="72"/>
      <c r="CG603" s="72"/>
      <c r="CH603" s="72"/>
      <c r="CI603" s="72"/>
      <c r="CJ603" s="72"/>
      <c r="CK603" s="72"/>
      <c r="CL603" s="72"/>
      <c r="CM603" s="72"/>
      <c r="CN603" s="72"/>
      <c r="CO603" s="72"/>
      <c r="CP603" s="72"/>
      <c r="CQ603" s="72"/>
      <c r="CR603" s="72"/>
      <c r="CS603" s="72"/>
      <c r="CT603" s="72"/>
      <c r="CU603" s="72"/>
      <c r="CV603" s="72"/>
      <c r="CW603" s="72"/>
      <c r="CX603" s="72"/>
      <c r="CY603" s="72"/>
      <c r="CZ603" s="72"/>
      <c r="DA603" s="72"/>
      <c r="DB603" s="72"/>
      <c r="DC603" s="72"/>
      <c r="DD603" s="72"/>
      <c r="DE603" s="72"/>
      <c r="DF603" s="72"/>
      <c r="DG603" s="72"/>
      <c r="DH603" s="72"/>
      <c r="DI603" s="72"/>
      <c r="DJ603" s="72"/>
      <c r="DK603" s="72"/>
      <c r="DL603" s="72"/>
      <c r="DM603" s="72"/>
      <c r="DN603" s="72"/>
      <c r="DO603" s="72"/>
      <c r="DP603" s="72"/>
      <c r="DQ603" s="72"/>
      <c r="DR603" s="72"/>
      <c r="DS603" s="72"/>
      <c r="DT603" s="72"/>
      <c r="DU603" s="72"/>
      <c r="DV603" s="72"/>
      <c r="DW603" s="72"/>
      <c r="DX603" s="72"/>
      <c r="DY603" s="72"/>
      <c r="DZ603" s="72"/>
      <c r="EA603" s="72"/>
      <c r="EB603" s="72"/>
      <c r="EC603" s="72"/>
      <c r="ED603" s="72"/>
      <c r="EE603" s="72"/>
      <c r="EF603" s="72"/>
      <c r="EG603" s="72"/>
      <c r="EH603" s="72"/>
      <c r="EI603" s="129"/>
      <c r="EJ603" s="129"/>
      <c r="EK603" s="129"/>
      <c r="EL603" s="129"/>
      <c r="EM603" s="72"/>
      <c r="EN603" s="72"/>
      <c r="EO603" s="72"/>
      <c r="EP603" s="72"/>
      <c r="EQ603" s="72"/>
      <c r="ER603" s="72"/>
      <c r="ES603" s="72"/>
      <c r="ET603" s="72"/>
    </row>
    <row r="604">
      <c r="CD604" s="72"/>
      <c r="CE604" s="72"/>
      <c r="CF604" s="72"/>
      <c r="CG604" s="72"/>
      <c r="CH604" s="72"/>
      <c r="CI604" s="72"/>
      <c r="CJ604" s="72"/>
      <c r="CK604" s="72"/>
      <c r="CL604" s="72"/>
      <c r="CM604" s="72"/>
      <c r="CN604" s="72"/>
      <c r="CO604" s="72"/>
      <c r="CP604" s="72"/>
      <c r="CQ604" s="72"/>
      <c r="CR604" s="72"/>
      <c r="CS604" s="72"/>
      <c r="CT604" s="72"/>
      <c r="CU604" s="72"/>
      <c r="CV604" s="72"/>
      <c r="CW604" s="72"/>
      <c r="CX604" s="72"/>
      <c r="CY604" s="72"/>
      <c r="CZ604" s="72"/>
      <c r="DA604" s="72"/>
      <c r="DB604" s="72"/>
      <c r="DC604" s="72"/>
      <c r="DD604" s="72"/>
      <c r="DE604" s="72"/>
      <c r="DF604" s="72"/>
      <c r="DG604" s="72"/>
      <c r="DH604" s="72"/>
      <c r="DI604" s="72"/>
      <c r="DJ604" s="72"/>
      <c r="DK604" s="72"/>
      <c r="DL604" s="72"/>
      <c r="DM604" s="72"/>
      <c r="DN604" s="72"/>
      <c r="DO604" s="72"/>
      <c r="DP604" s="72"/>
      <c r="DQ604" s="72"/>
      <c r="DR604" s="72"/>
      <c r="DS604" s="72"/>
      <c r="DT604" s="72"/>
      <c r="DU604" s="72"/>
      <c r="DV604" s="72"/>
      <c r="DW604" s="72"/>
      <c r="DX604" s="72"/>
      <c r="DY604" s="72"/>
      <c r="DZ604" s="72"/>
      <c r="EA604" s="72"/>
      <c r="EB604" s="72"/>
      <c r="EC604" s="72"/>
      <c r="ED604" s="72"/>
      <c r="EE604" s="72"/>
      <c r="EF604" s="72"/>
      <c r="EG604" s="72"/>
      <c r="EH604" s="72"/>
      <c r="EI604" s="129"/>
      <c r="EJ604" s="129"/>
      <c r="EK604" s="129"/>
      <c r="EL604" s="129"/>
      <c r="EM604" s="72"/>
      <c r="EN604" s="72"/>
      <c r="EO604" s="72"/>
      <c r="EP604" s="72"/>
      <c r="EQ604" s="72"/>
      <c r="ER604" s="72"/>
      <c r="ES604" s="72"/>
      <c r="ET604" s="72"/>
    </row>
    <row r="605">
      <c r="CD605" s="72"/>
      <c r="CE605" s="72"/>
      <c r="CF605" s="72"/>
      <c r="CG605" s="72"/>
      <c r="CH605" s="72"/>
      <c r="CI605" s="72"/>
      <c r="CJ605" s="72"/>
      <c r="CK605" s="72"/>
      <c r="CL605" s="72"/>
      <c r="CM605" s="72"/>
      <c r="CN605" s="72"/>
      <c r="CO605" s="72"/>
      <c r="CP605" s="72"/>
      <c r="CQ605" s="72"/>
      <c r="CR605" s="72"/>
      <c r="CS605" s="72"/>
      <c r="CT605" s="72"/>
      <c r="CU605" s="72"/>
      <c r="CV605" s="72"/>
      <c r="CW605" s="72"/>
      <c r="CX605" s="72"/>
      <c r="CY605" s="72"/>
      <c r="CZ605" s="72"/>
      <c r="DA605" s="72"/>
      <c r="DB605" s="72"/>
      <c r="DC605" s="72"/>
      <c r="DD605" s="72"/>
      <c r="DE605" s="72"/>
      <c r="DF605" s="72"/>
      <c r="DG605" s="72"/>
      <c r="DH605" s="72"/>
      <c r="DI605" s="72"/>
      <c r="DJ605" s="72"/>
      <c r="DK605" s="72"/>
      <c r="DL605" s="72"/>
      <c r="DM605" s="72"/>
      <c r="DN605" s="72"/>
      <c r="DO605" s="72"/>
      <c r="DP605" s="72"/>
      <c r="DQ605" s="72"/>
      <c r="DR605" s="72"/>
      <c r="DS605" s="72"/>
      <c r="DT605" s="72"/>
      <c r="DU605" s="72"/>
      <c r="DV605" s="72"/>
      <c r="DW605" s="72"/>
      <c r="DX605" s="72"/>
      <c r="DY605" s="72"/>
      <c r="DZ605" s="72"/>
      <c r="EA605" s="72"/>
      <c r="EB605" s="72"/>
      <c r="EC605" s="72"/>
      <c r="ED605" s="72"/>
      <c r="EE605" s="72"/>
      <c r="EF605" s="72"/>
      <c r="EG605" s="72"/>
      <c r="EH605" s="72"/>
      <c r="EI605" s="129"/>
      <c r="EJ605" s="129"/>
      <c r="EK605" s="129"/>
      <c r="EL605" s="129"/>
      <c r="EM605" s="72"/>
      <c r="EN605" s="72"/>
      <c r="EO605" s="72"/>
      <c r="EP605" s="72"/>
      <c r="EQ605" s="72"/>
      <c r="ER605" s="72"/>
      <c r="ES605" s="72"/>
      <c r="ET605" s="72"/>
    </row>
    <row r="606">
      <c r="CD606" s="72"/>
      <c r="CE606" s="72"/>
      <c r="CF606" s="72"/>
      <c r="CG606" s="72"/>
      <c r="CH606" s="72"/>
      <c r="CI606" s="72"/>
      <c r="CJ606" s="72"/>
      <c r="CK606" s="72"/>
      <c r="CL606" s="72"/>
      <c r="CM606" s="72"/>
      <c r="CN606" s="72"/>
      <c r="CO606" s="72"/>
      <c r="CP606" s="72"/>
      <c r="CQ606" s="72"/>
      <c r="CR606" s="72"/>
      <c r="CS606" s="72"/>
      <c r="CT606" s="72"/>
      <c r="CU606" s="72"/>
      <c r="CV606" s="72"/>
      <c r="CW606" s="72"/>
      <c r="CX606" s="72"/>
      <c r="CY606" s="72"/>
      <c r="CZ606" s="72"/>
      <c r="DA606" s="72"/>
      <c r="DB606" s="72"/>
      <c r="DC606" s="72"/>
      <c r="DD606" s="72"/>
      <c r="DE606" s="72"/>
      <c r="DF606" s="72"/>
      <c r="DG606" s="72"/>
      <c r="DH606" s="72"/>
      <c r="DI606" s="72"/>
      <c r="DJ606" s="72"/>
      <c r="DK606" s="72"/>
      <c r="DL606" s="72"/>
      <c r="DM606" s="72"/>
      <c r="DN606" s="72"/>
      <c r="DO606" s="72"/>
      <c r="DP606" s="72"/>
      <c r="DQ606" s="72"/>
      <c r="DR606" s="72"/>
      <c r="DS606" s="72"/>
      <c r="DT606" s="72"/>
      <c r="DU606" s="72"/>
      <c r="DV606" s="72"/>
      <c r="DW606" s="72"/>
      <c r="DX606" s="72"/>
      <c r="DY606" s="72"/>
      <c r="DZ606" s="72"/>
      <c r="EA606" s="72"/>
      <c r="EB606" s="72"/>
      <c r="EC606" s="72"/>
      <c r="ED606" s="72"/>
      <c r="EE606" s="72"/>
      <c r="EF606" s="72"/>
      <c r="EG606" s="72"/>
      <c r="EH606" s="72"/>
      <c r="EI606" s="129"/>
      <c r="EJ606" s="129"/>
      <c r="EK606" s="129"/>
      <c r="EL606" s="129"/>
      <c r="EM606" s="72"/>
      <c r="EN606" s="72"/>
      <c r="EO606" s="72"/>
      <c r="EP606" s="72"/>
      <c r="EQ606" s="72"/>
      <c r="ER606" s="72"/>
      <c r="ES606" s="72"/>
      <c r="ET606" s="72"/>
    </row>
    <row r="607">
      <c r="CD607" s="72"/>
      <c r="CE607" s="72"/>
      <c r="CF607" s="72"/>
      <c r="CG607" s="72"/>
      <c r="CH607" s="72"/>
      <c r="CI607" s="72"/>
      <c r="CJ607" s="72"/>
      <c r="CK607" s="72"/>
      <c r="CL607" s="72"/>
      <c r="CM607" s="72"/>
      <c r="CN607" s="72"/>
      <c r="CO607" s="72"/>
      <c r="CP607" s="72"/>
      <c r="CQ607" s="72"/>
      <c r="CR607" s="72"/>
      <c r="CS607" s="72"/>
      <c r="CT607" s="72"/>
      <c r="CU607" s="72"/>
      <c r="CV607" s="72"/>
      <c r="CW607" s="72"/>
      <c r="CX607" s="72"/>
      <c r="CY607" s="72"/>
      <c r="CZ607" s="72"/>
      <c r="DA607" s="72"/>
      <c r="DB607" s="72"/>
      <c r="DC607" s="72"/>
      <c r="DD607" s="72"/>
      <c r="DE607" s="72"/>
      <c r="DF607" s="72"/>
      <c r="DG607" s="72"/>
      <c r="DH607" s="72"/>
      <c r="DI607" s="72"/>
      <c r="DJ607" s="72"/>
      <c r="DK607" s="72"/>
      <c r="DL607" s="72"/>
      <c r="DM607" s="72"/>
      <c r="DN607" s="72"/>
      <c r="DO607" s="72"/>
      <c r="DP607" s="72"/>
      <c r="DQ607" s="72"/>
      <c r="DR607" s="72"/>
      <c r="DS607" s="72"/>
      <c r="DT607" s="72"/>
      <c r="DU607" s="72"/>
      <c r="DV607" s="72"/>
      <c r="DW607" s="72"/>
      <c r="DX607" s="72"/>
      <c r="DY607" s="72"/>
      <c r="DZ607" s="72"/>
      <c r="EA607" s="72"/>
      <c r="EB607" s="72"/>
      <c r="EC607" s="72"/>
      <c r="ED607" s="72"/>
      <c r="EE607" s="72"/>
      <c r="EF607" s="72"/>
      <c r="EG607" s="72"/>
      <c r="EH607" s="72"/>
      <c r="EI607" s="129"/>
      <c r="EJ607" s="129"/>
      <c r="EK607" s="129"/>
      <c r="EL607" s="129"/>
      <c r="EM607" s="72"/>
      <c r="EN607" s="72"/>
      <c r="EO607" s="72"/>
      <c r="EP607" s="72"/>
      <c r="EQ607" s="72"/>
      <c r="ER607" s="72"/>
      <c r="ES607" s="72"/>
      <c r="ET607" s="72"/>
    </row>
    <row r="608">
      <c r="CD608" s="72"/>
      <c r="CE608" s="72"/>
      <c r="CF608" s="72"/>
      <c r="CG608" s="72"/>
      <c r="CH608" s="72"/>
      <c r="CI608" s="72"/>
      <c r="CJ608" s="72"/>
      <c r="CK608" s="72"/>
      <c r="CL608" s="72"/>
      <c r="CM608" s="72"/>
      <c r="CN608" s="72"/>
      <c r="CO608" s="72"/>
      <c r="CP608" s="72"/>
      <c r="CQ608" s="72"/>
      <c r="CR608" s="72"/>
      <c r="CS608" s="72"/>
      <c r="CT608" s="72"/>
      <c r="CU608" s="72"/>
      <c r="CV608" s="72"/>
      <c r="CW608" s="72"/>
      <c r="CX608" s="72"/>
      <c r="CY608" s="72"/>
      <c r="CZ608" s="72"/>
      <c r="DA608" s="72"/>
      <c r="DB608" s="72"/>
      <c r="DC608" s="72"/>
      <c r="DD608" s="72"/>
      <c r="DE608" s="72"/>
      <c r="DF608" s="72"/>
      <c r="DG608" s="72"/>
      <c r="DH608" s="72"/>
      <c r="DI608" s="72"/>
      <c r="DJ608" s="72"/>
      <c r="DK608" s="72"/>
      <c r="DL608" s="72"/>
      <c r="DM608" s="72"/>
      <c r="DN608" s="72"/>
      <c r="DO608" s="72"/>
      <c r="DP608" s="72"/>
      <c r="DQ608" s="72"/>
      <c r="DR608" s="72"/>
      <c r="DS608" s="72"/>
      <c r="DT608" s="72"/>
      <c r="DU608" s="72"/>
      <c r="DV608" s="72"/>
      <c r="DW608" s="72"/>
      <c r="DX608" s="72"/>
      <c r="DY608" s="72"/>
      <c r="DZ608" s="72"/>
      <c r="EA608" s="72"/>
      <c r="EB608" s="72"/>
      <c r="EC608" s="72"/>
      <c r="ED608" s="72"/>
      <c r="EE608" s="72"/>
      <c r="EF608" s="72"/>
      <c r="EG608" s="72"/>
      <c r="EH608" s="72"/>
      <c r="EI608" s="129"/>
      <c r="EJ608" s="129"/>
      <c r="EK608" s="129"/>
      <c r="EL608" s="129"/>
      <c r="EM608" s="72"/>
      <c r="EN608" s="72"/>
      <c r="EO608" s="72"/>
      <c r="EP608" s="72"/>
      <c r="EQ608" s="72"/>
      <c r="ER608" s="72"/>
      <c r="ES608" s="72"/>
      <c r="ET608" s="72"/>
    </row>
    <row r="609">
      <c r="CD609" s="72"/>
      <c r="CE609" s="72"/>
      <c r="CF609" s="72"/>
      <c r="CG609" s="72"/>
      <c r="CH609" s="72"/>
      <c r="CI609" s="72"/>
      <c r="CJ609" s="72"/>
      <c r="CK609" s="72"/>
      <c r="CL609" s="72"/>
      <c r="CM609" s="72"/>
      <c r="CN609" s="72"/>
      <c r="CO609" s="72"/>
      <c r="CP609" s="72"/>
      <c r="CQ609" s="72"/>
      <c r="CR609" s="72"/>
      <c r="CS609" s="72"/>
      <c r="CT609" s="72"/>
      <c r="CU609" s="72"/>
      <c r="CV609" s="72"/>
      <c r="CW609" s="72"/>
      <c r="CX609" s="72"/>
      <c r="CY609" s="72"/>
      <c r="CZ609" s="72"/>
      <c r="DA609" s="72"/>
      <c r="DB609" s="72"/>
      <c r="DC609" s="72"/>
      <c r="DD609" s="72"/>
      <c r="DE609" s="72"/>
      <c r="DF609" s="72"/>
      <c r="DG609" s="72"/>
      <c r="DH609" s="72"/>
      <c r="DI609" s="72"/>
      <c r="DJ609" s="72"/>
      <c r="DK609" s="72"/>
      <c r="DL609" s="72"/>
      <c r="DM609" s="72"/>
      <c r="DN609" s="72"/>
      <c r="DO609" s="72"/>
      <c r="DP609" s="72"/>
      <c r="DQ609" s="72"/>
      <c r="DR609" s="72"/>
      <c r="DS609" s="72"/>
      <c r="DT609" s="72"/>
      <c r="DU609" s="72"/>
      <c r="DV609" s="72"/>
      <c r="DW609" s="72"/>
      <c r="DX609" s="72"/>
      <c r="DY609" s="72"/>
      <c r="DZ609" s="72"/>
      <c r="EA609" s="72"/>
      <c r="EB609" s="72"/>
      <c r="EC609" s="72"/>
      <c r="ED609" s="72"/>
      <c r="EE609" s="72"/>
      <c r="EF609" s="72"/>
      <c r="EG609" s="72"/>
      <c r="EH609" s="72"/>
      <c r="EI609" s="129"/>
      <c r="EJ609" s="129"/>
      <c r="EK609" s="129"/>
      <c r="EL609" s="129"/>
      <c r="EM609" s="72"/>
      <c r="EN609" s="72"/>
      <c r="EO609" s="72"/>
      <c r="EP609" s="72"/>
      <c r="EQ609" s="72"/>
      <c r="ER609" s="72"/>
      <c r="ES609" s="72"/>
      <c r="ET609" s="72"/>
    </row>
    <row r="610">
      <c r="CD610" s="72"/>
      <c r="CE610" s="72"/>
      <c r="CF610" s="72"/>
      <c r="CG610" s="72"/>
      <c r="CH610" s="72"/>
      <c r="CI610" s="72"/>
      <c r="CJ610" s="72"/>
      <c r="CK610" s="72"/>
      <c r="CL610" s="72"/>
      <c r="CM610" s="72"/>
      <c r="CN610" s="72"/>
      <c r="CO610" s="72"/>
      <c r="CP610" s="72"/>
      <c r="CQ610" s="72"/>
      <c r="CR610" s="72"/>
      <c r="CS610" s="72"/>
      <c r="CT610" s="72"/>
      <c r="CU610" s="72"/>
      <c r="CV610" s="72"/>
      <c r="CW610" s="72"/>
      <c r="CX610" s="72"/>
      <c r="CY610" s="72"/>
      <c r="CZ610" s="72"/>
      <c r="DA610" s="72"/>
      <c r="DB610" s="72"/>
      <c r="DC610" s="72"/>
      <c r="DD610" s="72"/>
      <c r="DE610" s="72"/>
      <c r="DF610" s="72"/>
      <c r="DG610" s="72"/>
      <c r="DH610" s="72"/>
      <c r="DI610" s="72"/>
      <c r="DJ610" s="72"/>
      <c r="DK610" s="72"/>
      <c r="DL610" s="72"/>
      <c r="DM610" s="72"/>
      <c r="DN610" s="72"/>
      <c r="DO610" s="72"/>
      <c r="DP610" s="72"/>
      <c r="DQ610" s="72"/>
      <c r="DR610" s="72"/>
      <c r="DS610" s="72"/>
      <c r="DT610" s="72"/>
      <c r="DU610" s="72"/>
      <c r="DV610" s="72"/>
      <c r="DW610" s="72"/>
      <c r="DX610" s="72"/>
      <c r="DY610" s="72"/>
      <c r="DZ610" s="72"/>
      <c r="EA610" s="72"/>
      <c r="EB610" s="72"/>
      <c r="EC610" s="72"/>
      <c r="ED610" s="72"/>
      <c r="EE610" s="72"/>
      <c r="EF610" s="72"/>
      <c r="EG610" s="72"/>
      <c r="EH610" s="72"/>
      <c r="EI610" s="129"/>
      <c r="EJ610" s="129"/>
      <c r="EK610" s="129"/>
      <c r="EL610" s="129"/>
      <c r="EM610" s="72"/>
      <c r="EN610" s="72"/>
      <c r="EO610" s="72"/>
      <c r="EP610" s="72"/>
      <c r="EQ610" s="72"/>
      <c r="ER610" s="72"/>
      <c r="ES610" s="72"/>
      <c r="ET610" s="72"/>
    </row>
    <row r="611">
      <c r="CD611" s="72"/>
      <c r="CE611" s="72"/>
      <c r="CF611" s="72"/>
      <c r="CG611" s="72"/>
      <c r="CH611" s="72"/>
      <c r="CI611" s="72"/>
      <c r="CJ611" s="72"/>
      <c r="CK611" s="72"/>
      <c r="CL611" s="72"/>
      <c r="CM611" s="72"/>
      <c r="CN611" s="72"/>
      <c r="CO611" s="72"/>
      <c r="CP611" s="72"/>
      <c r="CQ611" s="72"/>
      <c r="CR611" s="72"/>
      <c r="CS611" s="72"/>
      <c r="CT611" s="72"/>
      <c r="CU611" s="72"/>
      <c r="CV611" s="72"/>
      <c r="CW611" s="72"/>
      <c r="CX611" s="72"/>
      <c r="CY611" s="72"/>
      <c r="CZ611" s="72"/>
      <c r="DA611" s="72"/>
      <c r="DB611" s="72"/>
      <c r="DC611" s="72"/>
      <c r="DD611" s="72"/>
      <c r="DE611" s="72"/>
      <c r="DF611" s="72"/>
      <c r="DG611" s="72"/>
      <c r="DH611" s="72"/>
      <c r="DI611" s="72"/>
      <c r="DJ611" s="72"/>
      <c r="DK611" s="72"/>
      <c r="DL611" s="72"/>
      <c r="DM611" s="72"/>
      <c r="DN611" s="72"/>
      <c r="DO611" s="72"/>
      <c r="DP611" s="72"/>
      <c r="DQ611" s="72"/>
      <c r="DR611" s="72"/>
      <c r="DS611" s="72"/>
      <c r="DT611" s="72"/>
      <c r="DU611" s="72"/>
      <c r="DV611" s="72"/>
      <c r="DW611" s="72"/>
      <c r="DX611" s="72"/>
      <c r="DY611" s="72"/>
      <c r="DZ611" s="72"/>
      <c r="EA611" s="72"/>
      <c r="EB611" s="72"/>
      <c r="EC611" s="72"/>
      <c r="ED611" s="72"/>
      <c r="EE611" s="72"/>
      <c r="EF611" s="72"/>
      <c r="EG611" s="72"/>
      <c r="EH611" s="72"/>
      <c r="EI611" s="129"/>
      <c r="EJ611" s="129"/>
      <c r="EK611" s="129"/>
      <c r="EL611" s="129"/>
      <c r="EM611" s="72"/>
      <c r="EN611" s="72"/>
      <c r="EO611" s="72"/>
      <c r="EP611" s="72"/>
      <c r="EQ611" s="72"/>
      <c r="ER611" s="72"/>
      <c r="ES611" s="72"/>
      <c r="ET611" s="72"/>
    </row>
    <row r="612">
      <c r="CD612" s="72"/>
      <c r="CE612" s="72"/>
      <c r="CF612" s="72"/>
      <c r="CG612" s="72"/>
      <c r="CH612" s="72"/>
      <c r="CI612" s="72"/>
      <c r="CJ612" s="72"/>
      <c r="CK612" s="72"/>
      <c r="CL612" s="72"/>
      <c r="CM612" s="72"/>
      <c r="CN612" s="72"/>
      <c r="CO612" s="72"/>
      <c r="CP612" s="72"/>
      <c r="CQ612" s="72"/>
      <c r="CR612" s="72"/>
      <c r="CS612" s="72"/>
      <c r="CT612" s="72"/>
      <c r="CU612" s="72"/>
      <c r="CV612" s="72"/>
      <c r="CW612" s="72"/>
      <c r="CX612" s="72"/>
      <c r="CY612" s="72"/>
      <c r="CZ612" s="72"/>
      <c r="DA612" s="72"/>
      <c r="DB612" s="72"/>
      <c r="DC612" s="72"/>
      <c r="DD612" s="72"/>
      <c r="DE612" s="72"/>
      <c r="DF612" s="72"/>
      <c r="DG612" s="72"/>
      <c r="DH612" s="72"/>
      <c r="DI612" s="72"/>
      <c r="DJ612" s="72"/>
      <c r="DK612" s="72"/>
      <c r="DL612" s="72"/>
      <c r="DM612" s="72"/>
      <c r="DN612" s="72"/>
      <c r="DO612" s="72"/>
      <c r="DP612" s="72"/>
      <c r="DQ612" s="72"/>
      <c r="DR612" s="72"/>
      <c r="DS612" s="72"/>
      <c r="DT612" s="72"/>
      <c r="DU612" s="72"/>
      <c r="DV612" s="72"/>
      <c r="DW612" s="72"/>
      <c r="DX612" s="72"/>
      <c r="DY612" s="72"/>
      <c r="DZ612" s="72"/>
      <c r="EA612" s="72"/>
      <c r="EB612" s="72"/>
      <c r="EC612" s="72"/>
      <c r="ED612" s="72"/>
      <c r="EE612" s="72"/>
      <c r="EF612" s="72"/>
      <c r="EG612" s="72"/>
      <c r="EH612" s="72"/>
      <c r="EI612" s="129"/>
      <c r="EJ612" s="129"/>
      <c r="EK612" s="129"/>
      <c r="EL612" s="129"/>
      <c r="EM612" s="72"/>
      <c r="EN612" s="72"/>
      <c r="EO612" s="72"/>
      <c r="EP612" s="72"/>
      <c r="EQ612" s="72"/>
      <c r="ER612" s="72"/>
      <c r="ES612" s="72"/>
      <c r="ET612" s="72"/>
    </row>
    <row r="613">
      <c r="CD613" s="72"/>
      <c r="CE613" s="72"/>
      <c r="CF613" s="72"/>
      <c r="CG613" s="72"/>
      <c r="CH613" s="72"/>
      <c r="CI613" s="72"/>
      <c r="CJ613" s="72"/>
      <c r="CK613" s="72"/>
      <c r="CL613" s="72"/>
      <c r="CM613" s="72"/>
      <c r="CN613" s="72"/>
      <c r="CO613" s="72"/>
      <c r="CP613" s="72"/>
      <c r="CQ613" s="72"/>
      <c r="CR613" s="72"/>
      <c r="CS613" s="72"/>
      <c r="CT613" s="72"/>
      <c r="CU613" s="72"/>
      <c r="CV613" s="72"/>
      <c r="CW613" s="72"/>
      <c r="CX613" s="72"/>
      <c r="CY613" s="72"/>
      <c r="CZ613" s="72"/>
      <c r="DA613" s="72"/>
      <c r="DB613" s="72"/>
      <c r="DC613" s="72"/>
      <c r="DD613" s="72"/>
      <c r="DE613" s="72"/>
      <c r="DF613" s="72"/>
      <c r="DG613" s="72"/>
      <c r="DH613" s="72"/>
      <c r="DI613" s="72"/>
      <c r="DJ613" s="72"/>
      <c r="DK613" s="72"/>
      <c r="DL613" s="72"/>
      <c r="DM613" s="72"/>
      <c r="DN613" s="72"/>
      <c r="DO613" s="72"/>
      <c r="DP613" s="72"/>
      <c r="DQ613" s="72"/>
      <c r="DR613" s="72"/>
      <c r="DS613" s="72"/>
      <c r="DT613" s="72"/>
      <c r="DU613" s="72"/>
      <c r="DV613" s="72"/>
      <c r="DW613" s="72"/>
      <c r="DX613" s="72"/>
      <c r="DY613" s="72"/>
      <c r="DZ613" s="72"/>
      <c r="EA613" s="72"/>
      <c r="EB613" s="72"/>
      <c r="EC613" s="72"/>
      <c r="ED613" s="72"/>
      <c r="EE613" s="72"/>
      <c r="EF613" s="72"/>
      <c r="EG613" s="72"/>
      <c r="EH613" s="72"/>
      <c r="EI613" s="129"/>
      <c r="EJ613" s="129"/>
      <c r="EK613" s="129"/>
      <c r="EL613" s="129"/>
      <c r="EM613" s="72"/>
      <c r="EN613" s="72"/>
      <c r="EO613" s="72"/>
      <c r="EP613" s="72"/>
      <c r="EQ613" s="72"/>
      <c r="ER613" s="72"/>
      <c r="ES613" s="72"/>
      <c r="ET613" s="72"/>
    </row>
    <row r="614">
      <c r="CD614" s="72"/>
      <c r="CE614" s="72"/>
      <c r="CF614" s="72"/>
      <c r="CG614" s="72"/>
      <c r="CH614" s="72"/>
      <c r="CI614" s="72"/>
      <c r="CJ614" s="72"/>
      <c r="CK614" s="72"/>
      <c r="CL614" s="72"/>
      <c r="CM614" s="72"/>
      <c r="CN614" s="72"/>
      <c r="CO614" s="72"/>
      <c r="CP614" s="72"/>
      <c r="CQ614" s="72"/>
      <c r="CR614" s="72"/>
      <c r="CS614" s="72"/>
      <c r="CT614" s="72"/>
      <c r="CU614" s="72"/>
      <c r="CV614" s="72"/>
      <c r="CW614" s="72"/>
      <c r="CX614" s="72"/>
      <c r="CY614" s="72"/>
      <c r="CZ614" s="72"/>
      <c r="DA614" s="72"/>
      <c r="DB614" s="72"/>
      <c r="DC614" s="72"/>
      <c r="DD614" s="72"/>
      <c r="DE614" s="72"/>
      <c r="DF614" s="72"/>
      <c r="DG614" s="72"/>
      <c r="DH614" s="72"/>
      <c r="DI614" s="72"/>
      <c r="DJ614" s="72"/>
      <c r="DK614" s="72"/>
      <c r="DL614" s="72"/>
      <c r="DM614" s="72"/>
      <c r="DN614" s="72"/>
      <c r="DO614" s="72"/>
      <c r="DP614" s="72"/>
      <c r="DQ614" s="72"/>
      <c r="DR614" s="72"/>
      <c r="DS614" s="72"/>
      <c r="DT614" s="72"/>
      <c r="DU614" s="72"/>
      <c r="DV614" s="72"/>
      <c r="DW614" s="72"/>
      <c r="DX614" s="72"/>
      <c r="DY614" s="72"/>
      <c r="DZ614" s="72"/>
      <c r="EA614" s="72"/>
      <c r="EB614" s="72"/>
      <c r="EC614" s="72"/>
      <c r="ED614" s="72"/>
      <c r="EE614" s="72"/>
      <c r="EF614" s="72"/>
      <c r="EG614" s="72"/>
      <c r="EH614" s="72"/>
      <c r="EI614" s="129"/>
      <c r="EJ614" s="129"/>
      <c r="EK614" s="129"/>
      <c r="EL614" s="129"/>
      <c r="EM614" s="72"/>
      <c r="EN614" s="72"/>
      <c r="EO614" s="72"/>
      <c r="EP614" s="72"/>
      <c r="EQ614" s="72"/>
      <c r="ER614" s="72"/>
      <c r="ES614" s="72"/>
      <c r="ET614" s="72"/>
    </row>
    <row r="615">
      <c r="CD615" s="72"/>
      <c r="CE615" s="72"/>
      <c r="CF615" s="72"/>
      <c r="CG615" s="72"/>
      <c r="CH615" s="72"/>
      <c r="CI615" s="72"/>
      <c r="CJ615" s="72"/>
      <c r="CK615" s="72"/>
      <c r="CL615" s="72"/>
      <c r="CM615" s="72"/>
      <c r="CN615" s="72"/>
      <c r="CO615" s="72"/>
      <c r="CP615" s="72"/>
      <c r="CQ615" s="72"/>
      <c r="CR615" s="72"/>
      <c r="CS615" s="72"/>
      <c r="CT615" s="72"/>
      <c r="CU615" s="72"/>
      <c r="CV615" s="72"/>
      <c r="CW615" s="72"/>
      <c r="CX615" s="72"/>
      <c r="CY615" s="72"/>
      <c r="CZ615" s="72"/>
      <c r="DA615" s="72"/>
      <c r="DB615" s="72"/>
      <c r="DC615" s="72"/>
      <c r="DD615" s="72"/>
      <c r="DE615" s="72"/>
      <c r="DF615" s="72"/>
      <c r="DG615" s="72"/>
      <c r="DH615" s="72"/>
      <c r="DI615" s="72"/>
      <c r="DJ615" s="72"/>
      <c r="DK615" s="72"/>
      <c r="DL615" s="72"/>
      <c r="DM615" s="72"/>
      <c r="DN615" s="72"/>
      <c r="DO615" s="72"/>
      <c r="DP615" s="72"/>
      <c r="DQ615" s="72"/>
      <c r="DR615" s="72"/>
      <c r="DS615" s="72"/>
      <c r="DT615" s="72"/>
      <c r="DU615" s="72"/>
      <c r="DV615" s="72"/>
      <c r="DW615" s="72"/>
      <c r="DX615" s="72"/>
      <c r="DY615" s="72"/>
      <c r="DZ615" s="72"/>
      <c r="EA615" s="72"/>
      <c r="EB615" s="72"/>
      <c r="EC615" s="72"/>
      <c r="ED615" s="72"/>
      <c r="EE615" s="72"/>
      <c r="EF615" s="72"/>
      <c r="EG615" s="72"/>
      <c r="EH615" s="72"/>
      <c r="EI615" s="129"/>
      <c r="EJ615" s="129"/>
      <c r="EK615" s="129"/>
      <c r="EL615" s="129"/>
      <c r="EM615" s="72"/>
      <c r="EN615" s="72"/>
      <c r="EO615" s="72"/>
      <c r="EP615" s="72"/>
      <c r="EQ615" s="72"/>
      <c r="ER615" s="72"/>
      <c r="ES615" s="72"/>
      <c r="ET615" s="72"/>
    </row>
    <row r="616">
      <c r="CD616" s="72"/>
      <c r="CE616" s="72"/>
      <c r="CF616" s="72"/>
      <c r="CG616" s="72"/>
      <c r="CH616" s="72"/>
      <c r="CI616" s="72"/>
      <c r="CJ616" s="72"/>
      <c r="CK616" s="72"/>
      <c r="CL616" s="72"/>
      <c r="CM616" s="72"/>
      <c r="CN616" s="72"/>
      <c r="CO616" s="72"/>
      <c r="CP616" s="72"/>
      <c r="CQ616" s="72"/>
      <c r="CR616" s="72"/>
      <c r="CS616" s="72"/>
      <c r="CT616" s="72"/>
      <c r="CU616" s="72"/>
      <c r="CV616" s="72"/>
      <c r="CW616" s="72"/>
      <c r="CX616" s="72"/>
      <c r="CY616" s="72"/>
      <c r="CZ616" s="72"/>
      <c r="DA616" s="72"/>
      <c r="DB616" s="72"/>
      <c r="DC616" s="72"/>
      <c r="DD616" s="72"/>
      <c r="DE616" s="72"/>
      <c r="DF616" s="72"/>
      <c r="DG616" s="72"/>
      <c r="DH616" s="72"/>
      <c r="DI616" s="72"/>
      <c r="DJ616" s="72"/>
      <c r="DK616" s="72"/>
      <c r="DL616" s="72"/>
      <c r="DM616" s="72"/>
      <c r="DN616" s="72"/>
      <c r="DO616" s="72"/>
      <c r="DP616" s="72"/>
      <c r="DQ616" s="72"/>
      <c r="DR616" s="72"/>
      <c r="DS616" s="72"/>
      <c r="DT616" s="72"/>
      <c r="DU616" s="72"/>
      <c r="DV616" s="72"/>
      <c r="DW616" s="72"/>
      <c r="DX616" s="72"/>
      <c r="DY616" s="72"/>
      <c r="DZ616" s="72"/>
      <c r="EA616" s="72"/>
      <c r="EB616" s="72"/>
      <c r="EC616" s="72"/>
      <c r="ED616" s="72"/>
      <c r="EE616" s="72"/>
      <c r="EF616" s="72"/>
      <c r="EG616" s="72"/>
      <c r="EH616" s="72"/>
      <c r="EI616" s="129"/>
      <c r="EJ616" s="129"/>
      <c r="EK616" s="129"/>
      <c r="EL616" s="129"/>
      <c r="EM616" s="72"/>
      <c r="EN616" s="72"/>
      <c r="EO616" s="72"/>
      <c r="EP616" s="72"/>
      <c r="EQ616" s="72"/>
      <c r="ER616" s="72"/>
      <c r="ES616" s="72"/>
      <c r="ET616" s="72"/>
    </row>
    <row r="617">
      <c r="CD617" s="72"/>
      <c r="CE617" s="72"/>
      <c r="CF617" s="72"/>
      <c r="CG617" s="72"/>
      <c r="CH617" s="72"/>
      <c r="CI617" s="72"/>
      <c r="CJ617" s="72"/>
      <c r="CK617" s="72"/>
      <c r="CL617" s="72"/>
      <c r="CM617" s="72"/>
      <c r="CN617" s="72"/>
      <c r="CO617" s="72"/>
      <c r="CP617" s="72"/>
      <c r="CQ617" s="72"/>
      <c r="CR617" s="72"/>
      <c r="CS617" s="72"/>
      <c r="CT617" s="72"/>
      <c r="CU617" s="72"/>
      <c r="CV617" s="72"/>
      <c r="CW617" s="72"/>
      <c r="CX617" s="72"/>
      <c r="CY617" s="72"/>
      <c r="CZ617" s="72"/>
      <c r="DA617" s="72"/>
      <c r="DB617" s="72"/>
      <c r="DC617" s="72"/>
      <c r="DD617" s="72"/>
      <c r="DE617" s="72"/>
      <c r="DF617" s="72"/>
      <c r="DG617" s="72"/>
      <c r="DH617" s="72"/>
      <c r="DI617" s="72"/>
      <c r="DJ617" s="72"/>
      <c r="DK617" s="72"/>
      <c r="DL617" s="72"/>
      <c r="DM617" s="72"/>
      <c r="DN617" s="72"/>
      <c r="DO617" s="72"/>
      <c r="DP617" s="72"/>
      <c r="DQ617" s="72"/>
      <c r="DR617" s="72"/>
      <c r="DS617" s="72"/>
      <c r="DT617" s="72"/>
      <c r="DU617" s="72"/>
      <c r="DV617" s="72"/>
      <c r="DW617" s="72"/>
      <c r="DX617" s="72"/>
      <c r="DY617" s="72"/>
      <c r="DZ617" s="72"/>
      <c r="EA617" s="72"/>
      <c r="EB617" s="72"/>
      <c r="EC617" s="72"/>
      <c r="ED617" s="72"/>
      <c r="EE617" s="72"/>
      <c r="EF617" s="72"/>
      <c r="EG617" s="72"/>
      <c r="EH617" s="72"/>
      <c r="EI617" s="129"/>
      <c r="EJ617" s="129"/>
      <c r="EK617" s="129"/>
      <c r="EL617" s="129"/>
      <c r="EM617" s="72"/>
      <c r="EN617" s="72"/>
      <c r="EO617" s="72"/>
      <c r="EP617" s="72"/>
      <c r="EQ617" s="72"/>
      <c r="ER617" s="72"/>
      <c r="ES617" s="72"/>
      <c r="ET617" s="72"/>
    </row>
    <row r="618">
      <c r="CD618" s="72"/>
      <c r="CE618" s="72"/>
      <c r="CF618" s="72"/>
      <c r="CG618" s="72"/>
      <c r="CH618" s="72"/>
      <c r="CI618" s="72"/>
      <c r="CJ618" s="72"/>
      <c r="CK618" s="72"/>
      <c r="CL618" s="72"/>
      <c r="CM618" s="72"/>
      <c r="CN618" s="72"/>
      <c r="CO618" s="72"/>
      <c r="CP618" s="72"/>
      <c r="CQ618" s="72"/>
      <c r="CR618" s="72"/>
      <c r="CS618" s="72"/>
      <c r="CT618" s="72"/>
      <c r="CU618" s="72"/>
      <c r="CV618" s="72"/>
      <c r="CW618" s="72"/>
      <c r="CX618" s="72"/>
      <c r="CY618" s="72"/>
      <c r="CZ618" s="72"/>
      <c r="DA618" s="72"/>
      <c r="DB618" s="72"/>
      <c r="DC618" s="72"/>
      <c r="DD618" s="72"/>
      <c r="DE618" s="72"/>
      <c r="DF618" s="72"/>
      <c r="DG618" s="72"/>
      <c r="DH618" s="72"/>
      <c r="DI618" s="72"/>
      <c r="DJ618" s="72"/>
      <c r="DK618" s="72"/>
      <c r="DL618" s="72"/>
      <c r="DM618" s="72"/>
      <c r="DN618" s="72"/>
      <c r="DO618" s="72"/>
      <c r="DP618" s="72"/>
      <c r="DQ618" s="72"/>
      <c r="DR618" s="72"/>
      <c r="DS618" s="72"/>
      <c r="DT618" s="72"/>
      <c r="DU618" s="72"/>
      <c r="DV618" s="72"/>
      <c r="DW618" s="72"/>
      <c r="DX618" s="72"/>
      <c r="DY618" s="72"/>
      <c r="DZ618" s="72"/>
      <c r="EA618" s="72"/>
      <c r="EB618" s="72"/>
      <c r="EC618" s="72"/>
      <c r="ED618" s="72"/>
      <c r="EE618" s="72"/>
      <c r="EF618" s="72"/>
      <c r="EG618" s="72"/>
      <c r="EH618" s="72"/>
      <c r="EI618" s="129"/>
      <c r="EJ618" s="129"/>
      <c r="EK618" s="129"/>
      <c r="EL618" s="129"/>
      <c r="EM618" s="72"/>
      <c r="EN618" s="72"/>
      <c r="EO618" s="72"/>
      <c r="EP618" s="72"/>
      <c r="EQ618" s="72"/>
      <c r="ER618" s="72"/>
      <c r="ES618" s="72"/>
      <c r="ET618" s="72"/>
    </row>
    <row r="619">
      <c r="CD619" s="72"/>
      <c r="CE619" s="72"/>
      <c r="CF619" s="72"/>
      <c r="CG619" s="72"/>
      <c r="CH619" s="72"/>
      <c r="CI619" s="72"/>
      <c r="CJ619" s="72"/>
      <c r="CK619" s="72"/>
      <c r="CL619" s="72"/>
      <c r="CM619" s="72"/>
      <c r="CN619" s="72"/>
      <c r="CO619" s="72"/>
      <c r="CP619" s="72"/>
      <c r="CQ619" s="72"/>
      <c r="CR619" s="72"/>
      <c r="CS619" s="72"/>
      <c r="CT619" s="72"/>
      <c r="CU619" s="72"/>
      <c r="CV619" s="72"/>
      <c r="CW619" s="72"/>
      <c r="CX619" s="72"/>
      <c r="CY619" s="72"/>
      <c r="CZ619" s="72"/>
      <c r="DA619" s="72"/>
      <c r="DB619" s="72"/>
      <c r="DC619" s="72"/>
      <c r="DD619" s="72"/>
      <c r="DE619" s="72"/>
      <c r="DF619" s="72"/>
      <c r="DG619" s="72"/>
      <c r="DH619" s="72"/>
      <c r="DI619" s="72"/>
      <c r="DJ619" s="72"/>
      <c r="DK619" s="72"/>
      <c r="DL619" s="72"/>
      <c r="DM619" s="72"/>
      <c r="DN619" s="72"/>
      <c r="DO619" s="72"/>
      <c r="DP619" s="72"/>
      <c r="DQ619" s="72"/>
      <c r="DR619" s="72"/>
      <c r="DS619" s="72"/>
      <c r="DT619" s="72"/>
      <c r="DU619" s="72"/>
      <c r="DV619" s="72"/>
      <c r="DW619" s="72"/>
      <c r="DX619" s="72"/>
      <c r="DY619" s="72"/>
      <c r="DZ619" s="72"/>
      <c r="EA619" s="72"/>
      <c r="EB619" s="72"/>
      <c r="EC619" s="72"/>
      <c r="ED619" s="72"/>
      <c r="EE619" s="72"/>
      <c r="EF619" s="72"/>
      <c r="EG619" s="72"/>
      <c r="EH619" s="72"/>
      <c r="EI619" s="129"/>
      <c r="EJ619" s="129"/>
      <c r="EK619" s="129"/>
      <c r="EL619" s="129"/>
      <c r="EM619" s="72"/>
      <c r="EN619" s="72"/>
      <c r="EO619" s="72"/>
      <c r="EP619" s="72"/>
      <c r="EQ619" s="72"/>
      <c r="ER619" s="72"/>
      <c r="ES619" s="72"/>
      <c r="ET619" s="72"/>
    </row>
    <row r="620">
      <c r="CD620" s="72"/>
      <c r="CE620" s="72"/>
      <c r="CF620" s="72"/>
      <c r="CG620" s="72"/>
      <c r="CH620" s="72"/>
      <c r="CI620" s="72"/>
      <c r="CJ620" s="72"/>
      <c r="CK620" s="72"/>
      <c r="CL620" s="72"/>
      <c r="CM620" s="72"/>
      <c r="CN620" s="72"/>
      <c r="CO620" s="72"/>
      <c r="CP620" s="72"/>
      <c r="CQ620" s="72"/>
      <c r="CR620" s="72"/>
      <c r="CS620" s="72"/>
      <c r="CT620" s="72"/>
      <c r="CU620" s="72"/>
      <c r="CV620" s="72"/>
      <c r="CW620" s="72"/>
      <c r="CX620" s="72"/>
      <c r="CY620" s="72"/>
      <c r="CZ620" s="72"/>
      <c r="DA620" s="72"/>
      <c r="DB620" s="72"/>
      <c r="DC620" s="72"/>
      <c r="DD620" s="72"/>
      <c r="DE620" s="72"/>
      <c r="DF620" s="72"/>
      <c r="DG620" s="72"/>
      <c r="DH620" s="72"/>
      <c r="DI620" s="72"/>
      <c r="DJ620" s="72"/>
      <c r="DK620" s="72"/>
      <c r="DL620" s="72"/>
      <c r="DM620" s="72"/>
      <c r="DN620" s="72"/>
      <c r="DO620" s="72"/>
      <c r="DP620" s="72"/>
      <c r="DQ620" s="72"/>
      <c r="DR620" s="72"/>
      <c r="DS620" s="72"/>
      <c r="DT620" s="72"/>
      <c r="DU620" s="72"/>
      <c r="DV620" s="72"/>
      <c r="DW620" s="72"/>
      <c r="DX620" s="72"/>
      <c r="DY620" s="72"/>
      <c r="DZ620" s="72"/>
      <c r="EA620" s="72"/>
      <c r="EB620" s="72"/>
      <c r="EC620" s="72"/>
      <c r="ED620" s="72"/>
      <c r="EE620" s="72"/>
      <c r="EF620" s="72"/>
      <c r="EG620" s="72"/>
      <c r="EH620" s="72"/>
      <c r="EI620" s="129"/>
      <c r="EJ620" s="129"/>
      <c r="EK620" s="129"/>
      <c r="EL620" s="129"/>
      <c r="EM620" s="72"/>
      <c r="EN620" s="72"/>
      <c r="EO620" s="72"/>
      <c r="EP620" s="72"/>
      <c r="EQ620" s="72"/>
      <c r="ER620" s="72"/>
      <c r="ES620" s="72"/>
      <c r="ET620" s="72"/>
    </row>
    <row r="621">
      <c r="CD621" s="72"/>
      <c r="CE621" s="72"/>
      <c r="CF621" s="72"/>
      <c r="CG621" s="72"/>
      <c r="CH621" s="72"/>
      <c r="CI621" s="72"/>
      <c r="CJ621" s="72"/>
      <c r="CK621" s="72"/>
      <c r="CL621" s="72"/>
      <c r="CM621" s="72"/>
      <c r="CN621" s="72"/>
      <c r="CO621" s="72"/>
      <c r="CP621" s="72"/>
      <c r="CQ621" s="72"/>
      <c r="CR621" s="72"/>
      <c r="CS621" s="72"/>
      <c r="CT621" s="72"/>
      <c r="CU621" s="72"/>
      <c r="CV621" s="72"/>
      <c r="CW621" s="72"/>
      <c r="CX621" s="72"/>
      <c r="CY621" s="72"/>
      <c r="CZ621" s="72"/>
      <c r="DA621" s="72"/>
      <c r="DB621" s="72"/>
      <c r="DC621" s="72"/>
      <c r="DD621" s="72"/>
      <c r="DE621" s="72"/>
      <c r="DF621" s="72"/>
      <c r="DG621" s="72"/>
      <c r="DH621" s="72"/>
      <c r="DI621" s="72"/>
      <c r="DJ621" s="72"/>
      <c r="DK621" s="72"/>
      <c r="DL621" s="72"/>
      <c r="DM621" s="72"/>
      <c r="DN621" s="72"/>
      <c r="DO621" s="72"/>
      <c r="DP621" s="72"/>
      <c r="DQ621" s="72"/>
      <c r="DR621" s="72"/>
      <c r="DS621" s="72"/>
      <c r="DT621" s="72"/>
      <c r="DU621" s="72"/>
      <c r="DV621" s="72"/>
      <c r="DW621" s="72"/>
      <c r="DX621" s="72"/>
      <c r="DY621" s="72"/>
      <c r="DZ621" s="72"/>
      <c r="EA621" s="72"/>
      <c r="EB621" s="72"/>
      <c r="EC621" s="72"/>
      <c r="ED621" s="72"/>
      <c r="EE621" s="72"/>
      <c r="EF621" s="72"/>
      <c r="EG621" s="72"/>
      <c r="EH621" s="72"/>
      <c r="EI621" s="129"/>
      <c r="EJ621" s="129"/>
      <c r="EK621" s="129"/>
      <c r="EL621" s="129"/>
      <c r="EM621" s="72"/>
      <c r="EN621" s="72"/>
      <c r="EO621" s="72"/>
      <c r="EP621" s="72"/>
      <c r="EQ621" s="72"/>
      <c r="ER621" s="72"/>
      <c r="ES621" s="72"/>
      <c r="ET621" s="72"/>
    </row>
    <row r="622">
      <c r="CD622" s="72"/>
      <c r="CE622" s="72"/>
      <c r="CF622" s="72"/>
      <c r="CG622" s="72"/>
      <c r="CH622" s="72"/>
      <c r="CI622" s="72"/>
      <c r="CJ622" s="72"/>
      <c r="CK622" s="72"/>
      <c r="CL622" s="72"/>
      <c r="CM622" s="72"/>
      <c r="CN622" s="72"/>
      <c r="CO622" s="72"/>
      <c r="CP622" s="72"/>
      <c r="CQ622" s="72"/>
      <c r="CR622" s="72"/>
      <c r="CS622" s="72"/>
      <c r="CT622" s="72"/>
      <c r="CU622" s="72"/>
      <c r="CV622" s="72"/>
      <c r="CW622" s="72"/>
      <c r="CX622" s="72"/>
      <c r="CY622" s="72"/>
      <c r="CZ622" s="72"/>
      <c r="DA622" s="72"/>
      <c r="DB622" s="72"/>
      <c r="DC622" s="72"/>
      <c r="DD622" s="72"/>
      <c r="DE622" s="72"/>
      <c r="DF622" s="72"/>
      <c r="DG622" s="72"/>
      <c r="DH622" s="72"/>
      <c r="DI622" s="72"/>
      <c r="DJ622" s="72"/>
      <c r="DK622" s="72"/>
      <c r="DL622" s="72"/>
      <c r="DM622" s="72"/>
      <c r="DN622" s="72"/>
      <c r="DO622" s="72"/>
      <c r="DP622" s="72"/>
      <c r="DQ622" s="72"/>
      <c r="DR622" s="72"/>
      <c r="DS622" s="72"/>
      <c r="DT622" s="72"/>
      <c r="DU622" s="72"/>
      <c r="DV622" s="72"/>
      <c r="DW622" s="72"/>
      <c r="DX622" s="72"/>
      <c r="DY622" s="72"/>
      <c r="DZ622" s="72"/>
      <c r="EA622" s="72"/>
      <c r="EB622" s="72"/>
      <c r="EC622" s="72"/>
      <c r="ED622" s="72"/>
      <c r="EE622" s="72"/>
      <c r="EF622" s="72"/>
      <c r="EG622" s="72"/>
      <c r="EH622" s="72"/>
      <c r="EI622" s="129"/>
      <c r="EJ622" s="129"/>
      <c r="EK622" s="129"/>
      <c r="EL622" s="129"/>
      <c r="EM622" s="72"/>
      <c r="EN622" s="72"/>
      <c r="EO622" s="72"/>
      <c r="EP622" s="72"/>
      <c r="EQ622" s="72"/>
      <c r="ER622" s="72"/>
      <c r="ES622" s="72"/>
      <c r="ET622" s="72"/>
    </row>
    <row r="623">
      <c r="CD623" s="72"/>
      <c r="CE623" s="72"/>
      <c r="CF623" s="72"/>
      <c r="CG623" s="72"/>
      <c r="CH623" s="72"/>
      <c r="CI623" s="72"/>
      <c r="CJ623" s="72"/>
      <c r="CK623" s="72"/>
      <c r="CL623" s="72"/>
      <c r="CM623" s="72"/>
      <c r="CN623" s="72"/>
      <c r="CO623" s="72"/>
      <c r="CP623" s="72"/>
      <c r="CQ623" s="72"/>
      <c r="CR623" s="72"/>
      <c r="CS623" s="72"/>
      <c r="CT623" s="72"/>
      <c r="CU623" s="72"/>
      <c r="CV623" s="72"/>
      <c r="CW623" s="72"/>
      <c r="CX623" s="72"/>
      <c r="CY623" s="72"/>
      <c r="CZ623" s="72"/>
      <c r="DA623" s="72"/>
      <c r="DB623" s="72"/>
      <c r="DC623" s="72"/>
      <c r="DD623" s="72"/>
      <c r="DE623" s="72"/>
      <c r="DF623" s="72"/>
      <c r="DG623" s="72"/>
      <c r="DH623" s="72"/>
      <c r="DI623" s="72"/>
      <c r="DJ623" s="72"/>
      <c r="DK623" s="72"/>
      <c r="DL623" s="72"/>
      <c r="DM623" s="72"/>
      <c r="DN623" s="72"/>
      <c r="DO623" s="72"/>
      <c r="DP623" s="72"/>
      <c r="DQ623" s="72"/>
      <c r="DR623" s="72"/>
      <c r="DS623" s="72"/>
      <c r="DT623" s="72"/>
      <c r="DU623" s="72"/>
      <c r="DV623" s="72"/>
      <c r="DW623" s="72"/>
      <c r="DX623" s="72"/>
      <c r="DY623" s="72"/>
      <c r="DZ623" s="72"/>
      <c r="EA623" s="72"/>
      <c r="EB623" s="72"/>
      <c r="EC623" s="72"/>
      <c r="ED623" s="72"/>
      <c r="EE623" s="72"/>
      <c r="EF623" s="72"/>
      <c r="EG623" s="72"/>
      <c r="EH623" s="72"/>
      <c r="EI623" s="129"/>
      <c r="EJ623" s="129"/>
      <c r="EK623" s="129"/>
      <c r="EL623" s="129"/>
      <c r="EM623" s="72"/>
      <c r="EN623" s="72"/>
      <c r="EO623" s="72"/>
      <c r="EP623" s="72"/>
      <c r="EQ623" s="72"/>
      <c r="ER623" s="72"/>
      <c r="ES623" s="72"/>
      <c r="ET623" s="72"/>
    </row>
    <row r="624">
      <c r="CD624" s="72"/>
      <c r="CE624" s="72"/>
      <c r="CF624" s="72"/>
      <c r="CG624" s="72"/>
      <c r="CH624" s="72"/>
      <c r="CI624" s="72"/>
      <c r="CJ624" s="72"/>
      <c r="CK624" s="72"/>
      <c r="CL624" s="72"/>
      <c r="CM624" s="72"/>
      <c r="CN624" s="72"/>
      <c r="CO624" s="72"/>
      <c r="CP624" s="72"/>
      <c r="CQ624" s="72"/>
      <c r="CR624" s="72"/>
      <c r="CS624" s="72"/>
      <c r="CT624" s="72"/>
      <c r="CU624" s="72"/>
      <c r="CV624" s="72"/>
      <c r="CW624" s="72"/>
      <c r="CX624" s="72"/>
      <c r="CY624" s="72"/>
      <c r="CZ624" s="72"/>
      <c r="DA624" s="72"/>
      <c r="DB624" s="72"/>
      <c r="DC624" s="72"/>
      <c r="DD624" s="72"/>
      <c r="DE624" s="72"/>
      <c r="DF624" s="72"/>
      <c r="DG624" s="72"/>
      <c r="DH624" s="72"/>
      <c r="DI624" s="72"/>
      <c r="DJ624" s="72"/>
      <c r="DK624" s="72"/>
      <c r="DL624" s="72"/>
      <c r="DM624" s="72"/>
      <c r="DN624" s="72"/>
      <c r="DO624" s="72"/>
      <c r="DP624" s="72"/>
      <c r="DQ624" s="72"/>
      <c r="DR624" s="72"/>
      <c r="DS624" s="72"/>
      <c r="DT624" s="72"/>
      <c r="DU624" s="72"/>
      <c r="DV624" s="72"/>
      <c r="DW624" s="72"/>
      <c r="DX624" s="72"/>
      <c r="DY624" s="72"/>
      <c r="DZ624" s="72"/>
      <c r="EA624" s="72"/>
      <c r="EB624" s="72"/>
      <c r="EC624" s="72"/>
      <c r="ED624" s="72"/>
      <c r="EE624" s="72"/>
      <c r="EF624" s="72"/>
      <c r="EG624" s="72"/>
      <c r="EH624" s="72"/>
      <c r="EI624" s="129"/>
      <c r="EJ624" s="129"/>
      <c r="EK624" s="129"/>
      <c r="EL624" s="129"/>
      <c r="EM624" s="72"/>
      <c r="EN624" s="72"/>
      <c r="EO624" s="72"/>
      <c r="EP624" s="72"/>
      <c r="EQ624" s="72"/>
      <c r="ER624" s="72"/>
      <c r="ES624" s="72"/>
      <c r="ET624" s="72"/>
    </row>
    <row r="625">
      <c r="CD625" s="72"/>
      <c r="CE625" s="72"/>
      <c r="CF625" s="72"/>
      <c r="CG625" s="72"/>
      <c r="CH625" s="72"/>
      <c r="CI625" s="72"/>
      <c r="CJ625" s="72"/>
      <c r="CK625" s="72"/>
      <c r="CL625" s="72"/>
      <c r="CM625" s="72"/>
      <c r="CN625" s="72"/>
      <c r="CO625" s="72"/>
      <c r="CP625" s="72"/>
      <c r="CQ625" s="72"/>
      <c r="CR625" s="72"/>
      <c r="CS625" s="72"/>
      <c r="CT625" s="72"/>
      <c r="CU625" s="72"/>
      <c r="CV625" s="72"/>
      <c r="CW625" s="72"/>
      <c r="CX625" s="72"/>
      <c r="CY625" s="72"/>
      <c r="CZ625" s="72"/>
      <c r="DA625" s="72"/>
      <c r="DB625" s="72"/>
      <c r="DC625" s="72"/>
      <c r="DD625" s="72"/>
      <c r="DE625" s="72"/>
      <c r="DF625" s="72"/>
      <c r="DG625" s="72"/>
      <c r="DH625" s="72"/>
      <c r="DI625" s="72"/>
      <c r="DJ625" s="72"/>
      <c r="DK625" s="72"/>
      <c r="DL625" s="72"/>
      <c r="DM625" s="72"/>
      <c r="DN625" s="72"/>
      <c r="DO625" s="72"/>
      <c r="DP625" s="72"/>
      <c r="DQ625" s="72"/>
      <c r="DR625" s="72"/>
      <c r="DS625" s="72"/>
      <c r="DT625" s="72"/>
      <c r="DU625" s="72"/>
      <c r="DV625" s="72"/>
      <c r="DW625" s="72"/>
      <c r="DX625" s="72"/>
      <c r="DY625" s="72"/>
      <c r="DZ625" s="72"/>
      <c r="EA625" s="72"/>
      <c r="EB625" s="72"/>
      <c r="EC625" s="72"/>
      <c r="ED625" s="72"/>
      <c r="EE625" s="72"/>
      <c r="EF625" s="72"/>
      <c r="EG625" s="72"/>
      <c r="EH625" s="72"/>
      <c r="EI625" s="129"/>
      <c r="EJ625" s="129"/>
      <c r="EK625" s="129"/>
      <c r="EL625" s="129"/>
      <c r="EM625" s="72"/>
      <c r="EN625" s="72"/>
      <c r="EO625" s="72"/>
      <c r="EP625" s="72"/>
      <c r="EQ625" s="72"/>
      <c r="ER625" s="72"/>
      <c r="ES625" s="72"/>
      <c r="ET625" s="72"/>
    </row>
    <row r="626">
      <c r="CD626" s="72"/>
      <c r="CE626" s="72"/>
      <c r="CF626" s="72"/>
      <c r="CG626" s="72"/>
      <c r="CH626" s="72"/>
      <c r="CI626" s="72"/>
      <c r="CJ626" s="72"/>
      <c r="CK626" s="72"/>
      <c r="CL626" s="72"/>
      <c r="CM626" s="72"/>
      <c r="CN626" s="72"/>
      <c r="CO626" s="72"/>
      <c r="CP626" s="72"/>
      <c r="CQ626" s="72"/>
      <c r="CR626" s="72"/>
      <c r="CS626" s="72"/>
      <c r="CT626" s="72"/>
      <c r="CU626" s="72"/>
      <c r="CV626" s="72"/>
      <c r="CW626" s="72"/>
      <c r="CX626" s="72"/>
      <c r="CY626" s="72"/>
      <c r="CZ626" s="72"/>
      <c r="DA626" s="72"/>
      <c r="DB626" s="72"/>
      <c r="DC626" s="72"/>
      <c r="DD626" s="72"/>
      <c r="DE626" s="72"/>
      <c r="DF626" s="72"/>
      <c r="DG626" s="72"/>
      <c r="DH626" s="72"/>
      <c r="DI626" s="72"/>
      <c r="DJ626" s="72"/>
      <c r="DK626" s="72"/>
      <c r="DL626" s="72"/>
      <c r="DM626" s="72"/>
      <c r="DN626" s="72"/>
      <c r="DO626" s="72"/>
      <c r="DP626" s="72"/>
      <c r="DQ626" s="72"/>
      <c r="DR626" s="72"/>
      <c r="DS626" s="72"/>
      <c r="DT626" s="72"/>
      <c r="DU626" s="72"/>
      <c r="DV626" s="72"/>
      <c r="DW626" s="72"/>
      <c r="DX626" s="72"/>
      <c r="DY626" s="72"/>
      <c r="DZ626" s="72"/>
      <c r="EA626" s="72"/>
      <c r="EB626" s="72"/>
      <c r="EC626" s="72"/>
      <c r="ED626" s="72"/>
      <c r="EE626" s="72"/>
      <c r="EF626" s="72"/>
      <c r="EG626" s="72"/>
      <c r="EH626" s="72"/>
      <c r="EI626" s="129"/>
      <c r="EJ626" s="129"/>
      <c r="EK626" s="129"/>
      <c r="EL626" s="129"/>
      <c r="EM626" s="72"/>
      <c r="EN626" s="72"/>
      <c r="EO626" s="72"/>
      <c r="EP626" s="72"/>
      <c r="EQ626" s="72"/>
      <c r="ER626" s="72"/>
      <c r="ES626" s="72"/>
      <c r="ET626" s="72"/>
    </row>
    <row r="627">
      <c r="CD627" s="72"/>
      <c r="CE627" s="72"/>
      <c r="CF627" s="72"/>
      <c r="CG627" s="72"/>
      <c r="CH627" s="72"/>
      <c r="CI627" s="72"/>
      <c r="CJ627" s="72"/>
      <c r="CK627" s="72"/>
      <c r="CL627" s="72"/>
      <c r="CM627" s="72"/>
      <c r="CN627" s="72"/>
      <c r="CO627" s="72"/>
      <c r="CP627" s="72"/>
      <c r="CQ627" s="72"/>
      <c r="CR627" s="72"/>
      <c r="CS627" s="72"/>
      <c r="CT627" s="72"/>
      <c r="CU627" s="72"/>
      <c r="CV627" s="72"/>
      <c r="CW627" s="72"/>
      <c r="CX627" s="72"/>
      <c r="CY627" s="72"/>
      <c r="CZ627" s="72"/>
      <c r="DA627" s="72"/>
      <c r="DB627" s="72"/>
      <c r="DC627" s="72"/>
      <c r="DD627" s="72"/>
      <c r="DE627" s="72"/>
      <c r="DF627" s="72"/>
      <c r="DG627" s="72"/>
      <c r="DH627" s="72"/>
      <c r="DI627" s="72"/>
      <c r="DJ627" s="72"/>
      <c r="DK627" s="72"/>
      <c r="DL627" s="72"/>
      <c r="DM627" s="72"/>
      <c r="DN627" s="72"/>
      <c r="DO627" s="72"/>
      <c r="DP627" s="72"/>
      <c r="DQ627" s="72"/>
      <c r="DR627" s="72"/>
      <c r="DS627" s="72"/>
      <c r="DT627" s="72"/>
      <c r="DU627" s="72"/>
      <c r="DV627" s="72"/>
      <c r="DW627" s="72"/>
      <c r="DX627" s="72"/>
      <c r="DY627" s="72"/>
      <c r="DZ627" s="72"/>
      <c r="EA627" s="72"/>
      <c r="EB627" s="72"/>
      <c r="EC627" s="72"/>
      <c r="ED627" s="72"/>
      <c r="EE627" s="72"/>
      <c r="EF627" s="72"/>
      <c r="EG627" s="72"/>
      <c r="EH627" s="72"/>
      <c r="EI627" s="129"/>
      <c r="EJ627" s="129"/>
      <c r="EK627" s="129"/>
      <c r="EL627" s="129"/>
      <c r="EM627" s="72"/>
      <c r="EN627" s="72"/>
      <c r="EO627" s="72"/>
      <c r="EP627" s="72"/>
      <c r="EQ627" s="72"/>
      <c r="ER627" s="72"/>
      <c r="ES627" s="72"/>
      <c r="ET627" s="72"/>
    </row>
    <row r="628">
      <c r="CD628" s="72"/>
      <c r="CE628" s="72"/>
      <c r="CF628" s="72"/>
      <c r="CG628" s="72"/>
      <c r="CH628" s="72"/>
      <c r="CI628" s="72"/>
      <c r="CJ628" s="72"/>
      <c r="CK628" s="72"/>
      <c r="CL628" s="72"/>
      <c r="CM628" s="72"/>
      <c r="CN628" s="72"/>
      <c r="CO628" s="72"/>
      <c r="CP628" s="72"/>
      <c r="CQ628" s="72"/>
      <c r="CR628" s="72"/>
      <c r="CS628" s="72"/>
      <c r="CT628" s="72"/>
      <c r="CU628" s="72"/>
      <c r="CV628" s="72"/>
      <c r="CW628" s="72"/>
      <c r="CX628" s="72"/>
      <c r="CY628" s="72"/>
      <c r="CZ628" s="72"/>
      <c r="DA628" s="72"/>
      <c r="DB628" s="72"/>
      <c r="DC628" s="72"/>
      <c r="DD628" s="72"/>
      <c r="DE628" s="72"/>
      <c r="DF628" s="72"/>
      <c r="DG628" s="72"/>
      <c r="DH628" s="72"/>
      <c r="DI628" s="72"/>
      <c r="DJ628" s="72"/>
      <c r="DK628" s="72"/>
      <c r="DL628" s="72"/>
      <c r="DM628" s="72"/>
      <c r="DN628" s="72"/>
      <c r="DO628" s="72"/>
      <c r="DP628" s="72"/>
      <c r="DQ628" s="72"/>
      <c r="DR628" s="72"/>
      <c r="DS628" s="72"/>
      <c r="DT628" s="72"/>
      <c r="DU628" s="72"/>
      <c r="DV628" s="72"/>
      <c r="DW628" s="72"/>
      <c r="DX628" s="72"/>
      <c r="DY628" s="72"/>
      <c r="DZ628" s="72"/>
      <c r="EA628" s="72"/>
      <c r="EB628" s="72"/>
      <c r="EC628" s="72"/>
      <c r="ED628" s="72"/>
      <c r="EE628" s="72"/>
      <c r="EF628" s="72"/>
      <c r="EG628" s="72"/>
      <c r="EH628" s="72"/>
      <c r="EI628" s="129"/>
      <c r="EJ628" s="129"/>
      <c r="EK628" s="129"/>
      <c r="EL628" s="129"/>
      <c r="EM628" s="72"/>
      <c r="EN628" s="72"/>
      <c r="EO628" s="72"/>
      <c r="EP628" s="72"/>
      <c r="EQ628" s="72"/>
      <c r="ER628" s="72"/>
      <c r="ES628" s="72"/>
      <c r="ET628" s="72"/>
    </row>
    <row r="629">
      <c r="CD629" s="72"/>
      <c r="CE629" s="72"/>
      <c r="CF629" s="72"/>
      <c r="CG629" s="72"/>
      <c r="CH629" s="72"/>
      <c r="CI629" s="72"/>
      <c r="CJ629" s="72"/>
      <c r="CK629" s="72"/>
      <c r="CL629" s="72"/>
      <c r="CM629" s="72"/>
      <c r="CN629" s="72"/>
      <c r="CO629" s="72"/>
      <c r="CP629" s="72"/>
      <c r="CQ629" s="72"/>
      <c r="CR629" s="72"/>
      <c r="CS629" s="72"/>
      <c r="CT629" s="72"/>
      <c r="CU629" s="72"/>
      <c r="CV629" s="72"/>
      <c r="CW629" s="72"/>
      <c r="CX629" s="72"/>
      <c r="CY629" s="72"/>
      <c r="CZ629" s="72"/>
      <c r="DA629" s="72"/>
      <c r="DB629" s="72"/>
      <c r="DC629" s="72"/>
      <c r="DD629" s="72"/>
      <c r="DE629" s="72"/>
      <c r="DF629" s="72"/>
      <c r="DG629" s="72"/>
      <c r="DH629" s="72"/>
      <c r="DI629" s="72"/>
      <c r="DJ629" s="72"/>
      <c r="DK629" s="72"/>
      <c r="DL629" s="72"/>
      <c r="DM629" s="72"/>
      <c r="DN629" s="72"/>
      <c r="DO629" s="72"/>
      <c r="DP629" s="72"/>
      <c r="DQ629" s="72"/>
      <c r="DR629" s="72"/>
      <c r="DS629" s="72"/>
      <c r="DT629" s="72"/>
      <c r="DU629" s="72"/>
      <c r="DV629" s="72"/>
      <c r="DW629" s="72"/>
      <c r="DX629" s="72"/>
      <c r="DY629" s="72"/>
      <c r="DZ629" s="72"/>
      <c r="EA629" s="72"/>
      <c r="EB629" s="72"/>
      <c r="EC629" s="72"/>
      <c r="ED629" s="72"/>
      <c r="EE629" s="72"/>
      <c r="EF629" s="72"/>
      <c r="EG629" s="72"/>
      <c r="EH629" s="72"/>
      <c r="EI629" s="129"/>
      <c r="EJ629" s="129"/>
      <c r="EK629" s="129"/>
      <c r="EL629" s="129"/>
      <c r="EM629" s="72"/>
      <c r="EN629" s="72"/>
      <c r="EO629" s="72"/>
      <c r="EP629" s="72"/>
      <c r="EQ629" s="72"/>
      <c r="ER629" s="72"/>
      <c r="ES629" s="72"/>
      <c r="ET629" s="72"/>
    </row>
    <row r="630">
      <c r="CD630" s="72"/>
      <c r="CE630" s="72"/>
      <c r="CF630" s="72"/>
      <c r="CG630" s="72"/>
      <c r="CH630" s="72"/>
      <c r="CI630" s="72"/>
      <c r="CJ630" s="72"/>
      <c r="CK630" s="72"/>
      <c r="CL630" s="72"/>
      <c r="CM630" s="72"/>
      <c r="CN630" s="72"/>
      <c r="CO630" s="72"/>
      <c r="CP630" s="72"/>
      <c r="CQ630" s="72"/>
      <c r="CR630" s="72"/>
      <c r="CS630" s="72"/>
      <c r="CT630" s="72"/>
      <c r="CU630" s="72"/>
      <c r="CV630" s="72"/>
      <c r="CW630" s="72"/>
      <c r="CX630" s="72"/>
      <c r="CY630" s="72"/>
      <c r="CZ630" s="72"/>
      <c r="DA630" s="72"/>
      <c r="DB630" s="72"/>
      <c r="DC630" s="72"/>
      <c r="DD630" s="72"/>
      <c r="DE630" s="72"/>
      <c r="DF630" s="72"/>
      <c r="DG630" s="72"/>
      <c r="DH630" s="72"/>
      <c r="DI630" s="72"/>
      <c r="DJ630" s="72"/>
      <c r="DK630" s="72"/>
      <c r="DL630" s="72"/>
      <c r="DM630" s="72"/>
      <c r="DN630" s="72"/>
      <c r="DO630" s="72"/>
      <c r="DP630" s="72"/>
      <c r="DQ630" s="72"/>
      <c r="DR630" s="72"/>
      <c r="DS630" s="72"/>
      <c r="DT630" s="72"/>
      <c r="DU630" s="72"/>
      <c r="DV630" s="72"/>
      <c r="DW630" s="72"/>
      <c r="DX630" s="72"/>
      <c r="DY630" s="72"/>
      <c r="DZ630" s="72"/>
      <c r="EA630" s="72"/>
      <c r="EB630" s="72"/>
      <c r="EC630" s="72"/>
      <c r="ED630" s="72"/>
      <c r="EE630" s="72"/>
      <c r="EF630" s="72"/>
      <c r="EG630" s="72"/>
      <c r="EH630" s="72"/>
      <c r="EI630" s="129"/>
      <c r="EJ630" s="129"/>
      <c r="EK630" s="129"/>
      <c r="EL630" s="129"/>
      <c r="EM630" s="72"/>
      <c r="EN630" s="72"/>
      <c r="EO630" s="72"/>
      <c r="EP630" s="72"/>
      <c r="EQ630" s="72"/>
      <c r="ER630" s="72"/>
      <c r="ES630" s="72"/>
      <c r="ET630" s="72"/>
    </row>
    <row r="631">
      <c r="CD631" s="72"/>
      <c r="CE631" s="72"/>
      <c r="CF631" s="72"/>
      <c r="CG631" s="72"/>
      <c r="CH631" s="72"/>
      <c r="CI631" s="72"/>
      <c r="CJ631" s="72"/>
      <c r="CK631" s="72"/>
      <c r="CL631" s="72"/>
      <c r="CM631" s="72"/>
      <c r="CN631" s="72"/>
      <c r="CO631" s="72"/>
      <c r="CP631" s="72"/>
      <c r="CQ631" s="72"/>
      <c r="CR631" s="72"/>
      <c r="CS631" s="72"/>
      <c r="CT631" s="72"/>
      <c r="CU631" s="72"/>
      <c r="CV631" s="72"/>
      <c r="CW631" s="72"/>
      <c r="CX631" s="72"/>
      <c r="CY631" s="72"/>
      <c r="CZ631" s="72"/>
      <c r="DA631" s="72"/>
      <c r="DB631" s="72"/>
      <c r="DC631" s="72"/>
      <c r="DD631" s="72"/>
      <c r="DE631" s="72"/>
      <c r="DF631" s="72"/>
      <c r="DG631" s="72"/>
      <c r="DH631" s="72"/>
      <c r="DI631" s="72"/>
      <c r="DJ631" s="72"/>
      <c r="DK631" s="72"/>
      <c r="DL631" s="72"/>
      <c r="DM631" s="72"/>
      <c r="DN631" s="72"/>
      <c r="DO631" s="72"/>
      <c r="DP631" s="72"/>
      <c r="DQ631" s="72"/>
      <c r="DR631" s="72"/>
      <c r="DS631" s="72"/>
      <c r="DT631" s="72"/>
      <c r="DU631" s="72"/>
      <c r="DV631" s="72"/>
      <c r="DW631" s="72"/>
      <c r="DX631" s="72"/>
      <c r="DY631" s="72"/>
      <c r="DZ631" s="72"/>
      <c r="EA631" s="72"/>
      <c r="EB631" s="72"/>
      <c r="EC631" s="72"/>
      <c r="ED631" s="72"/>
      <c r="EE631" s="72"/>
      <c r="EF631" s="72"/>
      <c r="EG631" s="72"/>
      <c r="EH631" s="72"/>
      <c r="EI631" s="129"/>
      <c r="EJ631" s="129"/>
      <c r="EK631" s="129"/>
      <c r="EL631" s="129"/>
      <c r="EM631" s="72"/>
      <c r="EN631" s="72"/>
      <c r="EO631" s="72"/>
      <c r="EP631" s="72"/>
      <c r="EQ631" s="72"/>
      <c r="ER631" s="72"/>
      <c r="ES631" s="72"/>
      <c r="ET631" s="72"/>
    </row>
    <row r="632">
      <c r="CD632" s="72"/>
      <c r="CE632" s="72"/>
      <c r="CF632" s="72"/>
      <c r="CG632" s="72"/>
      <c r="CH632" s="72"/>
      <c r="CI632" s="72"/>
      <c r="CJ632" s="72"/>
      <c r="CK632" s="72"/>
      <c r="CL632" s="72"/>
      <c r="CM632" s="72"/>
      <c r="CN632" s="72"/>
      <c r="CO632" s="72"/>
      <c r="CP632" s="72"/>
      <c r="CQ632" s="72"/>
      <c r="CR632" s="72"/>
      <c r="CS632" s="72"/>
      <c r="CT632" s="72"/>
      <c r="CU632" s="72"/>
      <c r="CV632" s="72"/>
      <c r="CW632" s="72"/>
      <c r="CX632" s="72"/>
      <c r="CY632" s="72"/>
      <c r="CZ632" s="72"/>
      <c r="DA632" s="72"/>
      <c r="DB632" s="72"/>
      <c r="DC632" s="72"/>
      <c r="DD632" s="72"/>
      <c r="DE632" s="72"/>
      <c r="DF632" s="72"/>
      <c r="DG632" s="72"/>
      <c r="DH632" s="72"/>
      <c r="DI632" s="72"/>
      <c r="DJ632" s="72"/>
      <c r="DK632" s="72"/>
      <c r="DL632" s="72"/>
      <c r="DM632" s="72"/>
      <c r="DN632" s="72"/>
      <c r="DO632" s="72"/>
      <c r="DP632" s="72"/>
      <c r="DQ632" s="72"/>
      <c r="DR632" s="72"/>
      <c r="DS632" s="72"/>
      <c r="DT632" s="72"/>
      <c r="DU632" s="72"/>
      <c r="DV632" s="72"/>
      <c r="DW632" s="72"/>
      <c r="DX632" s="72"/>
      <c r="DY632" s="72"/>
      <c r="DZ632" s="72"/>
      <c r="EA632" s="72"/>
      <c r="EB632" s="72"/>
      <c r="EC632" s="72"/>
      <c r="ED632" s="72"/>
      <c r="EE632" s="72"/>
      <c r="EF632" s="72"/>
      <c r="EG632" s="72"/>
      <c r="EH632" s="72"/>
      <c r="EI632" s="129"/>
      <c r="EJ632" s="129"/>
      <c r="EK632" s="129"/>
      <c r="EL632" s="129"/>
      <c r="EM632" s="72"/>
      <c r="EN632" s="72"/>
      <c r="EO632" s="72"/>
      <c r="EP632" s="72"/>
      <c r="EQ632" s="72"/>
      <c r="ER632" s="72"/>
      <c r="ES632" s="72"/>
      <c r="ET632" s="72"/>
    </row>
    <row r="633">
      <c r="CD633" s="72"/>
      <c r="CE633" s="72"/>
      <c r="CF633" s="72"/>
      <c r="CG633" s="72"/>
      <c r="CH633" s="72"/>
      <c r="CI633" s="72"/>
      <c r="CJ633" s="72"/>
      <c r="CK633" s="72"/>
      <c r="CL633" s="72"/>
      <c r="CM633" s="72"/>
      <c r="CN633" s="72"/>
      <c r="CO633" s="72"/>
      <c r="CP633" s="72"/>
      <c r="CQ633" s="72"/>
      <c r="CR633" s="72"/>
      <c r="CS633" s="72"/>
      <c r="CT633" s="72"/>
      <c r="CU633" s="72"/>
      <c r="CV633" s="72"/>
      <c r="CW633" s="72"/>
      <c r="CX633" s="72"/>
      <c r="CY633" s="72"/>
      <c r="CZ633" s="72"/>
      <c r="DA633" s="72"/>
      <c r="DB633" s="72"/>
      <c r="DC633" s="72"/>
      <c r="DD633" s="72"/>
      <c r="DE633" s="72"/>
      <c r="DF633" s="72"/>
      <c r="DG633" s="72"/>
      <c r="DH633" s="72"/>
      <c r="DI633" s="72"/>
      <c r="DJ633" s="72"/>
      <c r="DK633" s="72"/>
      <c r="DL633" s="72"/>
      <c r="DM633" s="72"/>
      <c r="DN633" s="72"/>
      <c r="DO633" s="72"/>
      <c r="DP633" s="72"/>
      <c r="DQ633" s="72"/>
      <c r="DR633" s="72"/>
      <c r="DS633" s="72"/>
      <c r="DT633" s="72"/>
      <c r="DU633" s="72"/>
      <c r="DV633" s="72"/>
      <c r="DW633" s="72"/>
      <c r="DX633" s="72"/>
      <c r="DY633" s="72"/>
      <c r="DZ633" s="72"/>
      <c r="EA633" s="72"/>
      <c r="EB633" s="72"/>
      <c r="EC633" s="72"/>
      <c r="ED633" s="72"/>
      <c r="EE633" s="72"/>
      <c r="EF633" s="72"/>
      <c r="EG633" s="72"/>
      <c r="EH633" s="72"/>
      <c r="EI633" s="129"/>
      <c r="EJ633" s="129"/>
      <c r="EK633" s="129"/>
      <c r="EL633" s="129"/>
      <c r="EM633" s="72"/>
      <c r="EN633" s="72"/>
      <c r="EO633" s="72"/>
      <c r="EP633" s="72"/>
      <c r="EQ633" s="72"/>
      <c r="ER633" s="72"/>
      <c r="ES633" s="72"/>
      <c r="ET633" s="72"/>
    </row>
    <row r="634">
      <c r="CD634" s="72"/>
      <c r="CE634" s="72"/>
      <c r="CF634" s="72"/>
      <c r="CG634" s="72"/>
      <c r="CH634" s="72"/>
      <c r="CI634" s="72"/>
      <c r="CJ634" s="72"/>
      <c r="CK634" s="72"/>
      <c r="CL634" s="72"/>
      <c r="CM634" s="72"/>
      <c r="CN634" s="72"/>
      <c r="CO634" s="72"/>
      <c r="CP634" s="72"/>
      <c r="CQ634" s="72"/>
      <c r="CR634" s="72"/>
      <c r="CS634" s="72"/>
      <c r="CT634" s="72"/>
      <c r="CU634" s="72"/>
      <c r="CV634" s="72"/>
      <c r="CW634" s="72"/>
      <c r="CX634" s="72"/>
      <c r="CY634" s="72"/>
      <c r="CZ634" s="72"/>
      <c r="DA634" s="72"/>
      <c r="DB634" s="72"/>
      <c r="DC634" s="72"/>
      <c r="DD634" s="72"/>
      <c r="DE634" s="72"/>
      <c r="DF634" s="72"/>
      <c r="DG634" s="72"/>
      <c r="DH634" s="72"/>
      <c r="DI634" s="72"/>
      <c r="DJ634" s="72"/>
      <c r="DK634" s="72"/>
      <c r="DL634" s="72"/>
      <c r="DM634" s="72"/>
      <c r="DN634" s="72"/>
      <c r="DO634" s="72"/>
      <c r="DP634" s="72"/>
      <c r="DQ634" s="72"/>
      <c r="DR634" s="72"/>
      <c r="DS634" s="72"/>
      <c r="DT634" s="72"/>
      <c r="DU634" s="72"/>
      <c r="DV634" s="72"/>
      <c r="DW634" s="72"/>
      <c r="DX634" s="72"/>
      <c r="DY634" s="72"/>
      <c r="DZ634" s="72"/>
      <c r="EA634" s="72"/>
      <c r="EB634" s="72"/>
      <c r="EC634" s="72"/>
      <c r="ED634" s="72"/>
      <c r="EE634" s="72"/>
      <c r="EF634" s="72"/>
      <c r="EG634" s="72"/>
      <c r="EH634" s="72"/>
      <c r="EI634" s="129"/>
      <c r="EJ634" s="129"/>
      <c r="EK634" s="129"/>
      <c r="EL634" s="129"/>
      <c r="EM634" s="72"/>
      <c r="EN634" s="72"/>
      <c r="EO634" s="72"/>
      <c r="EP634" s="72"/>
      <c r="EQ634" s="72"/>
      <c r="ER634" s="72"/>
      <c r="ES634" s="72"/>
      <c r="ET634" s="72"/>
    </row>
    <row r="635">
      <c r="CD635" s="72"/>
      <c r="CE635" s="72"/>
      <c r="CF635" s="72"/>
      <c r="CG635" s="72"/>
      <c r="CH635" s="72"/>
      <c r="CI635" s="72"/>
      <c r="CJ635" s="72"/>
      <c r="CK635" s="72"/>
      <c r="CL635" s="72"/>
      <c r="CM635" s="72"/>
      <c r="CN635" s="72"/>
      <c r="CO635" s="72"/>
      <c r="CP635" s="72"/>
      <c r="CQ635" s="72"/>
      <c r="CR635" s="72"/>
      <c r="CS635" s="72"/>
      <c r="CT635" s="72"/>
      <c r="CU635" s="72"/>
      <c r="CV635" s="72"/>
      <c r="CW635" s="72"/>
      <c r="CX635" s="72"/>
      <c r="CY635" s="72"/>
      <c r="CZ635" s="72"/>
      <c r="DA635" s="72"/>
      <c r="DB635" s="72"/>
      <c r="DC635" s="72"/>
      <c r="DD635" s="72"/>
      <c r="DE635" s="72"/>
      <c r="DF635" s="72"/>
      <c r="DG635" s="72"/>
      <c r="DH635" s="72"/>
      <c r="DI635" s="72"/>
      <c r="DJ635" s="72"/>
      <c r="DK635" s="72"/>
      <c r="DL635" s="72"/>
      <c r="DM635" s="72"/>
      <c r="DN635" s="72"/>
      <c r="DO635" s="72"/>
      <c r="DP635" s="72"/>
      <c r="DQ635" s="72"/>
      <c r="DR635" s="72"/>
      <c r="DS635" s="72"/>
      <c r="DT635" s="72"/>
      <c r="DU635" s="72"/>
      <c r="DV635" s="72"/>
      <c r="DW635" s="72"/>
      <c r="DX635" s="72"/>
      <c r="DY635" s="72"/>
      <c r="DZ635" s="72"/>
      <c r="EA635" s="72"/>
      <c r="EB635" s="72"/>
      <c r="EC635" s="72"/>
      <c r="ED635" s="72"/>
      <c r="EE635" s="72"/>
      <c r="EF635" s="72"/>
      <c r="EG635" s="72"/>
      <c r="EH635" s="72"/>
      <c r="EI635" s="129"/>
      <c r="EJ635" s="129"/>
      <c r="EK635" s="129"/>
      <c r="EL635" s="129"/>
      <c r="EM635" s="72"/>
      <c r="EN635" s="72"/>
      <c r="EO635" s="72"/>
      <c r="EP635" s="72"/>
      <c r="EQ635" s="72"/>
      <c r="ER635" s="72"/>
      <c r="ES635" s="72"/>
      <c r="ET635" s="72"/>
    </row>
    <row r="636">
      <c r="CD636" s="72"/>
      <c r="CE636" s="72"/>
      <c r="CF636" s="72"/>
      <c r="CG636" s="72"/>
      <c r="CH636" s="72"/>
      <c r="CI636" s="72"/>
      <c r="CJ636" s="72"/>
      <c r="CK636" s="72"/>
      <c r="CL636" s="72"/>
      <c r="CM636" s="72"/>
      <c r="CN636" s="72"/>
      <c r="CO636" s="72"/>
      <c r="CP636" s="72"/>
      <c r="CQ636" s="72"/>
      <c r="CR636" s="72"/>
      <c r="CS636" s="72"/>
      <c r="CT636" s="72"/>
      <c r="CU636" s="72"/>
      <c r="CV636" s="72"/>
      <c r="CW636" s="72"/>
      <c r="CX636" s="72"/>
      <c r="CY636" s="72"/>
      <c r="CZ636" s="72"/>
      <c r="DA636" s="72"/>
      <c r="DB636" s="72"/>
      <c r="DC636" s="72"/>
      <c r="DD636" s="72"/>
      <c r="DE636" s="72"/>
      <c r="DF636" s="72"/>
      <c r="DG636" s="72"/>
      <c r="DH636" s="72"/>
      <c r="DI636" s="72"/>
      <c r="DJ636" s="72"/>
      <c r="DK636" s="72"/>
      <c r="DL636" s="72"/>
      <c r="DM636" s="72"/>
      <c r="DN636" s="72"/>
      <c r="DO636" s="72"/>
      <c r="DP636" s="72"/>
      <c r="DQ636" s="72"/>
      <c r="DR636" s="72"/>
      <c r="DS636" s="72"/>
      <c r="DT636" s="72"/>
      <c r="DU636" s="72"/>
      <c r="DV636" s="72"/>
      <c r="DW636" s="72"/>
      <c r="DX636" s="72"/>
      <c r="DY636" s="72"/>
      <c r="DZ636" s="72"/>
      <c r="EA636" s="72"/>
      <c r="EB636" s="72"/>
      <c r="EC636" s="72"/>
      <c r="ED636" s="72"/>
      <c r="EE636" s="72"/>
      <c r="EF636" s="72"/>
      <c r="EG636" s="72"/>
      <c r="EH636" s="72"/>
      <c r="EI636" s="129"/>
      <c r="EJ636" s="129"/>
      <c r="EK636" s="129"/>
      <c r="EL636" s="129"/>
      <c r="EM636" s="72"/>
      <c r="EN636" s="72"/>
      <c r="EO636" s="72"/>
      <c r="EP636" s="72"/>
      <c r="EQ636" s="72"/>
      <c r="ER636" s="72"/>
      <c r="ES636" s="72"/>
      <c r="ET636" s="72"/>
    </row>
    <row r="637">
      <c r="CD637" s="72"/>
      <c r="CE637" s="72"/>
      <c r="CF637" s="72"/>
      <c r="CG637" s="72"/>
      <c r="CH637" s="72"/>
      <c r="CI637" s="72"/>
      <c r="CJ637" s="72"/>
      <c r="CK637" s="72"/>
      <c r="CL637" s="72"/>
      <c r="CM637" s="72"/>
      <c r="CN637" s="72"/>
      <c r="CO637" s="72"/>
      <c r="CP637" s="72"/>
      <c r="CQ637" s="72"/>
      <c r="CR637" s="72"/>
      <c r="CS637" s="72"/>
      <c r="CT637" s="72"/>
      <c r="CU637" s="72"/>
      <c r="CV637" s="72"/>
      <c r="CW637" s="72"/>
      <c r="CX637" s="72"/>
      <c r="CY637" s="72"/>
      <c r="CZ637" s="72"/>
      <c r="DA637" s="72"/>
      <c r="DB637" s="72"/>
      <c r="DC637" s="72"/>
      <c r="DD637" s="72"/>
      <c r="DE637" s="72"/>
      <c r="DF637" s="72"/>
      <c r="DG637" s="72"/>
      <c r="DH637" s="72"/>
      <c r="DI637" s="72"/>
      <c r="DJ637" s="72"/>
      <c r="DK637" s="72"/>
      <c r="DL637" s="72"/>
      <c r="DM637" s="72"/>
      <c r="DN637" s="72"/>
      <c r="DO637" s="72"/>
      <c r="DP637" s="72"/>
      <c r="DQ637" s="72"/>
      <c r="DR637" s="72"/>
      <c r="DS637" s="72"/>
      <c r="DT637" s="72"/>
      <c r="DU637" s="72"/>
      <c r="DV637" s="72"/>
      <c r="DW637" s="72"/>
      <c r="DX637" s="72"/>
      <c r="DY637" s="72"/>
      <c r="DZ637" s="72"/>
      <c r="EA637" s="72"/>
      <c r="EB637" s="72"/>
      <c r="EC637" s="72"/>
      <c r="ED637" s="72"/>
      <c r="EE637" s="72"/>
      <c r="EF637" s="72"/>
      <c r="EG637" s="72"/>
      <c r="EH637" s="72"/>
      <c r="EI637" s="129"/>
      <c r="EJ637" s="129"/>
      <c r="EK637" s="129"/>
      <c r="EL637" s="129"/>
      <c r="EM637" s="72"/>
      <c r="EN637" s="72"/>
      <c r="EO637" s="72"/>
      <c r="EP637" s="72"/>
      <c r="EQ637" s="72"/>
      <c r="ER637" s="72"/>
      <c r="ES637" s="72"/>
      <c r="ET637" s="72"/>
    </row>
    <row r="638">
      <c r="CD638" s="72"/>
      <c r="CE638" s="72"/>
      <c r="CF638" s="72"/>
      <c r="CG638" s="72"/>
      <c r="CH638" s="72"/>
      <c r="CI638" s="72"/>
      <c r="CJ638" s="72"/>
      <c r="CK638" s="72"/>
      <c r="CL638" s="72"/>
      <c r="CM638" s="72"/>
      <c r="CN638" s="72"/>
      <c r="CO638" s="72"/>
      <c r="CP638" s="72"/>
      <c r="CQ638" s="72"/>
      <c r="CR638" s="72"/>
      <c r="CS638" s="72"/>
      <c r="CT638" s="72"/>
      <c r="CU638" s="72"/>
      <c r="CV638" s="72"/>
      <c r="CW638" s="72"/>
      <c r="CX638" s="72"/>
      <c r="CY638" s="72"/>
      <c r="CZ638" s="72"/>
      <c r="DA638" s="72"/>
      <c r="DB638" s="72"/>
      <c r="DC638" s="72"/>
      <c r="DD638" s="72"/>
      <c r="DE638" s="72"/>
      <c r="DF638" s="72"/>
      <c r="DG638" s="72"/>
      <c r="DH638" s="72"/>
      <c r="DI638" s="72"/>
      <c r="DJ638" s="72"/>
      <c r="DK638" s="72"/>
      <c r="DL638" s="72"/>
      <c r="DM638" s="72"/>
      <c r="DN638" s="72"/>
      <c r="DO638" s="72"/>
      <c r="DP638" s="72"/>
      <c r="DQ638" s="72"/>
      <c r="DR638" s="72"/>
      <c r="DS638" s="72"/>
      <c r="DT638" s="72"/>
      <c r="DU638" s="72"/>
      <c r="DV638" s="72"/>
      <c r="DW638" s="72"/>
      <c r="DX638" s="72"/>
      <c r="DY638" s="72"/>
      <c r="DZ638" s="72"/>
      <c r="EA638" s="72"/>
      <c r="EB638" s="72"/>
      <c r="EC638" s="72"/>
      <c r="ED638" s="72"/>
      <c r="EE638" s="72"/>
      <c r="EF638" s="72"/>
      <c r="EG638" s="72"/>
      <c r="EH638" s="72"/>
      <c r="EI638" s="129"/>
      <c r="EJ638" s="129"/>
      <c r="EK638" s="129"/>
      <c r="EL638" s="129"/>
      <c r="EM638" s="72"/>
      <c r="EN638" s="72"/>
      <c r="EO638" s="72"/>
      <c r="EP638" s="72"/>
      <c r="EQ638" s="72"/>
      <c r="ER638" s="72"/>
      <c r="ES638" s="72"/>
      <c r="ET638" s="72"/>
    </row>
    <row r="639">
      <c r="CD639" s="72"/>
      <c r="CE639" s="72"/>
      <c r="CF639" s="72"/>
      <c r="CG639" s="72"/>
      <c r="CH639" s="72"/>
      <c r="CI639" s="72"/>
      <c r="CJ639" s="72"/>
      <c r="CK639" s="72"/>
      <c r="CL639" s="72"/>
      <c r="CM639" s="72"/>
      <c r="CN639" s="72"/>
      <c r="CO639" s="72"/>
      <c r="CP639" s="72"/>
      <c r="CQ639" s="72"/>
      <c r="CR639" s="72"/>
      <c r="CS639" s="72"/>
      <c r="CT639" s="72"/>
      <c r="CU639" s="72"/>
      <c r="CV639" s="72"/>
      <c r="CW639" s="72"/>
      <c r="CX639" s="72"/>
      <c r="CY639" s="72"/>
      <c r="CZ639" s="72"/>
      <c r="DA639" s="72"/>
      <c r="DB639" s="72"/>
      <c r="DC639" s="72"/>
      <c r="DD639" s="72"/>
      <c r="DE639" s="72"/>
      <c r="DF639" s="72"/>
      <c r="DG639" s="72"/>
      <c r="DH639" s="72"/>
      <c r="DI639" s="72"/>
      <c r="DJ639" s="72"/>
      <c r="DK639" s="72"/>
      <c r="DL639" s="72"/>
      <c r="DM639" s="72"/>
      <c r="DN639" s="72"/>
      <c r="DO639" s="72"/>
      <c r="DP639" s="72"/>
      <c r="DQ639" s="72"/>
      <c r="DR639" s="72"/>
      <c r="DS639" s="72"/>
      <c r="DT639" s="72"/>
      <c r="DU639" s="72"/>
      <c r="DV639" s="72"/>
      <c r="DW639" s="72"/>
      <c r="DX639" s="72"/>
      <c r="DY639" s="72"/>
      <c r="DZ639" s="72"/>
      <c r="EA639" s="72"/>
      <c r="EB639" s="72"/>
      <c r="EC639" s="72"/>
      <c r="ED639" s="72"/>
      <c r="EE639" s="72"/>
      <c r="EF639" s="72"/>
      <c r="EG639" s="72"/>
      <c r="EH639" s="72"/>
      <c r="EI639" s="129"/>
      <c r="EJ639" s="129"/>
      <c r="EK639" s="129"/>
      <c r="EL639" s="129"/>
      <c r="EM639" s="72"/>
      <c r="EN639" s="72"/>
      <c r="EO639" s="72"/>
      <c r="EP639" s="72"/>
      <c r="EQ639" s="72"/>
      <c r="ER639" s="72"/>
      <c r="ES639" s="72"/>
      <c r="ET639" s="72"/>
    </row>
    <row r="640">
      <c r="CD640" s="72"/>
      <c r="CE640" s="72"/>
      <c r="CF640" s="72"/>
      <c r="CG640" s="72"/>
      <c r="CH640" s="72"/>
      <c r="CI640" s="72"/>
      <c r="CJ640" s="72"/>
      <c r="CK640" s="72"/>
      <c r="CL640" s="72"/>
      <c r="CM640" s="72"/>
      <c r="CN640" s="72"/>
      <c r="CO640" s="72"/>
      <c r="CP640" s="72"/>
      <c r="CQ640" s="72"/>
      <c r="CR640" s="72"/>
      <c r="CS640" s="72"/>
      <c r="CT640" s="72"/>
      <c r="CU640" s="72"/>
      <c r="CV640" s="72"/>
      <c r="CW640" s="72"/>
      <c r="CX640" s="72"/>
      <c r="CY640" s="72"/>
      <c r="CZ640" s="72"/>
      <c r="DA640" s="72"/>
      <c r="DB640" s="72"/>
      <c r="DC640" s="72"/>
      <c r="DD640" s="72"/>
      <c r="DE640" s="72"/>
      <c r="DF640" s="72"/>
      <c r="DG640" s="72"/>
      <c r="DH640" s="72"/>
      <c r="DI640" s="72"/>
      <c r="DJ640" s="72"/>
      <c r="DK640" s="72"/>
      <c r="DL640" s="72"/>
      <c r="DM640" s="72"/>
      <c r="DN640" s="72"/>
      <c r="DO640" s="72"/>
      <c r="DP640" s="72"/>
      <c r="DQ640" s="72"/>
      <c r="DR640" s="72"/>
      <c r="DS640" s="72"/>
      <c r="DT640" s="72"/>
      <c r="DU640" s="72"/>
      <c r="DV640" s="72"/>
      <c r="DW640" s="72"/>
      <c r="DX640" s="72"/>
      <c r="DY640" s="72"/>
      <c r="DZ640" s="72"/>
      <c r="EA640" s="72"/>
      <c r="EB640" s="72"/>
      <c r="EC640" s="72"/>
      <c r="ED640" s="72"/>
      <c r="EE640" s="72"/>
      <c r="EF640" s="72"/>
      <c r="EG640" s="72"/>
      <c r="EH640" s="72"/>
      <c r="EI640" s="129"/>
      <c r="EJ640" s="129"/>
      <c r="EK640" s="129"/>
      <c r="EL640" s="129"/>
      <c r="EM640" s="72"/>
      <c r="EN640" s="72"/>
      <c r="EO640" s="72"/>
      <c r="EP640" s="72"/>
      <c r="EQ640" s="72"/>
      <c r="ER640" s="72"/>
      <c r="ES640" s="72"/>
      <c r="ET640" s="72"/>
    </row>
    <row r="641">
      <c r="CD641" s="72"/>
      <c r="CE641" s="72"/>
      <c r="CF641" s="72"/>
      <c r="CG641" s="72"/>
      <c r="CH641" s="72"/>
      <c r="CI641" s="72"/>
      <c r="CJ641" s="72"/>
      <c r="CK641" s="72"/>
      <c r="CL641" s="72"/>
      <c r="CM641" s="72"/>
      <c r="CN641" s="72"/>
      <c r="CO641" s="72"/>
      <c r="CP641" s="72"/>
      <c r="CQ641" s="72"/>
      <c r="CR641" s="72"/>
      <c r="CS641" s="72"/>
      <c r="CT641" s="72"/>
      <c r="CU641" s="72"/>
      <c r="CV641" s="72"/>
      <c r="CW641" s="72"/>
      <c r="CX641" s="72"/>
      <c r="CY641" s="72"/>
      <c r="CZ641" s="72"/>
      <c r="DA641" s="72"/>
      <c r="DB641" s="72"/>
      <c r="DC641" s="72"/>
      <c r="DD641" s="72"/>
      <c r="DE641" s="72"/>
      <c r="DF641" s="72"/>
      <c r="DG641" s="72"/>
      <c r="DH641" s="72"/>
      <c r="DI641" s="72"/>
      <c r="DJ641" s="72"/>
      <c r="DK641" s="72"/>
      <c r="DL641" s="72"/>
      <c r="DM641" s="72"/>
      <c r="DN641" s="72"/>
      <c r="DO641" s="72"/>
      <c r="DP641" s="72"/>
      <c r="DQ641" s="72"/>
      <c r="DR641" s="72"/>
      <c r="DS641" s="72"/>
      <c r="DT641" s="72"/>
      <c r="DU641" s="72"/>
      <c r="DV641" s="72"/>
      <c r="DW641" s="72"/>
      <c r="DX641" s="72"/>
      <c r="DY641" s="72"/>
      <c r="DZ641" s="72"/>
      <c r="EA641" s="72"/>
      <c r="EB641" s="72"/>
      <c r="EC641" s="72"/>
      <c r="ED641" s="72"/>
      <c r="EE641" s="72"/>
      <c r="EF641" s="72"/>
      <c r="EG641" s="72"/>
      <c r="EH641" s="72"/>
      <c r="EI641" s="129"/>
      <c r="EJ641" s="129"/>
      <c r="EK641" s="129"/>
      <c r="EL641" s="129"/>
      <c r="EM641" s="72"/>
      <c r="EN641" s="72"/>
      <c r="EO641" s="72"/>
      <c r="EP641" s="72"/>
      <c r="EQ641" s="72"/>
      <c r="ER641" s="72"/>
      <c r="ES641" s="72"/>
      <c r="ET641" s="72"/>
    </row>
    <row r="642">
      <c r="CD642" s="72"/>
      <c r="CE642" s="72"/>
      <c r="CF642" s="72"/>
      <c r="CG642" s="72"/>
      <c r="CH642" s="72"/>
      <c r="CI642" s="72"/>
      <c r="CJ642" s="72"/>
      <c r="CK642" s="72"/>
      <c r="CL642" s="72"/>
      <c r="CM642" s="72"/>
      <c r="CN642" s="72"/>
      <c r="CO642" s="72"/>
      <c r="CP642" s="72"/>
      <c r="CQ642" s="72"/>
      <c r="CR642" s="72"/>
      <c r="CS642" s="72"/>
      <c r="CT642" s="72"/>
      <c r="CU642" s="72"/>
      <c r="CV642" s="72"/>
      <c r="CW642" s="72"/>
      <c r="CX642" s="72"/>
      <c r="CY642" s="72"/>
      <c r="CZ642" s="72"/>
      <c r="DA642" s="72"/>
      <c r="DB642" s="72"/>
      <c r="DC642" s="72"/>
      <c r="DD642" s="72"/>
      <c r="DE642" s="72"/>
      <c r="DF642" s="72"/>
      <c r="DG642" s="72"/>
      <c r="DH642" s="72"/>
      <c r="DI642" s="72"/>
      <c r="DJ642" s="72"/>
      <c r="DK642" s="72"/>
      <c r="DL642" s="72"/>
      <c r="DM642" s="72"/>
      <c r="DN642" s="72"/>
      <c r="DO642" s="72"/>
      <c r="DP642" s="72"/>
      <c r="DQ642" s="72"/>
      <c r="DR642" s="72"/>
      <c r="DS642" s="72"/>
      <c r="DT642" s="72"/>
      <c r="DU642" s="72"/>
      <c r="DV642" s="72"/>
      <c r="DW642" s="72"/>
      <c r="DX642" s="72"/>
      <c r="DY642" s="72"/>
      <c r="DZ642" s="72"/>
      <c r="EA642" s="72"/>
      <c r="EB642" s="72"/>
      <c r="EC642" s="72"/>
      <c r="ED642" s="72"/>
      <c r="EE642" s="72"/>
      <c r="EF642" s="72"/>
      <c r="EG642" s="72"/>
      <c r="EH642" s="72"/>
      <c r="EI642" s="129"/>
      <c r="EJ642" s="129"/>
      <c r="EK642" s="129"/>
      <c r="EL642" s="129"/>
      <c r="EM642" s="72"/>
      <c r="EN642" s="72"/>
      <c r="EO642" s="72"/>
      <c r="EP642" s="72"/>
      <c r="EQ642" s="72"/>
      <c r="ER642" s="72"/>
      <c r="ES642" s="72"/>
      <c r="ET642" s="72"/>
    </row>
    <row r="643">
      <c r="CD643" s="72"/>
      <c r="CE643" s="72"/>
      <c r="CF643" s="72"/>
      <c r="CG643" s="72"/>
      <c r="CH643" s="72"/>
      <c r="CI643" s="72"/>
      <c r="CJ643" s="72"/>
      <c r="CK643" s="72"/>
      <c r="CL643" s="72"/>
      <c r="CM643" s="72"/>
      <c r="CN643" s="72"/>
      <c r="CO643" s="72"/>
      <c r="CP643" s="72"/>
      <c r="CQ643" s="72"/>
      <c r="CR643" s="72"/>
      <c r="CS643" s="72"/>
      <c r="CT643" s="72"/>
      <c r="CU643" s="72"/>
      <c r="CV643" s="72"/>
      <c r="CW643" s="72"/>
      <c r="CX643" s="72"/>
      <c r="CY643" s="72"/>
      <c r="CZ643" s="72"/>
      <c r="DA643" s="72"/>
      <c r="DB643" s="72"/>
      <c r="DC643" s="72"/>
      <c r="DD643" s="72"/>
      <c r="DE643" s="72"/>
      <c r="DF643" s="72"/>
      <c r="DG643" s="72"/>
      <c r="DH643" s="72"/>
      <c r="DI643" s="72"/>
      <c r="DJ643" s="72"/>
      <c r="DK643" s="72"/>
      <c r="DL643" s="72"/>
      <c r="DM643" s="72"/>
      <c r="DN643" s="72"/>
      <c r="DO643" s="72"/>
      <c r="DP643" s="72"/>
      <c r="DQ643" s="72"/>
      <c r="DR643" s="72"/>
      <c r="DS643" s="72"/>
      <c r="DT643" s="72"/>
      <c r="DU643" s="72"/>
      <c r="DV643" s="72"/>
      <c r="DW643" s="72"/>
      <c r="DX643" s="72"/>
      <c r="DY643" s="72"/>
      <c r="DZ643" s="72"/>
      <c r="EA643" s="72"/>
      <c r="EB643" s="72"/>
      <c r="EC643" s="72"/>
      <c r="ED643" s="72"/>
      <c r="EE643" s="72"/>
      <c r="EF643" s="72"/>
      <c r="EG643" s="72"/>
      <c r="EH643" s="72"/>
      <c r="EI643" s="129"/>
      <c r="EJ643" s="129"/>
      <c r="EK643" s="129"/>
      <c r="EL643" s="129"/>
      <c r="EM643" s="72"/>
      <c r="EN643" s="72"/>
      <c r="EO643" s="72"/>
      <c r="EP643" s="72"/>
      <c r="EQ643" s="72"/>
      <c r="ER643" s="72"/>
      <c r="ES643" s="72"/>
      <c r="ET643" s="72"/>
    </row>
    <row r="644">
      <c r="CD644" s="72"/>
      <c r="CE644" s="72"/>
      <c r="CF644" s="72"/>
      <c r="CG644" s="72"/>
      <c r="CH644" s="72"/>
      <c r="CI644" s="72"/>
      <c r="CJ644" s="72"/>
      <c r="CK644" s="72"/>
      <c r="CL644" s="72"/>
      <c r="CM644" s="72"/>
      <c r="CN644" s="72"/>
      <c r="CO644" s="72"/>
      <c r="CP644" s="72"/>
      <c r="CQ644" s="72"/>
      <c r="CR644" s="72"/>
      <c r="CS644" s="72"/>
      <c r="CT644" s="72"/>
      <c r="CU644" s="72"/>
      <c r="CV644" s="72"/>
      <c r="CW644" s="72"/>
      <c r="CX644" s="72"/>
      <c r="CY644" s="72"/>
      <c r="CZ644" s="72"/>
      <c r="DA644" s="72"/>
      <c r="DB644" s="72"/>
      <c r="DC644" s="72"/>
      <c r="DD644" s="72"/>
      <c r="DE644" s="72"/>
      <c r="DF644" s="72"/>
      <c r="DG644" s="72"/>
      <c r="DH644" s="72"/>
      <c r="DI644" s="72"/>
      <c r="DJ644" s="72"/>
      <c r="DK644" s="72"/>
      <c r="DL644" s="72"/>
      <c r="DM644" s="72"/>
      <c r="DN644" s="72"/>
      <c r="DO644" s="72"/>
      <c r="DP644" s="72"/>
      <c r="DQ644" s="72"/>
      <c r="DR644" s="72"/>
      <c r="DS644" s="72"/>
      <c r="DT644" s="72"/>
      <c r="DU644" s="72"/>
      <c r="DV644" s="72"/>
      <c r="DW644" s="72"/>
      <c r="DX644" s="72"/>
      <c r="DY644" s="72"/>
      <c r="DZ644" s="72"/>
      <c r="EA644" s="72"/>
      <c r="EB644" s="72"/>
      <c r="EC644" s="72"/>
      <c r="ED644" s="72"/>
      <c r="EE644" s="72"/>
      <c r="EF644" s="72"/>
      <c r="EG644" s="72"/>
      <c r="EH644" s="72"/>
      <c r="EI644" s="129"/>
      <c r="EJ644" s="129"/>
      <c r="EK644" s="129"/>
      <c r="EL644" s="129"/>
      <c r="EM644" s="72"/>
      <c r="EN644" s="72"/>
      <c r="EO644" s="72"/>
      <c r="EP644" s="72"/>
      <c r="EQ644" s="72"/>
      <c r="ER644" s="72"/>
      <c r="ES644" s="72"/>
      <c r="ET644" s="72"/>
    </row>
    <row r="645">
      <c r="CD645" s="72"/>
      <c r="CE645" s="72"/>
      <c r="CF645" s="72"/>
      <c r="CG645" s="72"/>
      <c r="CH645" s="72"/>
      <c r="CI645" s="72"/>
      <c r="CJ645" s="72"/>
      <c r="CK645" s="72"/>
      <c r="CL645" s="72"/>
      <c r="CM645" s="72"/>
      <c r="CN645" s="72"/>
      <c r="CO645" s="72"/>
      <c r="CP645" s="72"/>
      <c r="CQ645" s="72"/>
      <c r="CR645" s="72"/>
      <c r="CS645" s="72"/>
      <c r="CT645" s="72"/>
      <c r="CU645" s="72"/>
      <c r="CV645" s="72"/>
      <c r="CW645" s="72"/>
      <c r="CX645" s="72"/>
      <c r="CY645" s="72"/>
      <c r="CZ645" s="72"/>
      <c r="DA645" s="72"/>
      <c r="DB645" s="72"/>
      <c r="DC645" s="72"/>
      <c r="DD645" s="72"/>
      <c r="DE645" s="72"/>
      <c r="DF645" s="72"/>
      <c r="DG645" s="72"/>
      <c r="DH645" s="72"/>
      <c r="DI645" s="72"/>
      <c r="DJ645" s="72"/>
      <c r="DK645" s="72"/>
      <c r="DL645" s="72"/>
      <c r="DM645" s="72"/>
      <c r="DN645" s="72"/>
      <c r="DO645" s="72"/>
      <c r="DP645" s="72"/>
      <c r="DQ645" s="72"/>
      <c r="DR645" s="72"/>
      <c r="DS645" s="72"/>
      <c r="DT645" s="72"/>
      <c r="DU645" s="72"/>
      <c r="DV645" s="72"/>
      <c r="DW645" s="72"/>
      <c r="DX645" s="72"/>
      <c r="DY645" s="72"/>
      <c r="DZ645" s="72"/>
      <c r="EA645" s="72"/>
      <c r="EB645" s="72"/>
      <c r="EC645" s="72"/>
      <c r="ED645" s="72"/>
      <c r="EE645" s="72"/>
      <c r="EF645" s="72"/>
      <c r="EG645" s="72"/>
      <c r="EH645" s="72"/>
      <c r="EI645" s="129"/>
      <c r="EJ645" s="129"/>
      <c r="EK645" s="129"/>
      <c r="EL645" s="129"/>
      <c r="EM645" s="72"/>
      <c r="EN645" s="72"/>
      <c r="EO645" s="72"/>
      <c r="EP645" s="72"/>
      <c r="EQ645" s="72"/>
      <c r="ER645" s="72"/>
      <c r="ES645" s="72"/>
      <c r="ET645" s="72"/>
    </row>
    <row r="646">
      <c r="CD646" s="72"/>
      <c r="CE646" s="72"/>
      <c r="CF646" s="72"/>
      <c r="CG646" s="72"/>
      <c r="CH646" s="72"/>
      <c r="CI646" s="72"/>
      <c r="CJ646" s="72"/>
      <c r="CK646" s="72"/>
      <c r="CL646" s="72"/>
      <c r="CM646" s="72"/>
      <c r="CN646" s="72"/>
      <c r="CO646" s="72"/>
      <c r="CP646" s="72"/>
      <c r="CQ646" s="72"/>
      <c r="CR646" s="72"/>
      <c r="CS646" s="72"/>
      <c r="CT646" s="72"/>
      <c r="CU646" s="72"/>
      <c r="CV646" s="72"/>
      <c r="CW646" s="72"/>
      <c r="CX646" s="72"/>
      <c r="CY646" s="72"/>
      <c r="CZ646" s="72"/>
      <c r="DA646" s="72"/>
      <c r="DB646" s="72"/>
      <c r="DC646" s="72"/>
      <c r="DD646" s="72"/>
      <c r="DE646" s="72"/>
      <c r="DF646" s="72"/>
      <c r="DG646" s="72"/>
      <c r="DH646" s="72"/>
      <c r="DI646" s="72"/>
      <c r="DJ646" s="72"/>
      <c r="DK646" s="72"/>
      <c r="DL646" s="72"/>
      <c r="DM646" s="72"/>
      <c r="DN646" s="72"/>
      <c r="DO646" s="72"/>
      <c r="DP646" s="72"/>
      <c r="DQ646" s="72"/>
      <c r="DR646" s="72"/>
      <c r="DS646" s="72"/>
      <c r="DT646" s="72"/>
      <c r="DU646" s="72"/>
      <c r="DV646" s="72"/>
      <c r="DW646" s="72"/>
      <c r="DX646" s="72"/>
      <c r="DY646" s="72"/>
      <c r="DZ646" s="72"/>
      <c r="EA646" s="72"/>
      <c r="EB646" s="72"/>
      <c r="EC646" s="72"/>
      <c r="ED646" s="72"/>
      <c r="EE646" s="72"/>
      <c r="EF646" s="72"/>
      <c r="EG646" s="72"/>
      <c r="EH646" s="72"/>
      <c r="EI646" s="129"/>
      <c r="EJ646" s="129"/>
      <c r="EK646" s="129"/>
      <c r="EL646" s="129"/>
      <c r="EM646" s="72"/>
      <c r="EN646" s="72"/>
      <c r="EO646" s="72"/>
      <c r="EP646" s="72"/>
      <c r="EQ646" s="72"/>
      <c r="ER646" s="72"/>
      <c r="ES646" s="72"/>
      <c r="ET646" s="72"/>
    </row>
    <row r="647">
      <c r="CD647" s="72"/>
      <c r="CE647" s="72"/>
      <c r="CF647" s="72"/>
      <c r="CG647" s="72"/>
      <c r="CH647" s="72"/>
      <c r="CI647" s="72"/>
      <c r="CJ647" s="72"/>
      <c r="CK647" s="72"/>
      <c r="CL647" s="72"/>
      <c r="CM647" s="72"/>
      <c r="CN647" s="72"/>
      <c r="CO647" s="72"/>
      <c r="CP647" s="72"/>
      <c r="CQ647" s="72"/>
      <c r="CR647" s="72"/>
      <c r="CS647" s="72"/>
      <c r="CT647" s="72"/>
      <c r="CU647" s="72"/>
      <c r="CV647" s="72"/>
      <c r="CW647" s="72"/>
      <c r="CX647" s="72"/>
      <c r="CY647" s="72"/>
      <c r="CZ647" s="72"/>
      <c r="DA647" s="72"/>
      <c r="DB647" s="72"/>
      <c r="DC647" s="72"/>
      <c r="DD647" s="72"/>
      <c r="DE647" s="72"/>
      <c r="DF647" s="72"/>
      <c r="DG647" s="72"/>
      <c r="DH647" s="72"/>
      <c r="DI647" s="72"/>
      <c r="DJ647" s="72"/>
      <c r="DK647" s="72"/>
      <c r="DL647" s="72"/>
      <c r="DM647" s="72"/>
      <c r="DN647" s="72"/>
      <c r="DO647" s="72"/>
      <c r="DP647" s="72"/>
      <c r="DQ647" s="72"/>
      <c r="DR647" s="72"/>
      <c r="DS647" s="72"/>
      <c r="DT647" s="72"/>
      <c r="DU647" s="72"/>
      <c r="DV647" s="72"/>
      <c r="DW647" s="72"/>
      <c r="DX647" s="72"/>
      <c r="DY647" s="72"/>
      <c r="DZ647" s="72"/>
      <c r="EA647" s="72"/>
      <c r="EB647" s="72"/>
      <c r="EC647" s="72"/>
      <c r="ED647" s="72"/>
      <c r="EE647" s="72"/>
      <c r="EF647" s="72"/>
      <c r="EG647" s="72"/>
      <c r="EH647" s="72"/>
      <c r="EI647" s="129"/>
      <c r="EJ647" s="129"/>
      <c r="EK647" s="129"/>
      <c r="EL647" s="129"/>
      <c r="EM647" s="72"/>
      <c r="EN647" s="72"/>
      <c r="EO647" s="72"/>
      <c r="EP647" s="72"/>
      <c r="EQ647" s="72"/>
      <c r="ER647" s="72"/>
      <c r="ES647" s="72"/>
      <c r="ET647" s="72"/>
    </row>
    <row r="648">
      <c r="CD648" s="72"/>
      <c r="CE648" s="72"/>
      <c r="CF648" s="72"/>
      <c r="CG648" s="72"/>
      <c r="CH648" s="72"/>
      <c r="CI648" s="72"/>
      <c r="CJ648" s="72"/>
      <c r="CK648" s="72"/>
      <c r="CL648" s="72"/>
      <c r="CM648" s="72"/>
      <c r="CN648" s="72"/>
      <c r="CO648" s="72"/>
      <c r="CP648" s="72"/>
      <c r="CQ648" s="72"/>
      <c r="CR648" s="72"/>
      <c r="CS648" s="72"/>
      <c r="CT648" s="72"/>
      <c r="CU648" s="72"/>
      <c r="CV648" s="72"/>
      <c r="CW648" s="72"/>
      <c r="CX648" s="72"/>
      <c r="CY648" s="72"/>
      <c r="CZ648" s="72"/>
      <c r="DA648" s="72"/>
      <c r="DB648" s="72"/>
      <c r="DC648" s="72"/>
      <c r="DD648" s="72"/>
      <c r="DE648" s="72"/>
      <c r="DF648" s="72"/>
      <c r="DG648" s="72"/>
      <c r="DH648" s="72"/>
      <c r="DI648" s="72"/>
      <c r="DJ648" s="72"/>
      <c r="DK648" s="72"/>
      <c r="DL648" s="72"/>
      <c r="DM648" s="72"/>
      <c r="DN648" s="72"/>
      <c r="DO648" s="72"/>
      <c r="DP648" s="72"/>
      <c r="DQ648" s="72"/>
      <c r="DR648" s="72"/>
      <c r="DS648" s="72"/>
      <c r="DT648" s="72"/>
      <c r="DU648" s="72"/>
      <c r="DV648" s="72"/>
      <c r="DW648" s="72"/>
      <c r="DX648" s="72"/>
      <c r="DY648" s="72"/>
      <c r="DZ648" s="72"/>
      <c r="EA648" s="72"/>
      <c r="EB648" s="72"/>
      <c r="EC648" s="72"/>
      <c r="ED648" s="72"/>
      <c r="EE648" s="72"/>
      <c r="EF648" s="72"/>
      <c r="EG648" s="72"/>
      <c r="EH648" s="72"/>
      <c r="EI648" s="129"/>
      <c r="EJ648" s="129"/>
      <c r="EK648" s="129"/>
      <c r="EL648" s="129"/>
      <c r="EM648" s="72"/>
      <c r="EN648" s="72"/>
      <c r="EO648" s="72"/>
      <c r="EP648" s="72"/>
      <c r="EQ648" s="72"/>
      <c r="ER648" s="72"/>
      <c r="ES648" s="72"/>
      <c r="ET648" s="72"/>
    </row>
    <row r="649">
      <c r="CD649" s="72"/>
      <c r="CE649" s="72"/>
      <c r="CF649" s="72"/>
      <c r="CG649" s="72"/>
      <c r="CH649" s="72"/>
      <c r="CI649" s="72"/>
      <c r="CJ649" s="72"/>
      <c r="CK649" s="72"/>
      <c r="CL649" s="72"/>
      <c r="CM649" s="72"/>
      <c r="CN649" s="72"/>
      <c r="CO649" s="72"/>
      <c r="CP649" s="72"/>
      <c r="CQ649" s="72"/>
      <c r="CR649" s="72"/>
      <c r="CS649" s="72"/>
      <c r="CT649" s="72"/>
      <c r="CU649" s="72"/>
      <c r="CV649" s="72"/>
      <c r="CW649" s="72"/>
      <c r="CX649" s="72"/>
      <c r="CY649" s="72"/>
      <c r="CZ649" s="72"/>
      <c r="DA649" s="72"/>
      <c r="DB649" s="72"/>
      <c r="DC649" s="72"/>
      <c r="DD649" s="72"/>
      <c r="DE649" s="72"/>
      <c r="DF649" s="72"/>
      <c r="DG649" s="72"/>
      <c r="DH649" s="72"/>
      <c r="DI649" s="72"/>
      <c r="DJ649" s="72"/>
      <c r="DK649" s="72"/>
      <c r="DL649" s="72"/>
      <c r="DM649" s="72"/>
      <c r="DN649" s="72"/>
      <c r="DO649" s="72"/>
      <c r="DP649" s="72"/>
      <c r="DQ649" s="72"/>
      <c r="DR649" s="72"/>
      <c r="DS649" s="72"/>
      <c r="DT649" s="72"/>
      <c r="DU649" s="72"/>
      <c r="DV649" s="72"/>
      <c r="DW649" s="72"/>
      <c r="DX649" s="72"/>
      <c r="DY649" s="72"/>
      <c r="DZ649" s="72"/>
      <c r="EA649" s="72"/>
      <c r="EB649" s="72"/>
      <c r="EC649" s="72"/>
      <c r="ED649" s="72"/>
      <c r="EE649" s="72"/>
      <c r="EF649" s="72"/>
      <c r="EG649" s="72"/>
      <c r="EH649" s="72"/>
      <c r="EI649" s="129"/>
      <c r="EJ649" s="129"/>
      <c r="EK649" s="129"/>
      <c r="EL649" s="129"/>
      <c r="EM649" s="72"/>
      <c r="EN649" s="72"/>
      <c r="EO649" s="72"/>
      <c r="EP649" s="72"/>
      <c r="EQ649" s="72"/>
      <c r="ER649" s="72"/>
      <c r="ES649" s="72"/>
      <c r="ET649" s="72"/>
    </row>
    <row r="650">
      <c r="CD650" s="72"/>
      <c r="CE650" s="72"/>
      <c r="CF650" s="72"/>
      <c r="CG650" s="72"/>
      <c r="CH650" s="72"/>
      <c r="CI650" s="72"/>
      <c r="CJ650" s="72"/>
      <c r="CK650" s="72"/>
      <c r="CL650" s="72"/>
      <c r="CM650" s="72"/>
      <c r="CN650" s="72"/>
      <c r="CO650" s="72"/>
      <c r="CP650" s="72"/>
      <c r="CQ650" s="72"/>
      <c r="CR650" s="72"/>
      <c r="CS650" s="72"/>
      <c r="CT650" s="72"/>
      <c r="CU650" s="72"/>
      <c r="CV650" s="72"/>
      <c r="CW650" s="72"/>
      <c r="CX650" s="72"/>
      <c r="CY650" s="72"/>
      <c r="CZ650" s="72"/>
      <c r="DA650" s="72"/>
      <c r="DB650" s="72"/>
      <c r="DC650" s="72"/>
      <c r="DD650" s="72"/>
      <c r="DE650" s="72"/>
      <c r="DF650" s="72"/>
      <c r="DG650" s="72"/>
      <c r="DH650" s="72"/>
      <c r="DI650" s="72"/>
      <c r="DJ650" s="72"/>
      <c r="DK650" s="72"/>
      <c r="DL650" s="72"/>
      <c r="DM650" s="72"/>
      <c r="DN650" s="72"/>
      <c r="DO650" s="72"/>
      <c r="DP650" s="72"/>
      <c r="DQ650" s="72"/>
      <c r="DR650" s="72"/>
      <c r="DS650" s="72"/>
      <c r="DT650" s="72"/>
      <c r="DU650" s="72"/>
      <c r="DV650" s="72"/>
      <c r="DW650" s="72"/>
      <c r="DX650" s="72"/>
      <c r="DY650" s="72"/>
      <c r="DZ650" s="72"/>
      <c r="EA650" s="72"/>
      <c r="EB650" s="72"/>
      <c r="EC650" s="72"/>
      <c r="ED650" s="72"/>
      <c r="EE650" s="72"/>
      <c r="EF650" s="72"/>
      <c r="EG650" s="72"/>
      <c r="EH650" s="72"/>
      <c r="EI650" s="129"/>
      <c r="EJ650" s="129"/>
      <c r="EK650" s="129"/>
      <c r="EL650" s="129"/>
      <c r="EM650" s="72"/>
      <c r="EN650" s="72"/>
      <c r="EO650" s="72"/>
      <c r="EP650" s="72"/>
      <c r="EQ650" s="72"/>
      <c r="ER650" s="72"/>
      <c r="ES650" s="72"/>
      <c r="ET650" s="72"/>
    </row>
    <row r="651">
      <c r="CD651" s="72"/>
      <c r="CE651" s="72"/>
      <c r="CF651" s="72"/>
      <c r="CG651" s="72"/>
      <c r="CH651" s="72"/>
      <c r="CI651" s="72"/>
      <c r="CJ651" s="72"/>
      <c r="CK651" s="72"/>
      <c r="CL651" s="72"/>
      <c r="CM651" s="72"/>
      <c r="CN651" s="72"/>
      <c r="CO651" s="72"/>
      <c r="CP651" s="72"/>
      <c r="CQ651" s="72"/>
      <c r="CR651" s="72"/>
      <c r="CS651" s="72"/>
      <c r="CT651" s="72"/>
      <c r="CU651" s="72"/>
      <c r="CV651" s="72"/>
      <c r="CW651" s="72"/>
      <c r="CX651" s="72"/>
      <c r="CY651" s="72"/>
      <c r="CZ651" s="72"/>
      <c r="DA651" s="72"/>
      <c r="DB651" s="72"/>
      <c r="DC651" s="72"/>
      <c r="DD651" s="72"/>
      <c r="DE651" s="72"/>
      <c r="DF651" s="72"/>
      <c r="DG651" s="72"/>
      <c r="DH651" s="72"/>
      <c r="DI651" s="72"/>
      <c r="DJ651" s="72"/>
      <c r="DK651" s="72"/>
      <c r="DL651" s="72"/>
      <c r="DM651" s="72"/>
      <c r="DN651" s="72"/>
      <c r="DO651" s="72"/>
      <c r="DP651" s="72"/>
      <c r="DQ651" s="72"/>
      <c r="DR651" s="72"/>
      <c r="DS651" s="72"/>
      <c r="DT651" s="72"/>
      <c r="DU651" s="72"/>
      <c r="DV651" s="72"/>
      <c r="DW651" s="72"/>
      <c r="DX651" s="72"/>
      <c r="DY651" s="72"/>
      <c r="DZ651" s="72"/>
      <c r="EA651" s="72"/>
      <c r="EB651" s="72"/>
      <c r="EC651" s="72"/>
      <c r="ED651" s="72"/>
      <c r="EE651" s="72"/>
      <c r="EF651" s="72"/>
      <c r="EG651" s="72"/>
      <c r="EH651" s="72"/>
      <c r="EI651" s="129"/>
      <c r="EJ651" s="129"/>
      <c r="EK651" s="129"/>
      <c r="EL651" s="129"/>
      <c r="EM651" s="72"/>
      <c r="EN651" s="72"/>
      <c r="EO651" s="72"/>
      <c r="EP651" s="72"/>
      <c r="EQ651" s="72"/>
      <c r="ER651" s="72"/>
      <c r="ES651" s="72"/>
      <c r="ET651" s="72"/>
    </row>
    <row r="652">
      <c r="CD652" s="72"/>
      <c r="CE652" s="72"/>
      <c r="CF652" s="72"/>
      <c r="CG652" s="72"/>
      <c r="CH652" s="72"/>
      <c r="CI652" s="72"/>
      <c r="CJ652" s="72"/>
      <c r="CK652" s="72"/>
      <c r="CL652" s="72"/>
      <c r="CM652" s="72"/>
      <c r="CN652" s="72"/>
      <c r="CO652" s="72"/>
      <c r="CP652" s="72"/>
      <c r="CQ652" s="72"/>
      <c r="CR652" s="72"/>
      <c r="CS652" s="72"/>
      <c r="CT652" s="72"/>
      <c r="CU652" s="72"/>
      <c r="CV652" s="72"/>
      <c r="CW652" s="72"/>
      <c r="CX652" s="72"/>
      <c r="CY652" s="72"/>
      <c r="CZ652" s="72"/>
      <c r="DA652" s="72"/>
      <c r="DB652" s="72"/>
      <c r="DC652" s="72"/>
      <c r="DD652" s="72"/>
      <c r="DE652" s="72"/>
      <c r="DF652" s="72"/>
      <c r="DG652" s="72"/>
      <c r="DH652" s="72"/>
      <c r="DI652" s="72"/>
      <c r="DJ652" s="72"/>
      <c r="DK652" s="72"/>
      <c r="DL652" s="72"/>
      <c r="DM652" s="72"/>
      <c r="DN652" s="72"/>
      <c r="DO652" s="72"/>
      <c r="DP652" s="72"/>
      <c r="DQ652" s="72"/>
      <c r="DR652" s="72"/>
      <c r="DS652" s="72"/>
      <c r="DT652" s="72"/>
      <c r="DU652" s="72"/>
      <c r="DV652" s="72"/>
      <c r="DW652" s="72"/>
      <c r="DX652" s="72"/>
      <c r="DY652" s="72"/>
      <c r="DZ652" s="72"/>
      <c r="EA652" s="72"/>
      <c r="EB652" s="72"/>
      <c r="EC652" s="72"/>
      <c r="ED652" s="72"/>
      <c r="EE652" s="72"/>
      <c r="EF652" s="72"/>
      <c r="EG652" s="72"/>
      <c r="EH652" s="72"/>
      <c r="EI652" s="129"/>
      <c r="EJ652" s="129"/>
      <c r="EK652" s="129"/>
      <c r="EL652" s="129"/>
      <c r="EM652" s="72"/>
      <c r="EN652" s="72"/>
      <c r="EO652" s="72"/>
      <c r="EP652" s="72"/>
      <c r="EQ652" s="72"/>
      <c r="ER652" s="72"/>
      <c r="ES652" s="72"/>
      <c r="ET652" s="72"/>
    </row>
    <row r="653">
      <c r="CD653" s="72"/>
      <c r="CE653" s="72"/>
      <c r="CF653" s="72"/>
      <c r="CG653" s="72"/>
      <c r="CH653" s="72"/>
      <c r="CI653" s="72"/>
      <c r="CJ653" s="72"/>
      <c r="CK653" s="72"/>
      <c r="CL653" s="72"/>
      <c r="CM653" s="72"/>
      <c r="CN653" s="72"/>
      <c r="CO653" s="72"/>
      <c r="CP653" s="72"/>
      <c r="CQ653" s="72"/>
      <c r="CR653" s="72"/>
      <c r="CS653" s="72"/>
      <c r="CT653" s="72"/>
      <c r="CU653" s="72"/>
      <c r="CV653" s="72"/>
      <c r="CW653" s="72"/>
      <c r="CX653" s="72"/>
      <c r="CY653" s="72"/>
      <c r="CZ653" s="72"/>
      <c r="DA653" s="72"/>
      <c r="DB653" s="72"/>
      <c r="DC653" s="72"/>
      <c r="DD653" s="72"/>
      <c r="DE653" s="72"/>
      <c r="DF653" s="72"/>
      <c r="DG653" s="72"/>
      <c r="DH653" s="72"/>
      <c r="DI653" s="72"/>
      <c r="DJ653" s="72"/>
      <c r="DK653" s="72"/>
      <c r="DL653" s="72"/>
      <c r="DM653" s="72"/>
      <c r="DN653" s="72"/>
      <c r="DO653" s="72"/>
      <c r="DP653" s="72"/>
      <c r="DQ653" s="72"/>
      <c r="DR653" s="72"/>
      <c r="DS653" s="72"/>
      <c r="DT653" s="72"/>
      <c r="DU653" s="72"/>
      <c r="DV653" s="72"/>
      <c r="DW653" s="72"/>
      <c r="DX653" s="72"/>
      <c r="DY653" s="72"/>
      <c r="DZ653" s="72"/>
      <c r="EA653" s="72"/>
      <c r="EB653" s="72"/>
      <c r="EC653" s="72"/>
      <c r="ED653" s="72"/>
      <c r="EE653" s="72"/>
      <c r="EF653" s="72"/>
      <c r="EG653" s="72"/>
      <c r="EH653" s="72"/>
      <c r="EI653" s="129"/>
      <c r="EJ653" s="129"/>
      <c r="EK653" s="129"/>
      <c r="EL653" s="129"/>
      <c r="EM653" s="72"/>
      <c r="EN653" s="72"/>
      <c r="EO653" s="72"/>
      <c r="EP653" s="72"/>
      <c r="EQ653" s="72"/>
      <c r="ER653" s="72"/>
      <c r="ES653" s="72"/>
      <c r="ET653" s="72"/>
    </row>
    <row r="654">
      <c r="CD654" s="72"/>
      <c r="CE654" s="72"/>
      <c r="CF654" s="72"/>
      <c r="CG654" s="72"/>
      <c r="CH654" s="72"/>
      <c r="CI654" s="72"/>
      <c r="CJ654" s="72"/>
      <c r="CK654" s="72"/>
      <c r="CL654" s="72"/>
      <c r="CM654" s="72"/>
      <c r="CN654" s="72"/>
      <c r="CO654" s="72"/>
      <c r="CP654" s="72"/>
      <c r="CQ654" s="72"/>
      <c r="CR654" s="72"/>
      <c r="CS654" s="72"/>
      <c r="CT654" s="72"/>
      <c r="CU654" s="72"/>
      <c r="CV654" s="72"/>
      <c r="CW654" s="72"/>
      <c r="CX654" s="72"/>
      <c r="CY654" s="72"/>
      <c r="CZ654" s="72"/>
      <c r="DA654" s="72"/>
      <c r="DB654" s="72"/>
      <c r="DC654" s="72"/>
      <c r="DD654" s="72"/>
      <c r="DE654" s="72"/>
      <c r="DF654" s="72"/>
      <c r="DG654" s="72"/>
      <c r="DH654" s="72"/>
      <c r="DI654" s="72"/>
      <c r="DJ654" s="72"/>
      <c r="DK654" s="72"/>
      <c r="DL654" s="72"/>
      <c r="DM654" s="72"/>
      <c r="DN654" s="72"/>
      <c r="DO654" s="72"/>
      <c r="DP654" s="72"/>
      <c r="DQ654" s="72"/>
      <c r="DR654" s="72"/>
      <c r="DS654" s="72"/>
      <c r="DT654" s="72"/>
      <c r="DU654" s="72"/>
      <c r="DV654" s="72"/>
      <c r="DW654" s="72"/>
      <c r="DX654" s="72"/>
      <c r="DY654" s="72"/>
      <c r="DZ654" s="72"/>
      <c r="EA654" s="72"/>
      <c r="EB654" s="72"/>
      <c r="EC654" s="72"/>
      <c r="ED654" s="72"/>
      <c r="EE654" s="72"/>
      <c r="EF654" s="72"/>
      <c r="EG654" s="72"/>
      <c r="EH654" s="72"/>
      <c r="EI654" s="129"/>
      <c r="EJ654" s="129"/>
      <c r="EK654" s="129"/>
      <c r="EL654" s="129"/>
      <c r="EM654" s="72"/>
      <c r="EN654" s="72"/>
      <c r="EO654" s="72"/>
      <c r="EP654" s="72"/>
      <c r="EQ654" s="72"/>
      <c r="ER654" s="72"/>
      <c r="ES654" s="72"/>
      <c r="ET654" s="72"/>
    </row>
    <row r="655">
      <c r="CD655" s="72"/>
      <c r="CE655" s="72"/>
      <c r="CF655" s="72"/>
      <c r="CG655" s="72"/>
      <c r="CH655" s="72"/>
      <c r="CI655" s="72"/>
      <c r="CJ655" s="72"/>
      <c r="CK655" s="72"/>
      <c r="CL655" s="72"/>
      <c r="CM655" s="72"/>
      <c r="CN655" s="72"/>
      <c r="CO655" s="72"/>
      <c r="CP655" s="72"/>
      <c r="CQ655" s="72"/>
      <c r="CR655" s="72"/>
      <c r="CS655" s="72"/>
      <c r="CT655" s="72"/>
      <c r="CU655" s="72"/>
      <c r="CV655" s="72"/>
      <c r="CW655" s="72"/>
      <c r="CX655" s="72"/>
      <c r="CY655" s="72"/>
      <c r="CZ655" s="72"/>
      <c r="DA655" s="72"/>
      <c r="DB655" s="72"/>
      <c r="DC655" s="72"/>
      <c r="DD655" s="72"/>
      <c r="DE655" s="72"/>
      <c r="DF655" s="72"/>
      <c r="DG655" s="72"/>
      <c r="DH655" s="72"/>
      <c r="DI655" s="72"/>
      <c r="DJ655" s="72"/>
      <c r="DK655" s="72"/>
      <c r="DL655" s="72"/>
      <c r="DM655" s="72"/>
      <c r="DN655" s="72"/>
      <c r="DO655" s="72"/>
      <c r="DP655" s="72"/>
      <c r="DQ655" s="72"/>
      <c r="DR655" s="72"/>
      <c r="DS655" s="72"/>
      <c r="DT655" s="72"/>
      <c r="DU655" s="72"/>
      <c r="DV655" s="72"/>
      <c r="DW655" s="72"/>
      <c r="DX655" s="72"/>
      <c r="DY655" s="72"/>
      <c r="DZ655" s="72"/>
      <c r="EA655" s="72"/>
      <c r="EB655" s="72"/>
      <c r="EC655" s="72"/>
      <c r="ED655" s="72"/>
      <c r="EE655" s="72"/>
      <c r="EF655" s="72"/>
      <c r="EG655" s="72"/>
      <c r="EH655" s="72"/>
      <c r="EI655" s="129"/>
      <c r="EJ655" s="129"/>
      <c r="EK655" s="129"/>
      <c r="EL655" s="129"/>
      <c r="EM655" s="72"/>
      <c r="EN655" s="72"/>
      <c r="EO655" s="72"/>
      <c r="EP655" s="72"/>
      <c r="EQ655" s="72"/>
      <c r="ER655" s="72"/>
      <c r="ES655" s="72"/>
      <c r="ET655" s="72"/>
    </row>
    <row r="656">
      <c r="CD656" s="72"/>
      <c r="CE656" s="72"/>
      <c r="CF656" s="72"/>
      <c r="CG656" s="72"/>
      <c r="CH656" s="72"/>
      <c r="CI656" s="72"/>
      <c r="CJ656" s="72"/>
      <c r="CK656" s="72"/>
      <c r="CL656" s="72"/>
      <c r="CM656" s="72"/>
      <c r="CN656" s="72"/>
      <c r="CO656" s="72"/>
      <c r="CP656" s="72"/>
      <c r="CQ656" s="72"/>
      <c r="CR656" s="72"/>
      <c r="CS656" s="72"/>
      <c r="CT656" s="72"/>
      <c r="CU656" s="72"/>
      <c r="CV656" s="72"/>
      <c r="CW656" s="72"/>
      <c r="CX656" s="72"/>
      <c r="CY656" s="72"/>
      <c r="CZ656" s="72"/>
      <c r="DA656" s="72"/>
      <c r="DB656" s="72"/>
      <c r="DC656" s="72"/>
      <c r="DD656" s="72"/>
      <c r="DE656" s="72"/>
      <c r="DF656" s="72"/>
      <c r="DG656" s="72"/>
      <c r="DH656" s="72"/>
      <c r="DI656" s="72"/>
      <c r="DJ656" s="72"/>
      <c r="DK656" s="72"/>
      <c r="DL656" s="72"/>
      <c r="DM656" s="72"/>
      <c r="DN656" s="72"/>
      <c r="DO656" s="72"/>
      <c r="DP656" s="72"/>
      <c r="DQ656" s="72"/>
      <c r="DR656" s="72"/>
      <c r="DS656" s="72"/>
      <c r="DT656" s="72"/>
      <c r="DU656" s="72"/>
      <c r="DV656" s="72"/>
      <c r="DW656" s="72"/>
      <c r="DX656" s="72"/>
      <c r="DY656" s="72"/>
      <c r="DZ656" s="72"/>
      <c r="EA656" s="72"/>
      <c r="EB656" s="72"/>
      <c r="EC656" s="72"/>
      <c r="ED656" s="72"/>
      <c r="EE656" s="72"/>
      <c r="EF656" s="72"/>
      <c r="EG656" s="72"/>
      <c r="EH656" s="72"/>
      <c r="EI656" s="129"/>
      <c r="EJ656" s="129"/>
      <c r="EK656" s="129"/>
      <c r="EL656" s="129"/>
      <c r="EM656" s="72"/>
      <c r="EN656" s="72"/>
      <c r="EO656" s="72"/>
      <c r="EP656" s="72"/>
      <c r="EQ656" s="72"/>
      <c r="ER656" s="72"/>
      <c r="ES656" s="72"/>
      <c r="ET656" s="72"/>
    </row>
    <row r="657">
      <c r="CD657" s="72"/>
      <c r="CE657" s="72"/>
      <c r="CF657" s="72"/>
      <c r="CG657" s="72"/>
      <c r="CH657" s="72"/>
      <c r="CI657" s="72"/>
      <c r="CJ657" s="72"/>
      <c r="CK657" s="72"/>
      <c r="CL657" s="72"/>
      <c r="CM657" s="72"/>
      <c r="CN657" s="72"/>
      <c r="CO657" s="72"/>
      <c r="CP657" s="72"/>
      <c r="CQ657" s="72"/>
      <c r="CR657" s="72"/>
      <c r="CS657" s="72"/>
      <c r="CT657" s="72"/>
      <c r="CU657" s="72"/>
      <c r="CV657" s="72"/>
      <c r="CW657" s="72"/>
      <c r="CX657" s="72"/>
      <c r="CY657" s="72"/>
      <c r="CZ657" s="72"/>
      <c r="DA657" s="72"/>
      <c r="DB657" s="72"/>
      <c r="DC657" s="72"/>
      <c r="DD657" s="72"/>
      <c r="DE657" s="72"/>
      <c r="DF657" s="72"/>
      <c r="DG657" s="72"/>
      <c r="DH657" s="72"/>
      <c r="DI657" s="72"/>
      <c r="DJ657" s="72"/>
      <c r="DK657" s="72"/>
      <c r="DL657" s="72"/>
      <c r="DM657" s="72"/>
      <c r="DN657" s="72"/>
      <c r="DO657" s="72"/>
      <c r="DP657" s="72"/>
      <c r="DQ657" s="72"/>
      <c r="DR657" s="72"/>
      <c r="DS657" s="72"/>
      <c r="DT657" s="72"/>
      <c r="DU657" s="72"/>
      <c r="DV657" s="72"/>
      <c r="DW657" s="72"/>
      <c r="DX657" s="72"/>
      <c r="DY657" s="72"/>
      <c r="DZ657" s="72"/>
      <c r="EA657" s="72"/>
      <c r="EB657" s="72"/>
      <c r="EC657" s="72"/>
      <c r="ED657" s="72"/>
      <c r="EE657" s="72"/>
      <c r="EF657" s="72"/>
      <c r="EG657" s="72"/>
      <c r="EH657" s="72"/>
      <c r="EI657" s="129"/>
      <c r="EJ657" s="129"/>
      <c r="EK657" s="129"/>
      <c r="EL657" s="129"/>
      <c r="EM657" s="72"/>
      <c r="EN657" s="72"/>
      <c r="EO657" s="72"/>
      <c r="EP657" s="72"/>
      <c r="EQ657" s="72"/>
      <c r="ER657" s="72"/>
      <c r="ES657" s="72"/>
      <c r="ET657" s="72"/>
    </row>
    <row r="658">
      <c r="CD658" s="72"/>
      <c r="CE658" s="72"/>
      <c r="CF658" s="72"/>
      <c r="CG658" s="72"/>
      <c r="CH658" s="72"/>
      <c r="CI658" s="72"/>
      <c r="CJ658" s="72"/>
      <c r="CK658" s="72"/>
      <c r="CL658" s="72"/>
      <c r="CM658" s="72"/>
      <c r="CN658" s="72"/>
      <c r="CO658" s="72"/>
      <c r="CP658" s="72"/>
      <c r="CQ658" s="72"/>
      <c r="CR658" s="72"/>
      <c r="CS658" s="72"/>
      <c r="CT658" s="72"/>
      <c r="CU658" s="72"/>
      <c r="CV658" s="72"/>
      <c r="CW658" s="72"/>
      <c r="CX658" s="72"/>
      <c r="CY658" s="72"/>
      <c r="CZ658" s="72"/>
      <c r="DA658" s="72"/>
      <c r="DB658" s="72"/>
      <c r="DC658" s="72"/>
      <c r="DD658" s="72"/>
      <c r="DE658" s="72"/>
      <c r="DF658" s="72"/>
      <c r="DG658" s="72"/>
      <c r="DH658" s="72"/>
      <c r="DI658" s="72"/>
      <c r="DJ658" s="72"/>
      <c r="DK658" s="72"/>
      <c r="DL658" s="72"/>
      <c r="DM658" s="72"/>
      <c r="DN658" s="72"/>
      <c r="DO658" s="72"/>
      <c r="DP658" s="72"/>
      <c r="DQ658" s="72"/>
      <c r="DR658" s="72"/>
      <c r="DS658" s="72"/>
      <c r="DT658" s="72"/>
      <c r="DU658" s="72"/>
      <c r="DV658" s="72"/>
      <c r="DW658" s="72"/>
      <c r="DX658" s="72"/>
      <c r="DY658" s="72"/>
      <c r="DZ658" s="72"/>
      <c r="EA658" s="72"/>
      <c r="EB658" s="72"/>
      <c r="EC658" s="72"/>
      <c r="ED658" s="72"/>
      <c r="EE658" s="72"/>
      <c r="EF658" s="72"/>
      <c r="EG658" s="72"/>
      <c r="EH658" s="72"/>
      <c r="EI658" s="129"/>
      <c r="EJ658" s="129"/>
      <c r="EK658" s="129"/>
      <c r="EL658" s="129"/>
      <c r="EM658" s="72"/>
      <c r="EN658" s="72"/>
      <c r="EO658" s="72"/>
      <c r="EP658" s="72"/>
      <c r="EQ658" s="72"/>
      <c r="ER658" s="72"/>
      <c r="ES658" s="72"/>
      <c r="ET658" s="72"/>
    </row>
    <row r="659">
      <c r="CD659" s="72"/>
      <c r="CE659" s="72"/>
      <c r="CF659" s="72"/>
      <c r="CG659" s="72"/>
      <c r="CH659" s="72"/>
      <c r="CI659" s="72"/>
      <c r="CJ659" s="72"/>
      <c r="CK659" s="72"/>
      <c r="CL659" s="72"/>
      <c r="CM659" s="72"/>
      <c r="CN659" s="72"/>
      <c r="CO659" s="72"/>
      <c r="CP659" s="72"/>
      <c r="CQ659" s="72"/>
      <c r="CR659" s="72"/>
      <c r="CS659" s="72"/>
      <c r="CT659" s="72"/>
      <c r="CU659" s="72"/>
      <c r="CV659" s="72"/>
      <c r="CW659" s="72"/>
      <c r="CX659" s="72"/>
      <c r="CY659" s="72"/>
      <c r="CZ659" s="72"/>
      <c r="DA659" s="72"/>
      <c r="DB659" s="72"/>
      <c r="DC659" s="72"/>
      <c r="DD659" s="72"/>
      <c r="DE659" s="72"/>
      <c r="DF659" s="72"/>
      <c r="DG659" s="72"/>
      <c r="DH659" s="72"/>
      <c r="DI659" s="72"/>
      <c r="DJ659" s="72"/>
      <c r="DK659" s="72"/>
      <c r="DL659" s="72"/>
      <c r="DM659" s="72"/>
      <c r="DN659" s="72"/>
      <c r="DO659" s="72"/>
      <c r="DP659" s="72"/>
      <c r="DQ659" s="72"/>
      <c r="DR659" s="72"/>
      <c r="DS659" s="72"/>
      <c r="DT659" s="72"/>
      <c r="DU659" s="72"/>
      <c r="DV659" s="72"/>
      <c r="DW659" s="72"/>
      <c r="DX659" s="72"/>
      <c r="DY659" s="72"/>
      <c r="DZ659" s="72"/>
      <c r="EA659" s="72"/>
      <c r="EB659" s="72"/>
      <c r="EC659" s="72"/>
      <c r="ED659" s="72"/>
      <c r="EE659" s="72"/>
      <c r="EF659" s="72"/>
      <c r="EG659" s="72"/>
      <c r="EH659" s="72"/>
      <c r="EI659" s="129"/>
      <c r="EJ659" s="129"/>
      <c r="EK659" s="129"/>
      <c r="EL659" s="129"/>
      <c r="EM659" s="72"/>
      <c r="EN659" s="72"/>
      <c r="EO659" s="72"/>
      <c r="EP659" s="72"/>
      <c r="EQ659" s="72"/>
      <c r="ER659" s="72"/>
      <c r="ES659" s="72"/>
      <c r="ET659" s="72"/>
    </row>
    <row r="660">
      <c r="CD660" s="72"/>
      <c r="CE660" s="72"/>
      <c r="CF660" s="72"/>
      <c r="CG660" s="72"/>
      <c r="CH660" s="72"/>
      <c r="CI660" s="72"/>
      <c r="CJ660" s="72"/>
      <c r="CK660" s="72"/>
      <c r="CL660" s="72"/>
      <c r="CM660" s="72"/>
      <c r="CN660" s="72"/>
      <c r="CO660" s="72"/>
      <c r="CP660" s="72"/>
      <c r="CQ660" s="72"/>
      <c r="CR660" s="72"/>
      <c r="CS660" s="72"/>
      <c r="CT660" s="72"/>
      <c r="CU660" s="72"/>
      <c r="CV660" s="72"/>
      <c r="CW660" s="72"/>
      <c r="CX660" s="72"/>
      <c r="CY660" s="72"/>
      <c r="CZ660" s="72"/>
      <c r="DA660" s="72"/>
      <c r="DB660" s="72"/>
      <c r="DC660" s="72"/>
      <c r="DD660" s="72"/>
      <c r="DE660" s="72"/>
      <c r="DF660" s="72"/>
      <c r="DG660" s="72"/>
      <c r="DH660" s="72"/>
      <c r="DI660" s="72"/>
      <c r="DJ660" s="72"/>
      <c r="DK660" s="72"/>
      <c r="DL660" s="72"/>
      <c r="DM660" s="72"/>
      <c r="DN660" s="72"/>
      <c r="DO660" s="72"/>
      <c r="DP660" s="72"/>
      <c r="DQ660" s="72"/>
      <c r="DR660" s="72"/>
      <c r="DS660" s="72"/>
      <c r="DT660" s="72"/>
      <c r="DU660" s="72"/>
      <c r="DV660" s="72"/>
      <c r="DW660" s="72"/>
      <c r="DX660" s="72"/>
      <c r="DY660" s="72"/>
      <c r="DZ660" s="72"/>
      <c r="EA660" s="72"/>
      <c r="EB660" s="72"/>
      <c r="EC660" s="72"/>
      <c r="ED660" s="72"/>
      <c r="EE660" s="72"/>
      <c r="EF660" s="72"/>
      <c r="EG660" s="72"/>
      <c r="EH660" s="72"/>
      <c r="EI660" s="129"/>
      <c r="EJ660" s="129"/>
      <c r="EK660" s="129"/>
      <c r="EL660" s="129"/>
      <c r="EM660" s="72"/>
      <c r="EN660" s="72"/>
      <c r="EO660" s="72"/>
      <c r="EP660" s="72"/>
      <c r="EQ660" s="72"/>
      <c r="ER660" s="72"/>
      <c r="ES660" s="72"/>
      <c r="ET660" s="72"/>
    </row>
    <row r="661">
      <c r="CD661" s="72"/>
      <c r="CE661" s="72"/>
      <c r="CF661" s="72"/>
      <c r="CG661" s="72"/>
      <c r="CH661" s="72"/>
      <c r="CI661" s="72"/>
      <c r="CJ661" s="72"/>
      <c r="CK661" s="72"/>
      <c r="CL661" s="72"/>
      <c r="CM661" s="72"/>
      <c r="CN661" s="72"/>
      <c r="CO661" s="72"/>
      <c r="CP661" s="72"/>
      <c r="CQ661" s="72"/>
      <c r="CR661" s="72"/>
      <c r="CS661" s="72"/>
      <c r="CT661" s="72"/>
      <c r="CU661" s="72"/>
      <c r="CV661" s="72"/>
      <c r="CW661" s="72"/>
      <c r="CX661" s="72"/>
      <c r="CY661" s="72"/>
      <c r="CZ661" s="72"/>
      <c r="DA661" s="72"/>
      <c r="DB661" s="72"/>
      <c r="DC661" s="72"/>
      <c r="DD661" s="72"/>
      <c r="DE661" s="72"/>
      <c r="DF661" s="72"/>
      <c r="DG661" s="72"/>
      <c r="DH661" s="72"/>
      <c r="DI661" s="72"/>
      <c r="DJ661" s="72"/>
      <c r="DK661" s="72"/>
      <c r="DL661" s="72"/>
      <c r="DM661" s="72"/>
      <c r="DN661" s="72"/>
      <c r="DO661" s="72"/>
      <c r="DP661" s="72"/>
      <c r="DQ661" s="72"/>
      <c r="DR661" s="72"/>
      <c r="DS661" s="72"/>
      <c r="DT661" s="72"/>
      <c r="DU661" s="72"/>
      <c r="DV661" s="72"/>
      <c r="DW661" s="72"/>
      <c r="DX661" s="72"/>
      <c r="DY661" s="72"/>
      <c r="DZ661" s="72"/>
      <c r="EA661" s="72"/>
      <c r="EB661" s="72"/>
      <c r="EC661" s="72"/>
      <c r="ED661" s="72"/>
      <c r="EE661" s="72"/>
      <c r="EF661" s="72"/>
      <c r="EG661" s="72"/>
      <c r="EH661" s="72"/>
      <c r="EI661" s="129"/>
      <c r="EJ661" s="129"/>
      <c r="EK661" s="129"/>
      <c r="EL661" s="129"/>
      <c r="EM661" s="72"/>
      <c r="EN661" s="72"/>
      <c r="EO661" s="72"/>
      <c r="EP661" s="72"/>
      <c r="EQ661" s="72"/>
      <c r="ER661" s="72"/>
      <c r="ES661" s="72"/>
      <c r="ET661" s="72"/>
    </row>
    <row r="662">
      <c r="CD662" s="72"/>
      <c r="CE662" s="72"/>
      <c r="CF662" s="72"/>
      <c r="CG662" s="72"/>
      <c r="CH662" s="72"/>
      <c r="CI662" s="72"/>
      <c r="CJ662" s="72"/>
      <c r="CK662" s="72"/>
      <c r="CL662" s="72"/>
      <c r="CM662" s="72"/>
      <c r="CN662" s="72"/>
      <c r="CO662" s="72"/>
      <c r="CP662" s="72"/>
      <c r="CQ662" s="72"/>
      <c r="CR662" s="72"/>
      <c r="CS662" s="72"/>
      <c r="CT662" s="72"/>
      <c r="CU662" s="72"/>
      <c r="CV662" s="72"/>
      <c r="CW662" s="72"/>
      <c r="CX662" s="72"/>
      <c r="CY662" s="72"/>
      <c r="CZ662" s="72"/>
      <c r="DA662" s="72"/>
      <c r="DB662" s="72"/>
      <c r="DC662" s="72"/>
      <c r="DD662" s="72"/>
      <c r="DE662" s="72"/>
      <c r="DF662" s="72"/>
      <c r="DG662" s="72"/>
      <c r="DH662" s="72"/>
      <c r="DI662" s="72"/>
      <c r="DJ662" s="72"/>
      <c r="DK662" s="72"/>
      <c r="DL662" s="72"/>
      <c r="DM662" s="72"/>
      <c r="DN662" s="72"/>
      <c r="DO662" s="72"/>
      <c r="DP662" s="72"/>
      <c r="DQ662" s="72"/>
      <c r="DR662" s="72"/>
      <c r="DS662" s="72"/>
      <c r="DT662" s="72"/>
      <c r="DU662" s="72"/>
      <c r="DV662" s="72"/>
      <c r="DW662" s="72"/>
      <c r="DX662" s="72"/>
      <c r="DY662" s="72"/>
      <c r="DZ662" s="72"/>
      <c r="EA662" s="72"/>
      <c r="EB662" s="72"/>
      <c r="EC662" s="72"/>
      <c r="ED662" s="72"/>
      <c r="EE662" s="72"/>
      <c r="EF662" s="72"/>
      <c r="EG662" s="72"/>
      <c r="EH662" s="72"/>
      <c r="EI662" s="129"/>
      <c r="EJ662" s="129"/>
      <c r="EK662" s="129"/>
      <c r="EL662" s="129"/>
      <c r="EM662" s="72"/>
      <c r="EN662" s="72"/>
      <c r="EO662" s="72"/>
      <c r="EP662" s="72"/>
      <c r="EQ662" s="72"/>
      <c r="ER662" s="72"/>
      <c r="ES662" s="72"/>
      <c r="ET662" s="72"/>
    </row>
    <row r="663">
      <c r="CD663" s="72"/>
      <c r="CE663" s="72"/>
      <c r="CF663" s="72"/>
      <c r="CG663" s="72"/>
      <c r="CH663" s="72"/>
      <c r="CI663" s="72"/>
      <c r="CJ663" s="72"/>
      <c r="CK663" s="72"/>
      <c r="CL663" s="72"/>
      <c r="CM663" s="72"/>
      <c r="CN663" s="72"/>
      <c r="CO663" s="72"/>
      <c r="CP663" s="72"/>
      <c r="CQ663" s="72"/>
      <c r="CR663" s="72"/>
      <c r="CS663" s="72"/>
      <c r="CT663" s="72"/>
      <c r="CU663" s="72"/>
      <c r="CV663" s="72"/>
      <c r="CW663" s="72"/>
      <c r="CX663" s="72"/>
      <c r="CY663" s="72"/>
      <c r="CZ663" s="72"/>
      <c r="DA663" s="72"/>
      <c r="DB663" s="72"/>
      <c r="DC663" s="72"/>
      <c r="DD663" s="72"/>
      <c r="DE663" s="72"/>
      <c r="DF663" s="72"/>
      <c r="DG663" s="72"/>
      <c r="DH663" s="72"/>
      <c r="DI663" s="72"/>
      <c r="DJ663" s="72"/>
      <c r="DK663" s="72"/>
      <c r="DL663" s="72"/>
      <c r="DM663" s="72"/>
      <c r="DN663" s="72"/>
      <c r="DO663" s="72"/>
      <c r="DP663" s="72"/>
      <c r="DQ663" s="72"/>
      <c r="DR663" s="72"/>
      <c r="DS663" s="72"/>
      <c r="DT663" s="72"/>
      <c r="DU663" s="72"/>
      <c r="DV663" s="72"/>
      <c r="DW663" s="72"/>
      <c r="DX663" s="72"/>
      <c r="DY663" s="72"/>
      <c r="DZ663" s="72"/>
      <c r="EA663" s="72"/>
      <c r="EB663" s="72"/>
      <c r="EC663" s="72"/>
      <c r="ED663" s="72"/>
      <c r="EE663" s="72"/>
      <c r="EF663" s="72"/>
      <c r="EG663" s="72"/>
      <c r="EH663" s="72"/>
      <c r="EI663" s="129"/>
      <c r="EJ663" s="129"/>
      <c r="EK663" s="129"/>
      <c r="EL663" s="129"/>
      <c r="EM663" s="72"/>
      <c r="EN663" s="72"/>
      <c r="EO663" s="72"/>
      <c r="EP663" s="72"/>
      <c r="EQ663" s="72"/>
      <c r="ER663" s="72"/>
      <c r="ES663" s="72"/>
      <c r="ET663" s="72"/>
    </row>
    <row r="664">
      <c r="CD664" s="72"/>
      <c r="CE664" s="72"/>
      <c r="CF664" s="72"/>
      <c r="CG664" s="72"/>
      <c r="CH664" s="72"/>
      <c r="CI664" s="72"/>
      <c r="CJ664" s="72"/>
      <c r="CK664" s="72"/>
      <c r="CL664" s="72"/>
      <c r="CM664" s="72"/>
      <c r="CN664" s="72"/>
      <c r="CO664" s="72"/>
      <c r="CP664" s="72"/>
      <c r="CQ664" s="72"/>
      <c r="CR664" s="72"/>
      <c r="CS664" s="72"/>
      <c r="CT664" s="72"/>
      <c r="CU664" s="72"/>
      <c r="CV664" s="72"/>
      <c r="CW664" s="72"/>
      <c r="CX664" s="72"/>
      <c r="CY664" s="72"/>
      <c r="CZ664" s="72"/>
      <c r="DA664" s="72"/>
      <c r="DB664" s="72"/>
      <c r="DC664" s="72"/>
      <c r="DD664" s="72"/>
      <c r="DE664" s="72"/>
      <c r="DF664" s="72"/>
      <c r="DG664" s="72"/>
      <c r="DH664" s="72"/>
      <c r="DI664" s="72"/>
      <c r="DJ664" s="72"/>
      <c r="DK664" s="72"/>
      <c r="DL664" s="72"/>
      <c r="DM664" s="72"/>
      <c r="DN664" s="72"/>
      <c r="DO664" s="72"/>
      <c r="DP664" s="72"/>
      <c r="DQ664" s="72"/>
      <c r="DR664" s="72"/>
      <c r="DS664" s="72"/>
      <c r="DT664" s="72"/>
      <c r="DU664" s="72"/>
      <c r="DV664" s="72"/>
      <c r="DW664" s="72"/>
      <c r="DX664" s="72"/>
      <c r="DY664" s="72"/>
      <c r="DZ664" s="72"/>
      <c r="EA664" s="72"/>
      <c r="EB664" s="72"/>
      <c r="EC664" s="72"/>
      <c r="ED664" s="72"/>
      <c r="EE664" s="72"/>
      <c r="EF664" s="72"/>
      <c r="EG664" s="72"/>
      <c r="EH664" s="72"/>
      <c r="EI664" s="129"/>
      <c r="EJ664" s="129"/>
      <c r="EK664" s="129"/>
      <c r="EL664" s="129"/>
      <c r="EM664" s="72"/>
      <c r="EN664" s="72"/>
      <c r="EO664" s="72"/>
      <c r="EP664" s="72"/>
      <c r="EQ664" s="72"/>
      <c r="ER664" s="72"/>
      <c r="ES664" s="72"/>
      <c r="ET664" s="72"/>
    </row>
    <row r="665">
      <c r="CD665" s="72"/>
      <c r="CE665" s="72"/>
      <c r="CF665" s="72"/>
      <c r="CG665" s="72"/>
      <c r="CH665" s="72"/>
      <c r="CI665" s="72"/>
      <c r="CJ665" s="72"/>
      <c r="CK665" s="72"/>
      <c r="CL665" s="72"/>
      <c r="CM665" s="72"/>
      <c r="CN665" s="72"/>
      <c r="CO665" s="72"/>
      <c r="CP665" s="72"/>
      <c r="CQ665" s="72"/>
      <c r="CR665" s="72"/>
      <c r="CS665" s="72"/>
      <c r="CT665" s="72"/>
      <c r="CU665" s="72"/>
      <c r="CV665" s="72"/>
      <c r="CW665" s="72"/>
      <c r="CX665" s="72"/>
      <c r="CY665" s="72"/>
      <c r="CZ665" s="72"/>
      <c r="DA665" s="72"/>
      <c r="DB665" s="72"/>
      <c r="DC665" s="72"/>
      <c r="DD665" s="72"/>
      <c r="DE665" s="72"/>
      <c r="DF665" s="72"/>
      <c r="DG665" s="72"/>
      <c r="DH665" s="72"/>
      <c r="DI665" s="72"/>
      <c r="DJ665" s="72"/>
      <c r="DK665" s="72"/>
      <c r="DL665" s="72"/>
      <c r="DM665" s="72"/>
      <c r="DN665" s="72"/>
      <c r="DO665" s="72"/>
      <c r="DP665" s="72"/>
      <c r="DQ665" s="72"/>
      <c r="DR665" s="72"/>
      <c r="DS665" s="72"/>
      <c r="DT665" s="72"/>
      <c r="DU665" s="72"/>
      <c r="DV665" s="72"/>
      <c r="DW665" s="72"/>
      <c r="DX665" s="72"/>
      <c r="DY665" s="72"/>
      <c r="DZ665" s="72"/>
      <c r="EA665" s="72"/>
      <c r="EB665" s="72"/>
      <c r="EC665" s="72"/>
      <c r="ED665" s="72"/>
      <c r="EE665" s="72"/>
      <c r="EF665" s="72"/>
      <c r="EG665" s="72"/>
      <c r="EH665" s="72"/>
      <c r="EI665" s="129"/>
      <c r="EJ665" s="129"/>
      <c r="EK665" s="129"/>
      <c r="EL665" s="129"/>
      <c r="EM665" s="72"/>
      <c r="EN665" s="72"/>
      <c r="EO665" s="72"/>
      <c r="EP665" s="72"/>
      <c r="EQ665" s="72"/>
      <c r="ER665" s="72"/>
      <c r="ES665" s="72"/>
      <c r="ET665" s="72"/>
    </row>
    <row r="666">
      <c r="CD666" s="72"/>
      <c r="CE666" s="72"/>
      <c r="CF666" s="72"/>
      <c r="CG666" s="72"/>
      <c r="CH666" s="72"/>
      <c r="CI666" s="72"/>
      <c r="CJ666" s="72"/>
      <c r="CK666" s="72"/>
      <c r="CL666" s="72"/>
      <c r="CM666" s="72"/>
      <c r="CN666" s="72"/>
      <c r="CO666" s="72"/>
      <c r="CP666" s="72"/>
      <c r="CQ666" s="72"/>
      <c r="CR666" s="72"/>
      <c r="CS666" s="72"/>
      <c r="CT666" s="72"/>
      <c r="CU666" s="72"/>
      <c r="CV666" s="72"/>
      <c r="CW666" s="72"/>
      <c r="CX666" s="72"/>
      <c r="CY666" s="72"/>
      <c r="CZ666" s="72"/>
      <c r="DA666" s="72"/>
      <c r="DB666" s="72"/>
      <c r="DC666" s="72"/>
      <c r="DD666" s="72"/>
      <c r="DE666" s="72"/>
      <c r="DF666" s="72"/>
      <c r="DG666" s="72"/>
      <c r="DH666" s="72"/>
      <c r="DI666" s="72"/>
      <c r="DJ666" s="72"/>
      <c r="DK666" s="72"/>
      <c r="DL666" s="72"/>
      <c r="DM666" s="72"/>
      <c r="DN666" s="72"/>
      <c r="DO666" s="72"/>
      <c r="DP666" s="72"/>
      <c r="DQ666" s="72"/>
      <c r="DR666" s="72"/>
      <c r="DS666" s="72"/>
      <c r="DT666" s="72"/>
      <c r="DU666" s="72"/>
      <c r="DV666" s="72"/>
      <c r="DW666" s="72"/>
      <c r="DX666" s="72"/>
      <c r="DY666" s="72"/>
      <c r="DZ666" s="72"/>
      <c r="EA666" s="72"/>
      <c r="EB666" s="72"/>
      <c r="EC666" s="72"/>
      <c r="ED666" s="72"/>
      <c r="EE666" s="72"/>
      <c r="EF666" s="72"/>
      <c r="EG666" s="72"/>
      <c r="EH666" s="72"/>
      <c r="EI666" s="129"/>
      <c r="EJ666" s="129"/>
      <c r="EK666" s="129"/>
      <c r="EL666" s="129"/>
      <c r="EM666" s="72"/>
      <c r="EN666" s="72"/>
      <c r="EO666" s="72"/>
      <c r="EP666" s="72"/>
      <c r="EQ666" s="72"/>
      <c r="ER666" s="72"/>
      <c r="ES666" s="72"/>
      <c r="ET666" s="72"/>
    </row>
    <row r="667">
      <c r="CD667" s="72"/>
      <c r="CE667" s="72"/>
      <c r="CF667" s="72"/>
      <c r="CG667" s="72"/>
      <c r="CH667" s="72"/>
      <c r="CI667" s="72"/>
      <c r="CJ667" s="72"/>
      <c r="CK667" s="72"/>
      <c r="CL667" s="72"/>
      <c r="CM667" s="72"/>
      <c r="CN667" s="72"/>
      <c r="CO667" s="72"/>
      <c r="CP667" s="72"/>
      <c r="CQ667" s="72"/>
      <c r="CR667" s="72"/>
      <c r="CS667" s="72"/>
      <c r="CT667" s="72"/>
      <c r="CU667" s="72"/>
      <c r="CV667" s="72"/>
      <c r="CW667" s="72"/>
      <c r="CX667" s="72"/>
      <c r="CY667" s="72"/>
      <c r="CZ667" s="72"/>
      <c r="DA667" s="72"/>
      <c r="DB667" s="72"/>
      <c r="DC667" s="72"/>
      <c r="DD667" s="72"/>
      <c r="DE667" s="72"/>
      <c r="DF667" s="72"/>
      <c r="DG667" s="72"/>
      <c r="DH667" s="72"/>
      <c r="DI667" s="72"/>
      <c r="DJ667" s="72"/>
      <c r="DK667" s="72"/>
      <c r="DL667" s="72"/>
      <c r="DM667" s="72"/>
      <c r="DN667" s="72"/>
      <c r="DO667" s="72"/>
      <c r="DP667" s="72"/>
      <c r="DQ667" s="72"/>
      <c r="DR667" s="72"/>
      <c r="DS667" s="72"/>
      <c r="DT667" s="72"/>
      <c r="DU667" s="72"/>
      <c r="DV667" s="72"/>
      <c r="DW667" s="72"/>
      <c r="DX667" s="72"/>
      <c r="DY667" s="72"/>
      <c r="DZ667" s="72"/>
      <c r="EA667" s="72"/>
      <c r="EB667" s="72"/>
      <c r="EC667" s="72"/>
      <c r="ED667" s="72"/>
      <c r="EE667" s="72"/>
      <c r="EF667" s="72"/>
      <c r="EG667" s="72"/>
      <c r="EH667" s="72"/>
      <c r="EI667" s="129"/>
      <c r="EJ667" s="129"/>
      <c r="EK667" s="129"/>
      <c r="EL667" s="129"/>
      <c r="EM667" s="72"/>
      <c r="EN667" s="72"/>
      <c r="EO667" s="72"/>
      <c r="EP667" s="72"/>
      <c r="EQ667" s="72"/>
      <c r="ER667" s="72"/>
      <c r="ES667" s="72"/>
      <c r="ET667" s="72"/>
    </row>
    <row r="668">
      <c r="CD668" s="72"/>
      <c r="CE668" s="72"/>
      <c r="CF668" s="72"/>
      <c r="CG668" s="72"/>
      <c r="CH668" s="72"/>
      <c r="CI668" s="72"/>
      <c r="CJ668" s="72"/>
      <c r="CK668" s="72"/>
      <c r="CL668" s="72"/>
      <c r="CM668" s="72"/>
      <c r="CN668" s="72"/>
      <c r="CO668" s="72"/>
      <c r="CP668" s="72"/>
      <c r="CQ668" s="72"/>
      <c r="CR668" s="72"/>
      <c r="CS668" s="72"/>
      <c r="CT668" s="72"/>
      <c r="CU668" s="72"/>
      <c r="CV668" s="72"/>
      <c r="CW668" s="72"/>
      <c r="CX668" s="72"/>
      <c r="CY668" s="72"/>
      <c r="CZ668" s="72"/>
      <c r="DA668" s="72"/>
      <c r="DB668" s="72"/>
      <c r="DC668" s="72"/>
      <c r="DD668" s="72"/>
      <c r="DE668" s="72"/>
      <c r="DF668" s="72"/>
      <c r="DG668" s="72"/>
      <c r="DH668" s="72"/>
      <c r="DI668" s="72"/>
      <c r="DJ668" s="72"/>
      <c r="DK668" s="72"/>
      <c r="DL668" s="72"/>
      <c r="DM668" s="72"/>
      <c r="DN668" s="72"/>
      <c r="DO668" s="72"/>
      <c r="DP668" s="72"/>
      <c r="DQ668" s="72"/>
      <c r="DR668" s="72"/>
      <c r="DS668" s="72"/>
      <c r="DT668" s="72"/>
      <c r="DU668" s="72"/>
      <c r="DV668" s="72"/>
      <c r="DW668" s="72"/>
      <c r="DX668" s="72"/>
      <c r="DY668" s="72"/>
      <c r="DZ668" s="72"/>
      <c r="EA668" s="72"/>
      <c r="EB668" s="72"/>
      <c r="EC668" s="72"/>
      <c r="ED668" s="72"/>
      <c r="EE668" s="72"/>
      <c r="EF668" s="72"/>
      <c r="EG668" s="72"/>
      <c r="EH668" s="72"/>
      <c r="EI668" s="129"/>
      <c r="EJ668" s="129"/>
      <c r="EK668" s="129"/>
      <c r="EL668" s="129"/>
      <c r="EM668" s="72"/>
      <c r="EN668" s="72"/>
      <c r="EO668" s="72"/>
      <c r="EP668" s="72"/>
      <c r="EQ668" s="72"/>
      <c r="ER668" s="72"/>
      <c r="ES668" s="72"/>
      <c r="ET668" s="72"/>
    </row>
    <row r="669">
      <c r="CD669" s="72"/>
      <c r="CE669" s="72"/>
      <c r="CF669" s="72"/>
      <c r="CG669" s="72"/>
      <c r="CH669" s="72"/>
      <c r="CI669" s="72"/>
      <c r="CJ669" s="72"/>
      <c r="CK669" s="72"/>
      <c r="CL669" s="72"/>
      <c r="CM669" s="72"/>
      <c r="CN669" s="72"/>
      <c r="CO669" s="72"/>
      <c r="CP669" s="72"/>
      <c r="CQ669" s="72"/>
      <c r="CR669" s="72"/>
      <c r="CS669" s="72"/>
      <c r="CT669" s="72"/>
      <c r="CU669" s="72"/>
      <c r="CV669" s="72"/>
      <c r="CW669" s="72"/>
      <c r="CX669" s="72"/>
      <c r="CY669" s="72"/>
      <c r="CZ669" s="72"/>
      <c r="DA669" s="72"/>
      <c r="DB669" s="72"/>
      <c r="DC669" s="72"/>
      <c r="DD669" s="72"/>
      <c r="DE669" s="72"/>
      <c r="DF669" s="72"/>
      <c r="DG669" s="72"/>
      <c r="DH669" s="72"/>
      <c r="DI669" s="72"/>
      <c r="DJ669" s="72"/>
      <c r="DK669" s="72"/>
      <c r="DL669" s="72"/>
      <c r="DM669" s="72"/>
      <c r="DN669" s="72"/>
      <c r="DO669" s="72"/>
      <c r="DP669" s="72"/>
      <c r="DQ669" s="72"/>
      <c r="DR669" s="72"/>
      <c r="DS669" s="72"/>
      <c r="DT669" s="72"/>
      <c r="DU669" s="72"/>
      <c r="DV669" s="72"/>
      <c r="DW669" s="72"/>
      <c r="DX669" s="72"/>
      <c r="DY669" s="72"/>
      <c r="DZ669" s="72"/>
      <c r="EA669" s="72"/>
      <c r="EB669" s="72"/>
      <c r="EC669" s="72"/>
      <c r="ED669" s="72"/>
      <c r="EE669" s="72"/>
      <c r="EF669" s="72"/>
      <c r="EG669" s="72"/>
      <c r="EH669" s="72"/>
      <c r="EI669" s="129"/>
      <c r="EJ669" s="129"/>
      <c r="EK669" s="129"/>
      <c r="EL669" s="129"/>
      <c r="EM669" s="72"/>
      <c r="EN669" s="72"/>
      <c r="EO669" s="72"/>
      <c r="EP669" s="72"/>
      <c r="EQ669" s="72"/>
      <c r="ER669" s="72"/>
      <c r="ES669" s="72"/>
      <c r="ET669" s="72"/>
    </row>
    <row r="670">
      <c r="CD670" s="72"/>
      <c r="CE670" s="72"/>
      <c r="CF670" s="72"/>
      <c r="CG670" s="72"/>
      <c r="CH670" s="72"/>
      <c r="CI670" s="72"/>
      <c r="CJ670" s="72"/>
      <c r="CK670" s="72"/>
      <c r="CL670" s="72"/>
      <c r="CM670" s="72"/>
      <c r="CN670" s="72"/>
      <c r="CO670" s="72"/>
      <c r="CP670" s="72"/>
      <c r="CQ670" s="72"/>
      <c r="CR670" s="72"/>
      <c r="CS670" s="72"/>
      <c r="CT670" s="72"/>
      <c r="CU670" s="72"/>
      <c r="CV670" s="72"/>
      <c r="CW670" s="72"/>
      <c r="CX670" s="72"/>
      <c r="CY670" s="72"/>
      <c r="CZ670" s="72"/>
      <c r="DA670" s="72"/>
      <c r="DB670" s="72"/>
      <c r="DC670" s="72"/>
      <c r="DD670" s="72"/>
      <c r="DE670" s="72"/>
      <c r="DF670" s="72"/>
      <c r="DG670" s="72"/>
      <c r="DH670" s="72"/>
      <c r="DI670" s="72"/>
      <c r="DJ670" s="72"/>
      <c r="DK670" s="72"/>
      <c r="DL670" s="72"/>
      <c r="DM670" s="72"/>
      <c r="DN670" s="72"/>
      <c r="DO670" s="72"/>
      <c r="DP670" s="72"/>
      <c r="DQ670" s="72"/>
      <c r="DR670" s="72"/>
      <c r="DS670" s="72"/>
      <c r="DT670" s="72"/>
      <c r="DU670" s="72"/>
      <c r="DV670" s="72"/>
      <c r="DW670" s="72"/>
      <c r="DX670" s="72"/>
      <c r="DY670" s="72"/>
      <c r="DZ670" s="72"/>
      <c r="EA670" s="72"/>
      <c r="EB670" s="72"/>
      <c r="EC670" s="72"/>
      <c r="ED670" s="72"/>
      <c r="EE670" s="72"/>
      <c r="EF670" s="72"/>
      <c r="EG670" s="72"/>
      <c r="EH670" s="72"/>
      <c r="EI670" s="129"/>
      <c r="EJ670" s="129"/>
      <c r="EK670" s="129"/>
      <c r="EL670" s="129"/>
      <c r="EM670" s="72"/>
      <c r="EN670" s="72"/>
      <c r="EO670" s="72"/>
      <c r="EP670" s="72"/>
      <c r="EQ670" s="72"/>
      <c r="ER670" s="72"/>
      <c r="ES670" s="72"/>
      <c r="ET670" s="72"/>
    </row>
    <row r="671">
      <c r="CD671" s="72"/>
      <c r="CE671" s="72"/>
      <c r="CF671" s="72"/>
      <c r="CG671" s="72"/>
      <c r="CH671" s="72"/>
      <c r="CI671" s="72"/>
      <c r="CJ671" s="72"/>
      <c r="CK671" s="72"/>
      <c r="CL671" s="72"/>
      <c r="CM671" s="72"/>
      <c r="CN671" s="72"/>
      <c r="CO671" s="72"/>
      <c r="CP671" s="72"/>
      <c r="CQ671" s="72"/>
      <c r="CR671" s="72"/>
      <c r="CS671" s="72"/>
      <c r="CT671" s="72"/>
      <c r="CU671" s="72"/>
      <c r="CV671" s="72"/>
      <c r="CW671" s="72"/>
      <c r="CX671" s="72"/>
      <c r="CY671" s="72"/>
      <c r="CZ671" s="72"/>
      <c r="DA671" s="72"/>
      <c r="DB671" s="72"/>
      <c r="DC671" s="72"/>
      <c r="DD671" s="72"/>
      <c r="DE671" s="72"/>
      <c r="DF671" s="72"/>
      <c r="DG671" s="72"/>
      <c r="DH671" s="72"/>
      <c r="DI671" s="72"/>
      <c r="DJ671" s="72"/>
      <c r="DK671" s="72"/>
      <c r="DL671" s="72"/>
      <c r="DM671" s="72"/>
      <c r="DN671" s="72"/>
      <c r="DO671" s="72"/>
      <c r="DP671" s="72"/>
      <c r="DQ671" s="72"/>
      <c r="DR671" s="72"/>
      <c r="DS671" s="72"/>
      <c r="DT671" s="72"/>
      <c r="DU671" s="72"/>
      <c r="DV671" s="72"/>
      <c r="DW671" s="72"/>
      <c r="DX671" s="72"/>
      <c r="DY671" s="72"/>
      <c r="DZ671" s="72"/>
      <c r="EA671" s="72"/>
      <c r="EB671" s="72"/>
      <c r="EC671" s="72"/>
      <c r="ED671" s="72"/>
      <c r="EE671" s="72"/>
      <c r="EF671" s="72"/>
      <c r="EG671" s="72"/>
      <c r="EH671" s="72"/>
      <c r="EI671" s="129"/>
      <c r="EJ671" s="129"/>
      <c r="EK671" s="129"/>
      <c r="EL671" s="129"/>
      <c r="EM671" s="72"/>
      <c r="EN671" s="72"/>
      <c r="EO671" s="72"/>
      <c r="EP671" s="72"/>
      <c r="EQ671" s="72"/>
      <c r="ER671" s="72"/>
      <c r="ES671" s="72"/>
      <c r="ET671" s="72"/>
    </row>
    <row r="672">
      <c r="CD672" s="72"/>
      <c r="CE672" s="72"/>
      <c r="CF672" s="72"/>
      <c r="CG672" s="72"/>
      <c r="CH672" s="72"/>
      <c r="CI672" s="72"/>
      <c r="CJ672" s="72"/>
      <c r="CK672" s="72"/>
      <c r="CL672" s="72"/>
      <c r="CM672" s="72"/>
      <c r="CN672" s="72"/>
      <c r="CO672" s="72"/>
      <c r="CP672" s="72"/>
      <c r="CQ672" s="72"/>
      <c r="CR672" s="72"/>
      <c r="CS672" s="72"/>
      <c r="CT672" s="72"/>
      <c r="CU672" s="72"/>
      <c r="CV672" s="72"/>
      <c r="CW672" s="72"/>
      <c r="CX672" s="72"/>
      <c r="CY672" s="72"/>
      <c r="CZ672" s="72"/>
      <c r="DA672" s="72"/>
      <c r="DB672" s="72"/>
      <c r="DC672" s="72"/>
      <c r="DD672" s="72"/>
      <c r="DE672" s="72"/>
      <c r="DF672" s="72"/>
      <c r="DG672" s="72"/>
      <c r="DH672" s="72"/>
      <c r="DI672" s="72"/>
      <c r="DJ672" s="72"/>
      <c r="DK672" s="72"/>
      <c r="DL672" s="72"/>
      <c r="DM672" s="72"/>
      <c r="DN672" s="72"/>
      <c r="DO672" s="72"/>
      <c r="DP672" s="72"/>
      <c r="DQ672" s="72"/>
      <c r="DR672" s="72"/>
      <c r="DS672" s="72"/>
      <c r="DT672" s="72"/>
      <c r="DU672" s="72"/>
      <c r="DV672" s="72"/>
      <c r="DW672" s="72"/>
      <c r="DX672" s="72"/>
      <c r="DY672" s="72"/>
      <c r="DZ672" s="72"/>
      <c r="EA672" s="72"/>
      <c r="EB672" s="72"/>
      <c r="EC672" s="72"/>
      <c r="ED672" s="72"/>
      <c r="EE672" s="72"/>
      <c r="EF672" s="72"/>
      <c r="EG672" s="72"/>
      <c r="EH672" s="72"/>
      <c r="EI672" s="129"/>
      <c r="EJ672" s="129"/>
      <c r="EK672" s="129"/>
      <c r="EL672" s="129"/>
      <c r="EM672" s="72"/>
      <c r="EN672" s="72"/>
      <c r="EO672" s="72"/>
      <c r="EP672" s="72"/>
      <c r="EQ672" s="72"/>
      <c r="ER672" s="72"/>
      <c r="ES672" s="72"/>
      <c r="ET672" s="72"/>
    </row>
    <row r="673">
      <c r="CD673" s="72"/>
      <c r="CE673" s="72"/>
      <c r="CF673" s="72"/>
      <c r="CG673" s="72"/>
      <c r="CH673" s="72"/>
      <c r="CI673" s="72"/>
      <c r="CJ673" s="72"/>
      <c r="CK673" s="72"/>
      <c r="CL673" s="72"/>
      <c r="CM673" s="72"/>
      <c r="CN673" s="72"/>
      <c r="CO673" s="72"/>
      <c r="CP673" s="72"/>
      <c r="CQ673" s="72"/>
      <c r="CR673" s="72"/>
      <c r="CS673" s="72"/>
      <c r="CT673" s="72"/>
      <c r="CU673" s="72"/>
      <c r="CV673" s="72"/>
      <c r="CW673" s="72"/>
      <c r="CX673" s="72"/>
      <c r="CY673" s="72"/>
      <c r="CZ673" s="72"/>
      <c r="DA673" s="72"/>
      <c r="DB673" s="72"/>
      <c r="DC673" s="72"/>
      <c r="DD673" s="72"/>
      <c r="DE673" s="72"/>
      <c r="DF673" s="72"/>
      <c r="DG673" s="72"/>
      <c r="DH673" s="72"/>
      <c r="DI673" s="72"/>
      <c r="DJ673" s="72"/>
      <c r="DK673" s="72"/>
      <c r="DL673" s="72"/>
      <c r="DM673" s="72"/>
      <c r="DN673" s="72"/>
      <c r="DO673" s="72"/>
      <c r="DP673" s="72"/>
      <c r="DQ673" s="72"/>
      <c r="DR673" s="72"/>
      <c r="DS673" s="72"/>
      <c r="DT673" s="72"/>
      <c r="DU673" s="72"/>
      <c r="DV673" s="72"/>
      <c r="DW673" s="72"/>
      <c r="DX673" s="72"/>
      <c r="DY673" s="72"/>
      <c r="DZ673" s="72"/>
      <c r="EA673" s="72"/>
      <c r="EB673" s="72"/>
      <c r="EC673" s="72"/>
      <c r="ED673" s="72"/>
      <c r="EE673" s="72"/>
      <c r="EF673" s="72"/>
      <c r="EG673" s="72"/>
      <c r="EH673" s="72"/>
      <c r="EI673" s="129"/>
      <c r="EJ673" s="129"/>
      <c r="EK673" s="129"/>
      <c r="EL673" s="129"/>
      <c r="EM673" s="72"/>
      <c r="EN673" s="72"/>
      <c r="EO673" s="72"/>
      <c r="EP673" s="72"/>
      <c r="EQ673" s="72"/>
      <c r="ER673" s="72"/>
      <c r="ES673" s="72"/>
      <c r="ET673" s="72"/>
    </row>
    <row r="674">
      <c r="CD674" s="72"/>
      <c r="CE674" s="72"/>
      <c r="CF674" s="72"/>
      <c r="CG674" s="72"/>
      <c r="CH674" s="72"/>
      <c r="CI674" s="72"/>
      <c r="CJ674" s="72"/>
      <c r="CK674" s="72"/>
      <c r="CL674" s="72"/>
      <c r="CM674" s="72"/>
      <c r="CN674" s="72"/>
      <c r="CO674" s="72"/>
      <c r="CP674" s="72"/>
      <c r="CQ674" s="72"/>
      <c r="CR674" s="72"/>
      <c r="CS674" s="72"/>
      <c r="CT674" s="72"/>
      <c r="CU674" s="72"/>
      <c r="CV674" s="72"/>
      <c r="CW674" s="72"/>
      <c r="CX674" s="72"/>
      <c r="CY674" s="72"/>
      <c r="CZ674" s="72"/>
      <c r="DA674" s="72"/>
      <c r="DB674" s="72"/>
      <c r="DC674" s="72"/>
      <c r="DD674" s="72"/>
      <c r="DE674" s="72"/>
      <c r="DF674" s="72"/>
      <c r="DG674" s="72"/>
      <c r="DH674" s="72"/>
      <c r="DI674" s="72"/>
      <c r="DJ674" s="72"/>
      <c r="DK674" s="72"/>
      <c r="DL674" s="72"/>
      <c r="DM674" s="72"/>
      <c r="DN674" s="72"/>
      <c r="DO674" s="72"/>
      <c r="DP674" s="72"/>
      <c r="DQ674" s="72"/>
      <c r="DR674" s="72"/>
      <c r="DS674" s="72"/>
      <c r="DT674" s="72"/>
      <c r="DU674" s="72"/>
      <c r="DV674" s="72"/>
      <c r="DW674" s="72"/>
      <c r="DX674" s="72"/>
      <c r="DY674" s="72"/>
      <c r="DZ674" s="72"/>
      <c r="EA674" s="72"/>
      <c r="EB674" s="72"/>
      <c r="EC674" s="72"/>
      <c r="ED674" s="72"/>
      <c r="EE674" s="72"/>
      <c r="EF674" s="72"/>
      <c r="EG674" s="72"/>
      <c r="EH674" s="72"/>
      <c r="EI674" s="129"/>
      <c r="EJ674" s="129"/>
      <c r="EK674" s="129"/>
      <c r="EL674" s="129"/>
      <c r="EM674" s="72"/>
      <c r="EN674" s="72"/>
      <c r="EO674" s="72"/>
      <c r="EP674" s="72"/>
      <c r="EQ674" s="72"/>
      <c r="ER674" s="72"/>
      <c r="ES674" s="72"/>
      <c r="ET674" s="72"/>
    </row>
    <row r="675">
      <c r="CD675" s="72"/>
      <c r="CE675" s="72"/>
      <c r="CF675" s="72"/>
      <c r="CG675" s="72"/>
      <c r="CH675" s="72"/>
      <c r="CI675" s="72"/>
      <c r="CJ675" s="72"/>
      <c r="CK675" s="72"/>
      <c r="CL675" s="72"/>
      <c r="CM675" s="72"/>
      <c r="CN675" s="72"/>
      <c r="CO675" s="72"/>
      <c r="CP675" s="72"/>
      <c r="CQ675" s="72"/>
      <c r="CR675" s="72"/>
      <c r="CS675" s="72"/>
      <c r="CT675" s="72"/>
      <c r="CU675" s="72"/>
      <c r="CV675" s="72"/>
      <c r="CW675" s="72"/>
      <c r="CX675" s="72"/>
      <c r="CY675" s="72"/>
      <c r="CZ675" s="72"/>
      <c r="DA675" s="72"/>
      <c r="DB675" s="72"/>
      <c r="DC675" s="72"/>
      <c r="DD675" s="72"/>
      <c r="DE675" s="72"/>
      <c r="DF675" s="72"/>
      <c r="DG675" s="72"/>
      <c r="DH675" s="72"/>
      <c r="DI675" s="72"/>
      <c r="DJ675" s="72"/>
      <c r="DK675" s="72"/>
      <c r="DL675" s="72"/>
      <c r="DM675" s="72"/>
      <c r="DN675" s="72"/>
      <c r="DO675" s="72"/>
      <c r="DP675" s="72"/>
      <c r="DQ675" s="72"/>
      <c r="DR675" s="72"/>
      <c r="DS675" s="72"/>
      <c r="DT675" s="72"/>
      <c r="DU675" s="72"/>
      <c r="DV675" s="72"/>
      <c r="DW675" s="72"/>
      <c r="DX675" s="72"/>
      <c r="DY675" s="72"/>
      <c r="DZ675" s="72"/>
      <c r="EA675" s="72"/>
      <c r="EB675" s="72"/>
      <c r="EC675" s="72"/>
      <c r="ED675" s="72"/>
      <c r="EE675" s="72"/>
      <c r="EF675" s="72"/>
      <c r="EG675" s="72"/>
      <c r="EH675" s="72"/>
      <c r="EI675" s="129"/>
      <c r="EJ675" s="129"/>
      <c r="EK675" s="129"/>
      <c r="EL675" s="129"/>
      <c r="EM675" s="72"/>
      <c r="EN675" s="72"/>
      <c r="EO675" s="72"/>
      <c r="EP675" s="72"/>
      <c r="EQ675" s="72"/>
      <c r="ER675" s="72"/>
      <c r="ES675" s="72"/>
      <c r="ET675" s="72"/>
    </row>
    <row r="676">
      <c r="CD676" s="72"/>
      <c r="CE676" s="72"/>
      <c r="CF676" s="72"/>
      <c r="CG676" s="72"/>
      <c r="CH676" s="72"/>
      <c r="CI676" s="72"/>
      <c r="CJ676" s="72"/>
      <c r="CK676" s="72"/>
      <c r="CL676" s="72"/>
      <c r="CM676" s="72"/>
      <c r="CN676" s="72"/>
      <c r="CO676" s="72"/>
      <c r="CP676" s="72"/>
      <c r="CQ676" s="72"/>
      <c r="CR676" s="72"/>
      <c r="CS676" s="72"/>
      <c r="CT676" s="72"/>
      <c r="CU676" s="72"/>
      <c r="CV676" s="72"/>
      <c r="CW676" s="72"/>
      <c r="CX676" s="72"/>
      <c r="CY676" s="72"/>
      <c r="CZ676" s="72"/>
      <c r="DA676" s="72"/>
      <c r="DB676" s="72"/>
      <c r="DC676" s="72"/>
      <c r="DD676" s="72"/>
      <c r="DE676" s="72"/>
      <c r="DF676" s="72"/>
      <c r="DG676" s="72"/>
      <c r="DH676" s="72"/>
      <c r="DI676" s="72"/>
      <c r="DJ676" s="72"/>
      <c r="DK676" s="72"/>
      <c r="DL676" s="72"/>
      <c r="DM676" s="72"/>
      <c r="DN676" s="72"/>
      <c r="DO676" s="72"/>
      <c r="DP676" s="72"/>
      <c r="DQ676" s="72"/>
      <c r="DR676" s="72"/>
      <c r="DS676" s="72"/>
      <c r="DT676" s="72"/>
      <c r="DU676" s="72"/>
      <c r="DV676" s="72"/>
      <c r="DW676" s="72"/>
      <c r="DX676" s="72"/>
      <c r="DY676" s="72"/>
      <c r="DZ676" s="72"/>
      <c r="EA676" s="72"/>
      <c r="EB676" s="72"/>
      <c r="EC676" s="72"/>
      <c r="ED676" s="72"/>
      <c r="EE676" s="72"/>
      <c r="EF676" s="72"/>
      <c r="EG676" s="72"/>
      <c r="EH676" s="72"/>
      <c r="EI676" s="129"/>
      <c r="EJ676" s="129"/>
      <c r="EK676" s="129"/>
      <c r="EL676" s="129"/>
      <c r="EM676" s="72"/>
      <c r="EN676" s="72"/>
      <c r="EO676" s="72"/>
      <c r="EP676" s="72"/>
      <c r="EQ676" s="72"/>
      <c r="ER676" s="72"/>
      <c r="ES676" s="72"/>
      <c r="ET676" s="72"/>
    </row>
    <row r="677">
      <c r="CD677" s="72"/>
      <c r="CE677" s="72"/>
      <c r="CF677" s="72"/>
      <c r="CG677" s="72"/>
      <c r="CH677" s="72"/>
      <c r="CI677" s="72"/>
      <c r="CJ677" s="72"/>
      <c r="CK677" s="72"/>
      <c r="CL677" s="72"/>
      <c r="CM677" s="72"/>
      <c r="CN677" s="72"/>
      <c r="CO677" s="72"/>
      <c r="CP677" s="72"/>
      <c r="CQ677" s="72"/>
      <c r="CR677" s="72"/>
      <c r="CS677" s="72"/>
      <c r="CT677" s="72"/>
      <c r="CU677" s="72"/>
      <c r="CV677" s="72"/>
      <c r="CW677" s="72"/>
      <c r="CX677" s="72"/>
      <c r="CY677" s="72"/>
      <c r="CZ677" s="72"/>
      <c r="DA677" s="72"/>
      <c r="DB677" s="72"/>
      <c r="DC677" s="72"/>
      <c r="DD677" s="72"/>
      <c r="DE677" s="72"/>
      <c r="DF677" s="72"/>
      <c r="DG677" s="72"/>
      <c r="DH677" s="72"/>
      <c r="DI677" s="72"/>
      <c r="DJ677" s="72"/>
      <c r="DK677" s="72"/>
      <c r="DL677" s="72"/>
      <c r="DM677" s="72"/>
      <c r="DN677" s="72"/>
      <c r="DO677" s="72"/>
      <c r="DP677" s="72"/>
      <c r="DQ677" s="72"/>
      <c r="DR677" s="72"/>
      <c r="DS677" s="72"/>
      <c r="DT677" s="72"/>
      <c r="DU677" s="72"/>
      <c r="DV677" s="72"/>
      <c r="DW677" s="72"/>
      <c r="DX677" s="72"/>
      <c r="DY677" s="72"/>
      <c r="DZ677" s="72"/>
      <c r="EA677" s="72"/>
      <c r="EB677" s="72"/>
      <c r="EC677" s="72"/>
      <c r="ED677" s="72"/>
      <c r="EE677" s="72"/>
      <c r="EF677" s="72"/>
      <c r="EG677" s="72"/>
      <c r="EH677" s="72"/>
      <c r="EI677" s="129"/>
      <c r="EJ677" s="129"/>
      <c r="EK677" s="129"/>
      <c r="EL677" s="129"/>
      <c r="EM677" s="72"/>
      <c r="EN677" s="72"/>
      <c r="EO677" s="72"/>
      <c r="EP677" s="72"/>
      <c r="EQ677" s="72"/>
      <c r="ER677" s="72"/>
      <c r="ES677" s="72"/>
      <c r="ET677" s="72"/>
    </row>
    <row r="678">
      <c r="CD678" s="72"/>
      <c r="CE678" s="72"/>
      <c r="CF678" s="72"/>
      <c r="CG678" s="72"/>
      <c r="CH678" s="72"/>
      <c r="CI678" s="72"/>
      <c r="CJ678" s="72"/>
      <c r="CK678" s="72"/>
      <c r="CL678" s="72"/>
      <c r="CM678" s="72"/>
      <c r="CN678" s="72"/>
      <c r="CO678" s="72"/>
      <c r="CP678" s="72"/>
      <c r="CQ678" s="72"/>
      <c r="CR678" s="72"/>
      <c r="CS678" s="72"/>
      <c r="CT678" s="72"/>
      <c r="CU678" s="72"/>
      <c r="CV678" s="72"/>
      <c r="CW678" s="72"/>
      <c r="CX678" s="72"/>
      <c r="CY678" s="72"/>
      <c r="CZ678" s="72"/>
      <c r="DA678" s="72"/>
      <c r="DB678" s="72"/>
      <c r="DC678" s="72"/>
      <c r="DD678" s="72"/>
      <c r="DE678" s="72"/>
      <c r="DF678" s="72"/>
      <c r="DG678" s="72"/>
      <c r="DH678" s="72"/>
      <c r="DI678" s="72"/>
      <c r="DJ678" s="72"/>
      <c r="DK678" s="72"/>
      <c r="DL678" s="72"/>
      <c r="DM678" s="72"/>
      <c r="DN678" s="72"/>
      <c r="DO678" s="72"/>
      <c r="DP678" s="72"/>
      <c r="DQ678" s="72"/>
      <c r="DR678" s="72"/>
      <c r="DS678" s="72"/>
      <c r="DT678" s="72"/>
      <c r="DU678" s="72"/>
      <c r="DV678" s="72"/>
      <c r="DW678" s="72"/>
      <c r="DX678" s="72"/>
      <c r="DY678" s="72"/>
      <c r="DZ678" s="72"/>
      <c r="EA678" s="72"/>
      <c r="EB678" s="72"/>
      <c r="EC678" s="72"/>
      <c r="ED678" s="72"/>
      <c r="EE678" s="72"/>
      <c r="EF678" s="72"/>
      <c r="EG678" s="72"/>
      <c r="EH678" s="72"/>
      <c r="EI678" s="129"/>
      <c r="EJ678" s="129"/>
      <c r="EK678" s="129"/>
      <c r="EL678" s="129"/>
      <c r="EM678" s="72"/>
      <c r="EN678" s="72"/>
      <c r="EO678" s="72"/>
      <c r="EP678" s="72"/>
      <c r="EQ678" s="72"/>
      <c r="ER678" s="72"/>
      <c r="ES678" s="72"/>
      <c r="ET678" s="72"/>
    </row>
    <row r="679">
      <c r="CD679" s="72"/>
      <c r="CE679" s="72"/>
      <c r="CF679" s="72"/>
      <c r="CG679" s="72"/>
      <c r="CH679" s="72"/>
      <c r="CI679" s="72"/>
      <c r="CJ679" s="72"/>
      <c r="CK679" s="72"/>
      <c r="CL679" s="72"/>
      <c r="CM679" s="72"/>
      <c r="CN679" s="72"/>
      <c r="CO679" s="72"/>
      <c r="CP679" s="72"/>
      <c r="CQ679" s="72"/>
      <c r="CR679" s="72"/>
      <c r="CS679" s="72"/>
      <c r="CT679" s="72"/>
      <c r="CU679" s="72"/>
      <c r="CV679" s="72"/>
      <c r="CW679" s="72"/>
      <c r="CX679" s="72"/>
      <c r="CY679" s="72"/>
      <c r="CZ679" s="72"/>
      <c r="DA679" s="72"/>
      <c r="DB679" s="72"/>
      <c r="DC679" s="72"/>
      <c r="DD679" s="72"/>
      <c r="DE679" s="72"/>
      <c r="DF679" s="72"/>
      <c r="DG679" s="72"/>
      <c r="DH679" s="72"/>
      <c r="DI679" s="72"/>
      <c r="DJ679" s="72"/>
      <c r="DK679" s="72"/>
      <c r="DL679" s="72"/>
      <c r="DM679" s="72"/>
      <c r="DN679" s="72"/>
      <c r="DO679" s="72"/>
      <c r="DP679" s="72"/>
      <c r="DQ679" s="72"/>
      <c r="DR679" s="72"/>
      <c r="DS679" s="72"/>
      <c r="DT679" s="72"/>
      <c r="DU679" s="72"/>
      <c r="DV679" s="72"/>
      <c r="DW679" s="72"/>
      <c r="DX679" s="72"/>
      <c r="DY679" s="72"/>
      <c r="DZ679" s="72"/>
      <c r="EA679" s="72"/>
      <c r="EB679" s="72"/>
      <c r="EC679" s="72"/>
      <c r="ED679" s="72"/>
      <c r="EE679" s="72"/>
      <c r="EF679" s="72"/>
      <c r="EG679" s="72"/>
      <c r="EH679" s="72"/>
      <c r="EI679" s="129"/>
      <c r="EJ679" s="129"/>
      <c r="EK679" s="129"/>
      <c r="EL679" s="129"/>
      <c r="EM679" s="72"/>
      <c r="EN679" s="72"/>
      <c r="EO679" s="72"/>
      <c r="EP679" s="72"/>
      <c r="EQ679" s="72"/>
      <c r="ER679" s="72"/>
      <c r="ES679" s="72"/>
      <c r="ET679" s="72"/>
    </row>
    <row r="680">
      <c r="CD680" s="72"/>
      <c r="CE680" s="72"/>
      <c r="CF680" s="72"/>
      <c r="CG680" s="72"/>
      <c r="CH680" s="72"/>
      <c r="CI680" s="72"/>
      <c r="CJ680" s="72"/>
      <c r="CK680" s="72"/>
      <c r="CL680" s="72"/>
      <c r="CM680" s="72"/>
      <c r="CN680" s="72"/>
      <c r="CO680" s="72"/>
      <c r="CP680" s="72"/>
      <c r="CQ680" s="72"/>
      <c r="CR680" s="72"/>
      <c r="CS680" s="72"/>
      <c r="CT680" s="72"/>
      <c r="CU680" s="72"/>
      <c r="CV680" s="72"/>
      <c r="CW680" s="72"/>
      <c r="CX680" s="72"/>
      <c r="CY680" s="72"/>
      <c r="CZ680" s="72"/>
      <c r="DA680" s="72"/>
      <c r="DB680" s="72"/>
      <c r="DC680" s="72"/>
      <c r="DD680" s="72"/>
      <c r="DE680" s="72"/>
      <c r="DF680" s="72"/>
      <c r="DG680" s="72"/>
      <c r="DH680" s="72"/>
      <c r="DI680" s="72"/>
      <c r="DJ680" s="72"/>
      <c r="DK680" s="72"/>
      <c r="DL680" s="72"/>
      <c r="DM680" s="72"/>
      <c r="DN680" s="72"/>
      <c r="DO680" s="72"/>
      <c r="DP680" s="72"/>
      <c r="DQ680" s="72"/>
      <c r="DR680" s="72"/>
      <c r="DS680" s="72"/>
      <c r="DT680" s="72"/>
      <c r="DU680" s="72"/>
      <c r="DV680" s="72"/>
      <c r="DW680" s="72"/>
      <c r="DX680" s="72"/>
      <c r="DY680" s="72"/>
      <c r="DZ680" s="72"/>
      <c r="EA680" s="72"/>
      <c r="EB680" s="72"/>
      <c r="EC680" s="72"/>
      <c r="ED680" s="72"/>
      <c r="EE680" s="72"/>
      <c r="EF680" s="72"/>
      <c r="EG680" s="72"/>
      <c r="EH680" s="72"/>
      <c r="EI680" s="129"/>
      <c r="EJ680" s="129"/>
      <c r="EK680" s="129"/>
      <c r="EL680" s="129"/>
      <c r="EM680" s="72"/>
      <c r="EN680" s="72"/>
      <c r="EO680" s="72"/>
      <c r="EP680" s="72"/>
      <c r="EQ680" s="72"/>
      <c r="ER680" s="72"/>
      <c r="ES680" s="72"/>
      <c r="ET680" s="72"/>
    </row>
    <row r="681">
      <c r="CD681" s="72"/>
      <c r="CE681" s="72"/>
      <c r="CF681" s="72"/>
      <c r="CG681" s="72"/>
      <c r="CH681" s="72"/>
      <c r="CI681" s="72"/>
      <c r="CJ681" s="72"/>
      <c r="CK681" s="72"/>
      <c r="CL681" s="72"/>
      <c r="CM681" s="72"/>
      <c r="CN681" s="72"/>
      <c r="CO681" s="72"/>
      <c r="CP681" s="72"/>
      <c r="CQ681" s="72"/>
      <c r="CR681" s="72"/>
      <c r="CS681" s="72"/>
      <c r="CT681" s="72"/>
      <c r="CU681" s="72"/>
      <c r="CV681" s="72"/>
      <c r="CW681" s="72"/>
      <c r="CX681" s="72"/>
      <c r="CY681" s="72"/>
      <c r="CZ681" s="72"/>
      <c r="DA681" s="72"/>
      <c r="DB681" s="72"/>
      <c r="DC681" s="72"/>
      <c r="DD681" s="72"/>
      <c r="DE681" s="72"/>
      <c r="DF681" s="72"/>
      <c r="DG681" s="72"/>
      <c r="DH681" s="72"/>
      <c r="DI681" s="72"/>
      <c r="DJ681" s="72"/>
      <c r="DK681" s="72"/>
      <c r="DL681" s="72"/>
      <c r="DM681" s="72"/>
      <c r="DN681" s="72"/>
      <c r="DO681" s="72"/>
      <c r="DP681" s="72"/>
      <c r="DQ681" s="72"/>
      <c r="DR681" s="72"/>
      <c r="DS681" s="72"/>
      <c r="DT681" s="72"/>
      <c r="DU681" s="72"/>
      <c r="DV681" s="72"/>
      <c r="DW681" s="72"/>
      <c r="DX681" s="72"/>
      <c r="DY681" s="72"/>
      <c r="DZ681" s="72"/>
      <c r="EA681" s="72"/>
      <c r="EB681" s="72"/>
      <c r="EC681" s="72"/>
      <c r="ED681" s="72"/>
      <c r="EE681" s="72"/>
      <c r="EF681" s="72"/>
      <c r="EG681" s="72"/>
      <c r="EH681" s="72"/>
      <c r="EI681" s="129"/>
      <c r="EJ681" s="129"/>
      <c r="EK681" s="129"/>
      <c r="EL681" s="129"/>
      <c r="EM681" s="72"/>
      <c r="EN681" s="72"/>
      <c r="EO681" s="72"/>
      <c r="EP681" s="72"/>
      <c r="EQ681" s="72"/>
      <c r="ER681" s="72"/>
      <c r="ES681" s="72"/>
      <c r="ET681" s="72"/>
    </row>
    <row r="682">
      <c r="CD682" s="72"/>
      <c r="CE682" s="72"/>
      <c r="CF682" s="72"/>
      <c r="CG682" s="72"/>
      <c r="CH682" s="72"/>
      <c r="CI682" s="72"/>
      <c r="CJ682" s="72"/>
      <c r="CK682" s="72"/>
      <c r="CL682" s="72"/>
      <c r="CM682" s="72"/>
      <c r="CN682" s="72"/>
      <c r="CO682" s="72"/>
      <c r="CP682" s="72"/>
      <c r="CQ682" s="72"/>
      <c r="CR682" s="72"/>
      <c r="CS682" s="72"/>
      <c r="CT682" s="72"/>
      <c r="CU682" s="72"/>
      <c r="CV682" s="72"/>
      <c r="CW682" s="72"/>
      <c r="CX682" s="72"/>
      <c r="CY682" s="72"/>
      <c r="CZ682" s="72"/>
      <c r="DA682" s="72"/>
      <c r="DB682" s="72"/>
      <c r="DC682" s="72"/>
      <c r="DD682" s="72"/>
      <c r="DE682" s="72"/>
      <c r="DF682" s="72"/>
      <c r="DG682" s="72"/>
      <c r="DH682" s="72"/>
      <c r="DI682" s="72"/>
      <c r="DJ682" s="72"/>
      <c r="DK682" s="72"/>
      <c r="DL682" s="72"/>
      <c r="DM682" s="72"/>
      <c r="DN682" s="72"/>
      <c r="DO682" s="72"/>
      <c r="DP682" s="72"/>
      <c r="DQ682" s="72"/>
      <c r="DR682" s="72"/>
      <c r="DS682" s="72"/>
      <c r="DT682" s="72"/>
      <c r="DU682" s="72"/>
      <c r="DV682" s="72"/>
      <c r="DW682" s="72"/>
      <c r="DX682" s="72"/>
      <c r="DY682" s="72"/>
      <c r="DZ682" s="72"/>
      <c r="EA682" s="72"/>
      <c r="EB682" s="72"/>
      <c r="EC682" s="72"/>
      <c r="ED682" s="72"/>
      <c r="EE682" s="72"/>
      <c r="EF682" s="72"/>
      <c r="EG682" s="72"/>
      <c r="EH682" s="72"/>
      <c r="EI682" s="129"/>
      <c r="EJ682" s="129"/>
      <c r="EK682" s="129"/>
      <c r="EL682" s="129"/>
      <c r="EM682" s="72"/>
      <c r="EN682" s="72"/>
      <c r="EO682" s="72"/>
      <c r="EP682" s="72"/>
      <c r="EQ682" s="72"/>
      <c r="ER682" s="72"/>
      <c r="ES682" s="72"/>
      <c r="ET682" s="72"/>
    </row>
    <row r="683">
      <c r="CD683" s="72"/>
      <c r="CE683" s="72"/>
      <c r="CF683" s="72"/>
      <c r="CG683" s="72"/>
      <c r="CH683" s="72"/>
      <c r="CI683" s="72"/>
      <c r="CJ683" s="72"/>
      <c r="CK683" s="72"/>
      <c r="CL683" s="72"/>
      <c r="CM683" s="72"/>
      <c r="CN683" s="72"/>
      <c r="CO683" s="72"/>
      <c r="CP683" s="72"/>
      <c r="CQ683" s="72"/>
      <c r="CR683" s="72"/>
      <c r="CS683" s="72"/>
      <c r="CT683" s="72"/>
      <c r="CU683" s="72"/>
      <c r="CV683" s="72"/>
      <c r="CW683" s="72"/>
      <c r="CX683" s="72"/>
      <c r="CY683" s="72"/>
      <c r="CZ683" s="72"/>
      <c r="DA683" s="72"/>
      <c r="DB683" s="72"/>
      <c r="DC683" s="72"/>
      <c r="DD683" s="72"/>
      <c r="DE683" s="72"/>
      <c r="DF683" s="72"/>
      <c r="DG683" s="72"/>
      <c r="DH683" s="72"/>
      <c r="DI683" s="72"/>
      <c r="DJ683" s="72"/>
      <c r="DK683" s="72"/>
      <c r="DL683" s="72"/>
      <c r="DM683" s="72"/>
      <c r="DN683" s="72"/>
      <c r="DO683" s="72"/>
      <c r="DP683" s="72"/>
      <c r="DQ683" s="72"/>
      <c r="DR683" s="72"/>
      <c r="DS683" s="72"/>
      <c r="DT683" s="72"/>
      <c r="DU683" s="72"/>
      <c r="DV683" s="72"/>
      <c r="DW683" s="72"/>
      <c r="DX683" s="72"/>
      <c r="DY683" s="72"/>
      <c r="DZ683" s="72"/>
      <c r="EA683" s="72"/>
      <c r="EB683" s="72"/>
      <c r="EC683" s="72"/>
      <c r="ED683" s="72"/>
      <c r="EE683" s="72"/>
      <c r="EF683" s="72"/>
      <c r="EG683" s="72"/>
      <c r="EH683" s="72"/>
      <c r="EI683" s="129"/>
      <c r="EJ683" s="129"/>
      <c r="EK683" s="129"/>
      <c r="EL683" s="129"/>
      <c r="EM683" s="72"/>
      <c r="EN683" s="72"/>
      <c r="EO683" s="72"/>
      <c r="EP683" s="72"/>
      <c r="EQ683" s="72"/>
      <c r="ER683" s="72"/>
      <c r="ES683" s="72"/>
      <c r="ET683" s="72"/>
    </row>
    <row r="684">
      <c r="CD684" s="72"/>
      <c r="CE684" s="72"/>
      <c r="CF684" s="72"/>
      <c r="CG684" s="72"/>
      <c r="CH684" s="72"/>
      <c r="CI684" s="72"/>
      <c r="CJ684" s="72"/>
      <c r="CK684" s="72"/>
      <c r="CL684" s="72"/>
      <c r="CM684" s="72"/>
      <c r="CN684" s="72"/>
      <c r="CO684" s="72"/>
      <c r="CP684" s="72"/>
      <c r="CQ684" s="72"/>
      <c r="CR684" s="72"/>
      <c r="CS684" s="72"/>
      <c r="CT684" s="72"/>
      <c r="CU684" s="72"/>
      <c r="CV684" s="72"/>
      <c r="CW684" s="72"/>
      <c r="CX684" s="72"/>
      <c r="CY684" s="72"/>
      <c r="CZ684" s="72"/>
      <c r="DA684" s="72"/>
      <c r="DB684" s="72"/>
      <c r="DC684" s="72"/>
      <c r="DD684" s="72"/>
      <c r="DE684" s="72"/>
      <c r="DF684" s="72"/>
      <c r="DG684" s="72"/>
      <c r="DH684" s="72"/>
      <c r="DI684" s="72"/>
      <c r="DJ684" s="72"/>
      <c r="DK684" s="72"/>
      <c r="DL684" s="72"/>
      <c r="DM684" s="72"/>
      <c r="DN684" s="72"/>
      <c r="DO684" s="72"/>
      <c r="DP684" s="72"/>
      <c r="DQ684" s="72"/>
      <c r="DR684" s="72"/>
      <c r="DS684" s="72"/>
      <c r="DT684" s="72"/>
      <c r="DU684" s="72"/>
      <c r="DV684" s="72"/>
      <c r="DW684" s="72"/>
      <c r="DX684" s="72"/>
      <c r="DY684" s="72"/>
      <c r="DZ684" s="72"/>
      <c r="EA684" s="72"/>
      <c r="EB684" s="72"/>
      <c r="EC684" s="72"/>
      <c r="ED684" s="72"/>
      <c r="EE684" s="72"/>
      <c r="EF684" s="72"/>
      <c r="EG684" s="72"/>
      <c r="EH684" s="72"/>
      <c r="EI684" s="129"/>
      <c r="EJ684" s="129"/>
      <c r="EK684" s="129"/>
      <c r="EL684" s="129"/>
      <c r="EM684" s="72"/>
      <c r="EN684" s="72"/>
      <c r="EO684" s="72"/>
      <c r="EP684" s="72"/>
      <c r="EQ684" s="72"/>
      <c r="ER684" s="72"/>
      <c r="ES684" s="72"/>
      <c r="ET684" s="72"/>
    </row>
    <row r="685">
      <c r="CD685" s="72"/>
      <c r="CE685" s="72"/>
      <c r="CF685" s="72"/>
      <c r="CG685" s="72"/>
      <c r="CH685" s="72"/>
      <c r="CI685" s="72"/>
      <c r="CJ685" s="72"/>
      <c r="CK685" s="72"/>
      <c r="CL685" s="72"/>
      <c r="CM685" s="72"/>
      <c r="CN685" s="72"/>
      <c r="CO685" s="72"/>
      <c r="CP685" s="72"/>
      <c r="CQ685" s="72"/>
      <c r="CR685" s="72"/>
      <c r="CS685" s="72"/>
      <c r="CT685" s="72"/>
      <c r="CU685" s="72"/>
      <c r="CV685" s="72"/>
      <c r="CW685" s="72"/>
      <c r="CX685" s="72"/>
      <c r="CY685" s="72"/>
      <c r="CZ685" s="72"/>
      <c r="DA685" s="72"/>
      <c r="DB685" s="72"/>
      <c r="DC685" s="72"/>
      <c r="DD685" s="72"/>
      <c r="DE685" s="72"/>
      <c r="DF685" s="72"/>
      <c r="DG685" s="72"/>
      <c r="DH685" s="72"/>
      <c r="DI685" s="72"/>
      <c r="DJ685" s="72"/>
      <c r="DK685" s="72"/>
      <c r="DL685" s="72"/>
      <c r="DM685" s="72"/>
      <c r="DN685" s="72"/>
      <c r="DO685" s="72"/>
      <c r="DP685" s="72"/>
      <c r="DQ685" s="72"/>
      <c r="DR685" s="72"/>
      <c r="DS685" s="72"/>
      <c r="DT685" s="72"/>
      <c r="DU685" s="72"/>
      <c r="DV685" s="72"/>
      <c r="DW685" s="72"/>
      <c r="DX685" s="72"/>
      <c r="DY685" s="72"/>
      <c r="DZ685" s="72"/>
      <c r="EA685" s="72"/>
      <c r="EB685" s="72"/>
      <c r="EC685" s="72"/>
      <c r="ED685" s="72"/>
      <c r="EE685" s="72"/>
      <c r="EF685" s="72"/>
      <c r="EG685" s="72"/>
      <c r="EH685" s="72"/>
      <c r="EI685" s="129"/>
      <c r="EJ685" s="129"/>
      <c r="EK685" s="129"/>
      <c r="EL685" s="129"/>
      <c r="EM685" s="72"/>
      <c r="EN685" s="72"/>
      <c r="EO685" s="72"/>
      <c r="EP685" s="72"/>
      <c r="EQ685" s="72"/>
      <c r="ER685" s="72"/>
      <c r="ES685" s="72"/>
      <c r="ET685" s="72"/>
    </row>
    <row r="686">
      <c r="CD686" s="72"/>
      <c r="CE686" s="72"/>
      <c r="CF686" s="72"/>
      <c r="CG686" s="72"/>
      <c r="CH686" s="72"/>
      <c r="CI686" s="72"/>
      <c r="CJ686" s="72"/>
      <c r="CK686" s="72"/>
      <c r="CL686" s="72"/>
      <c r="CM686" s="72"/>
      <c r="CN686" s="72"/>
      <c r="CO686" s="72"/>
      <c r="CP686" s="72"/>
      <c r="CQ686" s="72"/>
      <c r="CR686" s="72"/>
      <c r="CS686" s="72"/>
      <c r="CT686" s="72"/>
      <c r="CU686" s="72"/>
      <c r="CV686" s="72"/>
      <c r="CW686" s="72"/>
      <c r="CX686" s="72"/>
      <c r="CY686" s="72"/>
      <c r="CZ686" s="72"/>
      <c r="DA686" s="72"/>
      <c r="DB686" s="72"/>
      <c r="DC686" s="72"/>
      <c r="DD686" s="72"/>
      <c r="DE686" s="72"/>
      <c r="DF686" s="72"/>
      <c r="DG686" s="72"/>
      <c r="DH686" s="72"/>
      <c r="DI686" s="72"/>
      <c r="DJ686" s="72"/>
      <c r="DK686" s="72"/>
      <c r="DL686" s="72"/>
      <c r="DM686" s="72"/>
      <c r="DN686" s="72"/>
      <c r="DO686" s="72"/>
      <c r="DP686" s="72"/>
      <c r="DQ686" s="72"/>
      <c r="DR686" s="72"/>
      <c r="DS686" s="72"/>
      <c r="DT686" s="72"/>
      <c r="DU686" s="72"/>
      <c r="DV686" s="72"/>
      <c r="DW686" s="72"/>
      <c r="DX686" s="72"/>
      <c r="DY686" s="72"/>
      <c r="DZ686" s="72"/>
      <c r="EA686" s="72"/>
      <c r="EB686" s="72"/>
      <c r="EC686" s="72"/>
      <c r="ED686" s="72"/>
      <c r="EE686" s="72"/>
      <c r="EF686" s="72"/>
      <c r="EG686" s="72"/>
      <c r="EH686" s="72"/>
      <c r="EI686" s="129"/>
      <c r="EJ686" s="129"/>
      <c r="EK686" s="129"/>
      <c r="EL686" s="129"/>
      <c r="EM686" s="72"/>
      <c r="EN686" s="72"/>
      <c r="EO686" s="72"/>
      <c r="EP686" s="72"/>
      <c r="EQ686" s="72"/>
      <c r="ER686" s="72"/>
      <c r="ES686" s="72"/>
      <c r="ET686" s="72"/>
    </row>
    <row r="687">
      <c r="CD687" s="72"/>
      <c r="CE687" s="72"/>
      <c r="CF687" s="72"/>
      <c r="CG687" s="72"/>
      <c r="CH687" s="72"/>
      <c r="CI687" s="72"/>
      <c r="CJ687" s="72"/>
      <c r="CK687" s="72"/>
      <c r="CL687" s="72"/>
      <c r="CM687" s="72"/>
      <c r="CN687" s="72"/>
      <c r="CO687" s="72"/>
      <c r="CP687" s="72"/>
      <c r="CQ687" s="72"/>
      <c r="CR687" s="72"/>
      <c r="CS687" s="72"/>
      <c r="CT687" s="72"/>
      <c r="CU687" s="72"/>
      <c r="CV687" s="72"/>
      <c r="CW687" s="72"/>
      <c r="CX687" s="72"/>
      <c r="CY687" s="72"/>
      <c r="CZ687" s="72"/>
      <c r="DA687" s="72"/>
      <c r="DB687" s="72"/>
      <c r="DC687" s="72"/>
      <c r="DD687" s="72"/>
      <c r="DE687" s="72"/>
      <c r="DF687" s="72"/>
      <c r="DG687" s="72"/>
      <c r="DH687" s="72"/>
      <c r="DI687" s="72"/>
      <c r="DJ687" s="72"/>
      <c r="DK687" s="72"/>
      <c r="DL687" s="72"/>
      <c r="DM687" s="72"/>
      <c r="DN687" s="72"/>
      <c r="DO687" s="72"/>
      <c r="DP687" s="72"/>
      <c r="DQ687" s="72"/>
      <c r="DR687" s="72"/>
      <c r="DS687" s="72"/>
      <c r="DT687" s="72"/>
      <c r="DU687" s="72"/>
      <c r="DV687" s="72"/>
      <c r="DW687" s="72"/>
      <c r="DX687" s="72"/>
      <c r="DY687" s="72"/>
      <c r="DZ687" s="72"/>
      <c r="EA687" s="72"/>
      <c r="EB687" s="72"/>
      <c r="EC687" s="72"/>
      <c r="ED687" s="72"/>
      <c r="EE687" s="72"/>
      <c r="EF687" s="72"/>
      <c r="EG687" s="72"/>
      <c r="EH687" s="72"/>
      <c r="EI687" s="129"/>
      <c r="EJ687" s="129"/>
      <c r="EK687" s="129"/>
      <c r="EL687" s="129"/>
      <c r="EM687" s="72"/>
      <c r="EN687" s="72"/>
      <c r="EO687" s="72"/>
      <c r="EP687" s="72"/>
      <c r="EQ687" s="72"/>
      <c r="ER687" s="72"/>
      <c r="ES687" s="72"/>
      <c r="ET687" s="72"/>
    </row>
    <row r="688">
      <c r="CD688" s="72"/>
      <c r="CE688" s="72"/>
      <c r="CF688" s="72"/>
      <c r="CG688" s="72"/>
      <c r="CH688" s="72"/>
      <c r="CI688" s="72"/>
      <c r="CJ688" s="72"/>
      <c r="CK688" s="72"/>
      <c r="CL688" s="72"/>
      <c r="CM688" s="72"/>
      <c r="CN688" s="72"/>
      <c r="CO688" s="72"/>
      <c r="CP688" s="72"/>
      <c r="CQ688" s="72"/>
      <c r="CR688" s="72"/>
      <c r="CS688" s="72"/>
      <c r="CT688" s="72"/>
      <c r="CU688" s="72"/>
      <c r="CV688" s="72"/>
      <c r="CW688" s="72"/>
      <c r="CX688" s="72"/>
      <c r="CY688" s="72"/>
      <c r="CZ688" s="72"/>
      <c r="DA688" s="72"/>
      <c r="DB688" s="72"/>
      <c r="DC688" s="72"/>
      <c r="DD688" s="72"/>
      <c r="DE688" s="72"/>
      <c r="DF688" s="72"/>
      <c r="DG688" s="72"/>
      <c r="DH688" s="72"/>
      <c r="DI688" s="72"/>
      <c r="DJ688" s="72"/>
      <c r="DK688" s="72"/>
      <c r="DL688" s="72"/>
      <c r="DM688" s="72"/>
      <c r="DN688" s="72"/>
      <c r="DO688" s="72"/>
      <c r="DP688" s="72"/>
      <c r="DQ688" s="72"/>
      <c r="DR688" s="72"/>
      <c r="DS688" s="72"/>
      <c r="DT688" s="72"/>
      <c r="DU688" s="72"/>
      <c r="DV688" s="72"/>
      <c r="DW688" s="72"/>
      <c r="DX688" s="72"/>
      <c r="DY688" s="72"/>
      <c r="DZ688" s="72"/>
      <c r="EA688" s="72"/>
      <c r="EB688" s="72"/>
      <c r="EC688" s="72"/>
      <c r="ED688" s="72"/>
      <c r="EE688" s="72"/>
      <c r="EF688" s="72"/>
      <c r="EG688" s="72"/>
      <c r="EH688" s="72"/>
      <c r="EI688" s="129"/>
      <c r="EJ688" s="129"/>
      <c r="EK688" s="129"/>
      <c r="EL688" s="129"/>
      <c r="EM688" s="72"/>
      <c r="EN688" s="72"/>
      <c r="EO688" s="72"/>
      <c r="EP688" s="72"/>
      <c r="EQ688" s="72"/>
      <c r="ER688" s="72"/>
      <c r="ES688" s="72"/>
      <c r="ET688" s="72"/>
    </row>
    <row r="689">
      <c r="CD689" s="72"/>
      <c r="CE689" s="72"/>
      <c r="CF689" s="72"/>
      <c r="CG689" s="72"/>
      <c r="CH689" s="72"/>
      <c r="CI689" s="72"/>
      <c r="CJ689" s="72"/>
      <c r="CK689" s="72"/>
      <c r="CL689" s="72"/>
      <c r="CM689" s="72"/>
      <c r="CN689" s="72"/>
      <c r="CO689" s="72"/>
      <c r="CP689" s="72"/>
      <c r="CQ689" s="72"/>
      <c r="CR689" s="72"/>
      <c r="CS689" s="72"/>
      <c r="CT689" s="72"/>
      <c r="CU689" s="72"/>
      <c r="CV689" s="72"/>
      <c r="CW689" s="72"/>
      <c r="CX689" s="72"/>
      <c r="CY689" s="72"/>
      <c r="CZ689" s="72"/>
      <c r="DA689" s="72"/>
      <c r="DB689" s="72"/>
      <c r="DC689" s="72"/>
      <c r="DD689" s="72"/>
      <c r="DE689" s="72"/>
      <c r="DF689" s="72"/>
      <c r="DG689" s="72"/>
      <c r="DH689" s="72"/>
      <c r="DI689" s="72"/>
      <c r="DJ689" s="72"/>
      <c r="DK689" s="72"/>
      <c r="DL689" s="72"/>
      <c r="DM689" s="72"/>
      <c r="DN689" s="72"/>
      <c r="DO689" s="72"/>
      <c r="DP689" s="72"/>
      <c r="DQ689" s="72"/>
      <c r="DR689" s="72"/>
      <c r="DS689" s="72"/>
      <c r="DT689" s="72"/>
      <c r="DU689" s="72"/>
      <c r="DV689" s="72"/>
      <c r="DW689" s="72"/>
      <c r="DX689" s="72"/>
      <c r="DY689" s="72"/>
      <c r="DZ689" s="72"/>
      <c r="EA689" s="72"/>
      <c r="EB689" s="72"/>
      <c r="EC689" s="72"/>
      <c r="ED689" s="72"/>
      <c r="EE689" s="72"/>
      <c r="EF689" s="72"/>
      <c r="EG689" s="72"/>
      <c r="EH689" s="72"/>
      <c r="EI689" s="129"/>
      <c r="EJ689" s="129"/>
      <c r="EK689" s="129"/>
      <c r="EL689" s="129"/>
      <c r="EM689" s="72"/>
      <c r="EN689" s="72"/>
      <c r="EO689" s="72"/>
      <c r="EP689" s="72"/>
      <c r="EQ689" s="72"/>
      <c r="ER689" s="72"/>
      <c r="ES689" s="72"/>
      <c r="ET689" s="72"/>
    </row>
    <row r="690">
      <c r="CD690" s="72"/>
      <c r="CE690" s="72"/>
      <c r="CF690" s="72"/>
      <c r="CG690" s="72"/>
      <c r="CH690" s="72"/>
      <c r="CI690" s="72"/>
      <c r="CJ690" s="72"/>
      <c r="CK690" s="72"/>
      <c r="CL690" s="72"/>
      <c r="CM690" s="72"/>
      <c r="CN690" s="72"/>
      <c r="CO690" s="72"/>
      <c r="CP690" s="72"/>
      <c r="CQ690" s="72"/>
      <c r="CR690" s="72"/>
      <c r="CS690" s="72"/>
      <c r="CT690" s="72"/>
      <c r="CU690" s="72"/>
      <c r="CV690" s="72"/>
      <c r="CW690" s="72"/>
      <c r="CX690" s="72"/>
      <c r="CY690" s="72"/>
      <c r="CZ690" s="72"/>
      <c r="DA690" s="72"/>
      <c r="DB690" s="72"/>
      <c r="DC690" s="72"/>
      <c r="DD690" s="72"/>
      <c r="DE690" s="72"/>
      <c r="DF690" s="72"/>
      <c r="DG690" s="72"/>
      <c r="DH690" s="72"/>
      <c r="DI690" s="72"/>
      <c r="DJ690" s="72"/>
      <c r="DK690" s="72"/>
      <c r="DL690" s="72"/>
      <c r="DM690" s="72"/>
      <c r="DN690" s="72"/>
      <c r="DO690" s="72"/>
      <c r="DP690" s="72"/>
      <c r="DQ690" s="72"/>
      <c r="DR690" s="72"/>
      <c r="DS690" s="72"/>
      <c r="DT690" s="72"/>
      <c r="DU690" s="72"/>
      <c r="DV690" s="72"/>
      <c r="DW690" s="72"/>
      <c r="DX690" s="72"/>
      <c r="DY690" s="72"/>
      <c r="DZ690" s="72"/>
      <c r="EA690" s="72"/>
      <c r="EB690" s="72"/>
      <c r="EC690" s="72"/>
      <c r="ED690" s="72"/>
      <c r="EE690" s="72"/>
      <c r="EF690" s="72"/>
      <c r="EG690" s="72"/>
      <c r="EH690" s="72"/>
      <c r="EI690" s="129"/>
      <c r="EJ690" s="129"/>
      <c r="EK690" s="129"/>
      <c r="EL690" s="129"/>
      <c r="EM690" s="72"/>
      <c r="EN690" s="72"/>
      <c r="EO690" s="72"/>
      <c r="EP690" s="72"/>
      <c r="EQ690" s="72"/>
      <c r="ER690" s="72"/>
      <c r="ES690" s="72"/>
      <c r="ET690" s="72"/>
    </row>
    <row r="691">
      <c r="CD691" s="72"/>
      <c r="CE691" s="72"/>
      <c r="CF691" s="72"/>
      <c r="CG691" s="72"/>
      <c r="CH691" s="72"/>
      <c r="CI691" s="72"/>
      <c r="CJ691" s="72"/>
      <c r="CK691" s="72"/>
      <c r="CL691" s="72"/>
      <c r="CM691" s="72"/>
      <c r="CN691" s="72"/>
      <c r="CO691" s="72"/>
      <c r="CP691" s="72"/>
      <c r="CQ691" s="72"/>
      <c r="CR691" s="72"/>
      <c r="CS691" s="72"/>
      <c r="CT691" s="72"/>
      <c r="CU691" s="72"/>
      <c r="CV691" s="72"/>
      <c r="CW691" s="72"/>
      <c r="CX691" s="72"/>
      <c r="CY691" s="72"/>
      <c r="CZ691" s="72"/>
      <c r="DA691" s="72"/>
      <c r="DB691" s="72"/>
      <c r="DC691" s="72"/>
      <c r="DD691" s="72"/>
      <c r="DE691" s="72"/>
      <c r="DF691" s="72"/>
      <c r="DG691" s="72"/>
      <c r="DH691" s="72"/>
      <c r="DI691" s="72"/>
      <c r="DJ691" s="72"/>
      <c r="DK691" s="72"/>
      <c r="DL691" s="72"/>
      <c r="DM691" s="72"/>
      <c r="DN691" s="72"/>
      <c r="DO691" s="72"/>
      <c r="DP691" s="72"/>
      <c r="DQ691" s="72"/>
      <c r="DR691" s="72"/>
      <c r="DS691" s="72"/>
      <c r="DT691" s="72"/>
      <c r="DU691" s="72"/>
      <c r="DV691" s="72"/>
      <c r="DW691" s="72"/>
      <c r="DX691" s="72"/>
      <c r="DY691" s="72"/>
      <c r="DZ691" s="72"/>
      <c r="EA691" s="72"/>
      <c r="EB691" s="72"/>
      <c r="EC691" s="72"/>
      <c r="ED691" s="72"/>
      <c r="EE691" s="72"/>
      <c r="EF691" s="72"/>
      <c r="EG691" s="72"/>
      <c r="EH691" s="72"/>
      <c r="EI691" s="129"/>
      <c r="EJ691" s="129"/>
      <c r="EK691" s="129"/>
      <c r="EL691" s="129"/>
      <c r="EM691" s="72"/>
      <c r="EN691" s="72"/>
      <c r="EO691" s="72"/>
      <c r="EP691" s="72"/>
      <c r="EQ691" s="72"/>
      <c r="ER691" s="72"/>
      <c r="ES691" s="72"/>
      <c r="ET691" s="72"/>
    </row>
    <row r="692">
      <c r="CD692" s="72"/>
      <c r="CE692" s="72"/>
      <c r="CF692" s="72"/>
      <c r="CG692" s="72"/>
      <c r="CH692" s="72"/>
      <c r="CI692" s="72"/>
      <c r="CJ692" s="72"/>
      <c r="CK692" s="72"/>
      <c r="CL692" s="72"/>
      <c r="CM692" s="72"/>
      <c r="CN692" s="72"/>
      <c r="CO692" s="72"/>
      <c r="CP692" s="72"/>
      <c r="CQ692" s="72"/>
      <c r="CR692" s="72"/>
      <c r="CS692" s="72"/>
      <c r="CT692" s="72"/>
      <c r="CU692" s="72"/>
      <c r="CV692" s="72"/>
      <c r="CW692" s="72"/>
      <c r="CX692" s="72"/>
      <c r="CY692" s="72"/>
      <c r="CZ692" s="72"/>
      <c r="DA692" s="72"/>
      <c r="DB692" s="72"/>
      <c r="DC692" s="72"/>
      <c r="DD692" s="72"/>
      <c r="DE692" s="72"/>
      <c r="DF692" s="72"/>
      <c r="DG692" s="72"/>
      <c r="DH692" s="72"/>
      <c r="DI692" s="72"/>
      <c r="DJ692" s="72"/>
      <c r="DK692" s="72"/>
      <c r="DL692" s="72"/>
      <c r="DM692" s="72"/>
      <c r="DN692" s="72"/>
      <c r="DO692" s="72"/>
      <c r="DP692" s="72"/>
      <c r="DQ692" s="72"/>
      <c r="DR692" s="72"/>
      <c r="DS692" s="72"/>
      <c r="DT692" s="72"/>
      <c r="DU692" s="72"/>
      <c r="DV692" s="72"/>
      <c r="DW692" s="72"/>
      <c r="DX692" s="72"/>
      <c r="DY692" s="72"/>
      <c r="DZ692" s="72"/>
      <c r="EA692" s="72"/>
      <c r="EB692" s="72"/>
      <c r="EC692" s="72"/>
      <c r="ED692" s="72"/>
      <c r="EE692" s="72"/>
      <c r="EF692" s="72"/>
      <c r="EG692" s="72"/>
      <c r="EH692" s="72"/>
      <c r="EI692" s="129"/>
      <c r="EJ692" s="129"/>
      <c r="EK692" s="129"/>
      <c r="EL692" s="129"/>
      <c r="EM692" s="72"/>
      <c r="EN692" s="72"/>
      <c r="EO692" s="72"/>
      <c r="EP692" s="72"/>
      <c r="EQ692" s="72"/>
      <c r="ER692" s="72"/>
      <c r="ES692" s="72"/>
      <c r="ET692" s="72"/>
    </row>
    <row r="693">
      <c r="CD693" s="72"/>
      <c r="CE693" s="72"/>
      <c r="CF693" s="72"/>
      <c r="CG693" s="72"/>
      <c r="CH693" s="72"/>
      <c r="CI693" s="72"/>
      <c r="CJ693" s="72"/>
      <c r="CK693" s="72"/>
      <c r="CL693" s="72"/>
      <c r="CM693" s="72"/>
      <c r="CN693" s="72"/>
      <c r="CO693" s="72"/>
      <c r="CP693" s="72"/>
      <c r="CQ693" s="72"/>
      <c r="CR693" s="72"/>
      <c r="CS693" s="72"/>
      <c r="CT693" s="72"/>
      <c r="CU693" s="72"/>
      <c r="CV693" s="72"/>
      <c r="CW693" s="72"/>
      <c r="CX693" s="72"/>
      <c r="CY693" s="72"/>
      <c r="CZ693" s="72"/>
      <c r="DA693" s="72"/>
      <c r="DB693" s="72"/>
      <c r="DC693" s="72"/>
      <c r="DD693" s="72"/>
      <c r="DE693" s="72"/>
      <c r="DF693" s="72"/>
      <c r="DG693" s="72"/>
      <c r="DH693" s="72"/>
      <c r="DI693" s="72"/>
      <c r="DJ693" s="72"/>
      <c r="DK693" s="72"/>
      <c r="DL693" s="72"/>
      <c r="DM693" s="72"/>
      <c r="DN693" s="72"/>
      <c r="DO693" s="72"/>
      <c r="DP693" s="72"/>
      <c r="DQ693" s="72"/>
      <c r="DR693" s="72"/>
      <c r="DS693" s="72"/>
      <c r="DT693" s="72"/>
      <c r="DU693" s="72"/>
      <c r="DV693" s="72"/>
      <c r="DW693" s="72"/>
      <c r="DX693" s="72"/>
      <c r="DY693" s="72"/>
      <c r="DZ693" s="72"/>
      <c r="EA693" s="72"/>
      <c r="EB693" s="72"/>
      <c r="EC693" s="72"/>
      <c r="ED693" s="72"/>
      <c r="EE693" s="72"/>
      <c r="EF693" s="72"/>
      <c r="EG693" s="72"/>
      <c r="EH693" s="72"/>
      <c r="EI693" s="129"/>
      <c r="EJ693" s="129"/>
      <c r="EK693" s="129"/>
      <c r="EL693" s="129"/>
      <c r="EM693" s="72"/>
      <c r="EN693" s="72"/>
      <c r="EO693" s="72"/>
      <c r="EP693" s="72"/>
      <c r="EQ693" s="72"/>
      <c r="ER693" s="72"/>
      <c r="ES693" s="72"/>
      <c r="ET693" s="72"/>
    </row>
    <row r="694">
      <c r="CD694" s="72"/>
      <c r="CE694" s="72"/>
      <c r="CF694" s="72"/>
      <c r="CG694" s="72"/>
      <c r="CH694" s="72"/>
      <c r="CI694" s="72"/>
      <c r="CJ694" s="72"/>
      <c r="CK694" s="72"/>
      <c r="CL694" s="72"/>
      <c r="CM694" s="72"/>
      <c r="CN694" s="72"/>
      <c r="CO694" s="72"/>
      <c r="CP694" s="72"/>
      <c r="CQ694" s="72"/>
      <c r="CR694" s="72"/>
      <c r="CS694" s="72"/>
      <c r="CT694" s="72"/>
      <c r="CU694" s="72"/>
      <c r="CV694" s="72"/>
      <c r="CW694" s="72"/>
      <c r="CX694" s="72"/>
      <c r="CY694" s="72"/>
      <c r="CZ694" s="72"/>
      <c r="DA694" s="72"/>
      <c r="DB694" s="72"/>
      <c r="DC694" s="72"/>
      <c r="DD694" s="72"/>
      <c r="DE694" s="72"/>
      <c r="DF694" s="72"/>
      <c r="DG694" s="72"/>
      <c r="DH694" s="72"/>
      <c r="DI694" s="72"/>
      <c r="DJ694" s="72"/>
      <c r="DK694" s="72"/>
      <c r="DL694" s="72"/>
      <c r="DM694" s="72"/>
      <c r="DN694" s="72"/>
      <c r="DO694" s="72"/>
      <c r="DP694" s="72"/>
      <c r="DQ694" s="72"/>
      <c r="DR694" s="72"/>
      <c r="DS694" s="72"/>
      <c r="DT694" s="72"/>
      <c r="DU694" s="72"/>
      <c r="DV694" s="72"/>
      <c r="DW694" s="72"/>
      <c r="DX694" s="72"/>
      <c r="DY694" s="72"/>
      <c r="DZ694" s="72"/>
      <c r="EA694" s="72"/>
      <c r="EB694" s="72"/>
      <c r="EC694" s="72"/>
      <c r="ED694" s="72"/>
      <c r="EE694" s="72"/>
      <c r="EF694" s="72"/>
      <c r="EG694" s="72"/>
      <c r="EH694" s="72"/>
      <c r="EI694" s="129"/>
      <c r="EJ694" s="129"/>
      <c r="EK694" s="129"/>
      <c r="EL694" s="129"/>
      <c r="EM694" s="72"/>
      <c r="EN694" s="72"/>
      <c r="EO694" s="72"/>
      <c r="EP694" s="72"/>
      <c r="EQ694" s="72"/>
      <c r="ER694" s="72"/>
      <c r="ES694" s="72"/>
      <c r="ET694" s="72"/>
    </row>
    <row r="695">
      <c r="CD695" s="72"/>
      <c r="CE695" s="72"/>
      <c r="CF695" s="72"/>
      <c r="CG695" s="72"/>
      <c r="CH695" s="72"/>
      <c r="CI695" s="72"/>
      <c r="CJ695" s="72"/>
      <c r="CK695" s="72"/>
      <c r="CL695" s="72"/>
      <c r="CM695" s="72"/>
      <c r="CN695" s="72"/>
      <c r="CO695" s="72"/>
      <c r="CP695" s="72"/>
      <c r="CQ695" s="72"/>
      <c r="CR695" s="72"/>
      <c r="CS695" s="72"/>
      <c r="CT695" s="72"/>
      <c r="CU695" s="72"/>
      <c r="CV695" s="72"/>
      <c r="CW695" s="72"/>
      <c r="CX695" s="72"/>
      <c r="CY695" s="72"/>
      <c r="CZ695" s="72"/>
      <c r="DA695" s="72"/>
      <c r="DB695" s="72"/>
      <c r="DC695" s="72"/>
      <c r="DD695" s="72"/>
      <c r="DE695" s="72"/>
      <c r="DF695" s="72"/>
      <c r="DG695" s="72"/>
      <c r="DH695" s="72"/>
      <c r="DI695" s="72"/>
      <c r="DJ695" s="72"/>
      <c r="DK695" s="72"/>
      <c r="DL695" s="72"/>
      <c r="DM695" s="72"/>
      <c r="DN695" s="72"/>
      <c r="DO695" s="72"/>
      <c r="DP695" s="72"/>
      <c r="DQ695" s="72"/>
      <c r="DR695" s="72"/>
      <c r="DS695" s="72"/>
      <c r="DT695" s="72"/>
      <c r="DU695" s="72"/>
      <c r="DV695" s="72"/>
      <c r="DW695" s="72"/>
      <c r="DX695" s="72"/>
      <c r="DY695" s="72"/>
      <c r="DZ695" s="72"/>
      <c r="EA695" s="72"/>
      <c r="EB695" s="72"/>
      <c r="EC695" s="72"/>
      <c r="ED695" s="72"/>
      <c r="EE695" s="72"/>
      <c r="EF695" s="72"/>
      <c r="EG695" s="72"/>
      <c r="EH695" s="72"/>
      <c r="EI695" s="129"/>
      <c r="EJ695" s="129"/>
      <c r="EK695" s="129"/>
      <c r="EL695" s="129"/>
      <c r="EM695" s="72"/>
      <c r="EN695" s="72"/>
      <c r="EO695" s="72"/>
      <c r="EP695" s="72"/>
      <c r="EQ695" s="72"/>
      <c r="ER695" s="72"/>
      <c r="ES695" s="72"/>
      <c r="ET695" s="72"/>
    </row>
    <row r="696">
      <c r="CD696" s="72"/>
      <c r="CE696" s="72"/>
      <c r="CF696" s="72"/>
      <c r="CG696" s="72"/>
      <c r="CH696" s="72"/>
      <c r="CI696" s="72"/>
      <c r="CJ696" s="72"/>
      <c r="CK696" s="72"/>
      <c r="CL696" s="72"/>
      <c r="CM696" s="72"/>
      <c r="CN696" s="72"/>
      <c r="CO696" s="72"/>
      <c r="CP696" s="72"/>
      <c r="CQ696" s="72"/>
      <c r="CR696" s="72"/>
      <c r="CS696" s="72"/>
      <c r="CT696" s="72"/>
      <c r="CU696" s="72"/>
      <c r="CV696" s="72"/>
      <c r="CW696" s="72"/>
      <c r="CX696" s="72"/>
      <c r="CY696" s="72"/>
      <c r="CZ696" s="72"/>
      <c r="DA696" s="72"/>
      <c r="DB696" s="72"/>
      <c r="DC696" s="72"/>
      <c r="DD696" s="72"/>
      <c r="DE696" s="72"/>
      <c r="DF696" s="72"/>
      <c r="DG696" s="72"/>
      <c r="DH696" s="72"/>
      <c r="DI696" s="72"/>
      <c r="DJ696" s="72"/>
      <c r="DK696" s="72"/>
      <c r="DL696" s="72"/>
      <c r="DM696" s="72"/>
      <c r="DN696" s="72"/>
      <c r="DO696" s="72"/>
      <c r="DP696" s="72"/>
      <c r="DQ696" s="72"/>
      <c r="DR696" s="72"/>
      <c r="DS696" s="72"/>
      <c r="DT696" s="72"/>
      <c r="DU696" s="72"/>
      <c r="DV696" s="72"/>
      <c r="DW696" s="72"/>
      <c r="DX696" s="72"/>
      <c r="DY696" s="72"/>
      <c r="DZ696" s="72"/>
      <c r="EA696" s="72"/>
      <c r="EB696" s="72"/>
      <c r="EC696" s="72"/>
      <c r="ED696" s="72"/>
      <c r="EE696" s="72"/>
      <c r="EF696" s="72"/>
      <c r="EG696" s="72"/>
      <c r="EH696" s="72"/>
      <c r="EI696" s="129"/>
      <c r="EJ696" s="129"/>
      <c r="EK696" s="129"/>
      <c r="EL696" s="129"/>
      <c r="EM696" s="72"/>
      <c r="EN696" s="72"/>
      <c r="EO696" s="72"/>
      <c r="EP696" s="72"/>
      <c r="EQ696" s="72"/>
      <c r="ER696" s="72"/>
      <c r="ES696" s="72"/>
      <c r="ET696" s="72"/>
    </row>
    <row r="697">
      <c r="CD697" s="72"/>
      <c r="CE697" s="72"/>
      <c r="CF697" s="72"/>
      <c r="CG697" s="72"/>
      <c r="CH697" s="72"/>
      <c r="CI697" s="72"/>
      <c r="CJ697" s="72"/>
      <c r="CK697" s="72"/>
      <c r="CL697" s="72"/>
      <c r="CM697" s="72"/>
      <c r="CN697" s="72"/>
      <c r="CO697" s="72"/>
      <c r="CP697" s="72"/>
      <c r="CQ697" s="72"/>
      <c r="CR697" s="72"/>
      <c r="CS697" s="72"/>
      <c r="CT697" s="72"/>
      <c r="CU697" s="72"/>
      <c r="CV697" s="72"/>
      <c r="CW697" s="72"/>
      <c r="CX697" s="72"/>
      <c r="CY697" s="72"/>
      <c r="CZ697" s="72"/>
      <c r="DA697" s="72"/>
      <c r="DB697" s="72"/>
      <c r="DC697" s="72"/>
      <c r="DD697" s="72"/>
      <c r="DE697" s="72"/>
      <c r="DF697" s="72"/>
      <c r="DG697" s="72"/>
      <c r="DH697" s="72"/>
      <c r="DI697" s="72"/>
      <c r="DJ697" s="72"/>
      <c r="DK697" s="72"/>
      <c r="DL697" s="72"/>
      <c r="DM697" s="72"/>
      <c r="DN697" s="72"/>
      <c r="DO697" s="72"/>
      <c r="DP697" s="72"/>
      <c r="DQ697" s="72"/>
      <c r="DR697" s="72"/>
      <c r="DS697" s="72"/>
      <c r="DT697" s="72"/>
      <c r="DU697" s="72"/>
      <c r="DV697" s="72"/>
      <c r="DW697" s="72"/>
      <c r="DX697" s="72"/>
      <c r="DY697" s="72"/>
      <c r="DZ697" s="72"/>
      <c r="EA697" s="72"/>
      <c r="EB697" s="72"/>
      <c r="EC697" s="72"/>
      <c r="ED697" s="72"/>
      <c r="EE697" s="72"/>
      <c r="EF697" s="72"/>
      <c r="EG697" s="72"/>
      <c r="EH697" s="72"/>
      <c r="EI697" s="129"/>
      <c r="EJ697" s="129"/>
      <c r="EK697" s="129"/>
      <c r="EL697" s="129"/>
      <c r="EM697" s="72"/>
      <c r="EN697" s="72"/>
      <c r="EO697" s="72"/>
      <c r="EP697" s="72"/>
      <c r="EQ697" s="72"/>
      <c r="ER697" s="72"/>
      <c r="ES697" s="72"/>
      <c r="ET697" s="72"/>
    </row>
    <row r="698">
      <c r="CD698" s="72"/>
      <c r="CE698" s="72"/>
      <c r="CF698" s="72"/>
      <c r="CG698" s="72"/>
      <c r="CH698" s="72"/>
      <c r="CI698" s="72"/>
      <c r="CJ698" s="72"/>
      <c r="CK698" s="72"/>
      <c r="CL698" s="72"/>
      <c r="CM698" s="72"/>
      <c r="CN698" s="72"/>
      <c r="CO698" s="72"/>
      <c r="CP698" s="72"/>
      <c r="CQ698" s="72"/>
      <c r="CR698" s="72"/>
      <c r="CS698" s="72"/>
      <c r="CT698" s="72"/>
      <c r="CU698" s="72"/>
      <c r="CV698" s="72"/>
      <c r="CW698" s="72"/>
      <c r="CX698" s="72"/>
      <c r="CY698" s="72"/>
      <c r="CZ698" s="72"/>
      <c r="DA698" s="72"/>
      <c r="DB698" s="72"/>
      <c r="DC698" s="72"/>
      <c r="DD698" s="72"/>
      <c r="DE698" s="72"/>
      <c r="DF698" s="72"/>
      <c r="DG698" s="72"/>
      <c r="DH698" s="72"/>
      <c r="DI698" s="72"/>
      <c r="DJ698" s="72"/>
      <c r="DK698" s="72"/>
      <c r="DL698" s="72"/>
      <c r="DM698" s="72"/>
      <c r="DN698" s="72"/>
      <c r="DO698" s="72"/>
      <c r="DP698" s="72"/>
      <c r="DQ698" s="72"/>
      <c r="DR698" s="72"/>
      <c r="DS698" s="72"/>
      <c r="DT698" s="72"/>
      <c r="DU698" s="72"/>
      <c r="DV698" s="72"/>
      <c r="DW698" s="72"/>
      <c r="DX698" s="72"/>
      <c r="DY698" s="72"/>
      <c r="DZ698" s="72"/>
      <c r="EA698" s="72"/>
      <c r="EB698" s="72"/>
      <c r="EC698" s="72"/>
      <c r="ED698" s="72"/>
      <c r="EE698" s="72"/>
      <c r="EF698" s="72"/>
      <c r="EG698" s="72"/>
      <c r="EH698" s="72"/>
      <c r="EI698" s="129"/>
      <c r="EJ698" s="129"/>
      <c r="EK698" s="129"/>
      <c r="EL698" s="129"/>
      <c r="EM698" s="72"/>
      <c r="EN698" s="72"/>
      <c r="EO698" s="72"/>
      <c r="EP698" s="72"/>
      <c r="EQ698" s="72"/>
      <c r="ER698" s="72"/>
      <c r="ES698" s="72"/>
      <c r="ET698" s="72"/>
    </row>
    <row r="699">
      <c r="CD699" s="72"/>
      <c r="CE699" s="72"/>
      <c r="CF699" s="72"/>
      <c r="CG699" s="72"/>
      <c r="CH699" s="72"/>
      <c r="CI699" s="72"/>
      <c r="CJ699" s="72"/>
      <c r="CK699" s="72"/>
      <c r="CL699" s="72"/>
      <c r="CM699" s="72"/>
      <c r="CN699" s="72"/>
      <c r="CO699" s="72"/>
      <c r="CP699" s="72"/>
      <c r="CQ699" s="72"/>
      <c r="CR699" s="72"/>
      <c r="CS699" s="72"/>
      <c r="CT699" s="72"/>
      <c r="CU699" s="72"/>
      <c r="CV699" s="72"/>
      <c r="CW699" s="72"/>
      <c r="CX699" s="72"/>
      <c r="CY699" s="72"/>
      <c r="CZ699" s="72"/>
      <c r="DA699" s="72"/>
      <c r="DB699" s="72"/>
      <c r="DC699" s="72"/>
      <c r="DD699" s="72"/>
      <c r="DE699" s="72"/>
      <c r="DF699" s="72"/>
      <c r="DG699" s="72"/>
      <c r="DH699" s="72"/>
      <c r="DI699" s="72"/>
      <c r="DJ699" s="72"/>
      <c r="DK699" s="72"/>
      <c r="DL699" s="72"/>
      <c r="DM699" s="72"/>
      <c r="DN699" s="72"/>
      <c r="DO699" s="72"/>
      <c r="DP699" s="72"/>
      <c r="DQ699" s="72"/>
      <c r="DR699" s="72"/>
      <c r="DS699" s="72"/>
      <c r="DT699" s="72"/>
      <c r="DU699" s="72"/>
      <c r="DV699" s="72"/>
      <c r="DW699" s="72"/>
      <c r="DX699" s="72"/>
      <c r="DY699" s="72"/>
      <c r="DZ699" s="72"/>
      <c r="EA699" s="72"/>
      <c r="EB699" s="72"/>
      <c r="EC699" s="72"/>
      <c r="ED699" s="72"/>
      <c r="EE699" s="72"/>
      <c r="EF699" s="72"/>
      <c r="EG699" s="72"/>
      <c r="EH699" s="72"/>
      <c r="EI699" s="129"/>
      <c r="EJ699" s="129"/>
      <c r="EK699" s="129"/>
      <c r="EL699" s="129"/>
      <c r="EM699" s="72"/>
      <c r="EN699" s="72"/>
      <c r="EO699" s="72"/>
      <c r="EP699" s="72"/>
      <c r="EQ699" s="72"/>
      <c r="ER699" s="72"/>
      <c r="ES699" s="72"/>
      <c r="ET699" s="72"/>
    </row>
    <row r="700">
      <c r="CD700" s="72"/>
      <c r="CE700" s="72"/>
      <c r="CF700" s="72"/>
      <c r="CG700" s="72"/>
      <c r="CH700" s="72"/>
      <c r="CI700" s="72"/>
      <c r="CJ700" s="72"/>
      <c r="CK700" s="72"/>
      <c r="CL700" s="72"/>
      <c r="CM700" s="72"/>
      <c r="CN700" s="72"/>
      <c r="CO700" s="72"/>
      <c r="CP700" s="72"/>
      <c r="CQ700" s="72"/>
      <c r="CR700" s="72"/>
      <c r="CS700" s="72"/>
      <c r="CT700" s="72"/>
      <c r="CU700" s="72"/>
      <c r="CV700" s="72"/>
      <c r="CW700" s="72"/>
      <c r="CX700" s="72"/>
      <c r="CY700" s="72"/>
      <c r="CZ700" s="72"/>
      <c r="DA700" s="72"/>
      <c r="DB700" s="72"/>
      <c r="DC700" s="72"/>
      <c r="DD700" s="72"/>
      <c r="DE700" s="72"/>
      <c r="DF700" s="72"/>
      <c r="DG700" s="72"/>
      <c r="DH700" s="72"/>
      <c r="DI700" s="72"/>
      <c r="DJ700" s="72"/>
      <c r="DK700" s="72"/>
      <c r="DL700" s="72"/>
      <c r="DM700" s="72"/>
      <c r="DN700" s="72"/>
      <c r="DO700" s="72"/>
      <c r="DP700" s="72"/>
      <c r="DQ700" s="72"/>
      <c r="DR700" s="72"/>
      <c r="DS700" s="72"/>
      <c r="DT700" s="72"/>
      <c r="DU700" s="72"/>
      <c r="DV700" s="72"/>
      <c r="DW700" s="72"/>
      <c r="DX700" s="72"/>
      <c r="DY700" s="72"/>
      <c r="DZ700" s="72"/>
      <c r="EA700" s="72"/>
      <c r="EB700" s="72"/>
      <c r="EC700" s="72"/>
      <c r="ED700" s="72"/>
      <c r="EE700" s="72"/>
      <c r="EF700" s="72"/>
      <c r="EG700" s="72"/>
      <c r="EH700" s="72"/>
      <c r="EI700" s="129"/>
      <c r="EJ700" s="129"/>
      <c r="EK700" s="129"/>
      <c r="EL700" s="129"/>
      <c r="EM700" s="72"/>
      <c r="EN700" s="72"/>
      <c r="EO700" s="72"/>
      <c r="EP700" s="72"/>
      <c r="EQ700" s="72"/>
      <c r="ER700" s="72"/>
      <c r="ES700" s="72"/>
      <c r="ET700" s="72"/>
    </row>
    <row r="701">
      <c r="CD701" s="72"/>
      <c r="CE701" s="72"/>
      <c r="CF701" s="72"/>
      <c r="CG701" s="72"/>
      <c r="CH701" s="72"/>
      <c r="CI701" s="72"/>
      <c r="CJ701" s="72"/>
      <c r="CK701" s="72"/>
      <c r="CL701" s="72"/>
      <c r="CM701" s="72"/>
      <c r="CN701" s="72"/>
      <c r="CO701" s="72"/>
      <c r="CP701" s="72"/>
      <c r="CQ701" s="72"/>
      <c r="CR701" s="72"/>
      <c r="CS701" s="72"/>
      <c r="CT701" s="72"/>
      <c r="CU701" s="72"/>
      <c r="CV701" s="72"/>
      <c r="CW701" s="72"/>
      <c r="CX701" s="72"/>
      <c r="CY701" s="72"/>
      <c r="CZ701" s="72"/>
      <c r="DA701" s="72"/>
      <c r="DB701" s="72"/>
      <c r="DC701" s="72"/>
      <c r="DD701" s="72"/>
      <c r="DE701" s="72"/>
      <c r="DF701" s="72"/>
      <c r="DG701" s="72"/>
      <c r="DH701" s="72"/>
      <c r="DI701" s="72"/>
      <c r="DJ701" s="72"/>
      <c r="DK701" s="72"/>
      <c r="DL701" s="72"/>
      <c r="DM701" s="72"/>
      <c r="DN701" s="72"/>
      <c r="DO701" s="72"/>
      <c r="DP701" s="72"/>
      <c r="DQ701" s="72"/>
      <c r="DR701" s="72"/>
      <c r="DS701" s="72"/>
      <c r="DT701" s="72"/>
      <c r="DU701" s="72"/>
      <c r="DV701" s="72"/>
      <c r="DW701" s="72"/>
      <c r="DX701" s="72"/>
      <c r="DY701" s="72"/>
      <c r="DZ701" s="72"/>
      <c r="EA701" s="72"/>
      <c r="EB701" s="72"/>
      <c r="EC701" s="72"/>
      <c r="ED701" s="72"/>
      <c r="EE701" s="72"/>
      <c r="EF701" s="72"/>
      <c r="EG701" s="72"/>
      <c r="EH701" s="72"/>
      <c r="EI701" s="129"/>
      <c r="EJ701" s="129"/>
      <c r="EK701" s="129"/>
      <c r="EL701" s="129"/>
      <c r="EM701" s="72"/>
      <c r="EN701" s="72"/>
      <c r="EO701" s="72"/>
      <c r="EP701" s="72"/>
      <c r="EQ701" s="72"/>
      <c r="ER701" s="72"/>
      <c r="ES701" s="72"/>
      <c r="ET701" s="72"/>
    </row>
    <row r="702">
      <c r="CD702" s="72"/>
      <c r="CE702" s="72"/>
      <c r="CF702" s="72"/>
      <c r="CG702" s="72"/>
      <c r="CH702" s="72"/>
      <c r="CI702" s="72"/>
      <c r="CJ702" s="72"/>
      <c r="CK702" s="72"/>
      <c r="CL702" s="72"/>
      <c r="CM702" s="72"/>
      <c r="CN702" s="72"/>
      <c r="CO702" s="72"/>
      <c r="CP702" s="72"/>
      <c r="CQ702" s="72"/>
      <c r="CR702" s="72"/>
      <c r="CS702" s="72"/>
      <c r="CT702" s="72"/>
      <c r="CU702" s="72"/>
      <c r="CV702" s="72"/>
      <c r="CW702" s="72"/>
      <c r="CX702" s="72"/>
      <c r="CY702" s="72"/>
      <c r="CZ702" s="72"/>
      <c r="DA702" s="72"/>
      <c r="DB702" s="72"/>
      <c r="DC702" s="72"/>
      <c r="DD702" s="72"/>
      <c r="DE702" s="72"/>
      <c r="DF702" s="72"/>
      <c r="DG702" s="72"/>
      <c r="DH702" s="72"/>
      <c r="DI702" s="72"/>
      <c r="DJ702" s="72"/>
      <c r="DK702" s="72"/>
      <c r="DL702" s="72"/>
      <c r="DM702" s="72"/>
      <c r="DN702" s="72"/>
      <c r="DO702" s="72"/>
      <c r="DP702" s="72"/>
      <c r="DQ702" s="72"/>
      <c r="DR702" s="72"/>
      <c r="DS702" s="72"/>
      <c r="DT702" s="72"/>
      <c r="DU702" s="72"/>
      <c r="DV702" s="72"/>
      <c r="DW702" s="72"/>
      <c r="DX702" s="72"/>
      <c r="DY702" s="72"/>
      <c r="DZ702" s="72"/>
      <c r="EA702" s="72"/>
      <c r="EB702" s="72"/>
      <c r="EC702" s="72"/>
      <c r="ED702" s="72"/>
      <c r="EE702" s="72"/>
      <c r="EF702" s="72"/>
      <c r="EG702" s="72"/>
      <c r="EH702" s="72"/>
      <c r="EI702" s="129"/>
      <c r="EJ702" s="129"/>
      <c r="EK702" s="129"/>
      <c r="EL702" s="129"/>
      <c r="EM702" s="72"/>
      <c r="EN702" s="72"/>
      <c r="EO702" s="72"/>
      <c r="EP702" s="72"/>
      <c r="EQ702" s="72"/>
      <c r="ER702" s="72"/>
      <c r="ES702" s="72"/>
      <c r="ET702" s="72"/>
    </row>
    <row r="703">
      <c r="CD703" s="72"/>
      <c r="CE703" s="72"/>
      <c r="CF703" s="72"/>
      <c r="CG703" s="72"/>
      <c r="CH703" s="72"/>
      <c r="CI703" s="72"/>
      <c r="CJ703" s="72"/>
      <c r="CK703" s="72"/>
      <c r="CL703" s="72"/>
      <c r="CM703" s="72"/>
      <c r="CN703" s="72"/>
      <c r="CO703" s="72"/>
      <c r="CP703" s="72"/>
      <c r="CQ703" s="72"/>
      <c r="CR703" s="72"/>
      <c r="CS703" s="72"/>
      <c r="CT703" s="72"/>
      <c r="CU703" s="72"/>
      <c r="CV703" s="72"/>
      <c r="CW703" s="72"/>
      <c r="CX703" s="72"/>
      <c r="CY703" s="72"/>
      <c r="CZ703" s="72"/>
      <c r="DA703" s="72"/>
      <c r="DB703" s="72"/>
      <c r="DC703" s="72"/>
      <c r="DD703" s="72"/>
      <c r="DE703" s="72"/>
      <c r="DF703" s="72"/>
      <c r="DG703" s="72"/>
      <c r="DH703" s="72"/>
      <c r="DI703" s="72"/>
      <c r="DJ703" s="72"/>
      <c r="DK703" s="72"/>
      <c r="DL703" s="72"/>
      <c r="DM703" s="72"/>
      <c r="DN703" s="72"/>
      <c r="DO703" s="72"/>
      <c r="DP703" s="72"/>
      <c r="DQ703" s="72"/>
      <c r="DR703" s="72"/>
      <c r="DS703" s="72"/>
      <c r="DT703" s="72"/>
      <c r="DU703" s="72"/>
      <c r="DV703" s="72"/>
      <c r="DW703" s="72"/>
      <c r="DX703" s="72"/>
      <c r="DY703" s="72"/>
      <c r="DZ703" s="72"/>
      <c r="EA703" s="72"/>
      <c r="EB703" s="72"/>
      <c r="EC703" s="72"/>
      <c r="ED703" s="72"/>
      <c r="EE703" s="72"/>
      <c r="EF703" s="72"/>
      <c r="EG703" s="72"/>
      <c r="EH703" s="72"/>
      <c r="EI703" s="129"/>
      <c r="EJ703" s="129"/>
      <c r="EK703" s="129"/>
      <c r="EL703" s="129"/>
      <c r="EM703" s="72"/>
      <c r="EN703" s="72"/>
      <c r="EO703" s="72"/>
      <c r="EP703" s="72"/>
      <c r="EQ703" s="72"/>
      <c r="ER703" s="72"/>
      <c r="ES703" s="72"/>
      <c r="ET703" s="72"/>
    </row>
    <row r="704">
      <c r="CD704" s="72"/>
      <c r="CE704" s="72"/>
      <c r="CF704" s="72"/>
      <c r="CG704" s="72"/>
      <c r="CH704" s="72"/>
      <c r="CI704" s="72"/>
      <c r="CJ704" s="72"/>
      <c r="CK704" s="72"/>
      <c r="CL704" s="72"/>
      <c r="CM704" s="72"/>
      <c r="CN704" s="72"/>
      <c r="CO704" s="72"/>
      <c r="CP704" s="72"/>
      <c r="CQ704" s="72"/>
      <c r="CR704" s="72"/>
      <c r="CS704" s="72"/>
      <c r="CT704" s="72"/>
      <c r="CU704" s="72"/>
      <c r="CV704" s="72"/>
      <c r="CW704" s="72"/>
      <c r="CX704" s="72"/>
      <c r="CY704" s="72"/>
      <c r="CZ704" s="72"/>
      <c r="DA704" s="72"/>
      <c r="DB704" s="72"/>
      <c r="DC704" s="72"/>
      <c r="DD704" s="72"/>
      <c r="DE704" s="72"/>
      <c r="DF704" s="72"/>
      <c r="DG704" s="72"/>
      <c r="DH704" s="72"/>
      <c r="DI704" s="72"/>
      <c r="DJ704" s="72"/>
      <c r="DK704" s="72"/>
      <c r="DL704" s="72"/>
      <c r="DM704" s="72"/>
      <c r="DN704" s="72"/>
      <c r="DO704" s="72"/>
      <c r="DP704" s="72"/>
      <c r="DQ704" s="72"/>
      <c r="DR704" s="72"/>
      <c r="DS704" s="72"/>
      <c r="DT704" s="72"/>
      <c r="DU704" s="72"/>
      <c r="DV704" s="72"/>
      <c r="DW704" s="72"/>
      <c r="DX704" s="72"/>
      <c r="DY704" s="72"/>
      <c r="DZ704" s="72"/>
      <c r="EA704" s="72"/>
      <c r="EB704" s="72"/>
      <c r="EC704" s="72"/>
      <c r="ED704" s="72"/>
      <c r="EE704" s="72"/>
      <c r="EF704" s="72"/>
      <c r="EG704" s="72"/>
      <c r="EH704" s="72"/>
      <c r="EI704" s="129"/>
      <c r="EJ704" s="129"/>
      <c r="EK704" s="129"/>
      <c r="EL704" s="129"/>
      <c r="EM704" s="72"/>
      <c r="EN704" s="72"/>
      <c r="EO704" s="72"/>
      <c r="EP704" s="72"/>
      <c r="EQ704" s="72"/>
      <c r="ER704" s="72"/>
      <c r="ES704" s="72"/>
      <c r="ET704" s="72"/>
    </row>
    <row r="705">
      <c r="CD705" s="72"/>
      <c r="CE705" s="72"/>
      <c r="CF705" s="72"/>
      <c r="CG705" s="72"/>
      <c r="CH705" s="72"/>
      <c r="CI705" s="72"/>
      <c r="CJ705" s="72"/>
      <c r="CK705" s="72"/>
      <c r="CL705" s="72"/>
      <c r="CM705" s="72"/>
      <c r="CN705" s="72"/>
      <c r="CO705" s="72"/>
      <c r="CP705" s="72"/>
      <c r="CQ705" s="72"/>
      <c r="CR705" s="72"/>
      <c r="CS705" s="72"/>
      <c r="CT705" s="72"/>
      <c r="CU705" s="72"/>
      <c r="CV705" s="72"/>
      <c r="CW705" s="72"/>
      <c r="CX705" s="72"/>
      <c r="CY705" s="72"/>
      <c r="CZ705" s="72"/>
      <c r="DA705" s="72"/>
      <c r="DB705" s="72"/>
      <c r="DC705" s="72"/>
      <c r="DD705" s="72"/>
      <c r="DE705" s="72"/>
      <c r="DF705" s="72"/>
      <c r="DG705" s="72"/>
      <c r="DH705" s="72"/>
      <c r="DI705" s="72"/>
      <c r="DJ705" s="72"/>
      <c r="DK705" s="72"/>
      <c r="DL705" s="72"/>
      <c r="DM705" s="72"/>
      <c r="DN705" s="72"/>
      <c r="DO705" s="72"/>
      <c r="DP705" s="72"/>
      <c r="DQ705" s="72"/>
      <c r="DR705" s="72"/>
      <c r="DS705" s="72"/>
      <c r="DT705" s="72"/>
      <c r="DU705" s="72"/>
      <c r="DV705" s="72"/>
      <c r="DW705" s="72"/>
      <c r="DX705" s="72"/>
      <c r="DY705" s="72"/>
      <c r="DZ705" s="72"/>
      <c r="EA705" s="72"/>
      <c r="EB705" s="72"/>
      <c r="EC705" s="72"/>
      <c r="ED705" s="72"/>
      <c r="EE705" s="72"/>
      <c r="EF705" s="72"/>
      <c r="EG705" s="72"/>
      <c r="EH705" s="72"/>
      <c r="EI705" s="129"/>
      <c r="EJ705" s="129"/>
      <c r="EK705" s="129"/>
      <c r="EL705" s="129"/>
      <c r="EM705" s="72"/>
      <c r="EN705" s="72"/>
      <c r="EO705" s="72"/>
      <c r="EP705" s="72"/>
      <c r="EQ705" s="72"/>
      <c r="ER705" s="72"/>
      <c r="ES705" s="72"/>
      <c r="ET705" s="72"/>
    </row>
    <row r="706">
      <c r="CD706" s="72"/>
      <c r="CE706" s="72"/>
      <c r="CF706" s="72"/>
      <c r="CG706" s="72"/>
      <c r="CH706" s="72"/>
      <c r="CI706" s="72"/>
      <c r="CJ706" s="72"/>
      <c r="CK706" s="72"/>
      <c r="CL706" s="72"/>
      <c r="CM706" s="72"/>
      <c r="CN706" s="72"/>
      <c r="CO706" s="72"/>
      <c r="CP706" s="72"/>
      <c r="CQ706" s="72"/>
      <c r="CR706" s="72"/>
      <c r="CS706" s="72"/>
      <c r="CT706" s="72"/>
      <c r="CU706" s="72"/>
      <c r="CV706" s="72"/>
      <c r="CW706" s="72"/>
      <c r="CX706" s="72"/>
      <c r="CY706" s="72"/>
      <c r="CZ706" s="72"/>
      <c r="DA706" s="72"/>
      <c r="DB706" s="72"/>
      <c r="DC706" s="72"/>
      <c r="DD706" s="72"/>
      <c r="DE706" s="72"/>
      <c r="DF706" s="72"/>
      <c r="DG706" s="72"/>
      <c r="DH706" s="72"/>
      <c r="DI706" s="72"/>
      <c r="DJ706" s="72"/>
      <c r="DK706" s="72"/>
      <c r="DL706" s="72"/>
      <c r="DM706" s="72"/>
      <c r="DN706" s="72"/>
      <c r="DO706" s="72"/>
      <c r="DP706" s="72"/>
      <c r="DQ706" s="72"/>
      <c r="DR706" s="72"/>
      <c r="DS706" s="72"/>
      <c r="DT706" s="72"/>
      <c r="DU706" s="72"/>
      <c r="DV706" s="72"/>
      <c r="DW706" s="72"/>
      <c r="DX706" s="72"/>
      <c r="DY706" s="72"/>
      <c r="DZ706" s="72"/>
      <c r="EA706" s="72"/>
      <c r="EB706" s="72"/>
      <c r="EC706" s="72"/>
      <c r="ED706" s="72"/>
      <c r="EE706" s="72"/>
      <c r="EF706" s="72"/>
      <c r="EG706" s="72"/>
      <c r="EH706" s="72"/>
      <c r="EI706" s="129"/>
      <c r="EJ706" s="129"/>
      <c r="EK706" s="129"/>
      <c r="EL706" s="129"/>
      <c r="EM706" s="72"/>
      <c r="EN706" s="72"/>
      <c r="EO706" s="72"/>
      <c r="EP706" s="72"/>
      <c r="EQ706" s="72"/>
      <c r="ER706" s="72"/>
      <c r="ES706" s="72"/>
      <c r="ET706" s="72"/>
    </row>
    <row r="707">
      <c r="CD707" s="72"/>
      <c r="CE707" s="72"/>
      <c r="CF707" s="72"/>
      <c r="CG707" s="72"/>
      <c r="CH707" s="72"/>
      <c r="CI707" s="72"/>
      <c r="CJ707" s="72"/>
      <c r="CK707" s="72"/>
      <c r="CL707" s="72"/>
      <c r="CM707" s="72"/>
      <c r="CN707" s="72"/>
      <c r="CO707" s="72"/>
      <c r="CP707" s="72"/>
      <c r="CQ707" s="72"/>
      <c r="CR707" s="72"/>
      <c r="CS707" s="72"/>
      <c r="CT707" s="72"/>
      <c r="CU707" s="72"/>
      <c r="CV707" s="72"/>
      <c r="CW707" s="72"/>
      <c r="CX707" s="72"/>
      <c r="CY707" s="72"/>
      <c r="CZ707" s="72"/>
      <c r="DA707" s="72"/>
      <c r="DB707" s="72"/>
      <c r="DC707" s="72"/>
      <c r="DD707" s="72"/>
      <c r="DE707" s="72"/>
      <c r="DF707" s="72"/>
      <c r="DG707" s="72"/>
      <c r="DH707" s="72"/>
      <c r="DI707" s="72"/>
      <c r="DJ707" s="72"/>
      <c r="DK707" s="72"/>
      <c r="DL707" s="72"/>
      <c r="DM707" s="72"/>
      <c r="DN707" s="72"/>
      <c r="DO707" s="72"/>
      <c r="DP707" s="72"/>
      <c r="DQ707" s="72"/>
      <c r="DR707" s="72"/>
      <c r="DS707" s="72"/>
      <c r="DT707" s="72"/>
      <c r="DU707" s="72"/>
      <c r="DV707" s="72"/>
      <c r="DW707" s="72"/>
      <c r="DX707" s="72"/>
      <c r="DY707" s="72"/>
      <c r="DZ707" s="72"/>
      <c r="EA707" s="72"/>
      <c r="EB707" s="72"/>
      <c r="EC707" s="72"/>
      <c r="ED707" s="72"/>
      <c r="EE707" s="72"/>
      <c r="EF707" s="72"/>
      <c r="EG707" s="72"/>
      <c r="EH707" s="72"/>
      <c r="EI707" s="129"/>
      <c r="EJ707" s="129"/>
      <c r="EK707" s="129"/>
      <c r="EL707" s="129"/>
      <c r="EM707" s="72"/>
      <c r="EN707" s="72"/>
      <c r="EO707" s="72"/>
      <c r="EP707" s="72"/>
      <c r="EQ707" s="72"/>
      <c r="ER707" s="72"/>
      <c r="ES707" s="72"/>
      <c r="ET707" s="72"/>
    </row>
    <row r="708">
      <c r="CD708" s="72"/>
      <c r="CE708" s="72"/>
      <c r="CF708" s="72"/>
      <c r="CG708" s="72"/>
      <c r="CH708" s="72"/>
      <c r="CI708" s="72"/>
      <c r="CJ708" s="72"/>
      <c r="CK708" s="72"/>
      <c r="CL708" s="72"/>
      <c r="CM708" s="72"/>
      <c r="CN708" s="72"/>
      <c r="CO708" s="72"/>
      <c r="CP708" s="72"/>
      <c r="CQ708" s="72"/>
      <c r="CR708" s="72"/>
      <c r="CS708" s="72"/>
      <c r="CT708" s="72"/>
      <c r="CU708" s="72"/>
      <c r="CV708" s="72"/>
      <c r="CW708" s="72"/>
      <c r="CX708" s="72"/>
      <c r="CY708" s="72"/>
      <c r="CZ708" s="72"/>
      <c r="DA708" s="72"/>
      <c r="DB708" s="72"/>
      <c r="DC708" s="72"/>
      <c r="DD708" s="72"/>
      <c r="DE708" s="72"/>
      <c r="DF708" s="72"/>
      <c r="DG708" s="72"/>
      <c r="DH708" s="72"/>
      <c r="DI708" s="72"/>
      <c r="DJ708" s="72"/>
      <c r="DK708" s="72"/>
      <c r="DL708" s="72"/>
      <c r="DM708" s="72"/>
      <c r="DN708" s="72"/>
      <c r="DO708" s="72"/>
      <c r="DP708" s="72"/>
      <c r="DQ708" s="72"/>
      <c r="DR708" s="72"/>
      <c r="DS708" s="72"/>
      <c r="DT708" s="72"/>
      <c r="DU708" s="72"/>
      <c r="DV708" s="72"/>
      <c r="DW708" s="72"/>
      <c r="DX708" s="72"/>
      <c r="DY708" s="72"/>
      <c r="DZ708" s="72"/>
      <c r="EA708" s="72"/>
      <c r="EB708" s="72"/>
      <c r="EC708" s="72"/>
      <c r="ED708" s="72"/>
      <c r="EE708" s="72"/>
      <c r="EF708" s="72"/>
      <c r="EG708" s="72"/>
      <c r="EH708" s="72"/>
      <c r="EI708" s="129"/>
      <c r="EJ708" s="129"/>
      <c r="EK708" s="129"/>
      <c r="EL708" s="129"/>
      <c r="EM708" s="72"/>
      <c r="EN708" s="72"/>
      <c r="EO708" s="72"/>
      <c r="EP708" s="72"/>
      <c r="EQ708" s="72"/>
      <c r="ER708" s="72"/>
      <c r="ES708" s="72"/>
      <c r="ET708" s="72"/>
    </row>
    <row r="709">
      <c r="CD709" s="72"/>
      <c r="CE709" s="72"/>
      <c r="CF709" s="72"/>
      <c r="CG709" s="72"/>
      <c r="CH709" s="72"/>
      <c r="CI709" s="72"/>
      <c r="CJ709" s="72"/>
      <c r="CK709" s="72"/>
      <c r="CL709" s="72"/>
      <c r="CM709" s="72"/>
      <c r="CN709" s="72"/>
      <c r="CO709" s="72"/>
      <c r="CP709" s="72"/>
      <c r="CQ709" s="72"/>
      <c r="CR709" s="72"/>
      <c r="CS709" s="72"/>
      <c r="CT709" s="72"/>
      <c r="CU709" s="72"/>
      <c r="CV709" s="72"/>
      <c r="CW709" s="72"/>
      <c r="CX709" s="72"/>
      <c r="CY709" s="72"/>
      <c r="CZ709" s="72"/>
      <c r="DA709" s="72"/>
      <c r="DB709" s="72"/>
      <c r="DC709" s="72"/>
      <c r="DD709" s="72"/>
      <c r="DE709" s="72"/>
      <c r="DF709" s="72"/>
      <c r="DG709" s="72"/>
      <c r="DH709" s="72"/>
      <c r="DI709" s="72"/>
      <c r="DJ709" s="72"/>
      <c r="DK709" s="72"/>
      <c r="DL709" s="72"/>
      <c r="DM709" s="72"/>
      <c r="DN709" s="72"/>
      <c r="DO709" s="72"/>
      <c r="DP709" s="72"/>
      <c r="DQ709" s="72"/>
      <c r="DR709" s="72"/>
      <c r="DS709" s="72"/>
      <c r="DT709" s="72"/>
      <c r="DU709" s="72"/>
      <c r="DV709" s="72"/>
      <c r="DW709" s="72"/>
      <c r="DX709" s="72"/>
      <c r="DY709" s="72"/>
      <c r="DZ709" s="72"/>
      <c r="EA709" s="72"/>
      <c r="EB709" s="72"/>
      <c r="EC709" s="72"/>
      <c r="ED709" s="72"/>
      <c r="EE709" s="72"/>
      <c r="EF709" s="72"/>
      <c r="EG709" s="72"/>
      <c r="EH709" s="72"/>
      <c r="EI709" s="129"/>
      <c r="EJ709" s="129"/>
      <c r="EK709" s="129"/>
      <c r="EL709" s="129"/>
      <c r="EM709" s="72"/>
      <c r="EN709" s="72"/>
      <c r="EO709" s="72"/>
      <c r="EP709" s="72"/>
      <c r="EQ709" s="72"/>
      <c r="ER709" s="72"/>
      <c r="ES709" s="72"/>
      <c r="ET709" s="72"/>
    </row>
    <row r="710">
      <c r="CD710" s="72"/>
      <c r="CE710" s="72"/>
      <c r="CF710" s="72"/>
      <c r="CG710" s="72"/>
      <c r="CH710" s="72"/>
      <c r="CI710" s="72"/>
      <c r="CJ710" s="72"/>
      <c r="CK710" s="72"/>
      <c r="CL710" s="72"/>
      <c r="CM710" s="72"/>
      <c r="CN710" s="72"/>
      <c r="CO710" s="72"/>
      <c r="CP710" s="72"/>
      <c r="CQ710" s="72"/>
      <c r="CR710" s="72"/>
      <c r="CS710" s="72"/>
      <c r="CT710" s="72"/>
      <c r="CU710" s="72"/>
      <c r="CV710" s="72"/>
      <c r="CW710" s="72"/>
      <c r="CX710" s="72"/>
      <c r="CY710" s="72"/>
      <c r="CZ710" s="72"/>
      <c r="DA710" s="72"/>
      <c r="DB710" s="72"/>
      <c r="DC710" s="72"/>
      <c r="DD710" s="72"/>
      <c r="DE710" s="72"/>
      <c r="DF710" s="72"/>
      <c r="DG710" s="72"/>
      <c r="DH710" s="72"/>
      <c r="DI710" s="72"/>
      <c r="DJ710" s="72"/>
      <c r="DK710" s="72"/>
      <c r="DL710" s="72"/>
      <c r="DM710" s="72"/>
      <c r="DN710" s="72"/>
      <c r="DO710" s="72"/>
      <c r="DP710" s="72"/>
      <c r="DQ710" s="72"/>
      <c r="DR710" s="72"/>
      <c r="DS710" s="72"/>
      <c r="DT710" s="72"/>
      <c r="DU710" s="72"/>
      <c r="DV710" s="72"/>
      <c r="DW710" s="72"/>
      <c r="DX710" s="72"/>
      <c r="DY710" s="72"/>
      <c r="DZ710" s="72"/>
      <c r="EA710" s="72"/>
      <c r="EB710" s="72"/>
      <c r="EC710" s="72"/>
      <c r="ED710" s="72"/>
      <c r="EE710" s="72"/>
      <c r="EF710" s="72"/>
      <c r="EG710" s="72"/>
      <c r="EH710" s="72"/>
      <c r="EI710" s="129"/>
      <c r="EJ710" s="129"/>
      <c r="EK710" s="129"/>
      <c r="EL710" s="129"/>
      <c r="EM710" s="72"/>
      <c r="EN710" s="72"/>
      <c r="EO710" s="72"/>
      <c r="EP710" s="72"/>
      <c r="EQ710" s="72"/>
      <c r="ER710" s="72"/>
      <c r="ES710" s="72"/>
      <c r="ET710" s="72"/>
    </row>
    <row r="711">
      <c r="CD711" s="72"/>
      <c r="CE711" s="72"/>
      <c r="CF711" s="72"/>
      <c r="CG711" s="72"/>
      <c r="CH711" s="72"/>
      <c r="CI711" s="72"/>
      <c r="CJ711" s="72"/>
      <c r="CK711" s="72"/>
      <c r="CL711" s="72"/>
      <c r="CM711" s="72"/>
      <c r="CN711" s="72"/>
      <c r="CO711" s="72"/>
      <c r="CP711" s="72"/>
      <c r="CQ711" s="72"/>
      <c r="CR711" s="72"/>
      <c r="CS711" s="72"/>
      <c r="CT711" s="72"/>
      <c r="CU711" s="72"/>
      <c r="CV711" s="72"/>
      <c r="CW711" s="72"/>
      <c r="CX711" s="72"/>
      <c r="CY711" s="72"/>
      <c r="CZ711" s="72"/>
      <c r="DA711" s="72"/>
      <c r="DB711" s="72"/>
      <c r="DC711" s="72"/>
      <c r="DD711" s="72"/>
      <c r="DE711" s="72"/>
      <c r="DF711" s="72"/>
      <c r="DG711" s="72"/>
      <c r="DH711" s="72"/>
      <c r="DI711" s="72"/>
      <c r="DJ711" s="72"/>
      <c r="DK711" s="72"/>
      <c r="DL711" s="72"/>
      <c r="DM711" s="72"/>
      <c r="DN711" s="72"/>
      <c r="DO711" s="72"/>
      <c r="DP711" s="72"/>
      <c r="DQ711" s="72"/>
      <c r="DR711" s="72"/>
      <c r="DS711" s="72"/>
      <c r="DT711" s="72"/>
      <c r="DU711" s="72"/>
      <c r="DV711" s="72"/>
      <c r="DW711" s="72"/>
      <c r="DX711" s="72"/>
      <c r="DY711" s="72"/>
      <c r="DZ711" s="72"/>
      <c r="EA711" s="72"/>
      <c r="EB711" s="72"/>
      <c r="EC711" s="72"/>
      <c r="ED711" s="72"/>
      <c r="EE711" s="72"/>
      <c r="EF711" s="72"/>
      <c r="EG711" s="72"/>
      <c r="EH711" s="72"/>
      <c r="EI711" s="129"/>
      <c r="EJ711" s="129"/>
      <c r="EK711" s="129"/>
      <c r="EL711" s="129"/>
      <c r="EM711" s="72"/>
      <c r="EN711" s="72"/>
      <c r="EO711" s="72"/>
      <c r="EP711" s="72"/>
      <c r="EQ711" s="72"/>
      <c r="ER711" s="72"/>
      <c r="ES711" s="72"/>
      <c r="ET711" s="72"/>
    </row>
    <row r="712">
      <c r="CD712" s="72"/>
      <c r="CE712" s="72"/>
      <c r="CF712" s="72"/>
      <c r="CG712" s="72"/>
      <c r="CH712" s="72"/>
      <c r="CI712" s="72"/>
      <c r="CJ712" s="72"/>
      <c r="CK712" s="72"/>
      <c r="CL712" s="72"/>
      <c r="CM712" s="72"/>
      <c r="CN712" s="72"/>
      <c r="CO712" s="72"/>
      <c r="CP712" s="72"/>
      <c r="CQ712" s="72"/>
      <c r="CR712" s="72"/>
      <c r="CS712" s="72"/>
      <c r="CT712" s="72"/>
      <c r="CU712" s="72"/>
      <c r="CV712" s="72"/>
      <c r="CW712" s="72"/>
      <c r="CX712" s="72"/>
      <c r="CY712" s="72"/>
      <c r="CZ712" s="72"/>
      <c r="DA712" s="72"/>
      <c r="DB712" s="72"/>
      <c r="DC712" s="72"/>
      <c r="DD712" s="72"/>
      <c r="DE712" s="72"/>
      <c r="DF712" s="72"/>
      <c r="DG712" s="72"/>
      <c r="DH712" s="72"/>
      <c r="DI712" s="72"/>
      <c r="DJ712" s="72"/>
      <c r="DK712" s="72"/>
      <c r="DL712" s="72"/>
      <c r="DM712" s="72"/>
      <c r="DN712" s="72"/>
      <c r="DO712" s="72"/>
      <c r="DP712" s="72"/>
      <c r="DQ712" s="72"/>
      <c r="DR712" s="72"/>
      <c r="DS712" s="72"/>
      <c r="DT712" s="72"/>
      <c r="DU712" s="72"/>
      <c r="DV712" s="72"/>
      <c r="DW712" s="72"/>
      <c r="DX712" s="72"/>
      <c r="DY712" s="72"/>
      <c r="DZ712" s="72"/>
      <c r="EA712" s="72"/>
      <c r="EB712" s="72"/>
      <c r="EC712" s="72"/>
      <c r="ED712" s="72"/>
      <c r="EE712" s="72"/>
      <c r="EF712" s="72"/>
      <c r="EG712" s="72"/>
      <c r="EH712" s="72"/>
      <c r="EI712" s="129"/>
      <c r="EJ712" s="129"/>
      <c r="EK712" s="129"/>
      <c r="EL712" s="129"/>
      <c r="EM712" s="72"/>
      <c r="EN712" s="72"/>
      <c r="EO712" s="72"/>
      <c r="EP712" s="72"/>
      <c r="EQ712" s="72"/>
      <c r="ER712" s="72"/>
      <c r="ES712" s="72"/>
      <c r="ET712" s="72"/>
    </row>
    <row r="713">
      <c r="CD713" s="72"/>
      <c r="CE713" s="72"/>
      <c r="CF713" s="72"/>
      <c r="CG713" s="72"/>
      <c r="CH713" s="72"/>
      <c r="CI713" s="72"/>
      <c r="CJ713" s="72"/>
      <c r="CK713" s="72"/>
      <c r="CL713" s="72"/>
      <c r="CM713" s="72"/>
      <c r="CN713" s="72"/>
      <c r="CO713" s="72"/>
      <c r="CP713" s="72"/>
      <c r="CQ713" s="72"/>
      <c r="CR713" s="72"/>
      <c r="CS713" s="72"/>
      <c r="CT713" s="72"/>
      <c r="CU713" s="72"/>
      <c r="CV713" s="72"/>
      <c r="CW713" s="72"/>
      <c r="CX713" s="72"/>
      <c r="CY713" s="72"/>
      <c r="CZ713" s="72"/>
      <c r="DA713" s="72"/>
      <c r="DB713" s="72"/>
      <c r="DC713" s="72"/>
      <c r="DD713" s="72"/>
      <c r="DE713" s="72"/>
      <c r="DF713" s="72"/>
      <c r="DG713" s="72"/>
      <c r="DH713" s="72"/>
      <c r="DI713" s="72"/>
      <c r="DJ713" s="72"/>
      <c r="DK713" s="72"/>
      <c r="DL713" s="72"/>
      <c r="DM713" s="72"/>
      <c r="DN713" s="72"/>
      <c r="DO713" s="72"/>
      <c r="DP713" s="72"/>
      <c r="DQ713" s="72"/>
      <c r="DR713" s="72"/>
      <c r="DS713" s="72"/>
      <c r="DT713" s="72"/>
      <c r="DU713" s="72"/>
      <c r="DV713" s="72"/>
      <c r="DW713" s="72"/>
      <c r="DX713" s="72"/>
      <c r="DY713" s="72"/>
      <c r="DZ713" s="72"/>
      <c r="EA713" s="72"/>
      <c r="EB713" s="72"/>
      <c r="EC713" s="72"/>
      <c r="ED713" s="72"/>
      <c r="EE713" s="72"/>
      <c r="EF713" s="72"/>
      <c r="EG713" s="72"/>
      <c r="EH713" s="72"/>
      <c r="EI713" s="129"/>
      <c r="EJ713" s="129"/>
      <c r="EK713" s="129"/>
      <c r="EL713" s="129"/>
      <c r="EM713" s="72"/>
      <c r="EN713" s="72"/>
      <c r="EO713" s="72"/>
      <c r="EP713" s="72"/>
      <c r="EQ713" s="72"/>
      <c r="ER713" s="72"/>
      <c r="ES713" s="72"/>
      <c r="ET713" s="72"/>
    </row>
    <row r="714">
      <c r="CD714" s="72"/>
      <c r="CE714" s="72"/>
      <c r="CF714" s="72"/>
      <c r="CG714" s="72"/>
      <c r="CH714" s="72"/>
      <c r="CI714" s="72"/>
      <c r="CJ714" s="72"/>
      <c r="CK714" s="72"/>
      <c r="CL714" s="72"/>
      <c r="CM714" s="72"/>
      <c r="CN714" s="72"/>
      <c r="CO714" s="72"/>
      <c r="CP714" s="72"/>
      <c r="CQ714" s="72"/>
      <c r="CR714" s="72"/>
      <c r="CS714" s="72"/>
      <c r="CT714" s="72"/>
      <c r="CU714" s="72"/>
      <c r="CV714" s="72"/>
      <c r="CW714" s="72"/>
      <c r="CX714" s="72"/>
      <c r="CY714" s="72"/>
      <c r="CZ714" s="72"/>
      <c r="DA714" s="72"/>
      <c r="DB714" s="72"/>
      <c r="DC714" s="72"/>
      <c r="DD714" s="72"/>
      <c r="DE714" s="72"/>
      <c r="DF714" s="72"/>
      <c r="DG714" s="72"/>
      <c r="DH714" s="72"/>
      <c r="DI714" s="72"/>
      <c r="DJ714" s="72"/>
      <c r="DK714" s="72"/>
      <c r="DL714" s="72"/>
      <c r="DM714" s="72"/>
      <c r="DN714" s="72"/>
      <c r="DO714" s="72"/>
      <c r="DP714" s="72"/>
      <c r="DQ714" s="72"/>
      <c r="DR714" s="72"/>
      <c r="DS714" s="72"/>
      <c r="DT714" s="72"/>
      <c r="DU714" s="72"/>
      <c r="DV714" s="72"/>
      <c r="DW714" s="72"/>
      <c r="DX714" s="72"/>
      <c r="DY714" s="72"/>
      <c r="DZ714" s="72"/>
      <c r="EA714" s="72"/>
      <c r="EB714" s="72"/>
      <c r="EC714" s="72"/>
      <c r="ED714" s="72"/>
      <c r="EE714" s="72"/>
      <c r="EF714" s="72"/>
      <c r="EG714" s="72"/>
      <c r="EH714" s="72"/>
      <c r="EI714" s="129"/>
      <c r="EJ714" s="129"/>
      <c r="EK714" s="129"/>
      <c r="EL714" s="129"/>
      <c r="EM714" s="72"/>
      <c r="EN714" s="72"/>
      <c r="EO714" s="72"/>
      <c r="EP714" s="72"/>
      <c r="EQ714" s="72"/>
      <c r="ER714" s="72"/>
      <c r="ES714" s="72"/>
      <c r="ET714" s="72"/>
    </row>
    <row r="715">
      <c r="CD715" s="72"/>
      <c r="CE715" s="72"/>
      <c r="CF715" s="72"/>
      <c r="CG715" s="72"/>
      <c r="CH715" s="72"/>
      <c r="CI715" s="72"/>
      <c r="CJ715" s="72"/>
      <c r="CK715" s="72"/>
      <c r="CL715" s="72"/>
      <c r="CM715" s="72"/>
      <c r="CN715" s="72"/>
      <c r="CO715" s="72"/>
      <c r="CP715" s="72"/>
      <c r="CQ715" s="72"/>
      <c r="CR715" s="72"/>
      <c r="CS715" s="72"/>
      <c r="CT715" s="72"/>
      <c r="CU715" s="72"/>
      <c r="CV715" s="72"/>
      <c r="CW715" s="72"/>
      <c r="CX715" s="72"/>
      <c r="CY715" s="72"/>
      <c r="CZ715" s="72"/>
      <c r="DA715" s="72"/>
      <c r="DB715" s="72"/>
      <c r="DC715" s="72"/>
      <c r="DD715" s="72"/>
      <c r="DE715" s="72"/>
      <c r="DF715" s="72"/>
      <c r="DG715" s="72"/>
      <c r="DH715" s="72"/>
      <c r="DI715" s="72"/>
      <c r="DJ715" s="72"/>
      <c r="DK715" s="72"/>
      <c r="DL715" s="72"/>
      <c r="DM715" s="72"/>
      <c r="DN715" s="72"/>
      <c r="DO715" s="72"/>
      <c r="DP715" s="72"/>
      <c r="DQ715" s="72"/>
      <c r="DR715" s="72"/>
      <c r="DS715" s="72"/>
      <c r="DT715" s="72"/>
      <c r="DU715" s="72"/>
      <c r="DV715" s="72"/>
      <c r="DW715" s="72"/>
      <c r="DX715" s="72"/>
      <c r="DY715" s="72"/>
      <c r="DZ715" s="72"/>
      <c r="EA715" s="72"/>
      <c r="EB715" s="72"/>
      <c r="EC715" s="72"/>
      <c r="ED715" s="72"/>
      <c r="EE715" s="72"/>
      <c r="EF715" s="72"/>
      <c r="EG715" s="72"/>
      <c r="EH715" s="72"/>
      <c r="EI715" s="129"/>
      <c r="EJ715" s="129"/>
      <c r="EK715" s="129"/>
      <c r="EL715" s="129"/>
      <c r="EM715" s="72"/>
      <c r="EN715" s="72"/>
      <c r="EO715" s="72"/>
      <c r="EP715" s="72"/>
      <c r="EQ715" s="72"/>
      <c r="ER715" s="72"/>
      <c r="ES715" s="72"/>
      <c r="ET715" s="72"/>
    </row>
    <row r="716">
      <c r="CD716" s="72"/>
      <c r="CE716" s="72"/>
      <c r="CF716" s="72"/>
      <c r="CG716" s="72"/>
      <c r="CH716" s="72"/>
      <c r="CI716" s="72"/>
      <c r="CJ716" s="72"/>
      <c r="CK716" s="72"/>
      <c r="CL716" s="72"/>
      <c r="CM716" s="72"/>
      <c r="CN716" s="72"/>
      <c r="CO716" s="72"/>
      <c r="CP716" s="72"/>
      <c r="CQ716" s="72"/>
      <c r="CR716" s="72"/>
      <c r="CS716" s="72"/>
      <c r="CT716" s="72"/>
      <c r="CU716" s="72"/>
      <c r="CV716" s="72"/>
      <c r="CW716" s="72"/>
      <c r="CX716" s="72"/>
      <c r="CY716" s="72"/>
      <c r="CZ716" s="72"/>
      <c r="DA716" s="72"/>
      <c r="DB716" s="72"/>
      <c r="DC716" s="72"/>
      <c r="DD716" s="72"/>
      <c r="DE716" s="72"/>
      <c r="DF716" s="72"/>
      <c r="DG716" s="72"/>
      <c r="DH716" s="72"/>
      <c r="DI716" s="72"/>
      <c r="DJ716" s="72"/>
      <c r="DK716" s="72"/>
      <c r="DL716" s="72"/>
      <c r="DM716" s="72"/>
      <c r="DN716" s="72"/>
      <c r="DO716" s="72"/>
      <c r="DP716" s="72"/>
      <c r="DQ716" s="72"/>
      <c r="DR716" s="72"/>
      <c r="DS716" s="72"/>
      <c r="DT716" s="72"/>
      <c r="DU716" s="72"/>
      <c r="DV716" s="72"/>
      <c r="DW716" s="72"/>
      <c r="DX716" s="72"/>
      <c r="DY716" s="72"/>
      <c r="DZ716" s="72"/>
      <c r="EA716" s="72"/>
      <c r="EB716" s="72"/>
      <c r="EC716" s="72"/>
      <c r="ED716" s="72"/>
      <c r="EE716" s="72"/>
      <c r="EF716" s="72"/>
      <c r="EG716" s="72"/>
      <c r="EH716" s="72"/>
      <c r="EI716" s="129"/>
      <c r="EJ716" s="129"/>
      <c r="EK716" s="129"/>
      <c r="EL716" s="129"/>
      <c r="EM716" s="72"/>
      <c r="EN716" s="72"/>
      <c r="EO716" s="72"/>
      <c r="EP716" s="72"/>
      <c r="EQ716" s="72"/>
      <c r="ER716" s="72"/>
      <c r="ES716" s="72"/>
      <c r="ET716" s="72"/>
    </row>
    <row r="717">
      <c r="CD717" s="72"/>
      <c r="CE717" s="72"/>
      <c r="CF717" s="72"/>
      <c r="CG717" s="72"/>
      <c r="CH717" s="72"/>
      <c r="CI717" s="72"/>
      <c r="CJ717" s="72"/>
      <c r="CK717" s="72"/>
      <c r="CL717" s="72"/>
      <c r="CM717" s="72"/>
      <c r="CN717" s="72"/>
      <c r="CO717" s="72"/>
      <c r="CP717" s="72"/>
      <c r="CQ717" s="72"/>
      <c r="CR717" s="72"/>
      <c r="CS717" s="72"/>
      <c r="CT717" s="72"/>
      <c r="CU717" s="72"/>
      <c r="CV717" s="72"/>
      <c r="CW717" s="72"/>
      <c r="CX717" s="72"/>
      <c r="CY717" s="72"/>
      <c r="CZ717" s="72"/>
      <c r="DA717" s="72"/>
      <c r="DB717" s="72"/>
      <c r="DC717" s="72"/>
      <c r="DD717" s="72"/>
      <c r="DE717" s="72"/>
      <c r="DF717" s="72"/>
      <c r="DG717" s="72"/>
      <c r="DH717" s="72"/>
      <c r="DI717" s="72"/>
      <c r="DJ717" s="72"/>
      <c r="DK717" s="72"/>
      <c r="DL717" s="72"/>
      <c r="DM717" s="72"/>
      <c r="DN717" s="72"/>
      <c r="DO717" s="72"/>
      <c r="DP717" s="72"/>
      <c r="DQ717" s="72"/>
      <c r="DR717" s="72"/>
      <c r="DS717" s="72"/>
      <c r="DT717" s="72"/>
      <c r="DU717" s="72"/>
      <c r="DV717" s="72"/>
      <c r="DW717" s="72"/>
      <c r="DX717" s="72"/>
      <c r="DY717" s="72"/>
      <c r="DZ717" s="72"/>
      <c r="EA717" s="72"/>
      <c r="EB717" s="72"/>
      <c r="EC717" s="72"/>
      <c r="ED717" s="72"/>
      <c r="EE717" s="72"/>
      <c r="EF717" s="72"/>
      <c r="EG717" s="72"/>
      <c r="EH717" s="72"/>
      <c r="EI717" s="129"/>
      <c r="EJ717" s="129"/>
      <c r="EK717" s="129"/>
      <c r="EL717" s="129"/>
      <c r="EM717" s="72"/>
      <c r="EN717" s="72"/>
      <c r="EO717" s="72"/>
      <c r="EP717" s="72"/>
      <c r="EQ717" s="72"/>
      <c r="ER717" s="72"/>
      <c r="ES717" s="72"/>
      <c r="ET717" s="72"/>
    </row>
    <row r="718">
      <c r="CD718" s="72"/>
      <c r="CE718" s="72"/>
      <c r="CF718" s="72"/>
      <c r="CG718" s="72"/>
      <c r="CH718" s="72"/>
      <c r="CI718" s="72"/>
      <c r="CJ718" s="72"/>
      <c r="CK718" s="72"/>
      <c r="CL718" s="72"/>
      <c r="CM718" s="72"/>
      <c r="CN718" s="72"/>
      <c r="CO718" s="72"/>
      <c r="CP718" s="72"/>
      <c r="CQ718" s="72"/>
      <c r="CR718" s="72"/>
      <c r="CS718" s="72"/>
      <c r="CT718" s="72"/>
      <c r="CU718" s="72"/>
      <c r="CV718" s="72"/>
      <c r="CW718" s="72"/>
      <c r="CX718" s="72"/>
      <c r="CY718" s="72"/>
      <c r="CZ718" s="72"/>
      <c r="DA718" s="72"/>
      <c r="DB718" s="72"/>
      <c r="DC718" s="72"/>
      <c r="DD718" s="72"/>
      <c r="DE718" s="72"/>
      <c r="DF718" s="72"/>
      <c r="DG718" s="72"/>
      <c r="DH718" s="72"/>
      <c r="DI718" s="72"/>
      <c r="DJ718" s="72"/>
      <c r="DK718" s="72"/>
      <c r="DL718" s="72"/>
      <c r="DM718" s="72"/>
      <c r="DN718" s="72"/>
      <c r="DO718" s="72"/>
      <c r="DP718" s="72"/>
      <c r="DQ718" s="72"/>
      <c r="DR718" s="72"/>
      <c r="DS718" s="72"/>
      <c r="DT718" s="72"/>
      <c r="DU718" s="72"/>
      <c r="DV718" s="72"/>
      <c r="DW718" s="72"/>
      <c r="DX718" s="72"/>
      <c r="DY718" s="72"/>
      <c r="DZ718" s="72"/>
      <c r="EA718" s="72"/>
      <c r="EB718" s="72"/>
      <c r="EC718" s="72"/>
      <c r="ED718" s="72"/>
      <c r="EE718" s="72"/>
      <c r="EF718" s="72"/>
      <c r="EG718" s="72"/>
      <c r="EH718" s="72"/>
      <c r="EI718" s="129"/>
      <c r="EJ718" s="129"/>
      <c r="EK718" s="129"/>
      <c r="EL718" s="129"/>
      <c r="EM718" s="72"/>
      <c r="EN718" s="72"/>
      <c r="EO718" s="72"/>
      <c r="EP718" s="72"/>
      <c r="EQ718" s="72"/>
      <c r="ER718" s="72"/>
      <c r="ES718" s="72"/>
      <c r="ET718" s="72"/>
    </row>
    <row r="719">
      <c r="CD719" s="72"/>
      <c r="CE719" s="72"/>
      <c r="CF719" s="72"/>
      <c r="CG719" s="72"/>
      <c r="CH719" s="72"/>
      <c r="CI719" s="72"/>
      <c r="CJ719" s="72"/>
      <c r="CK719" s="72"/>
      <c r="CL719" s="72"/>
      <c r="CM719" s="72"/>
      <c r="CN719" s="72"/>
      <c r="CO719" s="72"/>
      <c r="CP719" s="72"/>
      <c r="CQ719" s="72"/>
      <c r="CR719" s="72"/>
      <c r="CS719" s="72"/>
      <c r="CT719" s="72"/>
      <c r="CU719" s="72"/>
      <c r="CV719" s="72"/>
      <c r="CW719" s="72"/>
      <c r="CX719" s="72"/>
      <c r="CY719" s="72"/>
      <c r="CZ719" s="72"/>
      <c r="DA719" s="72"/>
      <c r="DB719" s="72"/>
      <c r="DC719" s="72"/>
      <c r="DD719" s="72"/>
      <c r="DE719" s="72"/>
      <c r="DF719" s="72"/>
      <c r="DG719" s="72"/>
      <c r="DH719" s="72"/>
      <c r="DI719" s="72"/>
      <c r="DJ719" s="72"/>
      <c r="DK719" s="72"/>
      <c r="DL719" s="72"/>
      <c r="DM719" s="72"/>
      <c r="DN719" s="72"/>
      <c r="DO719" s="72"/>
      <c r="DP719" s="72"/>
      <c r="DQ719" s="72"/>
      <c r="DR719" s="72"/>
      <c r="DS719" s="72"/>
      <c r="DT719" s="72"/>
      <c r="DU719" s="72"/>
      <c r="DV719" s="72"/>
      <c r="DW719" s="72"/>
      <c r="DX719" s="72"/>
      <c r="DY719" s="72"/>
      <c r="DZ719" s="72"/>
      <c r="EA719" s="72"/>
      <c r="EB719" s="72"/>
      <c r="EC719" s="72"/>
      <c r="ED719" s="72"/>
      <c r="EE719" s="72"/>
      <c r="EF719" s="72"/>
      <c r="EG719" s="72"/>
      <c r="EH719" s="72"/>
      <c r="EI719" s="129"/>
      <c r="EJ719" s="129"/>
      <c r="EK719" s="129"/>
      <c r="EL719" s="129"/>
      <c r="EM719" s="72"/>
      <c r="EN719" s="72"/>
      <c r="EO719" s="72"/>
      <c r="EP719" s="72"/>
      <c r="EQ719" s="72"/>
      <c r="ER719" s="72"/>
      <c r="ES719" s="72"/>
      <c r="ET719" s="72"/>
    </row>
    <row r="720">
      <c r="CD720" s="72"/>
      <c r="CE720" s="72"/>
      <c r="CF720" s="72"/>
      <c r="CG720" s="72"/>
      <c r="CH720" s="72"/>
      <c r="CI720" s="72"/>
      <c r="CJ720" s="72"/>
      <c r="CK720" s="72"/>
      <c r="CL720" s="72"/>
      <c r="CM720" s="72"/>
      <c r="CN720" s="72"/>
      <c r="CO720" s="72"/>
      <c r="CP720" s="72"/>
      <c r="CQ720" s="72"/>
      <c r="CR720" s="72"/>
      <c r="CS720" s="72"/>
      <c r="CT720" s="72"/>
      <c r="CU720" s="72"/>
      <c r="CV720" s="72"/>
      <c r="CW720" s="72"/>
      <c r="CX720" s="72"/>
      <c r="CY720" s="72"/>
      <c r="CZ720" s="72"/>
      <c r="DA720" s="72"/>
      <c r="DB720" s="72"/>
      <c r="DC720" s="72"/>
      <c r="DD720" s="72"/>
      <c r="DE720" s="72"/>
      <c r="DF720" s="72"/>
      <c r="DG720" s="72"/>
      <c r="DH720" s="72"/>
      <c r="DI720" s="72"/>
      <c r="DJ720" s="72"/>
      <c r="DK720" s="72"/>
      <c r="DL720" s="72"/>
      <c r="DM720" s="72"/>
      <c r="DN720" s="72"/>
      <c r="DO720" s="72"/>
      <c r="DP720" s="72"/>
      <c r="DQ720" s="72"/>
      <c r="DR720" s="72"/>
      <c r="DS720" s="72"/>
      <c r="DT720" s="72"/>
      <c r="DU720" s="72"/>
      <c r="DV720" s="72"/>
      <c r="DW720" s="72"/>
      <c r="DX720" s="72"/>
      <c r="DY720" s="72"/>
      <c r="DZ720" s="72"/>
      <c r="EA720" s="72"/>
      <c r="EB720" s="72"/>
      <c r="EC720" s="72"/>
      <c r="ED720" s="72"/>
      <c r="EE720" s="72"/>
      <c r="EF720" s="72"/>
      <c r="EG720" s="72"/>
      <c r="EH720" s="72"/>
      <c r="EI720" s="129"/>
      <c r="EJ720" s="129"/>
      <c r="EK720" s="129"/>
      <c r="EL720" s="129"/>
      <c r="EM720" s="72"/>
      <c r="EN720" s="72"/>
      <c r="EO720" s="72"/>
      <c r="EP720" s="72"/>
      <c r="EQ720" s="72"/>
      <c r="ER720" s="72"/>
      <c r="ES720" s="72"/>
      <c r="ET720" s="72"/>
    </row>
    <row r="721">
      <c r="CD721" s="72"/>
      <c r="CE721" s="72"/>
      <c r="CF721" s="72"/>
      <c r="CG721" s="72"/>
      <c r="CH721" s="72"/>
      <c r="CI721" s="72"/>
      <c r="CJ721" s="72"/>
      <c r="CK721" s="72"/>
      <c r="CL721" s="72"/>
      <c r="CM721" s="72"/>
      <c r="CN721" s="72"/>
      <c r="CO721" s="72"/>
      <c r="CP721" s="72"/>
      <c r="CQ721" s="72"/>
      <c r="CR721" s="72"/>
      <c r="CS721" s="72"/>
      <c r="CT721" s="72"/>
      <c r="CU721" s="72"/>
      <c r="CV721" s="72"/>
      <c r="CW721" s="72"/>
      <c r="CX721" s="72"/>
      <c r="CY721" s="72"/>
      <c r="CZ721" s="72"/>
      <c r="DA721" s="72"/>
      <c r="DB721" s="72"/>
      <c r="DC721" s="72"/>
      <c r="DD721" s="72"/>
      <c r="DE721" s="72"/>
      <c r="DF721" s="72"/>
      <c r="DG721" s="72"/>
      <c r="DH721" s="72"/>
      <c r="DI721" s="72"/>
      <c r="DJ721" s="72"/>
      <c r="DK721" s="72"/>
      <c r="DL721" s="72"/>
      <c r="DM721" s="72"/>
      <c r="DN721" s="72"/>
      <c r="DO721" s="72"/>
      <c r="DP721" s="72"/>
      <c r="DQ721" s="72"/>
      <c r="DR721" s="72"/>
      <c r="DS721" s="72"/>
      <c r="DT721" s="72"/>
      <c r="DU721" s="72"/>
      <c r="DV721" s="72"/>
      <c r="DW721" s="72"/>
      <c r="DX721" s="72"/>
      <c r="DY721" s="72"/>
      <c r="DZ721" s="72"/>
      <c r="EA721" s="72"/>
      <c r="EB721" s="72"/>
      <c r="EC721" s="72"/>
      <c r="ED721" s="72"/>
      <c r="EE721" s="72"/>
      <c r="EF721" s="72"/>
      <c r="EG721" s="72"/>
      <c r="EH721" s="72"/>
      <c r="EI721" s="129"/>
      <c r="EJ721" s="129"/>
      <c r="EK721" s="129"/>
      <c r="EL721" s="129"/>
      <c r="EM721" s="72"/>
      <c r="EN721" s="72"/>
      <c r="EO721" s="72"/>
      <c r="EP721" s="72"/>
      <c r="EQ721" s="72"/>
      <c r="ER721" s="72"/>
      <c r="ES721" s="72"/>
      <c r="ET721" s="72"/>
    </row>
    <row r="722">
      <c r="CD722" s="72"/>
      <c r="CE722" s="72"/>
      <c r="CF722" s="72"/>
      <c r="CG722" s="72"/>
      <c r="CH722" s="72"/>
      <c r="CI722" s="72"/>
      <c r="CJ722" s="72"/>
      <c r="CK722" s="72"/>
      <c r="CL722" s="72"/>
      <c r="CM722" s="72"/>
      <c r="CN722" s="72"/>
      <c r="CO722" s="72"/>
      <c r="CP722" s="72"/>
      <c r="CQ722" s="72"/>
      <c r="CR722" s="72"/>
      <c r="CS722" s="72"/>
      <c r="CT722" s="72"/>
      <c r="CU722" s="72"/>
      <c r="CV722" s="72"/>
      <c r="CW722" s="72"/>
      <c r="CX722" s="72"/>
      <c r="CY722" s="72"/>
      <c r="CZ722" s="72"/>
      <c r="DA722" s="72"/>
      <c r="DB722" s="72"/>
      <c r="DC722" s="72"/>
      <c r="DD722" s="72"/>
      <c r="DE722" s="72"/>
      <c r="DF722" s="72"/>
      <c r="DG722" s="72"/>
      <c r="DH722" s="72"/>
      <c r="DI722" s="72"/>
      <c r="DJ722" s="72"/>
      <c r="DK722" s="72"/>
      <c r="DL722" s="72"/>
      <c r="DM722" s="72"/>
      <c r="DN722" s="72"/>
      <c r="DO722" s="72"/>
      <c r="DP722" s="72"/>
      <c r="DQ722" s="72"/>
      <c r="DR722" s="72"/>
      <c r="DS722" s="72"/>
      <c r="DT722" s="72"/>
      <c r="DU722" s="72"/>
      <c r="DV722" s="72"/>
      <c r="DW722" s="72"/>
      <c r="DX722" s="72"/>
      <c r="DY722" s="72"/>
      <c r="DZ722" s="72"/>
      <c r="EA722" s="72"/>
      <c r="EB722" s="72"/>
      <c r="EC722" s="72"/>
      <c r="ED722" s="72"/>
      <c r="EE722" s="72"/>
      <c r="EF722" s="72"/>
      <c r="EG722" s="72"/>
      <c r="EH722" s="72"/>
      <c r="EI722" s="129"/>
      <c r="EJ722" s="129"/>
      <c r="EK722" s="129"/>
      <c r="EL722" s="129"/>
      <c r="EM722" s="72"/>
      <c r="EN722" s="72"/>
      <c r="EO722" s="72"/>
      <c r="EP722" s="72"/>
      <c r="EQ722" s="72"/>
      <c r="ER722" s="72"/>
      <c r="ES722" s="72"/>
      <c r="ET722" s="72"/>
    </row>
    <row r="723">
      <c r="CD723" s="72"/>
      <c r="CE723" s="72"/>
      <c r="CF723" s="72"/>
      <c r="CG723" s="72"/>
      <c r="CH723" s="72"/>
      <c r="CI723" s="72"/>
      <c r="CJ723" s="72"/>
      <c r="CK723" s="72"/>
      <c r="CL723" s="72"/>
      <c r="CM723" s="72"/>
      <c r="CN723" s="72"/>
      <c r="CO723" s="72"/>
      <c r="CP723" s="72"/>
      <c r="CQ723" s="72"/>
      <c r="CR723" s="72"/>
      <c r="CS723" s="72"/>
      <c r="CT723" s="72"/>
      <c r="CU723" s="72"/>
      <c r="CV723" s="72"/>
      <c r="CW723" s="72"/>
      <c r="CX723" s="72"/>
      <c r="CY723" s="72"/>
      <c r="CZ723" s="72"/>
      <c r="DA723" s="72"/>
      <c r="DB723" s="72"/>
      <c r="DC723" s="72"/>
      <c r="DD723" s="72"/>
      <c r="DE723" s="72"/>
      <c r="DF723" s="72"/>
      <c r="DG723" s="72"/>
      <c r="DH723" s="72"/>
      <c r="DI723" s="72"/>
      <c r="DJ723" s="72"/>
      <c r="DK723" s="72"/>
      <c r="DL723" s="72"/>
      <c r="DM723" s="72"/>
      <c r="DN723" s="72"/>
      <c r="DO723" s="72"/>
      <c r="DP723" s="72"/>
      <c r="DQ723" s="72"/>
      <c r="DR723" s="72"/>
      <c r="DS723" s="72"/>
      <c r="DT723" s="72"/>
      <c r="DU723" s="72"/>
      <c r="DV723" s="72"/>
      <c r="DW723" s="72"/>
      <c r="DX723" s="72"/>
      <c r="DY723" s="72"/>
      <c r="DZ723" s="72"/>
      <c r="EA723" s="72"/>
      <c r="EB723" s="72"/>
      <c r="EC723" s="72"/>
      <c r="ED723" s="72"/>
      <c r="EE723" s="72"/>
      <c r="EF723" s="72"/>
      <c r="EG723" s="72"/>
      <c r="EH723" s="72"/>
      <c r="EI723" s="129"/>
      <c r="EJ723" s="129"/>
      <c r="EK723" s="129"/>
      <c r="EL723" s="129"/>
      <c r="EM723" s="72"/>
      <c r="EN723" s="72"/>
      <c r="EO723" s="72"/>
      <c r="EP723" s="72"/>
      <c r="EQ723" s="72"/>
      <c r="ER723" s="72"/>
      <c r="ES723" s="72"/>
      <c r="ET723" s="72"/>
    </row>
    <row r="724">
      <c r="CD724" s="72"/>
      <c r="CE724" s="72"/>
      <c r="CF724" s="72"/>
      <c r="CG724" s="72"/>
      <c r="CH724" s="72"/>
      <c r="CI724" s="72"/>
      <c r="CJ724" s="72"/>
      <c r="CK724" s="72"/>
      <c r="CL724" s="72"/>
      <c r="CM724" s="72"/>
      <c r="CN724" s="72"/>
      <c r="CO724" s="72"/>
      <c r="CP724" s="72"/>
      <c r="CQ724" s="72"/>
      <c r="CR724" s="72"/>
      <c r="CS724" s="72"/>
      <c r="CT724" s="72"/>
      <c r="CU724" s="72"/>
      <c r="CV724" s="72"/>
      <c r="CW724" s="72"/>
      <c r="CX724" s="72"/>
      <c r="CY724" s="72"/>
      <c r="CZ724" s="72"/>
      <c r="DA724" s="72"/>
      <c r="DB724" s="72"/>
      <c r="DC724" s="72"/>
      <c r="DD724" s="72"/>
      <c r="DE724" s="72"/>
      <c r="DF724" s="72"/>
      <c r="DG724" s="72"/>
      <c r="DH724" s="72"/>
      <c r="DI724" s="72"/>
      <c r="DJ724" s="72"/>
      <c r="DK724" s="72"/>
      <c r="DL724" s="72"/>
      <c r="DM724" s="72"/>
      <c r="DN724" s="72"/>
      <c r="DO724" s="72"/>
      <c r="DP724" s="72"/>
      <c r="DQ724" s="72"/>
      <c r="DR724" s="72"/>
      <c r="DS724" s="72"/>
      <c r="DT724" s="72"/>
      <c r="DU724" s="72"/>
      <c r="DV724" s="72"/>
      <c r="DW724" s="72"/>
      <c r="DX724" s="72"/>
      <c r="DY724" s="72"/>
      <c r="DZ724" s="72"/>
      <c r="EA724" s="72"/>
      <c r="EB724" s="72"/>
      <c r="EC724" s="72"/>
      <c r="ED724" s="72"/>
      <c r="EE724" s="72"/>
      <c r="EF724" s="72"/>
      <c r="EG724" s="72"/>
      <c r="EH724" s="72"/>
      <c r="EI724" s="129"/>
      <c r="EJ724" s="129"/>
      <c r="EK724" s="129"/>
      <c r="EL724" s="129"/>
      <c r="EM724" s="72"/>
      <c r="EN724" s="72"/>
      <c r="EO724" s="72"/>
      <c r="EP724" s="72"/>
      <c r="EQ724" s="72"/>
      <c r="ER724" s="72"/>
      <c r="ES724" s="72"/>
      <c r="ET724" s="72"/>
    </row>
    <row r="725">
      <c r="CD725" s="72"/>
      <c r="CE725" s="72"/>
      <c r="CF725" s="72"/>
      <c r="CG725" s="72"/>
      <c r="CH725" s="72"/>
      <c r="CI725" s="72"/>
      <c r="CJ725" s="72"/>
      <c r="CK725" s="72"/>
      <c r="CL725" s="72"/>
      <c r="CM725" s="72"/>
      <c r="CN725" s="72"/>
      <c r="CO725" s="72"/>
      <c r="CP725" s="72"/>
      <c r="CQ725" s="72"/>
      <c r="CR725" s="72"/>
      <c r="CS725" s="72"/>
      <c r="CT725" s="72"/>
      <c r="CU725" s="72"/>
      <c r="CV725" s="72"/>
      <c r="CW725" s="72"/>
      <c r="CX725" s="72"/>
      <c r="CY725" s="72"/>
      <c r="CZ725" s="72"/>
      <c r="DA725" s="72"/>
      <c r="DB725" s="72"/>
      <c r="DC725" s="72"/>
      <c r="DD725" s="72"/>
      <c r="DE725" s="72"/>
      <c r="DF725" s="72"/>
      <c r="DG725" s="72"/>
      <c r="DH725" s="72"/>
      <c r="DI725" s="72"/>
      <c r="DJ725" s="72"/>
      <c r="DK725" s="72"/>
      <c r="DL725" s="72"/>
      <c r="DM725" s="72"/>
      <c r="DN725" s="72"/>
      <c r="DO725" s="72"/>
      <c r="DP725" s="72"/>
      <c r="DQ725" s="72"/>
      <c r="DR725" s="72"/>
      <c r="DS725" s="72"/>
      <c r="DT725" s="72"/>
      <c r="DU725" s="72"/>
      <c r="DV725" s="72"/>
      <c r="DW725" s="72"/>
      <c r="DX725" s="72"/>
      <c r="DY725" s="72"/>
      <c r="DZ725" s="72"/>
      <c r="EA725" s="72"/>
      <c r="EB725" s="72"/>
      <c r="EC725" s="72"/>
      <c r="ED725" s="72"/>
      <c r="EE725" s="72"/>
      <c r="EF725" s="72"/>
      <c r="EG725" s="72"/>
      <c r="EH725" s="72"/>
      <c r="EI725" s="129"/>
      <c r="EJ725" s="129"/>
      <c r="EK725" s="129"/>
      <c r="EL725" s="129"/>
      <c r="EM725" s="72"/>
      <c r="EN725" s="72"/>
      <c r="EO725" s="72"/>
      <c r="EP725" s="72"/>
      <c r="EQ725" s="72"/>
      <c r="ER725" s="72"/>
      <c r="ES725" s="72"/>
      <c r="ET725" s="72"/>
    </row>
    <row r="726">
      <c r="CD726" s="72"/>
      <c r="CE726" s="72"/>
      <c r="CF726" s="72"/>
      <c r="CG726" s="72"/>
      <c r="CH726" s="72"/>
      <c r="CI726" s="72"/>
      <c r="CJ726" s="72"/>
      <c r="CK726" s="72"/>
      <c r="CL726" s="72"/>
      <c r="CM726" s="72"/>
      <c r="CN726" s="72"/>
      <c r="CO726" s="72"/>
      <c r="CP726" s="72"/>
      <c r="CQ726" s="72"/>
      <c r="CR726" s="72"/>
      <c r="CS726" s="72"/>
      <c r="CT726" s="72"/>
      <c r="CU726" s="72"/>
      <c r="CV726" s="72"/>
      <c r="CW726" s="72"/>
      <c r="CX726" s="72"/>
      <c r="CY726" s="72"/>
      <c r="CZ726" s="72"/>
      <c r="DA726" s="72"/>
      <c r="DB726" s="72"/>
      <c r="DC726" s="72"/>
      <c r="DD726" s="72"/>
      <c r="DE726" s="72"/>
      <c r="DF726" s="72"/>
      <c r="DG726" s="72"/>
      <c r="DH726" s="72"/>
      <c r="DI726" s="72"/>
      <c r="DJ726" s="72"/>
      <c r="DK726" s="72"/>
      <c r="DL726" s="72"/>
      <c r="DM726" s="72"/>
      <c r="DN726" s="72"/>
      <c r="DO726" s="72"/>
      <c r="DP726" s="72"/>
      <c r="DQ726" s="72"/>
      <c r="DR726" s="72"/>
      <c r="DS726" s="72"/>
      <c r="DT726" s="72"/>
      <c r="DU726" s="72"/>
      <c r="DV726" s="72"/>
      <c r="DW726" s="72"/>
      <c r="DX726" s="72"/>
      <c r="DY726" s="72"/>
      <c r="DZ726" s="72"/>
      <c r="EA726" s="72"/>
      <c r="EB726" s="72"/>
      <c r="EC726" s="72"/>
      <c r="ED726" s="72"/>
      <c r="EE726" s="72"/>
      <c r="EF726" s="72"/>
      <c r="EG726" s="72"/>
      <c r="EH726" s="72"/>
      <c r="EI726" s="129"/>
      <c r="EJ726" s="129"/>
      <c r="EK726" s="129"/>
      <c r="EL726" s="129"/>
      <c r="EM726" s="72"/>
      <c r="EN726" s="72"/>
      <c r="EO726" s="72"/>
      <c r="EP726" s="72"/>
      <c r="EQ726" s="72"/>
      <c r="ER726" s="72"/>
      <c r="ES726" s="72"/>
      <c r="ET726" s="72"/>
    </row>
    <row r="727">
      <c r="CD727" s="72"/>
      <c r="CE727" s="72"/>
      <c r="CF727" s="72"/>
      <c r="CG727" s="72"/>
      <c r="CH727" s="72"/>
      <c r="CI727" s="72"/>
      <c r="CJ727" s="72"/>
      <c r="CK727" s="72"/>
      <c r="CL727" s="72"/>
      <c r="CM727" s="72"/>
      <c r="CN727" s="72"/>
      <c r="CO727" s="72"/>
      <c r="CP727" s="72"/>
      <c r="CQ727" s="72"/>
      <c r="CR727" s="72"/>
      <c r="CS727" s="72"/>
      <c r="CT727" s="72"/>
      <c r="CU727" s="72"/>
      <c r="CV727" s="72"/>
      <c r="CW727" s="72"/>
      <c r="CX727" s="72"/>
      <c r="CY727" s="72"/>
      <c r="CZ727" s="72"/>
      <c r="DA727" s="72"/>
      <c r="DB727" s="72"/>
      <c r="DC727" s="72"/>
      <c r="DD727" s="72"/>
      <c r="DE727" s="72"/>
      <c r="DF727" s="72"/>
      <c r="DG727" s="72"/>
      <c r="DH727" s="72"/>
      <c r="DI727" s="72"/>
      <c r="DJ727" s="72"/>
      <c r="DK727" s="72"/>
      <c r="DL727" s="72"/>
      <c r="DM727" s="72"/>
      <c r="DN727" s="72"/>
      <c r="DO727" s="72"/>
      <c r="DP727" s="72"/>
      <c r="DQ727" s="72"/>
      <c r="DR727" s="72"/>
      <c r="DS727" s="72"/>
      <c r="DT727" s="72"/>
      <c r="DU727" s="72"/>
      <c r="DV727" s="72"/>
      <c r="DW727" s="72"/>
      <c r="DX727" s="72"/>
      <c r="DY727" s="72"/>
      <c r="DZ727" s="72"/>
      <c r="EA727" s="72"/>
      <c r="EB727" s="72"/>
      <c r="EC727" s="72"/>
      <c r="ED727" s="72"/>
      <c r="EE727" s="72"/>
      <c r="EF727" s="72"/>
      <c r="EG727" s="72"/>
      <c r="EH727" s="72"/>
      <c r="EI727" s="129"/>
      <c r="EJ727" s="129"/>
      <c r="EK727" s="129"/>
      <c r="EL727" s="129"/>
      <c r="EM727" s="72"/>
      <c r="EN727" s="72"/>
      <c r="EO727" s="72"/>
      <c r="EP727" s="72"/>
      <c r="EQ727" s="72"/>
      <c r="ER727" s="72"/>
      <c r="ES727" s="72"/>
      <c r="ET727" s="72"/>
    </row>
    <row r="728">
      <c r="CD728" s="72"/>
      <c r="CE728" s="72"/>
      <c r="CF728" s="72"/>
      <c r="CG728" s="72"/>
      <c r="CH728" s="72"/>
      <c r="CI728" s="72"/>
      <c r="CJ728" s="72"/>
      <c r="CK728" s="72"/>
      <c r="CL728" s="72"/>
      <c r="CM728" s="72"/>
      <c r="CN728" s="72"/>
      <c r="CO728" s="72"/>
      <c r="CP728" s="72"/>
      <c r="CQ728" s="72"/>
      <c r="CR728" s="72"/>
      <c r="CS728" s="72"/>
      <c r="CT728" s="72"/>
      <c r="CU728" s="72"/>
      <c r="CV728" s="72"/>
      <c r="CW728" s="72"/>
      <c r="CX728" s="72"/>
      <c r="CY728" s="72"/>
      <c r="CZ728" s="72"/>
      <c r="DA728" s="72"/>
      <c r="DB728" s="72"/>
      <c r="DC728" s="72"/>
      <c r="DD728" s="72"/>
      <c r="DE728" s="72"/>
      <c r="DF728" s="72"/>
      <c r="DG728" s="72"/>
      <c r="DH728" s="72"/>
      <c r="DI728" s="72"/>
      <c r="DJ728" s="72"/>
      <c r="DK728" s="72"/>
      <c r="DL728" s="72"/>
      <c r="DM728" s="72"/>
      <c r="DN728" s="72"/>
      <c r="DO728" s="72"/>
      <c r="DP728" s="72"/>
      <c r="DQ728" s="72"/>
      <c r="DR728" s="72"/>
      <c r="DS728" s="72"/>
      <c r="DT728" s="72"/>
      <c r="DU728" s="72"/>
      <c r="DV728" s="72"/>
      <c r="DW728" s="72"/>
      <c r="DX728" s="72"/>
      <c r="DY728" s="72"/>
      <c r="DZ728" s="72"/>
      <c r="EA728" s="72"/>
      <c r="EB728" s="72"/>
      <c r="EC728" s="72"/>
      <c r="ED728" s="72"/>
      <c r="EE728" s="72"/>
      <c r="EF728" s="72"/>
      <c r="EG728" s="72"/>
      <c r="EH728" s="72"/>
      <c r="EI728" s="129"/>
      <c r="EJ728" s="129"/>
      <c r="EK728" s="129"/>
      <c r="EL728" s="129"/>
      <c r="EM728" s="72"/>
      <c r="EN728" s="72"/>
      <c r="EO728" s="72"/>
      <c r="EP728" s="72"/>
      <c r="EQ728" s="72"/>
      <c r="ER728" s="72"/>
      <c r="ES728" s="72"/>
      <c r="ET728" s="72"/>
    </row>
    <row r="729">
      <c r="CD729" s="72"/>
      <c r="CE729" s="72"/>
      <c r="CF729" s="72"/>
      <c r="CG729" s="72"/>
      <c r="CH729" s="72"/>
      <c r="CI729" s="72"/>
      <c r="CJ729" s="72"/>
      <c r="CK729" s="72"/>
      <c r="CL729" s="72"/>
      <c r="CM729" s="72"/>
      <c r="CN729" s="72"/>
      <c r="CO729" s="72"/>
      <c r="CP729" s="72"/>
      <c r="CQ729" s="72"/>
      <c r="CR729" s="72"/>
      <c r="CS729" s="72"/>
      <c r="CT729" s="72"/>
      <c r="CU729" s="72"/>
      <c r="CV729" s="72"/>
      <c r="CW729" s="72"/>
      <c r="CX729" s="72"/>
      <c r="CY729" s="72"/>
      <c r="CZ729" s="72"/>
      <c r="DA729" s="72"/>
      <c r="DB729" s="72"/>
      <c r="DC729" s="72"/>
      <c r="DD729" s="72"/>
      <c r="DE729" s="72"/>
      <c r="DF729" s="72"/>
      <c r="DG729" s="72"/>
      <c r="DH729" s="72"/>
      <c r="DI729" s="72"/>
      <c r="DJ729" s="72"/>
      <c r="DK729" s="72"/>
      <c r="DL729" s="72"/>
      <c r="DM729" s="72"/>
      <c r="DN729" s="72"/>
      <c r="DO729" s="72"/>
      <c r="DP729" s="72"/>
      <c r="DQ729" s="72"/>
      <c r="DR729" s="72"/>
      <c r="DS729" s="72"/>
      <c r="DT729" s="72"/>
      <c r="DU729" s="72"/>
      <c r="DV729" s="72"/>
      <c r="DW729" s="72"/>
      <c r="DX729" s="72"/>
      <c r="DY729" s="72"/>
      <c r="DZ729" s="72"/>
      <c r="EA729" s="72"/>
      <c r="EB729" s="72"/>
      <c r="EC729" s="72"/>
      <c r="ED729" s="72"/>
      <c r="EE729" s="72"/>
      <c r="EF729" s="72"/>
      <c r="EG729" s="72"/>
      <c r="EH729" s="72"/>
      <c r="EI729" s="129"/>
      <c r="EJ729" s="129"/>
      <c r="EK729" s="129"/>
      <c r="EL729" s="129"/>
      <c r="EM729" s="72"/>
      <c r="EN729" s="72"/>
      <c r="EO729" s="72"/>
      <c r="EP729" s="72"/>
      <c r="EQ729" s="72"/>
      <c r="ER729" s="72"/>
      <c r="ES729" s="72"/>
      <c r="ET729" s="72"/>
    </row>
    <row r="730">
      <c r="CD730" s="72"/>
      <c r="CE730" s="72"/>
      <c r="CF730" s="72"/>
      <c r="CG730" s="72"/>
      <c r="CH730" s="72"/>
      <c r="CI730" s="72"/>
      <c r="CJ730" s="72"/>
      <c r="CK730" s="72"/>
      <c r="CL730" s="72"/>
      <c r="CM730" s="72"/>
      <c r="CN730" s="72"/>
      <c r="CO730" s="72"/>
      <c r="CP730" s="72"/>
      <c r="CQ730" s="72"/>
      <c r="CR730" s="72"/>
      <c r="CS730" s="72"/>
      <c r="CT730" s="72"/>
      <c r="CU730" s="72"/>
      <c r="CV730" s="72"/>
      <c r="CW730" s="72"/>
      <c r="CX730" s="72"/>
      <c r="CY730" s="72"/>
      <c r="CZ730" s="72"/>
      <c r="DA730" s="72"/>
      <c r="DB730" s="72"/>
      <c r="DC730" s="72"/>
      <c r="DD730" s="72"/>
      <c r="DE730" s="72"/>
      <c r="DF730" s="72"/>
      <c r="DG730" s="72"/>
      <c r="DH730" s="72"/>
      <c r="DI730" s="72"/>
      <c r="DJ730" s="72"/>
      <c r="DK730" s="72"/>
      <c r="DL730" s="72"/>
      <c r="DM730" s="72"/>
      <c r="DN730" s="72"/>
      <c r="DO730" s="72"/>
      <c r="DP730" s="72"/>
      <c r="DQ730" s="72"/>
      <c r="DR730" s="72"/>
      <c r="DS730" s="72"/>
      <c r="DT730" s="72"/>
      <c r="DU730" s="72"/>
      <c r="DV730" s="72"/>
      <c r="DW730" s="72"/>
      <c r="DX730" s="72"/>
      <c r="DY730" s="72"/>
      <c r="DZ730" s="72"/>
      <c r="EA730" s="72"/>
      <c r="EB730" s="72"/>
      <c r="EC730" s="72"/>
      <c r="ED730" s="72"/>
      <c r="EE730" s="72"/>
      <c r="EF730" s="72"/>
      <c r="EG730" s="72"/>
      <c r="EH730" s="72"/>
      <c r="EI730" s="129"/>
      <c r="EJ730" s="129"/>
      <c r="EK730" s="129"/>
      <c r="EL730" s="129"/>
      <c r="EM730" s="72"/>
      <c r="EN730" s="72"/>
      <c r="EO730" s="72"/>
      <c r="EP730" s="72"/>
      <c r="EQ730" s="72"/>
      <c r="ER730" s="72"/>
      <c r="ES730" s="72"/>
      <c r="ET730" s="72"/>
    </row>
    <row r="731">
      <c r="CD731" s="72"/>
      <c r="CE731" s="72"/>
      <c r="CF731" s="72"/>
      <c r="CG731" s="72"/>
      <c r="CH731" s="72"/>
      <c r="CI731" s="72"/>
      <c r="CJ731" s="72"/>
      <c r="CK731" s="72"/>
      <c r="CL731" s="72"/>
      <c r="CM731" s="72"/>
      <c r="CN731" s="72"/>
      <c r="CO731" s="72"/>
      <c r="CP731" s="72"/>
      <c r="CQ731" s="72"/>
      <c r="CR731" s="72"/>
      <c r="CS731" s="72"/>
      <c r="CT731" s="72"/>
      <c r="CU731" s="72"/>
      <c r="CV731" s="72"/>
      <c r="CW731" s="72"/>
      <c r="CX731" s="72"/>
      <c r="CY731" s="72"/>
      <c r="CZ731" s="72"/>
      <c r="DA731" s="72"/>
      <c r="DB731" s="72"/>
      <c r="DC731" s="72"/>
      <c r="DD731" s="72"/>
      <c r="DE731" s="72"/>
      <c r="DF731" s="72"/>
      <c r="DG731" s="72"/>
      <c r="DH731" s="72"/>
      <c r="DI731" s="72"/>
      <c r="DJ731" s="72"/>
      <c r="DK731" s="72"/>
      <c r="DL731" s="72"/>
      <c r="DM731" s="72"/>
      <c r="DN731" s="72"/>
      <c r="DO731" s="72"/>
      <c r="DP731" s="72"/>
      <c r="DQ731" s="72"/>
      <c r="DR731" s="72"/>
      <c r="DS731" s="72"/>
      <c r="DT731" s="72"/>
      <c r="DU731" s="72"/>
      <c r="DV731" s="72"/>
      <c r="DW731" s="72"/>
      <c r="DX731" s="72"/>
      <c r="DY731" s="72"/>
      <c r="DZ731" s="72"/>
      <c r="EA731" s="72"/>
      <c r="EB731" s="72"/>
      <c r="EC731" s="72"/>
      <c r="ED731" s="72"/>
      <c r="EE731" s="72"/>
      <c r="EF731" s="72"/>
      <c r="EG731" s="72"/>
      <c r="EH731" s="72"/>
      <c r="EI731" s="129"/>
      <c r="EJ731" s="129"/>
      <c r="EK731" s="129"/>
      <c r="EL731" s="129"/>
      <c r="EM731" s="72"/>
      <c r="EN731" s="72"/>
      <c r="EO731" s="72"/>
      <c r="EP731" s="72"/>
      <c r="EQ731" s="72"/>
      <c r="ER731" s="72"/>
      <c r="ES731" s="72"/>
      <c r="ET731" s="72"/>
    </row>
    <row r="732">
      <c r="CD732" s="72"/>
      <c r="CE732" s="72"/>
      <c r="CF732" s="72"/>
      <c r="CG732" s="72"/>
      <c r="CH732" s="72"/>
      <c r="CI732" s="72"/>
      <c r="CJ732" s="72"/>
      <c r="CK732" s="72"/>
      <c r="CL732" s="72"/>
      <c r="CM732" s="72"/>
      <c r="CN732" s="72"/>
      <c r="CO732" s="72"/>
      <c r="CP732" s="72"/>
      <c r="CQ732" s="72"/>
      <c r="CR732" s="72"/>
      <c r="CS732" s="72"/>
      <c r="CT732" s="72"/>
      <c r="CU732" s="72"/>
      <c r="CV732" s="72"/>
      <c r="CW732" s="72"/>
      <c r="CX732" s="72"/>
      <c r="CY732" s="72"/>
      <c r="CZ732" s="72"/>
      <c r="DA732" s="72"/>
      <c r="DB732" s="72"/>
      <c r="DC732" s="72"/>
      <c r="DD732" s="72"/>
      <c r="DE732" s="72"/>
      <c r="DF732" s="72"/>
      <c r="DG732" s="72"/>
      <c r="DH732" s="72"/>
      <c r="DI732" s="72"/>
      <c r="DJ732" s="72"/>
      <c r="DK732" s="72"/>
      <c r="DL732" s="72"/>
      <c r="DM732" s="72"/>
      <c r="DN732" s="72"/>
      <c r="DO732" s="72"/>
      <c r="DP732" s="72"/>
      <c r="DQ732" s="72"/>
      <c r="DR732" s="72"/>
      <c r="DS732" s="72"/>
      <c r="DT732" s="72"/>
      <c r="DU732" s="72"/>
      <c r="DV732" s="72"/>
      <c r="DW732" s="72"/>
      <c r="DX732" s="72"/>
      <c r="DY732" s="72"/>
      <c r="DZ732" s="72"/>
      <c r="EA732" s="72"/>
      <c r="EB732" s="72"/>
      <c r="EC732" s="72"/>
      <c r="ED732" s="72"/>
      <c r="EE732" s="72"/>
      <c r="EF732" s="72"/>
      <c r="EG732" s="72"/>
      <c r="EH732" s="72"/>
      <c r="EI732" s="129"/>
      <c r="EJ732" s="129"/>
      <c r="EK732" s="129"/>
      <c r="EL732" s="129"/>
      <c r="EM732" s="72"/>
      <c r="EN732" s="72"/>
      <c r="EO732" s="72"/>
      <c r="EP732" s="72"/>
      <c r="EQ732" s="72"/>
      <c r="ER732" s="72"/>
      <c r="ES732" s="72"/>
      <c r="ET732" s="72"/>
    </row>
    <row r="733">
      <c r="CD733" s="72"/>
      <c r="CE733" s="72"/>
      <c r="CF733" s="72"/>
      <c r="CG733" s="72"/>
      <c r="CH733" s="72"/>
      <c r="CI733" s="72"/>
      <c r="CJ733" s="72"/>
      <c r="CK733" s="72"/>
      <c r="CL733" s="72"/>
      <c r="CM733" s="72"/>
      <c r="CN733" s="72"/>
      <c r="CO733" s="72"/>
      <c r="CP733" s="72"/>
      <c r="CQ733" s="72"/>
      <c r="CR733" s="72"/>
      <c r="CS733" s="72"/>
      <c r="CT733" s="72"/>
      <c r="CU733" s="72"/>
      <c r="CV733" s="72"/>
      <c r="CW733" s="72"/>
      <c r="CX733" s="72"/>
      <c r="CY733" s="72"/>
      <c r="CZ733" s="72"/>
      <c r="DA733" s="72"/>
      <c r="DB733" s="72"/>
      <c r="DC733" s="72"/>
      <c r="DD733" s="72"/>
      <c r="DE733" s="72"/>
      <c r="DF733" s="72"/>
      <c r="DG733" s="72"/>
      <c r="DH733" s="72"/>
      <c r="DI733" s="72"/>
      <c r="DJ733" s="72"/>
      <c r="DK733" s="72"/>
      <c r="DL733" s="72"/>
      <c r="DM733" s="72"/>
      <c r="DN733" s="72"/>
      <c r="DO733" s="72"/>
      <c r="DP733" s="72"/>
      <c r="DQ733" s="72"/>
      <c r="DR733" s="72"/>
      <c r="DS733" s="72"/>
      <c r="DT733" s="72"/>
      <c r="DU733" s="72"/>
      <c r="DV733" s="72"/>
      <c r="DW733" s="72"/>
      <c r="DX733" s="72"/>
      <c r="DY733" s="72"/>
      <c r="DZ733" s="72"/>
      <c r="EA733" s="72"/>
      <c r="EB733" s="72"/>
      <c r="EC733" s="72"/>
      <c r="ED733" s="72"/>
      <c r="EE733" s="72"/>
      <c r="EF733" s="72"/>
      <c r="EG733" s="72"/>
      <c r="EH733" s="72"/>
      <c r="EI733" s="129"/>
      <c r="EJ733" s="129"/>
      <c r="EK733" s="129"/>
      <c r="EL733" s="129"/>
      <c r="EM733" s="72"/>
      <c r="EN733" s="72"/>
      <c r="EO733" s="72"/>
      <c r="EP733" s="72"/>
      <c r="EQ733" s="72"/>
      <c r="ER733" s="72"/>
      <c r="ES733" s="72"/>
      <c r="ET733" s="72"/>
    </row>
    <row r="734">
      <c r="CD734" s="72"/>
      <c r="CE734" s="72"/>
      <c r="CF734" s="72"/>
      <c r="CG734" s="72"/>
      <c r="CH734" s="72"/>
      <c r="CI734" s="72"/>
      <c r="CJ734" s="72"/>
      <c r="CK734" s="72"/>
      <c r="CL734" s="72"/>
      <c r="CM734" s="72"/>
      <c r="CN734" s="72"/>
      <c r="CO734" s="72"/>
      <c r="CP734" s="72"/>
      <c r="CQ734" s="72"/>
      <c r="CR734" s="72"/>
      <c r="CS734" s="72"/>
      <c r="CT734" s="72"/>
      <c r="CU734" s="72"/>
      <c r="CV734" s="72"/>
      <c r="CW734" s="72"/>
      <c r="CX734" s="72"/>
      <c r="CY734" s="72"/>
      <c r="CZ734" s="72"/>
      <c r="DA734" s="72"/>
      <c r="DB734" s="72"/>
      <c r="DC734" s="72"/>
      <c r="DD734" s="72"/>
      <c r="DE734" s="72"/>
      <c r="DF734" s="72"/>
      <c r="DG734" s="72"/>
      <c r="DH734" s="72"/>
      <c r="DI734" s="72"/>
      <c r="DJ734" s="72"/>
      <c r="DK734" s="72"/>
      <c r="DL734" s="72"/>
      <c r="DM734" s="72"/>
      <c r="DN734" s="72"/>
      <c r="DO734" s="72"/>
      <c r="DP734" s="72"/>
      <c r="DQ734" s="72"/>
      <c r="DR734" s="72"/>
      <c r="DS734" s="72"/>
      <c r="DT734" s="72"/>
      <c r="DU734" s="72"/>
      <c r="DV734" s="72"/>
      <c r="DW734" s="72"/>
      <c r="DX734" s="72"/>
      <c r="DY734" s="72"/>
      <c r="DZ734" s="72"/>
      <c r="EA734" s="72"/>
      <c r="EB734" s="72"/>
      <c r="EC734" s="72"/>
      <c r="ED734" s="72"/>
      <c r="EE734" s="72"/>
      <c r="EF734" s="72"/>
      <c r="EG734" s="72"/>
      <c r="EH734" s="72"/>
      <c r="EI734" s="129"/>
      <c r="EJ734" s="129"/>
      <c r="EK734" s="129"/>
      <c r="EL734" s="129"/>
      <c r="EM734" s="72"/>
      <c r="EN734" s="72"/>
      <c r="EO734" s="72"/>
      <c r="EP734" s="72"/>
      <c r="EQ734" s="72"/>
      <c r="ER734" s="72"/>
      <c r="ES734" s="72"/>
      <c r="ET734" s="72"/>
    </row>
    <row r="735">
      <c r="CD735" s="72"/>
      <c r="CE735" s="72"/>
      <c r="CF735" s="72"/>
      <c r="CG735" s="72"/>
      <c r="CH735" s="72"/>
      <c r="CI735" s="72"/>
      <c r="CJ735" s="72"/>
      <c r="CK735" s="72"/>
      <c r="CL735" s="72"/>
      <c r="CM735" s="72"/>
      <c r="CN735" s="72"/>
      <c r="CO735" s="72"/>
      <c r="CP735" s="72"/>
      <c r="CQ735" s="72"/>
      <c r="CR735" s="72"/>
      <c r="CS735" s="72"/>
      <c r="CT735" s="72"/>
      <c r="CU735" s="72"/>
      <c r="CV735" s="72"/>
      <c r="CW735" s="72"/>
      <c r="CX735" s="72"/>
      <c r="CY735" s="72"/>
      <c r="CZ735" s="72"/>
      <c r="DA735" s="72"/>
      <c r="DB735" s="72"/>
      <c r="DC735" s="72"/>
      <c r="DD735" s="72"/>
      <c r="DE735" s="72"/>
      <c r="DF735" s="72"/>
      <c r="DG735" s="72"/>
      <c r="DH735" s="72"/>
      <c r="DI735" s="72"/>
      <c r="DJ735" s="72"/>
      <c r="DK735" s="72"/>
      <c r="DL735" s="72"/>
      <c r="DM735" s="72"/>
      <c r="DN735" s="72"/>
      <c r="DO735" s="72"/>
      <c r="DP735" s="72"/>
      <c r="DQ735" s="72"/>
      <c r="DR735" s="72"/>
      <c r="DS735" s="72"/>
      <c r="DT735" s="72"/>
      <c r="DU735" s="72"/>
      <c r="DV735" s="72"/>
      <c r="DW735" s="72"/>
      <c r="DX735" s="72"/>
      <c r="DY735" s="72"/>
      <c r="DZ735" s="72"/>
      <c r="EA735" s="72"/>
      <c r="EB735" s="72"/>
      <c r="EC735" s="72"/>
      <c r="ED735" s="72"/>
      <c r="EE735" s="72"/>
      <c r="EF735" s="72"/>
      <c r="EG735" s="72"/>
      <c r="EH735" s="72"/>
      <c r="EI735" s="129"/>
      <c r="EJ735" s="129"/>
      <c r="EK735" s="129"/>
      <c r="EL735" s="129"/>
      <c r="EM735" s="72"/>
      <c r="EN735" s="72"/>
      <c r="EO735" s="72"/>
      <c r="EP735" s="72"/>
      <c r="EQ735" s="72"/>
      <c r="ER735" s="72"/>
      <c r="ES735" s="72"/>
      <c r="ET735" s="72"/>
    </row>
    <row r="736">
      <c r="CD736" s="72"/>
      <c r="CE736" s="72"/>
      <c r="CF736" s="72"/>
      <c r="CG736" s="72"/>
      <c r="CH736" s="72"/>
      <c r="CI736" s="72"/>
      <c r="CJ736" s="72"/>
      <c r="CK736" s="72"/>
      <c r="CL736" s="72"/>
      <c r="CM736" s="72"/>
      <c r="CN736" s="72"/>
      <c r="CO736" s="72"/>
      <c r="CP736" s="72"/>
      <c r="CQ736" s="72"/>
      <c r="CR736" s="72"/>
      <c r="CS736" s="72"/>
      <c r="CT736" s="72"/>
      <c r="CU736" s="72"/>
      <c r="CV736" s="72"/>
      <c r="CW736" s="72"/>
      <c r="CX736" s="72"/>
      <c r="CY736" s="72"/>
      <c r="CZ736" s="72"/>
      <c r="DA736" s="72"/>
      <c r="DB736" s="72"/>
      <c r="DC736" s="72"/>
      <c r="DD736" s="72"/>
      <c r="DE736" s="72"/>
      <c r="DF736" s="72"/>
      <c r="DG736" s="72"/>
      <c r="DH736" s="72"/>
      <c r="DI736" s="72"/>
      <c r="DJ736" s="72"/>
      <c r="DK736" s="72"/>
      <c r="DL736" s="72"/>
      <c r="DM736" s="72"/>
      <c r="DN736" s="72"/>
      <c r="DO736" s="72"/>
      <c r="DP736" s="72"/>
      <c r="DQ736" s="72"/>
      <c r="DR736" s="72"/>
      <c r="DS736" s="72"/>
      <c r="DT736" s="72"/>
      <c r="DU736" s="72"/>
      <c r="DV736" s="72"/>
      <c r="DW736" s="72"/>
      <c r="DX736" s="72"/>
      <c r="DY736" s="72"/>
      <c r="DZ736" s="72"/>
      <c r="EA736" s="72"/>
      <c r="EB736" s="72"/>
      <c r="EC736" s="72"/>
      <c r="ED736" s="72"/>
      <c r="EE736" s="72"/>
      <c r="EF736" s="72"/>
      <c r="EG736" s="72"/>
      <c r="EH736" s="72"/>
      <c r="EI736" s="129"/>
      <c r="EJ736" s="129"/>
      <c r="EK736" s="129"/>
      <c r="EL736" s="129"/>
      <c r="EM736" s="72"/>
      <c r="EN736" s="72"/>
      <c r="EO736" s="72"/>
      <c r="EP736" s="72"/>
      <c r="EQ736" s="72"/>
      <c r="ER736" s="72"/>
      <c r="ES736" s="72"/>
      <c r="ET736" s="72"/>
    </row>
    <row r="737">
      <c r="CD737" s="72"/>
      <c r="CE737" s="72"/>
      <c r="CF737" s="72"/>
      <c r="CG737" s="72"/>
      <c r="CH737" s="72"/>
      <c r="CI737" s="72"/>
      <c r="CJ737" s="72"/>
      <c r="CK737" s="72"/>
      <c r="CL737" s="72"/>
      <c r="CM737" s="72"/>
      <c r="CN737" s="72"/>
      <c r="CO737" s="72"/>
      <c r="CP737" s="72"/>
      <c r="CQ737" s="72"/>
      <c r="CR737" s="72"/>
      <c r="CS737" s="72"/>
      <c r="CT737" s="72"/>
      <c r="CU737" s="72"/>
      <c r="CV737" s="72"/>
      <c r="CW737" s="72"/>
      <c r="CX737" s="72"/>
      <c r="CY737" s="72"/>
      <c r="CZ737" s="72"/>
      <c r="DA737" s="72"/>
      <c r="DB737" s="72"/>
      <c r="DC737" s="72"/>
      <c r="DD737" s="72"/>
      <c r="DE737" s="72"/>
      <c r="DF737" s="72"/>
      <c r="DG737" s="72"/>
      <c r="DH737" s="72"/>
      <c r="DI737" s="72"/>
      <c r="DJ737" s="72"/>
      <c r="DK737" s="72"/>
      <c r="DL737" s="72"/>
      <c r="DM737" s="72"/>
      <c r="DN737" s="72"/>
      <c r="DO737" s="72"/>
      <c r="DP737" s="72"/>
      <c r="DQ737" s="72"/>
      <c r="DR737" s="72"/>
      <c r="DS737" s="72"/>
      <c r="DT737" s="72"/>
      <c r="DU737" s="72"/>
      <c r="DV737" s="72"/>
      <c r="DW737" s="72"/>
      <c r="DX737" s="72"/>
      <c r="DY737" s="72"/>
      <c r="DZ737" s="72"/>
      <c r="EA737" s="72"/>
      <c r="EB737" s="72"/>
      <c r="EC737" s="72"/>
      <c r="ED737" s="72"/>
      <c r="EE737" s="72"/>
      <c r="EF737" s="72"/>
      <c r="EG737" s="72"/>
      <c r="EH737" s="72"/>
      <c r="EI737" s="129"/>
      <c r="EJ737" s="129"/>
      <c r="EK737" s="129"/>
      <c r="EL737" s="129"/>
      <c r="EM737" s="72"/>
      <c r="EN737" s="72"/>
      <c r="EO737" s="72"/>
      <c r="EP737" s="72"/>
      <c r="EQ737" s="72"/>
      <c r="ER737" s="72"/>
      <c r="ES737" s="72"/>
      <c r="ET737" s="72"/>
    </row>
    <row r="738">
      <c r="CD738" s="72"/>
      <c r="CE738" s="72"/>
      <c r="CF738" s="72"/>
      <c r="CG738" s="72"/>
      <c r="CH738" s="72"/>
      <c r="CI738" s="72"/>
      <c r="CJ738" s="72"/>
      <c r="CK738" s="72"/>
      <c r="CL738" s="72"/>
      <c r="CM738" s="72"/>
      <c r="CN738" s="72"/>
      <c r="CO738" s="72"/>
      <c r="CP738" s="72"/>
      <c r="CQ738" s="72"/>
      <c r="CR738" s="72"/>
      <c r="CS738" s="72"/>
      <c r="CT738" s="72"/>
      <c r="CU738" s="72"/>
      <c r="CV738" s="72"/>
      <c r="CW738" s="72"/>
      <c r="CX738" s="72"/>
      <c r="CY738" s="72"/>
      <c r="CZ738" s="72"/>
      <c r="DA738" s="72"/>
      <c r="DB738" s="72"/>
      <c r="DC738" s="72"/>
      <c r="DD738" s="72"/>
      <c r="DE738" s="72"/>
      <c r="DF738" s="72"/>
      <c r="DG738" s="72"/>
      <c r="DH738" s="72"/>
      <c r="DI738" s="72"/>
      <c r="DJ738" s="72"/>
      <c r="DK738" s="72"/>
      <c r="DL738" s="72"/>
      <c r="DM738" s="72"/>
      <c r="DN738" s="72"/>
      <c r="DO738" s="72"/>
      <c r="DP738" s="72"/>
      <c r="DQ738" s="72"/>
      <c r="DR738" s="72"/>
      <c r="DS738" s="72"/>
      <c r="DT738" s="72"/>
      <c r="DU738" s="72"/>
      <c r="DV738" s="72"/>
      <c r="DW738" s="72"/>
      <c r="DX738" s="72"/>
      <c r="DY738" s="72"/>
      <c r="DZ738" s="72"/>
      <c r="EA738" s="72"/>
      <c r="EB738" s="72"/>
      <c r="EC738" s="72"/>
      <c r="ED738" s="72"/>
      <c r="EE738" s="72"/>
      <c r="EF738" s="72"/>
      <c r="EG738" s="72"/>
      <c r="EH738" s="72"/>
      <c r="EI738" s="129"/>
      <c r="EJ738" s="129"/>
      <c r="EK738" s="129"/>
      <c r="EL738" s="129"/>
      <c r="EM738" s="72"/>
      <c r="EN738" s="72"/>
      <c r="EO738" s="72"/>
      <c r="EP738" s="72"/>
      <c r="EQ738" s="72"/>
      <c r="ER738" s="72"/>
      <c r="ES738" s="72"/>
      <c r="ET738" s="72"/>
    </row>
    <row r="739">
      <c r="CD739" s="72"/>
      <c r="CE739" s="72"/>
      <c r="CF739" s="72"/>
      <c r="CG739" s="72"/>
      <c r="CH739" s="72"/>
      <c r="CI739" s="72"/>
      <c r="CJ739" s="72"/>
      <c r="CK739" s="72"/>
      <c r="CL739" s="72"/>
      <c r="CM739" s="72"/>
      <c r="CN739" s="72"/>
      <c r="CO739" s="72"/>
      <c r="CP739" s="72"/>
      <c r="CQ739" s="72"/>
      <c r="CR739" s="72"/>
      <c r="CS739" s="72"/>
      <c r="CT739" s="72"/>
      <c r="CU739" s="72"/>
      <c r="CV739" s="72"/>
      <c r="CW739" s="72"/>
      <c r="CX739" s="72"/>
      <c r="CY739" s="72"/>
      <c r="CZ739" s="72"/>
      <c r="DA739" s="72"/>
      <c r="DB739" s="72"/>
      <c r="DC739" s="72"/>
      <c r="DD739" s="72"/>
      <c r="DE739" s="72"/>
      <c r="DF739" s="72"/>
      <c r="DG739" s="72"/>
      <c r="DH739" s="72"/>
      <c r="DI739" s="72"/>
      <c r="DJ739" s="72"/>
      <c r="DK739" s="72"/>
      <c r="DL739" s="72"/>
      <c r="DM739" s="72"/>
      <c r="DN739" s="72"/>
      <c r="DO739" s="72"/>
      <c r="DP739" s="72"/>
      <c r="DQ739" s="72"/>
      <c r="DR739" s="72"/>
      <c r="DS739" s="72"/>
      <c r="DT739" s="72"/>
      <c r="DU739" s="72"/>
      <c r="DV739" s="72"/>
      <c r="DW739" s="72"/>
      <c r="DX739" s="72"/>
      <c r="DY739" s="72"/>
      <c r="DZ739" s="72"/>
      <c r="EA739" s="72"/>
      <c r="EB739" s="72"/>
      <c r="EC739" s="72"/>
      <c r="ED739" s="72"/>
      <c r="EE739" s="72"/>
      <c r="EF739" s="72"/>
      <c r="EG739" s="72"/>
      <c r="EH739" s="72"/>
      <c r="EI739" s="129"/>
      <c r="EJ739" s="129"/>
      <c r="EK739" s="129"/>
      <c r="EL739" s="129"/>
      <c r="EM739" s="72"/>
      <c r="EN739" s="72"/>
      <c r="EO739" s="72"/>
      <c r="EP739" s="72"/>
      <c r="EQ739" s="72"/>
      <c r="ER739" s="72"/>
      <c r="ES739" s="72"/>
      <c r="ET739" s="72"/>
    </row>
    <row r="740">
      <c r="CD740" s="72"/>
      <c r="CE740" s="72"/>
      <c r="CF740" s="72"/>
      <c r="CG740" s="72"/>
      <c r="CH740" s="72"/>
      <c r="CI740" s="72"/>
      <c r="CJ740" s="72"/>
      <c r="CK740" s="72"/>
      <c r="CL740" s="72"/>
      <c r="CM740" s="72"/>
      <c r="CN740" s="72"/>
      <c r="CO740" s="72"/>
      <c r="CP740" s="72"/>
      <c r="CQ740" s="72"/>
      <c r="CR740" s="72"/>
      <c r="CS740" s="72"/>
      <c r="CT740" s="72"/>
      <c r="CU740" s="72"/>
      <c r="CV740" s="72"/>
      <c r="CW740" s="72"/>
      <c r="CX740" s="72"/>
      <c r="CY740" s="72"/>
      <c r="CZ740" s="72"/>
      <c r="DA740" s="72"/>
      <c r="DB740" s="72"/>
      <c r="DC740" s="72"/>
      <c r="DD740" s="72"/>
      <c r="DE740" s="72"/>
      <c r="DF740" s="72"/>
      <c r="DG740" s="72"/>
      <c r="DH740" s="72"/>
      <c r="DI740" s="72"/>
      <c r="DJ740" s="72"/>
      <c r="DK740" s="72"/>
      <c r="DL740" s="72"/>
      <c r="DM740" s="72"/>
      <c r="DN740" s="72"/>
      <c r="DO740" s="72"/>
      <c r="DP740" s="72"/>
      <c r="DQ740" s="72"/>
      <c r="DR740" s="72"/>
      <c r="DS740" s="72"/>
      <c r="DT740" s="72"/>
      <c r="DU740" s="72"/>
      <c r="DV740" s="72"/>
      <c r="DW740" s="72"/>
      <c r="DX740" s="72"/>
      <c r="DY740" s="72"/>
      <c r="DZ740" s="72"/>
      <c r="EA740" s="72"/>
      <c r="EB740" s="72"/>
      <c r="EC740" s="72"/>
      <c r="ED740" s="72"/>
      <c r="EE740" s="72"/>
      <c r="EF740" s="72"/>
      <c r="EG740" s="72"/>
      <c r="EH740" s="72"/>
      <c r="EI740" s="129"/>
      <c r="EJ740" s="129"/>
      <c r="EK740" s="129"/>
      <c r="EL740" s="129"/>
      <c r="EM740" s="72"/>
      <c r="EN740" s="72"/>
      <c r="EO740" s="72"/>
      <c r="EP740" s="72"/>
      <c r="EQ740" s="72"/>
      <c r="ER740" s="72"/>
      <c r="ES740" s="72"/>
      <c r="ET740" s="72"/>
    </row>
    <row r="741">
      <c r="CD741" s="72"/>
      <c r="CE741" s="72"/>
      <c r="CF741" s="72"/>
      <c r="CG741" s="72"/>
      <c r="CH741" s="72"/>
      <c r="CI741" s="72"/>
      <c r="CJ741" s="72"/>
      <c r="CK741" s="72"/>
      <c r="CL741" s="72"/>
      <c r="CM741" s="72"/>
      <c r="CN741" s="72"/>
      <c r="CO741" s="72"/>
      <c r="CP741" s="72"/>
      <c r="CQ741" s="72"/>
      <c r="CR741" s="72"/>
      <c r="CS741" s="72"/>
      <c r="CT741" s="72"/>
      <c r="CU741" s="72"/>
      <c r="CV741" s="72"/>
      <c r="CW741" s="72"/>
      <c r="CX741" s="72"/>
      <c r="CY741" s="72"/>
      <c r="CZ741" s="72"/>
      <c r="DA741" s="72"/>
      <c r="DB741" s="72"/>
      <c r="DC741" s="72"/>
      <c r="DD741" s="72"/>
      <c r="DE741" s="72"/>
      <c r="DF741" s="72"/>
      <c r="DG741" s="72"/>
      <c r="DH741" s="72"/>
      <c r="DI741" s="72"/>
      <c r="DJ741" s="72"/>
      <c r="DK741" s="72"/>
      <c r="DL741" s="72"/>
      <c r="DM741" s="72"/>
      <c r="DN741" s="72"/>
      <c r="DO741" s="72"/>
      <c r="DP741" s="72"/>
      <c r="DQ741" s="72"/>
      <c r="DR741" s="72"/>
      <c r="DS741" s="72"/>
      <c r="DT741" s="72"/>
      <c r="DU741" s="72"/>
      <c r="DV741" s="72"/>
      <c r="DW741" s="72"/>
      <c r="DX741" s="72"/>
      <c r="DY741" s="72"/>
      <c r="DZ741" s="72"/>
      <c r="EA741" s="72"/>
      <c r="EB741" s="72"/>
      <c r="EC741" s="72"/>
      <c r="ED741" s="72"/>
      <c r="EE741" s="72"/>
      <c r="EF741" s="72"/>
      <c r="EG741" s="72"/>
      <c r="EH741" s="72"/>
      <c r="EI741" s="129"/>
      <c r="EJ741" s="129"/>
      <c r="EK741" s="129"/>
      <c r="EL741" s="129"/>
      <c r="EM741" s="72"/>
      <c r="EN741" s="72"/>
      <c r="EO741" s="72"/>
      <c r="EP741" s="72"/>
      <c r="EQ741" s="72"/>
      <c r="ER741" s="72"/>
      <c r="ES741" s="72"/>
      <c r="ET741" s="72"/>
    </row>
    <row r="742">
      <c r="CD742" s="72"/>
      <c r="CE742" s="72"/>
      <c r="CF742" s="72"/>
      <c r="CG742" s="72"/>
      <c r="CH742" s="72"/>
      <c r="CI742" s="72"/>
      <c r="CJ742" s="72"/>
      <c r="CK742" s="72"/>
      <c r="CL742" s="72"/>
      <c r="CM742" s="72"/>
      <c r="CN742" s="72"/>
      <c r="CO742" s="72"/>
      <c r="CP742" s="72"/>
      <c r="CQ742" s="72"/>
      <c r="CR742" s="72"/>
      <c r="CS742" s="72"/>
      <c r="CT742" s="72"/>
      <c r="CU742" s="72"/>
      <c r="CV742" s="72"/>
      <c r="CW742" s="72"/>
      <c r="CX742" s="72"/>
      <c r="CY742" s="72"/>
      <c r="CZ742" s="72"/>
      <c r="DA742" s="72"/>
      <c r="DB742" s="72"/>
      <c r="DC742" s="72"/>
      <c r="DD742" s="72"/>
      <c r="DE742" s="72"/>
      <c r="DF742" s="72"/>
      <c r="DG742" s="72"/>
      <c r="DH742" s="72"/>
      <c r="DI742" s="72"/>
      <c r="DJ742" s="72"/>
      <c r="DK742" s="72"/>
      <c r="DL742" s="72"/>
      <c r="DM742" s="72"/>
      <c r="DN742" s="72"/>
      <c r="DO742" s="72"/>
      <c r="DP742" s="72"/>
      <c r="DQ742" s="72"/>
      <c r="DR742" s="72"/>
      <c r="DS742" s="72"/>
      <c r="DT742" s="72"/>
      <c r="DU742" s="72"/>
      <c r="DV742" s="72"/>
      <c r="DW742" s="72"/>
      <c r="DX742" s="72"/>
      <c r="DY742" s="72"/>
      <c r="DZ742" s="72"/>
      <c r="EA742" s="72"/>
      <c r="EB742" s="72"/>
      <c r="EC742" s="72"/>
      <c r="ED742" s="72"/>
      <c r="EE742" s="72"/>
      <c r="EF742" s="72"/>
      <c r="EG742" s="72"/>
      <c r="EH742" s="72"/>
      <c r="EI742" s="129"/>
      <c r="EJ742" s="129"/>
      <c r="EK742" s="129"/>
      <c r="EL742" s="129"/>
      <c r="EM742" s="72"/>
      <c r="EN742" s="72"/>
      <c r="EO742" s="72"/>
      <c r="EP742" s="72"/>
      <c r="EQ742" s="72"/>
      <c r="ER742" s="72"/>
      <c r="ES742" s="72"/>
      <c r="ET742" s="72"/>
    </row>
    <row r="743">
      <c r="CD743" s="72"/>
      <c r="CE743" s="72"/>
      <c r="CF743" s="72"/>
      <c r="CG743" s="72"/>
      <c r="CH743" s="72"/>
      <c r="CI743" s="72"/>
      <c r="CJ743" s="72"/>
      <c r="CK743" s="72"/>
      <c r="CL743" s="72"/>
      <c r="CM743" s="72"/>
      <c r="CN743" s="72"/>
      <c r="CO743" s="72"/>
      <c r="CP743" s="72"/>
      <c r="CQ743" s="72"/>
      <c r="CR743" s="72"/>
      <c r="CS743" s="72"/>
      <c r="CT743" s="72"/>
      <c r="CU743" s="72"/>
      <c r="CV743" s="72"/>
      <c r="CW743" s="72"/>
      <c r="CX743" s="72"/>
      <c r="CY743" s="72"/>
      <c r="CZ743" s="72"/>
      <c r="DA743" s="72"/>
      <c r="DB743" s="72"/>
      <c r="DC743" s="72"/>
      <c r="DD743" s="72"/>
      <c r="DE743" s="72"/>
      <c r="DF743" s="72"/>
      <c r="DG743" s="72"/>
      <c r="DH743" s="72"/>
      <c r="DI743" s="72"/>
      <c r="DJ743" s="72"/>
      <c r="DK743" s="72"/>
      <c r="DL743" s="72"/>
      <c r="DM743" s="72"/>
      <c r="DN743" s="72"/>
      <c r="DO743" s="72"/>
      <c r="DP743" s="72"/>
      <c r="DQ743" s="72"/>
      <c r="DR743" s="72"/>
      <c r="DS743" s="72"/>
      <c r="DT743" s="72"/>
      <c r="DU743" s="72"/>
      <c r="DV743" s="72"/>
      <c r="DW743" s="72"/>
      <c r="DX743" s="72"/>
      <c r="DY743" s="72"/>
      <c r="DZ743" s="72"/>
      <c r="EA743" s="72"/>
      <c r="EB743" s="72"/>
      <c r="EC743" s="72"/>
      <c r="ED743" s="72"/>
      <c r="EE743" s="72"/>
      <c r="EF743" s="72"/>
      <c r="EG743" s="72"/>
      <c r="EH743" s="72"/>
      <c r="EI743" s="129"/>
      <c r="EJ743" s="129"/>
      <c r="EK743" s="129"/>
      <c r="EL743" s="129"/>
      <c r="EM743" s="72"/>
      <c r="EN743" s="72"/>
      <c r="EO743" s="72"/>
      <c r="EP743" s="72"/>
      <c r="EQ743" s="72"/>
      <c r="ER743" s="72"/>
      <c r="ES743" s="72"/>
      <c r="ET743" s="72"/>
    </row>
    <row r="744">
      <c r="CD744" s="72"/>
      <c r="CE744" s="72"/>
      <c r="CF744" s="72"/>
      <c r="CG744" s="72"/>
      <c r="CH744" s="72"/>
      <c r="CI744" s="72"/>
      <c r="CJ744" s="72"/>
      <c r="CK744" s="72"/>
      <c r="CL744" s="72"/>
      <c r="CM744" s="72"/>
      <c r="CN744" s="72"/>
      <c r="CO744" s="72"/>
      <c r="CP744" s="72"/>
      <c r="CQ744" s="72"/>
      <c r="CR744" s="72"/>
      <c r="CS744" s="72"/>
      <c r="CT744" s="72"/>
      <c r="CU744" s="72"/>
      <c r="CV744" s="72"/>
      <c r="CW744" s="72"/>
      <c r="CX744" s="72"/>
      <c r="CY744" s="72"/>
      <c r="CZ744" s="72"/>
      <c r="DA744" s="72"/>
      <c r="DB744" s="72"/>
      <c r="DC744" s="72"/>
      <c r="DD744" s="72"/>
      <c r="DE744" s="72"/>
      <c r="DF744" s="72"/>
      <c r="DG744" s="72"/>
      <c r="DH744" s="72"/>
      <c r="DI744" s="72"/>
      <c r="DJ744" s="72"/>
      <c r="DK744" s="72"/>
      <c r="DL744" s="72"/>
      <c r="DM744" s="72"/>
      <c r="DN744" s="72"/>
      <c r="DO744" s="72"/>
      <c r="DP744" s="72"/>
      <c r="DQ744" s="72"/>
      <c r="DR744" s="72"/>
      <c r="DS744" s="72"/>
      <c r="DT744" s="72"/>
      <c r="DU744" s="72"/>
      <c r="DV744" s="72"/>
      <c r="DW744" s="72"/>
      <c r="DX744" s="72"/>
      <c r="DY744" s="72"/>
      <c r="DZ744" s="72"/>
      <c r="EA744" s="72"/>
      <c r="EB744" s="72"/>
      <c r="EC744" s="72"/>
      <c r="ED744" s="72"/>
      <c r="EE744" s="72"/>
      <c r="EF744" s="72"/>
      <c r="EG744" s="72"/>
      <c r="EH744" s="72"/>
      <c r="EI744" s="129"/>
      <c r="EJ744" s="129"/>
      <c r="EK744" s="129"/>
      <c r="EL744" s="129"/>
      <c r="EM744" s="72"/>
      <c r="EN744" s="72"/>
      <c r="EO744" s="72"/>
      <c r="EP744" s="72"/>
      <c r="EQ744" s="72"/>
      <c r="ER744" s="72"/>
      <c r="ES744" s="72"/>
      <c r="ET744" s="72"/>
    </row>
    <row r="745">
      <c r="CD745" s="72"/>
      <c r="CE745" s="72"/>
      <c r="CF745" s="72"/>
      <c r="CG745" s="72"/>
      <c r="CH745" s="72"/>
      <c r="CI745" s="72"/>
      <c r="CJ745" s="72"/>
      <c r="CK745" s="72"/>
      <c r="CL745" s="72"/>
      <c r="CM745" s="72"/>
      <c r="CN745" s="72"/>
      <c r="CO745" s="72"/>
      <c r="CP745" s="72"/>
      <c r="CQ745" s="72"/>
      <c r="CR745" s="72"/>
      <c r="CS745" s="72"/>
      <c r="CT745" s="72"/>
      <c r="CU745" s="72"/>
      <c r="CV745" s="72"/>
      <c r="CW745" s="72"/>
      <c r="CX745" s="72"/>
      <c r="CY745" s="72"/>
      <c r="CZ745" s="72"/>
      <c r="DA745" s="72"/>
      <c r="DB745" s="72"/>
      <c r="DC745" s="72"/>
      <c r="DD745" s="72"/>
      <c r="DE745" s="72"/>
      <c r="DF745" s="72"/>
      <c r="DG745" s="72"/>
      <c r="DH745" s="72"/>
      <c r="DI745" s="72"/>
      <c r="DJ745" s="72"/>
      <c r="DK745" s="72"/>
      <c r="DL745" s="72"/>
      <c r="DM745" s="72"/>
      <c r="DN745" s="72"/>
      <c r="DO745" s="72"/>
      <c r="DP745" s="72"/>
      <c r="DQ745" s="72"/>
      <c r="DR745" s="72"/>
      <c r="DS745" s="72"/>
      <c r="DT745" s="72"/>
      <c r="DU745" s="72"/>
      <c r="DV745" s="72"/>
      <c r="DW745" s="72"/>
      <c r="DX745" s="72"/>
      <c r="DY745" s="72"/>
      <c r="DZ745" s="72"/>
      <c r="EA745" s="72"/>
      <c r="EB745" s="72"/>
      <c r="EC745" s="72"/>
      <c r="ED745" s="72"/>
      <c r="EE745" s="72"/>
      <c r="EF745" s="72"/>
      <c r="EG745" s="72"/>
      <c r="EH745" s="72"/>
      <c r="EI745" s="129"/>
      <c r="EJ745" s="129"/>
      <c r="EK745" s="129"/>
      <c r="EL745" s="129"/>
      <c r="EM745" s="72"/>
      <c r="EN745" s="72"/>
      <c r="EO745" s="72"/>
      <c r="EP745" s="72"/>
      <c r="EQ745" s="72"/>
      <c r="ER745" s="72"/>
      <c r="ES745" s="72"/>
      <c r="ET745" s="72"/>
    </row>
    <row r="746">
      <c r="CD746" s="72"/>
      <c r="CE746" s="72"/>
      <c r="CF746" s="72"/>
      <c r="CG746" s="72"/>
      <c r="CH746" s="72"/>
      <c r="CI746" s="72"/>
      <c r="CJ746" s="72"/>
      <c r="CK746" s="72"/>
      <c r="CL746" s="72"/>
      <c r="CM746" s="72"/>
      <c r="CN746" s="72"/>
      <c r="CO746" s="72"/>
      <c r="CP746" s="72"/>
      <c r="CQ746" s="72"/>
      <c r="CR746" s="72"/>
      <c r="CS746" s="72"/>
      <c r="CT746" s="72"/>
      <c r="CU746" s="72"/>
      <c r="CV746" s="72"/>
      <c r="CW746" s="72"/>
      <c r="CX746" s="72"/>
      <c r="CY746" s="72"/>
      <c r="CZ746" s="72"/>
      <c r="DA746" s="72"/>
      <c r="DB746" s="72"/>
      <c r="DC746" s="72"/>
      <c r="DD746" s="72"/>
      <c r="DE746" s="72"/>
      <c r="DF746" s="72"/>
      <c r="DG746" s="72"/>
      <c r="DH746" s="72"/>
      <c r="DI746" s="72"/>
      <c r="DJ746" s="72"/>
      <c r="DK746" s="72"/>
      <c r="DL746" s="72"/>
      <c r="DM746" s="72"/>
      <c r="DN746" s="72"/>
      <c r="DO746" s="72"/>
      <c r="DP746" s="72"/>
      <c r="DQ746" s="72"/>
      <c r="DR746" s="72"/>
      <c r="DS746" s="72"/>
      <c r="DT746" s="72"/>
      <c r="DU746" s="72"/>
      <c r="DV746" s="72"/>
      <c r="DW746" s="72"/>
      <c r="DX746" s="72"/>
      <c r="DY746" s="72"/>
      <c r="DZ746" s="72"/>
      <c r="EA746" s="72"/>
      <c r="EB746" s="72"/>
      <c r="EC746" s="72"/>
      <c r="ED746" s="72"/>
      <c r="EE746" s="72"/>
      <c r="EF746" s="72"/>
      <c r="EG746" s="72"/>
      <c r="EH746" s="72"/>
      <c r="EI746" s="129"/>
      <c r="EJ746" s="129"/>
      <c r="EK746" s="129"/>
      <c r="EL746" s="129"/>
      <c r="EM746" s="72"/>
      <c r="EN746" s="72"/>
      <c r="EO746" s="72"/>
      <c r="EP746" s="72"/>
      <c r="EQ746" s="72"/>
      <c r="ER746" s="72"/>
      <c r="ES746" s="72"/>
      <c r="ET746" s="72"/>
    </row>
    <row r="747">
      <c r="CD747" s="72"/>
      <c r="CE747" s="72"/>
      <c r="CF747" s="72"/>
      <c r="CG747" s="72"/>
      <c r="CH747" s="72"/>
      <c r="CI747" s="72"/>
      <c r="CJ747" s="72"/>
      <c r="CK747" s="72"/>
      <c r="CL747" s="72"/>
      <c r="CM747" s="72"/>
      <c r="CN747" s="72"/>
      <c r="CO747" s="72"/>
      <c r="CP747" s="72"/>
      <c r="CQ747" s="72"/>
      <c r="CR747" s="72"/>
      <c r="CS747" s="72"/>
      <c r="CT747" s="72"/>
      <c r="CU747" s="72"/>
      <c r="CV747" s="72"/>
      <c r="CW747" s="72"/>
      <c r="CX747" s="72"/>
      <c r="CY747" s="72"/>
      <c r="CZ747" s="72"/>
      <c r="DA747" s="72"/>
      <c r="DB747" s="72"/>
      <c r="DC747" s="72"/>
      <c r="DD747" s="72"/>
      <c r="DE747" s="72"/>
      <c r="DF747" s="72"/>
      <c r="DG747" s="72"/>
      <c r="DH747" s="72"/>
      <c r="DI747" s="72"/>
      <c r="DJ747" s="72"/>
      <c r="DK747" s="72"/>
      <c r="DL747" s="72"/>
      <c r="DM747" s="72"/>
      <c r="DN747" s="72"/>
      <c r="DO747" s="72"/>
      <c r="DP747" s="72"/>
      <c r="DQ747" s="72"/>
      <c r="DR747" s="72"/>
      <c r="DS747" s="72"/>
      <c r="DT747" s="72"/>
      <c r="DU747" s="72"/>
      <c r="DV747" s="72"/>
      <c r="DW747" s="72"/>
      <c r="DX747" s="72"/>
      <c r="DY747" s="72"/>
      <c r="DZ747" s="72"/>
      <c r="EA747" s="72"/>
      <c r="EB747" s="72"/>
      <c r="EC747" s="72"/>
      <c r="ED747" s="72"/>
      <c r="EE747" s="72"/>
      <c r="EF747" s="72"/>
      <c r="EG747" s="72"/>
      <c r="EH747" s="72"/>
      <c r="EI747" s="129"/>
      <c r="EJ747" s="129"/>
      <c r="EK747" s="129"/>
      <c r="EL747" s="129"/>
      <c r="EM747" s="72"/>
      <c r="EN747" s="72"/>
      <c r="EO747" s="72"/>
      <c r="EP747" s="72"/>
      <c r="EQ747" s="72"/>
      <c r="ER747" s="72"/>
      <c r="ES747" s="72"/>
      <c r="ET747" s="72"/>
    </row>
    <row r="748">
      <c r="CD748" s="72"/>
      <c r="CE748" s="72"/>
      <c r="CF748" s="72"/>
      <c r="CG748" s="72"/>
      <c r="CH748" s="72"/>
      <c r="CI748" s="72"/>
      <c r="CJ748" s="72"/>
      <c r="CK748" s="72"/>
      <c r="CL748" s="72"/>
      <c r="CM748" s="72"/>
      <c r="CN748" s="72"/>
      <c r="CO748" s="72"/>
      <c r="CP748" s="72"/>
      <c r="CQ748" s="72"/>
      <c r="CR748" s="72"/>
      <c r="CS748" s="72"/>
      <c r="CT748" s="72"/>
      <c r="CU748" s="72"/>
      <c r="CV748" s="72"/>
      <c r="CW748" s="72"/>
      <c r="CX748" s="72"/>
      <c r="CY748" s="72"/>
      <c r="CZ748" s="72"/>
      <c r="DA748" s="72"/>
      <c r="DB748" s="72"/>
      <c r="DC748" s="72"/>
      <c r="DD748" s="72"/>
      <c r="DE748" s="72"/>
      <c r="DF748" s="72"/>
      <c r="DG748" s="72"/>
      <c r="DH748" s="72"/>
      <c r="DI748" s="72"/>
      <c r="DJ748" s="72"/>
      <c r="DK748" s="72"/>
      <c r="DL748" s="72"/>
      <c r="DM748" s="72"/>
      <c r="DN748" s="72"/>
      <c r="DO748" s="72"/>
      <c r="DP748" s="72"/>
      <c r="DQ748" s="72"/>
      <c r="DR748" s="72"/>
      <c r="DS748" s="72"/>
      <c r="DT748" s="72"/>
      <c r="DU748" s="72"/>
      <c r="DV748" s="72"/>
      <c r="DW748" s="72"/>
      <c r="DX748" s="72"/>
      <c r="DY748" s="72"/>
      <c r="DZ748" s="72"/>
      <c r="EA748" s="72"/>
      <c r="EB748" s="72"/>
      <c r="EC748" s="72"/>
      <c r="ED748" s="72"/>
      <c r="EE748" s="72"/>
      <c r="EF748" s="72"/>
      <c r="EG748" s="72"/>
      <c r="EH748" s="72"/>
      <c r="EI748" s="129"/>
      <c r="EJ748" s="129"/>
      <c r="EK748" s="129"/>
      <c r="EL748" s="129"/>
      <c r="EM748" s="72"/>
      <c r="EN748" s="72"/>
      <c r="EO748" s="72"/>
      <c r="EP748" s="72"/>
      <c r="EQ748" s="72"/>
      <c r="ER748" s="72"/>
      <c r="ES748" s="72"/>
      <c r="ET748" s="72"/>
    </row>
    <row r="749">
      <c r="CD749" s="72"/>
      <c r="CE749" s="72"/>
      <c r="CF749" s="72"/>
      <c r="CG749" s="72"/>
      <c r="CH749" s="72"/>
      <c r="CI749" s="72"/>
      <c r="CJ749" s="72"/>
      <c r="CK749" s="72"/>
      <c r="CL749" s="72"/>
      <c r="CM749" s="72"/>
      <c r="CN749" s="72"/>
      <c r="CO749" s="72"/>
      <c r="CP749" s="72"/>
      <c r="CQ749" s="72"/>
      <c r="CR749" s="72"/>
      <c r="CS749" s="72"/>
      <c r="CT749" s="72"/>
      <c r="CU749" s="72"/>
      <c r="CV749" s="72"/>
      <c r="CW749" s="72"/>
      <c r="CX749" s="72"/>
      <c r="CY749" s="72"/>
      <c r="CZ749" s="72"/>
      <c r="DA749" s="72"/>
      <c r="DB749" s="72"/>
      <c r="DC749" s="72"/>
      <c r="DD749" s="72"/>
      <c r="DE749" s="72"/>
      <c r="DF749" s="72"/>
      <c r="DG749" s="72"/>
      <c r="DH749" s="72"/>
      <c r="DI749" s="72"/>
      <c r="DJ749" s="72"/>
      <c r="DK749" s="72"/>
      <c r="DL749" s="72"/>
      <c r="DM749" s="72"/>
      <c r="DN749" s="72"/>
      <c r="DO749" s="72"/>
      <c r="DP749" s="72"/>
      <c r="DQ749" s="72"/>
      <c r="DR749" s="72"/>
      <c r="DS749" s="72"/>
      <c r="DT749" s="72"/>
      <c r="DU749" s="72"/>
      <c r="DV749" s="72"/>
      <c r="DW749" s="72"/>
      <c r="DX749" s="72"/>
      <c r="DY749" s="72"/>
      <c r="DZ749" s="72"/>
      <c r="EA749" s="72"/>
      <c r="EB749" s="72"/>
      <c r="EC749" s="72"/>
      <c r="ED749" s="72"/>
      <c r="EE749" s="72"/>
      <c r="EF749" s="72"/>
      <c r="EG749" s="72"/>
      <c r="EH749" s="72"/>
      <c r="EI749" s="129"/>
      <c r="EJ749" s="129"/>
      <c r="EK749" s="129"/>
      <c r="EL749" s="129"/>
      <c r="EM749" s="72"/>
      <c r="EN749" s="72"/>
      <c r="EO749" s="72"/>
      <c r="EP749" s="72"/>
      <c r="EQ749" s="72"/>
      <c r="ER749" s="72"/>
      <c r="ES749" s="72"/>
      <c r="ET749" s="72"/>
    </row>
    <row r="750">
      <c r="CD750" s="72"/>
      <c r="CE750" s="72"/>
      <c r="CF750" s="72"/>
      <c r="CG750" s="72"/>
      <c r="CH750" s="72"/>
      <c r="CI750" s="72"/>
      <c r="CJ750" s="72"/>
      <c r="CK750" s="72"/>
      <c r="CL750" s="72"/>
      <c r="CM750" s="72"/>
      <c r="CN750" s="72"/>
      <c r="CO750" s="72"/>
      <c r="CP750" s="72"/>
      <c r="CQ750" s="72"/>
      <c r="CR750" s="72"/>
      <c r="CS750" s="72"/>
      <c r="CT750" s="72"/>
      <c r="CU750" s="72"/>
      <c r="CV750" s="72"/>
      <c r="CW750" s="72"/>
      <c r="CX750" s="72"/>
      <c r="CY750" s="72"/>
      <c r="CZ750" s="72"/>
      <c r="DA750" s="72"/>
      <c r="DB750" s="72"/>
      <c r="DC750" s="72"/>
      <c r="DD750" s="72"/>
      <c r="DE750" s="72"/>
      <c r="DF750" s="72"/>
      <c r="DG750" s="72"/>
      <c r="DH750" s="72"/>
      <c r="DI750" s="72"/>
      <c r="DJ750" s="72"/>
      <c r="DK750" s="72"/>
      <c r="DL750" s="72"/>
      <c r="DM750" s="72"/>
      <c r="DN750" s="72"/>
      <c r="DO750" s="72"/>
      <c r="DP750" s="72"/>
      <c r="DQ750" s="72"/>
      <c r="DR750" s="72"/>
      <c r="DS750" s="72"/>
      <c r="DT750" s="72"/>
      <c r="DU750" s="72"/>
      <c r="DV750" s="72"/>
      <c r="DW750" s="72"/>
      <c r="DX750" s="72"/>
      <c r="DY750" s="72"/>
      <c r="DZ750" s="72"/>
      <c r="EA750" s="72"/>
      <c r="EB750" s="72"/>
      <c r="EC750" s="72"/>
      <c r="ED750" s="72"/>
      <c r="EE750" s="72"/>
      <c r="EF750" s="72"/>
      <c r="EG750" s="72"/>
      <c r="EH750" s="72"/>
      <c r="EI750" s="129"/>
      <c r="EJ750" s="129"/>
      <c r="EK750" s="129"/>
      <c r="EL750" s="129"/>
      <c r="EM750" s="72"/>
      <c r="EN750" s="72"/>
      <c r="EO750" s="72"/>
      <c r="EP750" s="72"/>
      <c r="EQ750" s="72"/>
      <c r="ER750" s="72"/>
      <c r="ES750" s="72"/>
      <c r="ET750" s="72"/>
    </row>
    <row r="751">
      <c r="CD751" s="72"/>
      <c r="CE751" s="72"/>
      <c r="CF751" s="72"/>
      <c r="CG751" s="72"/>
      <c r="CH751" s="72"/>
      <c r="CI751" s="72"/>
      <c r="CJ751" s="72"/>
      <c r="CK751" s="72"/>
      <c r="CL751" s="72"/>
      <c r="CM751" s="72"/>
      <c r="CN751" s="72"/>
      <c r="CO751" s="72"/>
      <c r="CP751" s="72"/>
      <c r="CQ751" s="72"/>
      <c r="CR751" s="72"/>
      <c r="CS751" s="72"/>
      <c r="CT751" s="72"/>
      <c r="CU751" s="72"/>
      <c r="CV751" s="72"/>
      <c r="CW751" s="72"/>
      <c r="CX751" s="72"/>
      <c r="CY751" s="72"/>
      <c r="CZ751" s="72"/>
      <c r="DA751" s="72"/>
      <c r="DB751" s="72"/>
      <c r="DC751" s="72"/>
      <c r="DD751" s="72"/>
      <c r="DE751" s="72"/>
      <c r="DF751" s="72"/>
      <c r="DG751" s="72"/>
      <c r="DH751" s="72"/>
      <c r="DI751" s="72"/>
      <c r="DJ751" s="72"/>
      <c r="DK751" s="72"/>
      <c r="DL751" s="72"/>
      <c r="DM751" s="72"/>
      <c r="DN751" s="72"/>
      <c r="DO751" s="72"/>
      <c r="DP751" s="72"/>
      <c r="DQ751" s="72"/>
      <c r="DR751" s="72"/>
      <c r="DS751" s="72"/>
      <c r="DT751" s="72"/>
      <c r="DU751" s="72"/>
      <c r="DV751" s="72"/>
      <c r="DW751" s="72"/>
      <c r="DX751" s="72"/>
      <c r="DY751" s="72"/>
      <c r="DZ751" s="72"/>
      <c r="EA751" s="72"/>
      <c r="EB751" s="72"/>
      <c r="EC751" s="72"/>
      <c r="ED751" s="72"/>
      <c r="EE751" s="72"/>
      <c r="EF751" s="72"/>
      <c r="EG751" s="72"/>
      <c r="EH751" s="72"/>
      <c r="EI751" s="129"/>
      <c r="EJ751" s="129"/>
      <c r="EK751" s="129"/>
      <c r="EL751" s="129"/>
      <c r="EM751" s="72"/>
      <c r="EN751" s="72"/>
      <c r="EO751" s="72"/>
      <c r="EP751" s="72"/>
      <c r="EQ751" s="72"/>
      <c r="ER751" s="72"/>
      <c r="ES751" s="72"/>
      <c r="ET751" s="72"/>
    </row>
    <row r="752">
      <c r="CD752" s="72"/>
      <c r="CE752" s="72"/>
      <c r="CF752" s="72"/>
      <c r="CG752" s="72"/>
      <c r="CH752" s="72"/>
      <c r="CI752" s="72"/>
      <c r="CJ752" s="72"/>
      <c r="CK752" s="72"/>
      <c r="CL752" s="72"/>
      <c r="CM752" s="72"/>
      <c r="CN752" s="72"/>
      <c r="CO752" s="72"/>
      <c r="CP752" s="72"/>
      <c r="CQ752" s="72"/>
      <c r="CR752" s="72"/>
      <c r="CS752" s="72"/>
      <c r="CT752" s="72"/>
      <c r="CU752" s="72"/>
      <c r="CV752" s="72"/>
      <c r="CW752" s="72"/>
      <c r="CX752" s="72"/>
      <c r="CY752" s="72"/>
      <c r="CZ752" s="72"/>
      <c r="DA752" s="72"/>
      <c r="DB752" s="72"/>
      <c r="DC752" s="72"/>
      <c r="DD752" s="72"/>
      <c r="DE752" s="72"/>
      <c r="DF752" s="72"/>
      <c r="DG752" s="72"/>
      <c r="DH752" s="72"/>
      <c r="DI752" s="72"/>
      <c r="DJ752" s="72"/>
      <c r="DK752" s="72"/>
      <c r="DL752" s="72"/>
      <c r="DM752" s="72"/>
      <c r="DN752" s="72"/>
      <c r="DO752" s="72"/>
      <c r="DP752" s="72"/>
      <c r="DQ752" s="72"/>
      <c r="DR752" s="72"/>
      <c r="DS752" s="72"/>
      <c r="DT752" s="72"/>
      <c r="DU752" s="72"/>
      <c r="DV752" s="72"/>
      <c r="DW752" s="72"/>
      <c r="DX752" s="72"/>
      <c r="DY752" s="72"/>
      <c r="DZ752" s="72"/>
      <c r="EA752" s="72"/>
      <c r="EB752" s="72"/>
      <c r="EC752" s="72"/>
      <c r="ED752" s="72"/>
      <c r="EE752" s="72"/>
      <c r="EF752" s="72"/>
      <c r="EG752" s="72"/>
      <c r="EH752" s="72"/>
      <c r="EI752" s="129"/>
      <c r="EJ752" s="129"/>
      <c r="EK752" s="129"/>
      <c r="EL752" s="129"/>
      <c r="EM752" s="72"/>
      <c r="EN752" s="72"/>
      <c r="EO752" s="72"/>
      <c r="EP752" s="72"/>
      <c r="EQ752" s="72"/>
      <c r="ER752" s="72"/>
      <c r="ES752" s="72"/>
      <c r="ET752" s="72"/>
    </row>
    <row r="753">
      <c r="CD753" s="72"/>
      <c r="CE753" s="72"/>
      <c r="CF753" s="72"/>
      <c r="CG753" s="72"/>
      <c r="CH753" s="72"/>
      <c r="CI753" s="72"/>
      <c r="CJ753" s="72"/>
      <c r="CK753" s="72"/>
      <c r="CL753" s="72"/>
      <c r="CM753" s="72"/>
      <c r="CN753" s="72"/>
      <c r="CO753" s="72"/>
      <c r="CP753" s="72"/>
      <c r="CQ753" s="72"/>
      <c r="CR753" s="72"/>
      <c r="CS753" s="72"/>
      <c r="CT753" s="72"/>
      <c r="CU753" s="72"/>
      <c r="CV753" s="72"/>
      <c r="CW753" s="72"/>
      <c r="CX753" s="72"/>
      <c r="CY753" s="72"/>
      <c r="CZ753" s="72"/>
      <c r="DA753" s="72"/>
      <c r="DB753" s="72"/>
      <c r="DC753" s="72"/>
      <c r="DD753" s="72"/>
      <c r="DE753" s="72"/>
      <c r="DF753" s="72"/>
      <c r="DG753" s="72"/>
      <c r="DH753" s="72"/>
      <c r="DI753" s="72"/>
      <c r="DJ753" s="72"/>
      <c r="DK753" s="72"/>
      <c r="DL753" s="72"/>
      <c r="DM753" s="72"/>
      <c r="DN753" s="72"/>
      <c r="DO753" s="72"/>
      <c r="DP753" s="72"/>
      <c r="DQ753" s="72"/>
      <c r="DR753" s="72"/>
      <c r="DS753" s="72"/>
      <c r="DT753" s="72"/>
      <c r="DU753" s="72"/>
      <c r="DV753" s="72"/>
      <c r="DW753" s="72"/>
      <c r="DX753" s="72"/>
      <c r="DY753" s="72"/>
      <c r="DZ753" s="72"/>
      <c r="EA753" s="72"/>
      <c r="EB753" s="72"/>
      <c r="EC753" s="72"/>
      <c r="ED753" s="72"/>
      <c r="EE753" s="72"/>
      <c r="EF753" s="72"/>
      <c r="EG753" s="72"/>
      <c r="EH753" s="72"/>
      <c r="EI753" s="129"/>
      <c r="EJ753" s="129"/>
      <c r="EK753" s="129"/>
      <c r="EL753" s="129"/>
      <c r="EM753" s="72"/>
      <c r="EN753" s="72"/>
      <c r="EO753" s="72"/>
      <c r="EP753" s="72"/>
      <c r="EQ753" s="72"/>
      <c r="ER753" s="72"/>
      <c r="ES753" s="72"/>
      <c r="ET753" s="72"/>
    </row>
    <row r="754">
      <c r="CD754" s="72"/>
      <c r="CE754" s="72"/>
      <c r="CF754" s="72"/>
      <c r="CG754" s="72"/>
      <c r="CH754" s="72"/>
      <c r="CI754" s="72"/>
      <c r="CJ754" s="72"/>
      <c r="CK754" s="72"/>
      <c r="CL754" s="72"/>
      <c r="CM754" s="72"/>
      <c r="CN754" s="72"/>
      <c r="CO754" s="72"/>
      <c r="CP754" s="72"/>
      <c r="CQ754" s="72"/>
      <c r="CR754" s="72"/>
      <c r="CS754" s="72"/>
      <c r="CT754" s="72"/>
      <c r="CU754" s="72"/>
      <c r="CV754" s="72"/>
      <c r="CW754" s="72"/>
      <c r="CX754" s="72"/>
      <c r="CY754" s="72"/>
      <c r="CZ754" s="72"/>
      <c r="DA754" s="72"/>
      <c r="DB754" s="72"/>
      <c r="DC754" s="72"/>
      <c r="DD754" s="72"/>
      <c r="DE754" s="72"/>
      <c r="DF754" s="72"/>
      <c r="DG754" s="72"/>
      <c r="DH754" s="72"/>
      <c r="DI754" s="72"/>
      <c r="DJ754" s="72"/>
      <c r="DK754" s="72"/>
      <c r="DL754" s="72"/>
      <c r="DM754" s="72"/>
      <c r="DN754" s="72"/>
      <c r="DO754" s="72"/>
      <c r="DP754" s="72"/>
      <c r="DQ754" s="72"/>
      <c r="DR754" s="72"/>
      <c r="DS754" s="72"/>
      <c r="DT754" s="72"/>
      <c r="DU754" s="72"/>
      <c r="DV754" s="72"/>
      <c r="DW754" s="72"/>
      <c r="DX754" s="72"/>
      <c r="DY754" s="72"/>
      <c r="DZ754" s="72"/>
      <c r="EA754" s="72"/>
      <c r="EB754" s="72"/>
      <c r="EC754" s="72"/>
      <c r="ED754" s="72"/>
      <c r="EE754" s="72"/>
      <c r="EF754" s="72"/>
      <c r="EG754" s="72"/>
      <c r="EH754" s="72"/>
      <c r="EI754" s="129"/>
      <c r="EJ754" s="129"/>
      <c r="EK754" s="129"/>
      <c r="EL754" s="129"/>
      <c r="EM754" s="72"/>
      <c r="EN754" s="72"/>
      <c r="EO754" s="72"/>
      <c r="EP754" s="72"/>
      <c r="EQ754" s="72"/>
      <c r="ER754" s="72"/>
      <c r="ES754" s="72"/>
      <c r="ET754" s="72"/>
    </row>
    <row r="755">
      <c r="CD755" s="72"/>
      <c r="CE755" s="72"/>
      <c r="CF755" s="72"/>
      <c r="CG755" s="72"/>
      <c r="CH755" s="72"/>
      <c r="CI755" s="72"/>
      <c r="CJ755" s="72"/>
      <c r="CK755" s="72"/>
      <c r="CL755" s="72"/>
      <c r="CM755" s="72"/>
      <c r="CN755" s="72"/>
      <c r="CO755" s="72"/>
      <c r="CP755" s="72"/>
      <c r="CQ755" s="72"/>
      <c r="CR755" s="72"/>
      <c r="CS755" s="72"/>
      <c r="CT755" s="72"/>
      <c r="CU755" s="72"/>
      <c r="CV755" s="72"/>
      <c r="CW755" s="72"/>
      <c r="CX755" s="72"/>
      <c r="CY755" s="72"/>
      <c r="CZ755" s="72"/>
      <c r="DA755" s="72"/>
      <c r="DB755" s="72"/>
      <c r="DC755" s="72"/>
      <c r="DD755" s="72"/>
      <c r="DE755" s="72"/>
      <c r="DF755" s="72"/>
      <c r="DG755" s="72"/>
      <c r="DH755" s="72"/>
      <c r="DI755" s="72"/>
      <c r="DJ755" s="72"/>
      <c r="DK755" s="72"/>
      <c r="DL755" s="72"/>
      <c r="DM755" s="72"/>
      <c r="DN755" s="72"/>
      <c r="DO755" s="72"/>
      <c r="DP755" s="72"/>
      <c r="DQ755" s="72"/>
      <c r="DR755" s="72"/>
      <c r="DS755" s="72"/>
      <c r="DT755" s="72"/>
      <c r="DU755" s="72"/>
      <c r="DV755" s="72"/>
      <c r="DW755" s="72"/>
      <c r="DX755" s="72"/>
      <c r="DY755" s="72"/>
      <c r="DZ755" s="72"/>
      <c r="EA755" s="72"/>
      <c r="EB755" s="72"/>
      <c r="EC755" s="72"/>
      <c r="ED755" s="72"/>
      <c r="EE755" s="72"/>
      <c r="EF755" s="72"/>
      <c r="EG755" s="72"/>
      <c r="EH755" s="72"/>
      <c r="EI755" s="129"/>
      <c r="EJ755" s="129"/>
      <c r="EK755" s="129"/>
      <c r="EL755" s="129"/>
      <c r="EM755" s="72"/>
      <c r="EN755" s="72"/>
      <c r="EO755" s="72"/>
      <c r="EP755" s="72"/>
      <c r="EQ755" s="72"/>
      <c r="ER755" s="72"/>
      <c r="ES755" s="72"/>
      <c r="ET755" s="72"/>
    </row>
    <row r="756">
      <c r="CD756" s="72"/>
      <c r="CE756" s="72"/>
      <c r="CF756" s="72"/>
      <c r="CG756" s="72"/>
      <c r="CH756" s="72"/>
      <c r="CI756" s="72"/>
      <c r="CJ756" s="72"/>
      <c r="CK756" s="72"/>
      <c r="CL756" s="72"/>
      <c r="CM756" s="72"/>
      <c r="CN756" s="72"/>
      <c r="CO756" s="72"/>
      <c r="CP756" s="72"/>
      <c r="CQ756" s="72"/>
      <c r="CR756" s="72"/>
      <c r="CS756" s="72"/>
      <c r="CT756" s="72"/>
      <c r="CU756" s="72"/>
      <c r="CV756" s="72"/>
      <c r="CW756" s="72"/>
      <c r="CX756" s="72"/>
      <c r="CY756" s="72"/>
      <c r="CZ756" s="72"/>
      <c r="DA756" s="72"/>
      <c r="DB756" s="72"/>
      <c r="DC756" s="72"/>
      <c r="DD756" s="72"/>
      <c r="DE756" s="72"/>
      <c r="DF756" s="72"/>
      <c r="DG756" s="72"/>
      <c r="DH756" s="72"/>
      <c r="DI756" s="72"/>
      <c r="DJ756" s="72"/>
      <c r="DK756" s="72"/>
      <c r="DL756" s="72"/>
      <c r="DM756" s="72"/>
      <c r="DN756" s="72"/>
      <c r="DO756" s="72"/>
      <c r="DP756" s="72"/>
      <c r="DQ756" s="72"/>
      <c r="DR756" s="72"/>
      <c r="DS756" s="72"/>
      <c r="DT756" s="72"/>
      <c r="DU756" s="72"/>
      <c r="DV756" s="72"/>
      <c r="DW756" s="72"/>
      <c r="DX756" s="72"/>
      <c r="DY756" s="72"/>
      <c r="DZ756" s="72"/>
      <c r="EA756" s="72"/>
      <c r="EB756" s="72"/>
      <c r="EC756" s="72"/>
      <c r="ED756" s="72"/>
      <c r="EE756" s="72"/>
      <c r="EF756" s="72"/>
      <c r="EG756" s="72"/>
      <c r="EH756" s="72"/>
      <c r="EI756" s="129"/>
      <c r="EJ756" s="129"/>
      <c r="EK756" s="129"/>
      <c r="EL756" s="129"/>
      <c r="EM756" s="72"/>
      <c r="EN756" s="72"/>
      <c r="EO756" s="72"/>
      <c r="EP756" s="72"/>
      <c r="EQ756" s="72"/>
      <c r="ER756" s="72"/>
      <c r="ES756" s="72"/>
      <c r="ET756" s="72"/>
    </row>
    <row r="757">
      <c r="CD757" s="72"/>
      <c r="CE757" s="72"/>
      <c r="CF757" s="72"/>
      <c r="CG757" s="72"/>
      <c r="CH757" s="72"/>
      <c r="CI757" s="72"/>
      <c r="CJ757" s="72"/>
      <c r="CK757" s="72"/>
      <c r="CL757" s="72"/>
      <c r="CM757" s="72"/>
      <c r="CN757" s="72"/>
      <c r="CO757" s="72"/>
      <c r="CP757" s="72"/>
      <c r="CQ757" s="72"/>
      <c r="CR757" s="72"/>
      <c r="CS757" s="72"/>
      <c r="CT757" s="72"/>
      <c r="CU757" s="72"/>
      <c r="CV757" s="72"/>
      <c r="CW757" s="72"/>
      <c r="CX757" s="72"/>
      <c r="CY757" s="72"/>
      <c r="CZ757" s="72"/>
      <c r="DA757" s="72"/>
      <c r="DB757" s="72"/>
      <c r="DC757" s="72"/>
      <c r="DD757" s="72"/>
      <c r="DE757" s="72"/>
      <c r="DF757" s="72"/>
      <c r="DG757" s="72"/>
      <c r="DH757" s="72"/>
      <c r="DI757" s="72"/>
      <c r="DJ757" s="72"/>
      <c r="DK757" s="72"/>
      <c r="DL757" s="72"/>
      <c r="DM757" s="72"/>
      <c r="DN757" s="72"/>
      <c r="DO757" s="72"/>
      <c r="DP757" s="72"/>
      <c r="DQ757" s="72"/>
      <c r="DR757" s="72"/>
      <c r="DS757" s="72"/>
      <c r="DT757" s="72"/>
      <c r="DU757" s="72"/>
      <c r="DV757" s="72"/>
      <c r="DW757" s="72"/>
      <c r="DX757" s="72"/>
      <c r="DY757" s="72"/>
      <c r="DZ757" s="72"/>
      <c r="EA757" s="72"/>
      <c r="EB757" s="72"/>
      <c r="EC757" s="72"/>
      <c r="ED757" s="72"/>
      <c r="EE757" s="72"/>
      <c r="EF757" s="72"/>
      <c r="EG757" s="72"/>
      <c r="EH757" s="72"/>
      <c r="EI757" s="129"/>
      <c r="EJ757" s="129"/>
      <c r="EK757" s="129"/>
      <c r="EL757" s="129"/>
      <c r="EM757" s="72"/>
      <c r="EN757" s="72"/>
      <c r="EO757" s="72"/>
      <c r="EP757" s="72"/>
      <c r="EQ757" s="72"/>
      <c r="ER757" s="72"/>
      <c r="ES757" s="72"/>
      <c r="ET757" s="72"/>
    </row>
    <row r="758">
      <c r="CD758" s="72"/>
      <c r="CE758" s="72"/>
      <c r="CF758" s="72"/>
      <c r="CG758" s="72"/>
      <c r="CH758" s="72"/>
      <c r="CI758" s="72"/>
      <c r="CJ758" s="72"/>
      <c r="CK758" s="72"/>
      <c r="CL758" s="72"/>
      <c r="CM758" s="72"/>
      <c r="CN758" s="72"/>
      <c r="CO758" s="72"/>
      <c r="CP758" s="72"/>
      <c r="CQ758" s="72"/>
      <c r="CR758" s="72"/>
      <c r="CS758" s="72"/>
      <c r="CT758" s="72"/>
      <c r="CU758" s="72"/>
      <c r="CV758" s="72"/>
      <c r="CW758" s="72"/>
      <c r="CX758" s="72"/>
      <c r="CY758" s="72"/>
      <c r="CZ758" s="72"/>
      <c r="DA758" s="72"/>
      <c r="DB758" s="72"/>
      <c r="DC758" s="72"/>
      <c r="DD758" s="72"/>
      <c r="DE758" s="72"/>
      <c r="DF758" s="72"/>
      <c r="DG758" s="72"/>
      <c r="DH758" s="72"/>
      <c r="DI758" s="72"/>
      <c r="DJ758" s="72"/>
      <c r="DK758" s="72"/>
      <c r="DL758" s="72"/>
      <c r="DM758" s="72"/>
      <c r="DN758" s="72"/>
      <c r="DO758" s="72"/>
      <c r="DP758" s="72"/>
      <c r="DQ758" s="72"/>
      <c r="DR758" s="72"/>
      <c r="DS758" s="72"/>
      <c r="DT758" s="72"/>
      <c r="DU758" s="72"/>
      <c r="DV758" s="72"/>
      <c r="DW758" s="72"/>
      <c r="DX758" s="72"/>
      <c r="DY758" s="72"/>
      <c r="DZ758" s="72"/>
      <c r="EA758" s="72"/>
      <c r="EB758" s="72"/>
      <c r="EC758" s="72"/>
      <c r="ED758" s="72"/>
      <c r="EE758" s="72"/>
      <c r="EF758" s="72"/>
      <c r="EG758" s="72"/>
      <c r="EH758" s="72"/>
      <c r="EI758" s="129"/>
      <c r="EJ758" s="129"/>
      <c r="EK758" s="129"/>
      <c r="EL758" s="129"/>
      <c r="EM758" s="72"/>
      <c r="EN758" s="72"/>
      <c r="EO758" s="72"/>
      <c r="EP758" s="72"/>
      <c r="EQ758" s="72"/>
      <c r="ER758" s="72"/>
      <c r="ES758" s="72"/>
      <c r="ET758" s="72"/>
    </row>
    <row r="759">
      <c r="CD759" s="72"/>
      <c r="CE759" s="72"/>
      <c r="CF759" s="72"/>
      <c r="CG759" s="72"/>
      <c r="CH759" s="72"/>
      <c r="CI759" s="72"/>
      <c r="CJ759" s="72"/>
      <c r="CK759" s="72"/>
      <c r="CL759" s="72"/>
      <c r="CM759" s="72"/>
      <c r="CN759" s="72"/>
      <c r="CO759" s="72"/>
      <c r="CP759" s="72"/>
      <c r="CQ759" s="72"/>
      <c r="CR759" s="72"/>
      <c r="CS759" s="72"/>
      <c r="CT759" s="72"/>
      <c r="CU759" s="72"/>
      <c r="CV759" s="72"/>
      <c r="CW759" s="72"/>
      <c r="CX759" s="72"/>
      <c r="CY759" s="72"/>
      <c r="CZ759" s="72"/>
      <c r="DA759" s="72"/>
      <c r="DB759" s="72"/>
      <c r="DC759" s="72"/>
      <c r="DD759" s="72"/>
      <c r="DE759" s="72"/>
      <c r="DF759" s="72"/>
      <c r="DG759" s="72"/>
      <c r="DH759" s="72"/>
      <c r="DI759" s="72"/>
      <c r="DJ759" s="72"/>
      <c r="DK759" s="72"/>
      <c r="DL759" s="72"/>
      <c r="DM759" s="72"/>
      <c r="DN759" s="72"/>
      <c r="DO759" s="72"/>
      <c r="DP759" s="72"/>
      <c r="DQ759" s="72"/>
      <c r="DR759" s="72"/>
      <c r="DS759" s="72"/>
      <c r="DT759" s="72"/>
      <c r="DU759" s="72"/>
      <c r="DV759" s="72"/>
      <c r="DW759" s="72"/>
      <c r="DX759" s="72"/>
      <c r="DY759" s="72"/>
      <c r="DZ759" s="72"/>
      <c r="EA759" s="72"/>
      <c r="EB759" s="72"/>
      <c r="EC759" s="72"/>
      <c r="ED759" s="72"/>
      <c r="EE759" s="72"/>
      <c r="EF759" s="72"/>
      <c r="EG759" s="72"/>
      <c r="EH759" s="72"/>
      <c r="EI759" s="129"/>
      <c r="EJ759" s="129"/>
      <c r="EK759" s="129"/>
      <c r="EL759" s="129"/>
      <c r="EM759" s="72"/>
      <c r="EN759" s="72"/>
      <c r="EO759" s="72"/>
      <c r="EP759" s="72"/>
      <c r="EQ759" s="72"/>
      <c r="ER759" s="72"/>
      <c r="ES759" s="72"/>
      <c r="ET759" s="72"/>
    </row>
    <row r="760">
      <c r="CD760" s="72"/>
      <c r="CE760" s="72"/>
      <c r="CF760" s="72"/>
      <c r="CG760" s="72"/>
      <c r="CH760" s="72"/>
      <c r="CI760" s="72"/>
      <c r="CJ760" s="72"/>
      <c r="CK760" s="72"/>
      <c r="CL760" s="72"/>
      <c r="CM760" s="72"/>
      <c r="CN760" s="72"/>
      <c r="CO760" s="72"/>
      <c r="CP760" s="72"/>
      <c r="CQ760" s="72"/>
      <c r="CR760" s="72"/>
      <c r="CS760" s="72"/>
      <c r="CT760" s="72"/>
      <c r="CU760" s="72"/>
      <c r="CV760" s="72"/>
      <c r="CW760" s="72"/>
      <c r="CX760" s="72"/>
      <c r="CY760" s="72"/>
      <c r="CZ760" s="72"/>
      <c r="DA760" s="72"/>
      <c r="DB760" s="72"/>
      <c r="DC760" s="72"/>
      <c r="DD760" s="72"/>
      <c r="DE760" s="72"/>
      <c r="DF760" s="72"/>
      <c r="DG760" s="72"/>
      <c r="DH760" s="72"/>
      <c r="DI760" s="72"/>
      <c r="DJ760" s="72"/>
      <c r="DK760" s="72"/>
      <c r="DL760" s="72"/>
      <c r="DM760" s="72"/>
      <c r="DN760" s="72"/>
      <c r="DO760" s="72"/>
      <c r="DP760" s="72"/>
      <c r="DQ760" s="72"/>
      <c r="DR760" s="72"/>
      <c r="DS760" s="72"/>
      <c r="DT760" s="72"/>
      <c r="DU760" s="72"/>
      <c r="DV760" s="72"/>
      <c r="DW760" s="72"/>
      <c r="DX760" s="72"/>
      <c r="DY760" s="72"/>
      <c r="DZ760" s="72"/>
      <c r="EA760" s="72"/>
      <c r="EB760" s="72"/>
      <c r="EC760" s="72"/>
      <c r="ED760" s="72"/>
      <c r="EE760" s="72"/>
      <c r="EF760" s="72"/>
      <c r="EG760" s="72"/>
      <c r="EH760" s="72"/>
      <c r="EI760" s="129"/>
      <c r="EJ760" s="129"/>
      <c r="EK760" s="129"/>
      <c r="EL760" s="129"/>
      <c r="EM760" s="72"/>
      <c r="EN760" s="72"/>
      <c r="EO760" s="72"/>
      <c r="EP760" s="72"/>
      <c r="EQ760" s="72"/>
      <c r="ER760" s="72"/>
      <c r="ES760" s="72"/>
      <c r="ET760" s="72"/>
    </row>
    <row r="761">
      <c r="CD761" s="72"/>
      <c r="CE761" s="72"/>
      <c r="CF761" s="72"/>
      <c r="CG761" s="72"/>
      <c r="CH761" s="72"/>
      <c r="CI761" s="72"/>
      <c r="CJ761" s="72"/>
      <c r="CK761" s="72"/>
      <c r="CL761" s="72"/>
      <c r="CM761" s="72"/>
      <c r="CN761" s="72"/>
      <c r="CO761" s="72"/>
      <c r="CP761" s="72"/>
      <c r="CQ761" s="72"/>
      <c r="CR761" s="72"/>
      <c r="CS761" s="72"/>
      <c r="CT761" s="72"/>
      <c r="CU761" s="72"/>
      <c r="CV761" s="72"/>
      <c r="CW761" s="72"/>
      <c r="CX761" s="72"/>
      <c r="CY761" s="72"/>
      <c r="CZ761" s="72"/>
      <c r="DA761" s="72"/>
      <c r="DB761" s="72"/>
      <c r="DC761" s="72"/>
      <c r="DD761" s="72"/>
      <c r="DE761" s="72"/>
      <c r="DF761" s="72"/>
      <c r="DG761" s="72"/>
      <c r="DH761" s="72"/>
      <c r="DI761" s="72"/>
      <c r="DJ761" s="72"/>
      <c r="DK761" s="72"/>
      <c r="DL761" s="72"/>
      <c r="DM761" s="72"/>
      <c r="DN761" s="72"/>
      <c r="DO761" s="72"/>
      <c r="DP761" s="72"/>
      <c r="DQ761" s="72"/>
      <c r="DR761" s="72"/>
      <c r="DS761" s="72"/>
      <c r="DT761" s="72"/>
      <c r="DU761" s="72"/>
      <c r="DV761" s="72"/>
      <c r="DW761" s="72"/>
      <c r="DX761" s="72"/>
      <c r="DY761" s="72"/>
      <c r="DZ761" s="72"/>
      <c r="EA761" s="72"/>
      <c r="EB761" s="72"/>
      <c r="EC761" s="72"/>
      <c r="ED761" s="72"/>
      <c r="EE761" s="72"/>
      <c r="EF761" s="72"/>
      <c r="EG761" s="72"/>
      <c r="EH761" s="72"/>
      <c r="EI761" s="129"/>
      <c r="EJ761" s="129"/>
      <c r="EK761" s="129"/>
      <c r="EL761" s="129"/>
      <c r="EM761" s="72"/>
      <c r="EN761" s="72"/>
      <c r="EO761" s="72"/>
      <c r="EP761" s="72"/>
      <c r="EQ761" s="72"/>
      <c r="ER761" s="72"/>
      <c r="ES761" s="72"/>
      <c r="ET761" s="72"/>
    </row>
    <row r="762">
      <c r="CD762" s="72"/>
      <c r="CE762" s="72"/>
      <c r="CF762" s="72"/>
      <c r="CG762" s="72"/>
      <c r="CH762" s="72"/>
      <c r="CI762" s="72"/>
      <c r="CJ762" s="72"/>
      <c r="CK762" s="72"/>
      <c r="CL762" s="72"/>
      <c r="CM762" s="72"/>
      <c r="CN762" s="72"/>
      <c r="CO762" s="72"/>
      <c r="CP762" s="72"/>
      <c r="CQ762" s="72"/>
      <c r="CR762" s="72"/>
      <c r="CS762" s="72"/>
      <c r="CT762" s="72"/>
      <c r="CU762" s="72"/>
      <c r="CV762" s="72"/>
      <c r="CW762" s="72"/>
      <c r="CX762" s="72"/>
      <c r="CY762" s="72"/>
      <c r="CZ762" s="72"/>
      <c r="DA762" s="72"/>
      <c r="DB762" s="72"/>
      <c r="DC762" s="72"/>
      <c r="DD762" s="72"/>
      <c r="DE762" s="72"/>
      <c r="DF762" s="72"/>
      <c r="DG762" s="72"/>
      <c r="DH762" s="72"/>
      <c r="DI762" s="72"/>
      <c r="DJ762" s="72"/>
      <c r="DK762" s="72"/>
      <c r="DL762" s="72"/>
      <c r="DM762" s="72"/>
      <c r="DN762" s="72"/>
      <c r="DO762" s="72"/>
      <c r="DP762" s="72"/>
      <c r="DQ762" s="72"/>
      <c r="DR762" s="72"/>
      <c r="DS762" s="72"/>
      <c r="DT762" s="72"/>
      <c r="DU762" s="72"/>
      <c r="DV762" s="72"/>
      <c r="DW762" s="72"/>
      <c r="DX762" s="72"/>
      <c r="DY762" s="72"/>
      <c r="DZ762" s="72"/>
      <c r="EA762" s="72"/>
      <c r="EB762" s="72"/>
      <c r="EC762" s="72"/>
      <c r="ED762" s="72"/>
      <c r="EE762" s="72"/>
      <c r="EF762" s="72"/>
      <c r="EG762" s="72"/>
      <c r="EH762" s="72"/>
      <c r="EI762" s="129"/>
      <c r="EJ762" s="129"/>
      <c r="EK762" s="129"/>
      <c r="EL762" s="129"/>
      <c r="EM762" s="72"/>
      <c r="EN762" s="72"/>
      <c r="EO762" s="72"/>
      <c r="EP762" s="72"/>
      <c r="EQ762" s="72"/>
      <c r="ER762" s="72"/>
      <c r="ES762" s="72"/>
      <c r="ET762" s="72"/>
    </row>
    <row r="763">
      <c r="CD763" s="72"/>
      <c r="CE763" s="72"/>
      <c r="CF763" s="72"/>
      <c r="CG763" s="72"/>
      <c r="CH763" s="72"/>
      <c r="CI763" s="72"/>
      <c r="CJ763" s="72"/>
      <c r="CK763" s="72"/>
      <c r="CL763" s="72"/>
      <c r="CM763" s="72"/>
      <c r="CN763" s="72"/>
      <c r="CO763" s="72"/>
      <c r="CP763" s="72"/>
      <c r="CQ763" s="72"/>
      <c r="CR763" s="72"/>
      <c r="CS763" s="72"/>
      <c r="CT763" s="72"/>
      <c r="CU763" s="72"/>
      <c r="CV763" s="72"/>
      <c r="CW763" s="72"/>
      <c r="CX763" s="72"/>
      <c r="CY763" s="72"/>
      <c r="CZ763" s="72"/>
      <c r="DA763" s="72"/>
      <c r="DB763" s="72"/>
      <c r="DC763" s="72"/>
      <c r="DD763" s="72"/>
      <c r="DE763" s="72"/>
      <c r="DF763" s="72"/>
      <c r="DG763" s="72"/>
      <c r="DH763" s="72"/>
      <c r="DI763" s="72"/>
      <c r="DJ763" s="72"/>
      <c r="DK763" s="72"/>
      <c r="DL763" s="72"/>
      <c r="DM763" s="72"/>
      <c r="DN763" s="72"/>
      <c r="DO763" s="72"/>
      <c r="DP763" s="72"/>
      <c r="DQ763" s="72"/>
      <c r="DR763" s="72"/>
      <c r="DS763" s="72"/>
      <c r="DT763" s="72"/>
      <c r="DU763" s="72"/>
      <c r="DV763" s="72"/>
      <c r="DW763" s="72"/>
      <c r="DX763" s="72"/>
      <c r="DY763" s="72"/>
      <c r="DZ763" s="72"/>
      <c r="EA763" s="72"/>
      <c r="EB763" s="72"/>
      <c r="EC763" s="72"/>
      <c r="ED763" s="72"/>
      <c r="EE763" s="72"/>
      <c r="EF763" s="72"/>
      <c r="EG763" s="72"/>
      <c r="EH763" s="72"/>
      <c r="EI763" s="129"/>
      <c r="EJ763" s="129"/>
      <c r="EK763" s="129"/>
      <c r="EL763" s="129"/>
      <c r="EM763" s="72"/>
      <c r="EN763" s="72"/>
      <c r="EO763" s="72"/>
      <c r="EP763" s="72"/>
      <c r="EQ763" s="72"/>
      <c r="ER763" s="72"/>
      <c r="ES763" s="72"/>
      <c r="ET763" s="72"/>
    </row>
    <row r="764">
      <c r="CD764" s="72"/>
      <c r="CE764" s="72"/>
      <c r="CF764" s="72"/>
      <c r="CG764" s="72"/>
      <c r="CH764" s="72"/>
      <c r="CI764" s="72"/>
      <c r="CJ764" s="72"/>
      <c r="CK764" s="72"/>
      <c r="CL764" s="72"/>
      <c r="CM764" s="72"/>
      <c r="CN764" s="72"/>
      <c r="CO764" s="72"/>
      <c r="CP764" s="72"/>
      <c r="CQ764" s="72"/>
      <c r="CR764" s="72"/>
      <c r="CS764" s="72"/>
      <c r="CT764" s="72"/>
      <c r="CU764" s="72"/>
      <c r="CV764" s="72"/>
      <c r="CW764" s="72"/>
      <c r="CX764" s="72"/>
      <c r="CY764" s="72"/>
      <c r="CZ764" s="72"/>
      <c r="DA764" s="72"/>
      <c r="DB764" s="72"/>
      <c r="DC764" s="72"/>
      <c r="DD764" s="72"/>
      <c r="DE764" s="72"/>
      <c r="DF764" s="72"/>
      <c r="DG764" s="72"/>
      <c r="DH764" s="72"/>
      <c r="DI764" s="72"/>
      <c r="DJ764" s="72"/>
      <c r="DK764" s="72"/>
      <c r="DL764" s="72"/>
      <c r="DM764" s="72"/>
      <c r="DN764" s="72"/>
      <c r="DO764" s="72"/>
      <c r="DP764" s="72"/>
      <c r="DQ764" s="72"/>
      <c r="DR764" s="72"/>
      <c r="DS764" s="72"/>
      <c r="DT764" s="72"/>
      <c r="DU764" s="72"/>
      <c r="DV764" s="72"/>
      <c r="DW764" s="72"/>
      <c r="DX764" s="72"/>
      <c r="DY764" s="72"/>
      <c r="DZ764" s="72"/>
      <c r="EA764" s="72"/>
      <c r="EB764" s="72"/>
      <c r="EC764" s="72"/>
      <c r="ED764" s="72"/>
      <c r="EE764" s="72"/>
      <c r="EF764" s="72"/>
      <c r="EG764" s="72"/>
      <c r="EH764" s="72"/>
      <c r="EI764" s="129"/>
      <c r="EJ764" s="129"/>
      <c r="EK764" s="129"/>
      <c r="EL764" s="129"/>
      <c r="EM764" s="72"/>
      <c r="EN764" s="72"/>
      <c r="EO764" s="72"/>
      <c r="EP764" s="72"/>
      <c r="EQ764" s="72"/>
      <c r="ER764" s="72"/>
      <c r="ES764" s="72"/>
      <c r="ET764" s="72"/>
    </row>
    <row r="765">
      <c r="CD765" s="72"/>
      <c r="CE765" s="72"/>
      <c r="CF765" s="72"/>
      <c r="CG765" s="72"/>
      <c r="CH765" s="72"/>
      <c r="CI765" s="72"/>
      <c r="CJ765" s="72"/>
      <c r="CK765" s="72"/>
      <c r="CL765" s="72"/>
      <c r="CM765" s="72"/>
      <c r="CN765" s="72"/>
      <c r="CO765" s="72"/>
      <c r="CP765" s="72"/>
      <c r="CQ765" s="72"/>
      <c r="CR765" s="72"/>
      <c r="CS765" s="72"/>
      <c r="CT765" s="72"/>
      <c r="CU765" s="72"/>
      <c r="CV765" s="72"/>
      <c r="CW765" s="72"/>
      <c r="CX765" s="72"/>
      <c r="CY765" s="72"/>
      <c r="CZ765" s="72"/>
      <c r="DA765" s="72"/>
      <c r="DB765" s="72"/>
      <c r="DC765" s="72"/>
      <c r="DD765" s="72"/>
      <c r="DE765" s="72"/>
      <c r="DF765" s="72"/>
      <c r="DG765" s="72"/>
      <c r="DH765" s="72"/>
      <c r="DI765" s="72"/>
      <c r="DJ765" s="72"/>
      <c r="DK765" s="72"/>
      <c r="DL765" s="72"/>
      <c r="DM765" s="72"/>
      <c r="DN765" s="72"/>
      <c r="DO765" s="72"/>
      <c r="DP765" s="72"/>
      <c r="DQ765" s="72"/>
      <c r="DR765" s="72"/>
      <c r="DS765" s="72"/>
      <c r="DT765" s="72"/>
      <c r="DU765" s="72"/>
      <c r="DV765" s="72"/>
      <c r="DW765" s="72"/>
      <c r="DX765" s="72"/>
      <c r="DY765" s="72"/>
      <c r="DZ765" s="72"/>
      <c r="EA765" s="72"/>
      <c r="EB765" s="72"/>
      <c r="EC765" s="72"/>
      <c r="ED765" s="72"/>
      <c r="EE765" s="72"/>
      <c r="EF765" s="72"/>
      <c r="EG765" s="72"/>
      <c r="EH765" s="72"/>
      <c r="EI765" s="129"/>
      <c r="EJ765" s="129"/>
      <c r="EK765" s="129"/>
      <c r="EL765" s="129"/>
      <c r="EM765" s="72"/>
      <c r="EN765" s="72"/>
      <c r="EO765" s="72"/>
      <c r="EP765" s="72"/>
      <c r="EQ765" s="72"/>
      <c r="ER765" s="72"/>
      <c r="ES765" s="72"/>
      <c r="ET765" s="72"/>
    </row>
    <row r="766">
      <c r="CD766" s="72"/>
      <c r="CE766" s="72"/>
      <c r="CF766" s="72"/>
      <c r="CG766" s="72"/>
      <c r="CH766" s="72"/>
      <c r="CI766" s="72"/>
      <c r="CJ766" s="72"/>
      <c r="CK766" s="72"/>
      <c r="CL766" s="72"/>
      <c r="CM766" s="72"/>
      <c r="CN766" s="72"/>
      <c r="CO766" s="72"/>
      <c r="CP766" s="72"/>
      <c r="CQ766" s="72"/>
      <c r="CR766" s="72"/>
      <c r="CS766" s="72"/>
      <c r="CT766" s="72"/>
      <c r="CU766" s="72"/>
      <c r="CV766" s="72"/>
      <c r="CW766" s="72"/>
      <c r="CX766" s="72"/>
      <c r="CY766" s="72"/>
      <c r="CZ766" s="72"/>
      <c r="DA766" s="72"/>
      <c r="DB766" s="72"/>
      <c r="DC766" s="72"/>
      <c r="DD766" s="72"/>
      <c r="DE766" s="72"/>
      <c r="DF766" s="72"/>
      <c r="DG766" s="72"/>
      <c r="DH766" s="72"/>
      <c r="DI766" s="72"/>
      <c r="DJ766" s="72"/>
      <c r="DK766" s="72"/>
      <c r="DL766" s="72"/>
      <c r="DM766" s="72"/>
      <c r="DN766" s="72"/>
      <c r="DO766" s="72"/>
      <c r="DP766" s="72"/>
      <c r="DQ766" s="72"/>
      <c r="DR766" s="72"/>
      <c r="DS766" s="72"/>
      <c r="DT766" s="72"/>
      <c r="DU766" s="72"/>
      <c r="DV766" s="72"/>
      <c r="DW766" s="72"/>
      <c r="DX766" s="72"/>
      <c r="DY766" s="72"/>
      <c r="DZ766" s="72"/>
      <c r="EA766" s="72"/>
      <c r="EB766" s="72"/>
      <c r="EC766" s="72"/>
      <c r="ED766" s="72"/>
      <c r="EE766" s="72"/>
      <c r="EF766" s="72"/>
      <c r="EG766" s="72"/>
      <c r="EH766" s="72"/>
      <c r="EI766" s="129"/>
      <c r="EJ766" s="129"/>
      <c r="EK766" s="129"/>
      <c r="EL766" s="129"/>
      <c r="EM766" s="72"/>
      <c r="EN766" s="72"/>
      <c r="EO766" s="72"/>
      <c r="EP766" s="72"/>
      <c r="EQ766" s="72"/>
      <c r="ER766" s="72"/>
      <c r="ES766" s="72"/>
      <c r="ET766" s="72"/>
    </row>
    <row r="767">
      <c r="CD767" s="72"/>
      <c r="CE767" s="72"/>
      <c r="CF767" s="72"/>
      <c r="CG767" s="72"/>
      <c r="CH767" s="72"/>
      <c r="CI767" s="72"/>
      <c r="CJ767" s="72"/>
      <c r="CK767" s="72"/>
      <c r="CL767" s="72"/>
      <c r="CM767" s="72"/>
      <c r="CN767" s="72"/>
      <c r="CO767" s="72"/>
      <c r="CP767" s="72"/>
      <c r="CQ767" s="72"/>
      <c r="CR767" s="72"/>
      <c r="CS767" s="72"/>
      <c r="CT767" s="72"/>
      <c r="CU767" s="72"/>
      <c r="CV767" s="72"/>
      <c r="CW767" s="72"/>
      <c r="CX767" s="72"/>
      <c r="CY767" s="72"/>
      <c r="CZ767" s="72"/>
      <c r="DA767" s="72"/>
      <c r="DB767" s="72"/>
      <c r="DC767" s="72"/>
      <c r="DD767" s="72"/>
      <c r="DE767" s="72"/>
      <c r="DF767" s="72"/>
      <c r="DG767" s="72"/>
      <c r="DH767" s="72"/>
      <c r="DI767" s="72"/>
      <c r="DJ767" s="72"/>
      <c r="DK767" s="72"/>
      <c r="DL767" s="72"/>
      <c r="DM767" s="72"/>
      <c r="DN767" s="72"/>
      <c r="DO767" s="72"/>
      <c r="DP767" s="72"/>
      <c r="DQ767" s="72"/>
      <c r="DR767" s="72"/>
      <c r="DS767" s="72"/>
      <c r="DT767" s="72"/>
      <c r="DU767" s="72"/>
      <c r="DV767" s="72"/>
      <c r="DW767" s="72"/>
      <c r="DX767" s="72"/>
      <c r="DY767" s="72"/>
      <c r="DZ767" s="72"/>
      <c r="EA767" s="72"/>
      <c r="EB767" s="72"/>
      <c r="EC767" s="72"/>
      <c r="ED767" s="72"/>
      <c r="EE767" s="72"/>
      <c r="EF767" s="72"/>
      <c r="EG767" s="72"/>
      <c r="EH767" s="72"/>
      <c r="EI767" s="129"/>
      <c r="EJ767" s="129"/>
      <c r="EK767" s="129"/>
      <c r="EL767" s="129"/>
      <c r="EM767" s="72"/>
      <c r="EN767" s="72"/>
      <c r="EO767" s="72"/>
      <c r="EP767" s="72"/>
      <c r="EQ767" s="72"/>
      <c r="ER767" s="72"/>
      <c r="ES767" s="72"/>
      <c r="ET767" s="72"/>
    </row>
    <row r="768">
      <c r="CD768" s="72"/>
      <c r="CE768" s="72"/>
      <c r="CF768" s="72"/>
      <c r="CG768" s="72"/>
      <c r="CH768" s="72"/>
      <c r="CI768" s="72"/>
      <c r="CJ768" s="72"/>
      <c r="CK768" s="72"/>
      <c r="CL768" s="72"/>
      <c r="CM768" s="72"/>
      <c r="CN768" s="72"/>
      <c r="CO768" s="72"/>
      <c r="CP768" s="72"/>
      <c r="CQ768" s="72"/>
      <c r="CR768" s="72"/>
      <c r="CS768" s="72"/>
      <c r="CT768" s="72"/>
      <c r="CU768" s="72"/>
      <c r="CV768" s="72"/>
      <c r="CW768" s="72"/>
      <c r="CX768" s="72"/>
      <c r="CY768" s="72"/>
      <c r="CZ768" s="72"/>
      <c r="DA768" s="72"/>
      <c r="DB768" s="72"/>
      <c r="DC768" s="72"/>
      <c r="DD768" s="72"/>
      <c r="DE768" s="72"/>
      <c r="DF768" s="72"/>
      <c r="DG768" s="72"/>
      <c r="DH768" s="72"/>
      <c r="DI768" s="72"/>
      <c r="DJ768" s="72"/>
      <c r="DK768" s="72"/>
      <c r="DL768" s="72"/>
      <c r="DM768" s="72"/>
      <c r="DN768" s="72"/>
      <c r="DO768" s="72"/>
      <c r="DP768" s="72"/>
      <c r="DQ768" s="72"/>
      <c r="DR768" s="72"/>
      <c r="DS768" s="72"/>
      <c r="DT768" s="72"/>
      <c r="DU768" s="72"/>
      <c r="DV768" s="72"/>
      <c r="DW768" s="72"/>
      <c r="DX768" s="72"/>
      <c r="DY768" s="72"/>
      <c r="DZ768" s="72"/>
      <c r="EA768" s="72"/>
      <c r="EB768" s="72"/>
      <c r="EC768" s="72"/>
      <c r="ED768" s="72"/>
      <c r="EE768" s="72"/>
      <c r="EF768" s="72"/>
      <c r="EG768" s="72"/>
      <c r="EH768" s="72"/>
      <c r="EI768" s="129"/>
      <c r="EJ768" s="129"/>
      <c r="EK768" s="129"/>
      <c r="EL768" s="129"/>
      <c r="EM768" s="72"/>
      <c r="EN768" s="72"/>
      <c r="EO768" s="72"/>
      <c r="EP768" s="72"/>
      <c r="EQ768" s="72"/>
      <c r="ER768" s="72"/>
      <c r="ES768" s="72"/>
      <c r="ET768" s="72"/>
    </row>
    <row r="769">
      <c r="CD769" s="72"/>
      <c r="CE769" s="72"/>
      <c r="CF769" s="72"/>
      <c r="CG769" s="72"/>
      <c r="CH769" s="72"/>
      <c r="CI769" s="72"/>
      <c r="CJ769" s="72"/>
      <c r="CK769" s="72"/>
      <c r="CL769" s="72"/>
      <c r="CM769" s="72"/>
      <c r="CN769" s="72"/>
      <c r="CO769" s="72"/>
      <c r="CP769" s="72"/>
      <c r="CQ769" s="72"/>
      <c r="CR769" s="72"/>
      <c r="CS769" s="72"/>
      <c r="CT769" s="72"/>
      <c r="CU769" s="72"/>
      <c r="CV769" s="72"/>
      <c r="CW769" s="72"/>
      <c r="CX769" s="72"/>
      <c r="CY769" s="72"/>
      <c r="CZ769" s="72"/>
      <c r="DA769" s="72"/>
      <c r="DB769" s="72"/>
      <c r="DC769" s="72"/>
      <c r="DD769" s="72"/>
      <c r="DE769" s="72"/>
      <c r="DF769" s="72"/>
      <c r="DG769" s="72"/>
      <c r="DH769" s="72"/>
      <c r="DI769" s="72"/>
      <c r="DJ769" s="72"/>
      <c r="DK769" s="72"/>
      <c r="DL769" s="72"/>
      <c r="DM769" s="72"/>
      <c r="DN769" s="72"/>
      <c r="DO769" s="72"/>
      <c r="DP769" s="72"/>
      <c r="DQ769" s="72"/>
      <c r="DR769" s="72"/>
      <c r="DS769" s="72"/>
      <c r="DT769" s="72"/>
      <c r="DU769" s="72"/>
      <c r="DV769" s="72"/>
      <c r="DW769" s="72"/>
      <c r="DX769" s="72"/>
      <c r="DY769" s="72"/>
      <c r="DZ769" s="72"/>
      <c r="EA769" s="72"/>
      <c r="EB769" s="72"/>
      <c r="EC769" s="72"/>
      <c r="ED769" s="72"/>
      <c r="EE769" s="72"/>
      <c r="EF769" s="72"/>
      <c r="EG769" s="72"/>
      <c r="EH769" s="72"/>
      <c r="EI769" s="129"/>
      <c r="EJ769" s="129"/>
      <c r="EK769" s="129"/>
      <c r="EL769" s="129"/>
      <c r="EM769" s="72"/>
      <c r="EN769" s="72"/>
      <c r="EO769" s="72"/>
      <c r="EP769" s="72"/>
      <c r="EQ769" s="72"/>
      <c r="ER769" s="72"/>
      <c r="ES769" s="72"/>
      <c r="ET769" s="72"/>
    </row>
    <row r="770">
      <c r="CD770" s="72"/>
      <c r="CE770" s="72"/>
      <c r="CF770" s="72"/>
      <c r="CG770" s="72"/>
      <c r="CH770" s="72"/>
      <c r="CI770" s="72"/>
      <c r="CJ770" s="72"/>
      <c r="CK770" s="72"/>
      <c r="CL770" s="72"/>
      <c r="CM770" s="72"/>
      <c r="CN770" s="72"/>
      <c r="CO770" s="72"/>
      <c r="CP770" s="72"/>
      <c r="CQ770" s="72"/>
      <c r="CR770" s="72"/>
      <c r="CS770" s="72"/>
      <c r="CT770" s="72"/>
      <c r="CU770" s="72"/>
      <c r="CV770" s="72"/>
      <c r="CW770" s="72"/>
      <c r="CX770" s="72"/>
      <c r="CY770" s="72"/>
      <c r="CZ770" s="72"/>
      <c r="DA770" s="72"/>
      <c r="DB770" s="72"/>
      <c r="DC770" s="72"/>
      <c r="DD770" s="72"/>
      <c r="DE770" s="72"/>
      <c r="DF770" s="72"/>
      <c r="DG770" s="72"/>
      <c r="DH770" s="72"/>
      <c r="DI770" s="72"/>
      <c r="DJ770" s="72"/>
      <c r="DK770" s="72"/>
      <c r="DL770" s="72"/>
      <c r="DM770" s="72"/>
      <c r="DN770" s="72"/>
      <c r="DO770" s="72"/>
      <c r="DP770" s="72"/>
      <c r="DQ770" s="72"/>
      <c r="DR770" s="72"/>
      <c r="DS770" s="72"/>
      <c r="DT770" s="72"/>
      <c r="DU770" s="72"/>
      <c r="DV770" s="72"/>
      <c r="DW770" s="72"/>
      <c r="DX770" s="72"/>
      <c r="DY770" s="72"/>
      <c r="DZ770" s="72"/>
      <c r="EA770" s="72"/>
      <c r="EB770" s="72"/>
      <c r="EC770" s="72"/>
      <c r="ED770" s="72"/>
      <c r="EE770" s="72"/>
      <c r="EF770" s="72"/>
      <c r="EG770" s="72"/>
      <c r="EH770" s="72"/>
      <c r="EI770" s="129"/>
      <c r="EJ770" s="129"/>
      <c r="EK770" s="129"/>
      <c r="EL770" s="129"/>
      <c r="EM770" s="72"/>
      <c r="EN770" s="72"/>
      <c r="EO770" s="72"/>
      <c r="EP770" s="72"/>
      <c r="EQ770" s="72"/>
      <c r="ER770" s="72"/>
      <c r="ES770" s="72"/>
      <c r="ET770" s="72"/>
    </row>
    <row r="771">
      <c r="CD771" s="72"/>
      <c r="CE771" s="72"/>
      <c r="CF771" s="72"/>
      <c r="CG771" s="72"/>
      <c r="CH771" s="72"/>
      <c r="CI771" s="72"/>
      <c r="CJ771" s="72"/>
      <c r="CK771" s="72"/>
      <c r="CL771" s="72"/>
      <c r="CM771" s="72"/>
      <c r="CN771" s="72"/>
      <c r="CO771" s="72"/>
      <c r="CP771" s="72"/>
      <c r="CQ771" s="72"/>
      <c r="CR771" s="72"/>
      <c r="CS771" s="72"/>
      <c r="CT771" s="72"/>
      <c r="CU771" s="72"/>
      <c r="CV771" s="72"/>
      <c r="CW771" s="72"/>
      <c r="CX771" s="72"/>
      <c r="CY771" s="72"/>
      <c r="CZ771" s="72"/>
      <c r="DA771" s="72"/>
      <c r="DB771" s="72"/>
      <c r="DC771" s="72"/>
      <c r="DD771" s="72"/>
      <c r="DE771" s="72"/>
      <c r="DF771" s="72"/>
      <c r="DG771" s="72"/>
      <c r="DH771" s="72"/>
      <c r="DI771" s="72"/>
      <c r="DJ771" s="72"/>
      <c r="DK771" s="72"/>
      <c r="DL771" s="72"/>
      <c r="DM771" s="72"/>
      <c r="DN771" s="72"/>
      <c r="DO771" s="72"/>
      <c r="DP771" s="72"/>
      <c r="DQ771" s="72"/>
      <c r="DR771" s="72"/>
      <c r="DS771" s="72"/>
      <c r="DT771" s="72"/>
      <c r="DU771" s="72"/>
      <c r="DV771" s="72"/>
      <c r="DW771" s="72"/>
      <c r="DX771" s="72"/>
      <c r="DY771" s="72"/>
      <c r="DZ771" s="72"/>
      <c r="EA771" s="72"/>
      <c r="EB771" s="72"/>
      <c r="EC771" s="72"/>
      <c r="ED771" s="72"/>
      <c r="EE771" s="72"/>
      <c r="EF771" s="72"/>
      <c r="EG771" s="72"/>
      <c r="EH771" s="72"/>
      <c r="EI771" s="129"/>
      <c r="EJ771" s="129"/>
      <c r="EK771" s="129"/>
      <c r="EL771" s="129"/>
      <c r="EM771" s="72"/>
      <c r="EN771" s="72"/>
      <c r="EO771" s="72"/>
      <c r="EP771" s="72"/>
      <c r="EQ771" s="72"/>
      <c r="ER771" s="72"/>
      <c r="ES771" s="72"/>
      <c r="ET771" s="72"/>
    </row>
    <row r="772">
      <c r="CD772" s="72"/>
      <c r="CE772" s="72"/>
      <c r="CF772" s="72"/>
      <c r="CG772" s="72"/>
      <c r="CH772" s="72"/>
      <c r="CI772" s="72"/>
      <c r="CJ772" s="72"/>
      <c r="CK772" s="72"/>
      <c r="CL772" s="72"/>
      <c r="CM772" s="72"/>
      <c r="CN772" s="72"/>
      <c r="CO772" s="72"/>
      <c r="CP772" s="72"/>
      <c r="CQ772" s="72"/>
      <c r="CR772" s="72"/>
      <c r="CS772" s="72"/>
      <c r="CT772" s="72"/>
      <c r="CU772" s="72"/>
      <c r="CV772" s="72"/>
      <c r="CW772" s="72"/>
      <c r="CX772" s="72"/>
      <c r="CY772" s="72"/>
      <c r="CZ772" s="72"/>
      <c r="DA772" s="72"/>
      <c r="DB772" s="72"/>
      <c r="DC772" s="72"/>
      <c r="DD772" s="72"/>
      <c r="DE772" s="72"/>
      <c r="DF772" s="72"/>
      <c r="DG772" s="72"/>
      <c r="DH772" s="72"/>
      <c r="DI772" s="72"/>
      <c r="DJ772" s="72"/>
      <c r="DK772" s="72"/>
      <c r="DL772" s="72"/>
      <c r="DM772" s="72"/>
      <c r="DN772" s="72"/>
      <c r="DO772" s="72"/>
      <c r="DP772" s="72"/>
      <c r="DQ772" s="72"/>
      <c r="DR772" s="72"/>
      <c r="DS772" s="72"/>
      <c r="DT772" s="72"/>
      <c r="DU772" s="72"/>
      <c r="DV772" s="72"/>
      <c r="DW772" s="72"/>
      <c r="DX772" s="72"/>
      <c r="DY772" s="72"/>
      <c r="DZ772" s="72"/>
      <c r="EA772" s="72"/>
      <c r="EB772" s="72"/>
      <c r="EC772" s="72"/>
      <c r="ED772" s="72"/>
      <c r="EE772" s="72"/>
      <c r="EF772" s="72"/>
      <c r="EG772" s="72"/>
      <c r="EH772" s="72"/>
      <c r="EI772" s="129"/>
      <c r="EJ772" s="129"/>
      <c r="EK772" s="129"/>
      <c r="EL772" s="129"/>
      <c r="EM772" s="72"/>
      <c r="EN772" s="72"/>
      <c r="EO772" s="72"/>
      <c r="EP772" s="72"/>
      <c r="EQ772" s="72"/>
      <c r="ER772" s="72"/>
      <c r="ES772" s="72"/>
      <c r="ET772" s="72"/>
    </row>
    <row r="773">
      <c r="CD773" s="72"/>
      <c r="CE773" s="72"/>
      <c r="CF773" s="72"/>
      <c r="CG773" s="72"/>
      <c r="CH773" s="72"/>
      <c r="CI773" s="72"/>
      <c r="CJ773" s="72"/>
      <c r="CK773" s="72"/>
      <c r="CL773" s="72"/>
      <c r="CM773" s="72"/>
      <c r="CN773" s="72"/>
      <c r="CO773" s="72"/>
      <c r="CP773" s="72"/>
      <c r="CQ773" s="72"/>
      <c r="CR773" s="72"/>
      <c r="CS773" s="72"/>
      <c r="CT773" s="72"/>
      <c r="CU773" s="72"/>
      <c r="CV773" s="72"/>
      <c r="CW773" s="72"/>
      <c r="CX773" s="72"/>
      <c r="CY773" s="72"/>
      <c r="CZ773" s="72"/>
      <c r="DA773" s="72"/>
      <c r="DB773" s="72"/>
      <c r="DC773" s="72"/>
      <c r="DD773" s="72"/>
      <c r="DE773" s="72"/>
      <c r="DF773" s="72"/>
      <c r="DG773" s="72"/>
      <c r="DH773" s="72"/>
      <c r="DI773" s="72"/>
      <c r="DJ773" s="72"/>
      <c r="DK773" s="72"/>
      <c r="DL773" s="72"/>
      <c r="DM773" s="72"/>
      <c r="DN773" s="72"/>
      <c r="DO773" s="72"/>
      <c r="DP773" s="72"/>
      <c r="DQ773" s="72"/>
      <c r="DR773" s="72"/>
      <c r="DS773" s="72"/>
      <c r="DT773" s="72"/>
      <c r="DU773" s="72"/>
      <c r="DV773" s="72"/>
      <c r="DW773" s="72"/>
      <c r="DX773" s="72"/>
      <c r="DY773" s="72"/>
      <c r="DZ773" s="72"/>
      <c r="EA773" s="72"/>
      <c r="EB773" s="72"/>
      <c r="EC773" s="72"/>
      <c r="ED773" s="72"/>
      <c r="EE773" s="72"/>
      <c r="EF773" s="72"/>
      <c r="EG773" s="72"/>
      <c r="EH773" s="72"/>
      <c r="EI773" s="129"/>
      <c r="EJ773" s="129"/>
      <c r="EK773" s="129"/>
      <c r="EL773" s="129"/>
      <c r="EM773" s="72"/>
      <c r="EN773" s="72"/>
      <c r="EO773" s="72"/>
      <c r="EP773" s="72"/>
      <c r="EQ773" s="72"/>
      <c r="ER773" s="72"/>
      <c r="ES773" s="72"/>
      <c r="ET773" s="72"/>
    </row>
    <row r="774">
      <c r="CD774" s="72"/>
      <c r="CE774" s="72"/>
      <c r="CF774" s="72"/>
      <c r="CG774" s="72"/>
      <c r="CH774" s="72"/>
      <c r="CI774" s="72"/>
      <c r="CJ774" s="72"/>
      <c r="CK774" s="72"/>
      <c r="CL774" s="72"/>
      <c r="CM774" s="72"/>
      <c r="CN774" s="72"/>
      <c r="CO774" s="72"/>
      <c r="CP774" s="72"/>
      <c r="CQ774" s="72"/>
      <c r="CR774" s="72"/>
      <c r="CS774" s="72"/>
      <c r="CT774" s="72"/>
      <c r="CU774" s="72"/>
      <c r="CV774" s="72"/>
      <c r="CW774" s="72"/>
      <c r="CX774" s="72"/>
      <c r="CY774" s="72"/>
      <c r="CZ774" s="72"/>
      <c r="DA774" s="72"/>
      <c r="DB774" s="72"/>
      <c r="DC774" s="72"/>
      <c r="DD774" s="72"/>
      <c r="DE774" s="72"/>
      <c r="DF774" s="72"/>
      <c r="DG774" s="72"/>
      <c r="DH774" s="72"/>
      <c r="DI774" s="72"/>
      <c r="DJ774" s="72"/>
      <c r="DK774" s="72"/>
      <c r="DL774" s="72"/>
      <c r="DM774" s="72"/>
      <c r="DN774" s="72"/>
      <c r="DO774" s="72"/>
      <c r="DP774" s="72"/>
      <c r="DQ774" s="72"/>
      <c r="DR774" s="72"/>
      <c r="DS774" s="72"/>
      <c r="DT774" s="72"/>
      <c r="DU774" s="72"/>
      <c r="DV774" s="72"/>
      <c r="DW774" s="72"/>
      <c r="DX774" s="72"/>
      <c r="DY774" s="72"/>
      <c r="DZ774" s="72"/>
      <c r="EA774" s="72"/>
      <c r="EB774" s="72"/>
      <c r="EC774" s="72"/>
      <c r="ED774" s="72"/>
      <c r="EE774" s="72"/>
      <c r="EF774" s="72"/>
      <c r="EG774" s="72"/>
      <c r="EH774" s="72"/>
      <c r="EI774" s="129"/>
      <c r="EJ774" s="129"/>
      <c r="EK774" s="129"/>
      <c r="EL774" s="129"/>
      <c r="EM774" s="72"/>
      <c r="EN774" s="72"/>
      <c r="EO774" s="72"/>
      <c r="EP774" s="72"/>
      <c r="EQ774" s="72"/>
      <c r="ER774" s="72"/>
      <c r="ES774" s="72"/>
      <c r="ET774" s="72"/>
    </row>
    <row r="775">
      <c r="CD775" s="72"/>
      <c r="CE775" s="72"/>
      <c r="CF775" s="72"/>
      <c r="CG775" s="72"/>
      <c r="CH775" s="72"/>
      <c r="CI775" s="72"/>
      <c r="CJ775" s="72"/>
      <c r="CK775" s="72"/>
      <c r="CL775" s="72"/>
      <c r="CM775" s="72"/>
      <c r="CN775" s="72"/>
      <c r="CO775" s="72"/>
      <c r="CP775" s="72"/>
      <c r="CQ775" s="72"/>
      <c r="CR775" s="72"/>
      <c r="CS775" s="72"/>
      <c r="CT775" s="72"/>
      <c r="CU775" s="72"/>
      <c r="CV775" s="72"/>
      <c r="CW775" s="72"/>
      <c r="CX775" s="72"/>
      <c r="CY775" s="72"/>
      <c r="CZ775" s="72"/>
      <c r="DA775" s="72"/>
      <c r="DB775" s="72"/>
      <c r="DC775" s="72"/>
      <c r="DD775" s="72"/>
      <c r="DE775" s="72"/>
      <c r="DF775" s="72"/>
      <c r="DG775" s="72"/>
      <c r="DH775" s="72"/>
      <c r="DI775" s="72"/>
      <c r="DJ775" s="72"/>
      <c r="DK775" s="72"/>
      <c r="DL775" s="72"/>
      <c r="DM775" s="72"/>
      <c r="DN775" s="72"/>
      <c r="DO775" s="72"/>
      <c r="DP775" s="72"/>
      <c r="DQ775" s="72"/>
      <c r="DR775" s="72"/>
      <c r="DS775" s="72"/>
      <c r="DT775" s="72"/>
      <c r="DU775" s="72"/>
      <c r="DV775" s="72"/>
      <c r="DW775" s="72"/>
      <c r="DX775" s="72"/>
      <c r="DY775" s="72"/>
      <c r="DZ775" s="72"/>
      <c r="EA775" s="72"/>
      <c r="EB775" s="72"/>
      <c r="EC775" s="72"/>
      <c r="ED775" s="72"/>
      <c r="EE775" s="72"/>
      <c r="EF775" s="72"/>
      <c r="EG775" s="72"/>
      <c r="EH775" s="72"/>
      <c r="EI775" s="129"/>
      <c r="EJ775" s="129"/>
      <c r="EK775" s="129"/>
      <c r="EL775" s="129"/>
      <c r="EM775" s="72"/>
      <c r="EN775" s="72"/>
      <c r="EO775" s="72"/>
      <c r="EP775" s="72"/>
      <c r="EQ775" s="72"/>
      <c r="ER775" s="72"/>
      <c r="ES775" s="72"/>
      <c r="ET775" s="72"/>
    </row>
    <row r="776">
      <c r="CD776" s="72"/>
      <c r="CE776" s="72"/>
      <c r="CF776" s="72"/>
      <c r="CG776" s="72"/>
      <c r="CH776" s="72"/>
      <c r="CI776" s="72"/>
      <c r="CJ776" s="72"/>
      <c r="CK776" s="72"/>
      <c r="CL776" s="72"/>
      <c r="CM776" s="72"/>
      <c r="CN776" s="72"/>
      <c r="CO776" s="72"/>
      <c r="CP776" s="72"/>
      <c r="CQ776" s="72"/>
      <c r="CR776" s="72"/>
      <c r="CS776" s="72"/>
      <c r="CT776" s="72"/>
      <c r="CU776" s="72"/>
      <c r="CV776" s="72"/>
      <c r="CW776" s="72"/>
      <c r="CX776" s="72"/>
      <c r="CY776" s="72"/>
      <c r="CZ776" s="72"/>
      <c r="DA776" s="72"/>
      <c r="DB776" s="72"/>
      <c r="DC776" s="72"/>
      <c r="DD776" s="72"/>
      <c r="DE776" s="72"/>
      <c r="DF776" s="72"/>
      <c r="DG776" s="72"/>
      <c r="DH776" s="72"/>
      <c r="DI776" s="72"/>
      <c r="DJ776" s="72"/>
      <c r="DK776" s="72"/>
      <c r="DL776" s="72"/>
      <c r="DM776" s="72"/>
      <c r="DN776" s="72"/>
      <c r="DO776" s="72"/>
      <c r="DP776" s="72"/>
      <c r="DQ776" s="72"/>
      <c r="DR776" s="72"/>
      <c r="DS776" s="72"/>
      <c r="DT776" s="72"/>
      <c r="DU776" s="72"/>
      <c r="DV776" s="72"/>
      <c r="DW776" s="72"/>
      <c r="DX776" s="72"/>
      <c r="DY776" s="72"/>
      <c r="DZ776" s="72"/>
      <c r="EA776" s="72"/>
      <c r="EB776" s="72"/>
      <c r="EC776" s="72"/>
      <c r="ED776" s="72"/>
      <c r="EE776" s="72"/>
      <c r="EF776" s="72"/>
      <c r="EG776" s="72"/>
      <c r="EH776" s="72"/>
      <c r="EI776" s="129"/>
      <c r="EJ776" s="129"/>
      <c r="EK776" s="129"/>
      <c r="EL776" s="129"/>
      <c r="EM776" s="72"/>
      <c r="EN776" s="72"/>
      <c r="EO776" s="72"/>
      <c r="EP776" s="72"/>
      <c r="EQ776" s="72"/>
      <c r="ER776" s="72"/>
      <c r="ES776" s="72"/>
      <c r="ET776" s="72"/>
    </row>
    <row r="777">
      <c r="CD777" s="72"/>
      <c r="CE777" s="72"/>
      <c r="CF777" s="72"/>
      <c r="CG777" s="72"/>
      <c r="CH777" s="72"/>
      <c r="CI777" s="72"/>
      <c r="CJ777" s="72"/>
      <c r="CK777" s="72"/>
      <c r="CL777" s="72"/>
      <c r="CM777" s="72"/>
      <c r="CN777" s="72"/>
      <c r="CO777" s="72"/>
      <c r="CP777" s="72"/>
      <c r="CQ777" s="72"/>
      <c r="CR777" s="72"/>
      <c r="CS777" s="72"/>
      <c r="CT777" s="72"/>
      <c r="CU777" s="72"/>
      <c r="CV777" s="72"/>
      <c r="CW777" s="72"/>
      <c r="CX777" s="72"/>
      <c r="CY777" s="72"/>
      <c r="CZ777" s="72"/>
      <c r="DA777" s="72"/>
      <c r="DB777" s="72"/>
      <c r="DC777" s="72"/>
      <c r="DD777" s="72"/>
      <c r="DE777" s="72"/>
      <c r="DF777" s="72"/>
      <c r="DG777" s="72"/>
      <c r="DH777" s="72"/>
      <c r="DI777" s="72"/>
      <c r="DJ777" s="72"/>
      <c r="DK777" s="72"/>
      <c r="DL777" s="72"/>
      <c r="DM777" s="72"/>
      <c r="DN777" s="72"/>
      <c r="DO777" s="72"/>
      <c r="DP777" s="72"/>
      <c r="DQ777" s="72"/>
      <c r="DR777" s="72"/>
      <c r="DS777" s="72"/>
      <c r="DT777" s="72"/>
      <c r="DU777" s="72"/>
      <c r="DV777" s="72"/>
      <c r="DW777" s="72"/>
      <c r="DX777" s="72"/>
      <c r="DY777" s="72"/>
      <c r="DZ777" s="72"/>
      <c r="EA777" s="72"/>
      <c r="EB777" s="72"/>
      <c r="EC777" s="72"/>
      <c r="ED777" s="72"/>
      <c r="EE777" s="72"/>
      <c r="EF777" s="72"/>
      <c r="EG777" s="72"/>
      <c r="EH777" s="72"/>
      <c r="EI777" s="129"/>
      <c r="EJ777" s="129"/>
      <c r="EK777" s="129"/>
      <c r="EL777" s="129"/>
      <c r="EM777" s="72"/>
      <c r="EN777" s="72"/>
      <c r="EO777" s="72"/>
      <c r="EP777" s="72"/>
      <c r="EQ777" s="72"/>
      <c r="ER777" s="72"/>
      <c r="ES777" s="72"/>
      <c r="ET777" s="72"/>
    </row>
    <row r="778">
      <c r="CD778" s="72"/>
      <c r="CE778" s="72"/>
      <c r="CF778" s="72"/>
      <c r="CG778" s="72"/>
      <c r="CH778" s="72"/>
      <c r="CI778" s="72"/>
      <c r="CJ778" s="72"/>
      <c r="CK778" s="72"/>
      <c r="CL778" s="72"/>
      <c r="CM778" s="72"/>
      <c r="CN778" s="72"/>
      <c r="CO778" s="72"/>
      <c r="CP778" s="72"/>
      <c r="CQ778" s="72"/>
      <c r="CR778" s="72"/>
      <c r="CS778" s="72"/>
      <c r="CT778" s="72"/>
      <c r="CU778" s="72"/>
      <c r="CV778" s="72"/>
      <c r="CW778" s="72"/>
      <c r="CX778" s="72"/>
      <c r="CY778" s="72"/>
      <c r="CZ778" s="72"/>
      <c r="DA778" s="72"/>
      <c r="DB778" s="72"/>
      <c r="DC778" s="72"/>
      <c r="DD778" s="72"/>
      <c r="DE778" s="72"/>
      <c r="DF778" s="72"/>
      <c r="DG778" s="72"/>
      <c r="DH778" s="72"/>
      <c r="DI778" s="72"/>
      <c r="DJ778" s="72"/>
      <c r="DK778" s="72"/>
      <c r="DL778" s="72"/>
      <c r="DM778" s="72"/>
      <c r="DN778" s="72"/>
      <c r="DO778" s="72"/>
      <c r="DP778" s="72"/>
      <c r="DQ778" s="72"/>
      <c r="DR778" s="72"/>
      <c r="DS778" s="72"/>
      <c r="DT778" s="72"/>
      <c r="DU778" s="72"/>
      <c r="DV778" s="72"/>
      <c r="DW778" s="72"/>
      <c r="DX778" s="72"/>
      <c r="DY778" s="72"/>
      <c r="DZ778" s="72"/>
      <c r="EA778" s="72"/>
      <c r="EB778" s="72"/>
      <c r="EC778" s="72"/>
      <c r="ED778" s="72"/>
      <c r="EE778" s="72"/>
      <c r="EF778" s="72"/>
      <c r="EG778" s="72"/>
      <c r="EH778" s="72"/>
      <c r="EI778" s="129"/>
      <c r="EJ778" s="129"/>
      <c r="EK778" s="129"/>
      <c r="EL778" s="129"/>
      <c r="EM778" s="72"/>
      <c r="EN778" s="72"/>
      <c r="EO778" s="72"/>
      <c r="EP778" s="72"/>
      <c r="EQ778" s="72"/>
      <c r="ER778" s="72"/>
      <c r="ES778" s="72"/>
      <c r="ET778" s="72"/>
    </row>
    <row r="779">
      <c r="CD779" s="72"/>
      <c r="CE779" s="72"/>
      <c r="CF779" s="72"/>
      <c r="CG779" s="72"/>
      <c r="CH779" s="72"/>
      <c r="CI779" s="72"/>
      <c r="CJ779" s="72"/>
      <c r="CK779" s="72"/>
      <c r="CL779" s="72"/>
      <c r="CM779" s="72"/>
      <c r="CN779" s="72"/>
      <c r="CO779" s="72"/>
      <c r="CP779" s="72"/>
      <c r="CQ779" s="72"/>
      <c r="CR779" s="72"/>
      <c r="CS779" s="72"/>
      <c r="CT779" s="72"/>
      <c r="CU779" s="72"/>
      <c r="CV779" s="72"/>
      <c r="CW779" s="72"/>
      <c r="CX779" s="72"/>
      <c r="CY779" s="72"/>
      <c r="CZ779" s="72"/>
      <c r="DA779" s="72"/>
      <c r="DB779" s="72"/>
      <c r="DC779" s="72"/>
      <c r="DD779" s="72"/>
      <c r="DE779" s="72"/>
      <c r="DF779" s="72"/>
      <c r="DG779" s="72"/>
      <c r="DH779" s="72"/>
      <c r="DI779" s="72"/>
      <c r="DJ779" s="72"/>
      <c r="DK779" s="72"/>
      <c r="DL779" s="72"/>
      <c r="DM779" s="72"/>
      <c r="DN779" s="72"/>
      <c r="DO779" s="72"/>
      <c r="DP779" s="72"/>
      <c r="DQ779" s="72"/>
      <c r="DR779" s="72"/>
      <c r="DS779" s="72"/>
      <c r="DT779" s="72"/>
      <c r="DU779" s="72"/>
      <c r="DV779" s="72"/>
      <c r="DW779" s="72"/>
      <c r="DX779" s="72"/>
      <c r="DY779" s="72"/>
      <c r="DZ779" s="72"/>
      <c r="EA779" s="72"/>
      <c r="EB779" s="72"/>
      <c r="EC779" s="72"/>
      <c r="ED779" s="72"/>
      <c r="EE779" s="72"/>
      <c r="EF779" s="72"/>
      <c r="EG779" s="72"/>
      <c r="EH779" s="72"/>
      <c r="EI779" s="129"/>
      <c r="EJ779" s="129"/>
      <c r="EK779" s="129"/>
      <c r="EL779" s="129"/>
      <c r="EM779" s="72"/>
      <c r="EN779" s="72"/>
      <c r="EO779" s="72"/>
      <c r="EP779" s="72"/>
      <c r="EQ779" s="72"/>
      <c r="ER779" s="72"/>
      <c r="ES779" s="72"/>
      <c r="ET779" s="72"/>
    </row>
    <row r="780">
      <c r="CD780" s="72"/>
      <c r="CE780" s="72"/>
      <c r="CF780" s="72"/>
      <c r="CG780" s="72"/>
      <c r="CH780" s="72"/>
      <c r="CI780" s="72"/>
      <c r="CJ780" s="72"/>
      <c r="CK780" s="72"/>
      <c r="CL780" s="72"/>
      <c r="CM780" s="72"/>
      <c r="CN780" s="72"/>
      <c r="CO780" s="72"/>
      <c r="CP780" s="72"/>
      <c r="CQ780" s="72"/>
      <c r="CR780" s="72"/>
      <c r="CS780" s="72"/>
      <c r="CT780" s="72"/>
      <c r="CU780" s="72"/>
      <c r="CV780" s="72"/>
      <c r="CW780" s="72"/>
      <c r="CX780" s="72"/>
      <c r="CY780" s="72"/>
      <c r="CZ780" s="72"/>
      <c r="DA780" s="72"/>
      <c r="DB780" s="72"/>
      <c r="DC780" s="72"/>
      <c r="DD780" s="72"/>
      <c r="DE780" s="72"/>
      <c r="DF780" s="72"/>
      <c r="DG780" s="72"/>
      <c r="DH780" s="72"/>
      <c r="DI780" s="72"/>
      <c r="DJ780" s="72"/>
      <c r="DK780" s="72"/>
      <c r="DL780" s="72"/>
      <c r="DM780" s="72"/>
      <c r="DN780" s="72"/>
      <c r="DO780" s="72"/>
      <c r="DP780" s="72"/>
      <c r="DQ780" s="72"/>
      <c r="DR780" s="72"/>
      <c r="DS780" s="72"/>
      <c r="DT780" s="72"/>
      <c r="DU780" s="72"/>
      <c r="DV780" s="72"/>
      <c r="DW780" s="72"/>
      <c r="DX780" s="72"/>
      <c r="DY780" s="72"/>
      <c r="DZ780" s="72"/>
      <c r="EA780" s="72"/>
      <c r="EB780" s="72"/>
      <c r="EC780" s="72"/>
      <c r="ED780" s="72"/>
      <c r="EE780" s="72"/>
      <c r="EF780" s="72"/>
      <c r="EG780" s="72"/>
      <c r="EH780" s="72"/>
      <c r="EI780" s="129"/>
      <c r="EJ780" s="129"/>
      <c r="EK780" s="129"/>
      <c r="EL780" s="129"/>
      <c r="EM780" s="72"/>
      <c r="EN780" s="72"/>
      <c r="EO780" s="72"/>
      <c r="EP780" s="72"/>
      <c r="EQ780" s="72"/>
      <c r="ER780" s="72"/>
      <c r="ES780" s="72"/>
      <c r="ET780" s="72"/>
    </row>
    <row r="781">
      <c r="CD781" s="72"/>
      <c r="CE781" s="72"/>
      <c r="CF781" s="72"/>
      <c r="CG781" s="72"/>
      <c r="CH781" s="72"/>
      <c r="CI781" s="72"/>
      <c r="CJ781" s="72"/>
      <c r="CK781" s="72"/>
      <c r="CL781" s="72"/>
      <c r="CM781" s="72"/>
      <c r="CN781" s="72"/>
      <c r="CO781" s="72"/>
      <c r="CP781" s="72"/>
      <c r="CQ781" s="72"/>
      <c r="CR781" s="72"/>
      <c r="CS781" s="72"/>
      <c r="CT781" s="72"/>
      <c r="CU781" s="72"/>
      <c r="CV781" s="72"/>
      <c r="CW781" s="72"/>
      <c r="CX781" s="72"/>
      <c r="CY781" s="72"/>
      <c r="CZ781" s="72"/>
      <c r="DA781" s="72"/>
      <c r="DB781" s="72"/>
      <c r="DC781" s="72"/>
      <c r="DD781" s="72"/>
      <c r="DE781" s="72"/>
      <c r="DF781" s="72"/>
      <c r="DG781" s="72"/>
      <c r="DH781" s="72"/>
      <c r="DI781" s="72"/>
      <c r="DJ781" s="72"/>
      <c r="DK781" s="72"/>
      <c r="DL781" s="72"/>
      <c r="DM781" s="72"/>
      <c r="DN781" s="72"/>
      <c r="DO781" s="72"/>
      <c r="DP781" s="72"/>
      <c r="DQ781" s="72"/>
      <c r="DR781" s="72"/>
      <c r="DS781" s="72"/>
      <c r="DT781" s="72"/>
      <c r="DU781" s="72"/>
      <c r="DV781" s="72"/>
      <c r="DW781" s="72"/>
      <c r="DX781" s="72"/>
      <c r="DY781" s="72"/>
      <c r="DZ781" s="72"/>
      <c r="EA781" s="72"/>
      <c r="EB781" s="72"/>
      <c r="EC781" s="72"/>
      <c r="ED781" s="72"/>
      <c r="EE781" s="72"/>
      <c r="EF781" s="72"/>
      <c r="EG781" s="72"/>
      <c r="EH781" s="72"/>
      <c r="EI781" s="129"/>
      <c r="EJ781" s="129"/>
      <c r="EK781" s="129"/>
      <c r="EL781" s="129"/>
      <c r="EM781" s="72"/>
      <c r="EN781" s="72"/>
      <c r="EO781" s="72"/>
      <c r="EP781" s="72"/>
      <c r="EQ781" s="72"/>
      <c r="ER781" s="72"/>
      <c r="ES781" s="72"/>
      <c r="ET781" s="72"/>
    </row>
    <row r="782">
      <c r="CD782" s="72"/>
      <c r="CE782" s="72"/>
      <c r="CF782" s="72"/>
      <c r="CG782" s="72"/>
      <c r="CH782" s="72"/>
      <c r="CI782" s="72"/>
      <c r="CJ782" s="72"/>
      <c r="CK782" s="72"/>
      <c r="CL782" s="72"/>
      <c r="CM782" s="72"/>
      <c r="CN782" s="72"/>
      <c r="CO782" s="72"/>
      <c r="CP782" s="72"/>
      <c r="CQ782" s="72"/>
      <c r="CR782" s="72"/>
      <c r="CS782" s="72"/>
      <c r="CT782" s="72"/>
      <c r="CU782" s="72"/>
      <c r="CV782" s="72"/>
      <c r="CW782" s="72"/>
      <c r="CX782" s="72"/>
      <c r="CY782" s="72"/>
      <c r="CZ782" s="72"/>
      <c r="DA782" s="72"/>
      <c r="DB782" s="72"/>
      <c r="DC782" s="72"/>
      <c r="DD782" s="72"/>
      <c r="DE782" s="72"/>
      <c r="DF782" s="72"/>
      <c r="DG782" s="72"/>
      <c r="DH782" s="72"/>
      <c r="DI782" s="72"/>
      <c r="DJ782" s="72"/>
      <c r="DK782" s="72"/>
      <c r="DL782" s="72"/>
      <c r="DM782" s="72"/>
      <c r="DN782" s="72"/>
      <c r="DO782" s="72"/>
      <c r="DP782" s="72"/>
      <c r="DQ782" s="72"/>
      <c r="DR782" s="72"/>
      <c r="DS782" s="72"/>
      <c r="DT782" s="72"/>
      <c r="DU782" s="72"/>
      <c r="DV782" s="72"/>
      <c r="DW782" s="72"/>
      <c r="DX782" s="72"/>
      <c r="DY782" s="72"/>
      <c r="DZ782" s="72"/>
      <c r="EA782" s="72"/>
      <c r="EB782" s="72"/>
      <c r="EC782" s="72"/>
      <c r="ED782" s="72"/>
      <c r="EE782" s="72"/>
      <c r="EF782" s="72"/>
      <c r="EG782" s="72"/>
      <c r="EH782" s="72"/>
      <c r="EI782" s="129"/>
      <c r="EJ782" s="129"/>
      <c r="EK782" s="129"/>
      <c r="EL782" s="129"/>
      <c r="EM782" s="72"/>
      <c r="EN782" s="72"/>
      <c r="EO782" s="72"/>
      <c r="EP782" s="72"/>
      <c r="EQ782" s="72"/>
      <c r="ER782" s="72"/>
      <c r="ES782" s="72"/>
      <c r="ET782" s="72"/>
    </row>
    <row r="783">
      <c r="CD783" s="72"/>
      <c r="CE783" s="72"/>
      <c r="CF783" s="72"/>
      <c r="CG783" s="72"/>
      <c r="CH783" s="72"/>
      <c r="CI783" s="72"/>
      <c r="CJ783" s="72"/>
      <c r="CK783" s="72"/>
      <c r="CL783" s="72"/>
      <c r="CM783" s="72"/>
      <c r="CN783" s="72"/>
      <c r="CO783" s="72"/>
      <c r="CP783" s="72"/>
      <c r="CQ783" s="72"/>
      <c r="CR783" s="72"/>
      <c r="CS783" s="72"/>
      <c r="CT783" s="72"/>
      <c r="CU783" s="72"/>
      <c r="CV783" s="72"/>
      <c r="CW783" s="72"/>
      <c r="CX783" s="72"/>
      <c r="CY783" s="72"/>
      <c r="CZ783" s="72"/>
      <c r="DA783" s="72"/>
      <c r="DB783" s="72"/>
      <c r="DC783" s="72"/>
      <c r="DD783" s="72"/>
      <c r="DE783" s="72"/>
      <c r="DF783" s="72"/>
      <c r="DG783" s="72"/>
      <c r="DH783" s="72"/>
      <c r="DI783" s="72"/>
      <c r="DJ783" s="72"/>
      <c r="DK783" s="72"/>
      <c r="DL783" s="72"/>
      <c r="DM783" s="72"/>
      <c r="DN783" s="72"/>
      <c r="DO783" s="72"/>
      <c r="DP783" s="72"/>
      <c r="DQ783" s="72"/>
      <c r="DR783" s="72"/>
      <c r="DS783" s="72"/>
      <c r="DT783" s="72"/>
      <c r="DU783" s="72"/>
      <c r="DV783" s="72"/>
      <c r="DW783" s="72"/>
      <c r="DX783" s="72"/>
      <c r="DY783" s="72"/>
      <c r="DZ783" s="72"/>
      <c r="EA783" s="72"/>
      <c r="EB783" s="72"/>
      <c r="EC783" s="72"/>
      <c r="ED783" s="72"/>
      <c r="EE783" s="72"/>
      <c r="EF783" s="72"/>
      <c r="EG783" s="72"/>
      <c r="EH783" s="72"/>
      <c r="EI783" s="129"/>
      <c r="EJ783" s="129"/>
      <c r="EK783" s="129"/>
      <c r="EL783" s="129"/>
      <c r="EM783" s="72"/>
      <c r="EN783" s="72"/>
      <c r="EO783" s="72"/>
      <c r="EP783" s="72"/>
      <c r="EQ783" s="72"/>
      <c r="ER783" s="72"/>
      <c r="ES783" s="72"/>
      <c r="ET783" s="72"/>
    </row>
    <row r="784">
      <c r="CD784" s="72"/>
      <c r="CE784" s="72"/>
      <c r="CF784" s="72"/>
      <c r="CG784" s="72"/>
      <c r="CH784" s="72"/>
      <c r="CI784" s="72"/>
      <c r="CJ784" s="72"/>
      <c r="CK784" s="72"/>
      <c r="CL784" s="72"/>
      <c r="CM784" s="72"/>
      <c r="CN784" s="72"/>
      <c r="CO784" s="72"/>
      <c r="CP784" s="72"/>
      <c r="CQ784" s="72"/>
      <c r="CR784" s="72"/>
      <c r="CS784" s="72"/>
      <c r="CT784" s="72"/>
      <c r="CU784" s="72"/>
      <c r="CV784" s="72"/>
      <c r="CW784" s="72"/>
      <c r="CX784" s="72"/>
      <c r="CY784" s="72"/>
      <c r="CZ784" s="72"/>
      <c r="DA784" s="72"/>
      <c r="DB784" s="72"/>
      <c r="DC784" s="72"/>
      <c r="DD784" s="72"/>
      <c r="DE784" s="72"/>
      <c r="DF784" s="72"/>
      <c r="DG784" s="72"/>
      <c r="DH784" s="72"/>
      <c r="DI784" s="72"/>
      <c r="DJ784" s="72"/>
      <c r="DK784" s="72"/>
      <c r="DL784" s="72"/>
      <c r="DM784" s="72"/>
      <c r="DN784" s="72"/>
      <c r="DO784" s="72"/>
      <c r="DP784" s="72"/>
      <c r="DQ784" s="72"/>
      <c r="DR784" s="72"/>
      <c r="DS784" s="72"/>
      <c r="DT784" s="72"/>
      <c r="DU784" s="72"/>
      <c r="DV784" s="72"/>
      <c r="DW784" s="72"/>
      <c r="DX784" s="72"/>
      <c r="DY784" s="72"/>
      <c r="DZ784" s="72"/>
      <c r="EA784" s="72"/>
      <c r="EB784" s="72"/>
      <c r="EC784" s="72"/>
      <c r="ED784" s="72"/>
      <c r="EE784" s="72"/>
      <c r="EF784" s="72"/>
      <c r="EG784" s="72"/>
      <c r="EH784" s="72"/>
      <c r="EI784" s="129"/>
      <c r="EJ784" s="129"/>
      <c r="EK784" s="129"/>
      <c r="EL784" s="129"/>
      <c r="EM784" s="72"/>
      <c r="EN784" s="72"/>
      <c r="EO784" s="72"/>
      <c r="EP784" s="72"/>
      <c r="EQ784" s="72"/>
      <c r="ER784" s="72"/>
      <c r="ES784" s="72"/>
      <c r="ET784" s="72"/>
    </row>
    <row r="785">
      <c r="CD785" s="72"/>
      <c r="CE785" s="72"/>
      <c r="CF785" s="72"/>
      <c r="CG785" s="72"/>
      <c r="CH785" s="72"/>
      <c r="CI785" s="72"/>
      <c r="CJ785" s="72"/>
      <c r="CK785" s="72"/>
      <c r="CL785" s="72"/>
      <c r="CM785" s="72"/>
      <c r="CN785" s="72"/>
      <c r="CO785" s="72"/>
      <c r="CP785" s="72"/>
      <c r="CQ785" s="72"/>
      <c r="CR785" s="72"/>
      <c r="CS785" s="72"/>
      <c r="CT785" s="72"/>
      <c r="CU785" s="72"/>
      <c r="CV785" s="72"/>
      <c r="CW785" s="72"/>
      <c r="CX785" s="72"/>
      <c r="CY785" s="72"/>
      <c r="CZ785" s="72"/>
      <c r="DA785" s="72"/>
      <c r="DB785" s="72"/>
      <c r="DC785" s="72"/>
      <c r="DD785" s="72"/>
      <c r="DE785" s="72"/>
      <c r="DF785" s="72"/>
      <c r="DG785" s="72"/>
      <c r="DH785" s="72"/>
      <c r="DI785" s="72"/>
      <c r="DJ785" s="72"/>
      <c r="DK785" s="72"/>
      <c r="DL785" s="72"/>
      <c r="DM785" s="72"/>
      <c r="DN785" s="72"/>
      <c r="DO785" s="72"/>
      <c r="DP785" s="72"/>
      <c r="DQ785" s="72"/>
      <c r="DR785" s="72"/>
      <c r="DS785" s="72"/>
      <c r="DT785" s="72"/>
      <c r="DU785" s="72"/>
      <c r="DV785" s="72"/>
      <c r="DW785" s="72"/>
      <c r="DX785" s="72"/>
      <c r="DY785" s="72"/>
      <c r="DZ785" s="72"/>
      <c r="EA785" s="72"/>
      <c r="EB785" s="72"/>
      <c r="EC785" s="72"/>
      <c r="ED785" s="72"/>
      <c r="EE785" s="72"/>
      <c r="EF785" s="72"/>
      <c r="EG785" s="72"/>
      <c r="EH785" s="72"/>
      <c r="EI785" s="129"/>
      <c r="EJ785" s="129"/>
      <c r="EK785" s="129"/>
      <c r="EL785" s="129"/>
      <c r="EM785" s="72"/>
      <c r="EN785" s="72"/>
      <c r="EO785" s="72"/>
      <c r="EP785" s="72"/>
      <c r="EQ785" s="72"/>
      <c r="ER785" s="72"/>
      <c r="ES785" s="72"/>
      <c r="ET785" s="72"/>
    </row>
    <row r="786">
      <c r="CD786" s="72"/>
      <c r="CE786" s="72"/>
      <c r="CF786" s="72"/>
      <c r="CG786" s="72"/>
      <c r="CH786" s="72"/>
      <c r="CI786" s="72"/>
      <c r="CJ786" s="72"/>
      <c r="CK786" s="72"/>
      <c r="CL786" s="72"/>
      <c r="CM786" s="72"/>
      <c r="CN786" s="72"/>
      <c r="CO786" s="72"/>
      <c r="CP786" s="72"/>
      <c r="CQ786" s="72"/>
      <c r="CR786" s="72"/>
      <c r="CS786" s="72"/>
      <c r="CT786" s="72"/>
      <c r="CU786" s="72"/>
      <c r="CV786" s="72"/>
      <c r="CW786" s="72"/>
      <c r="CX786" s="72"/>
      <c r="CY786" s="72"/>
      <c r="CZ786" s="72"/>
      <c r="DA786" s="72"/>
      <c r="DB786" s="72"/>
      <c r="DC786" s="72"/>
      <c r="DD786" s="72"/>
      <c r="DE786" s="72"/>
      <c r="DF786" s="72"/>
      <c r="DG786" s="72"/>
      <c r="DH786" s="72"/>
      <c r="DI786" s="72"/>
      <c r="DJ786" s="72"/>
      <c r="DK786" s="72"/>
      <c r="DL786" s="72"/>
      <c r="DM786" s="72"/>
      <c r="DN786" s="72"/>
      <c r="DO786" s="72"/>
      <c r="DP786" s="72"/>
      <c r="DQ786" s="72"/>
      <c r="DR786" s="72"/>
      <c r="DS786" s="72"/>
      <c r="DT786" s="72"/>
      <c r="DU786" s="72"/>
      <c r="DV786" s="72"/>
      <c r="DW786" s="72"/>
      <c r="DX786" s="72"/>
      <c r="DY786" s="72"/>
      <c r="DZ786" s="72"/>
      <c r="EA786" s="72"/>
      <c r="EB786" s="72"/>
      <c r="EC786" s="72"/>
      <c r="ED786" s="72"/>
      <c r="EE786" s="72"/>
      <c r="EF786" s="72"/>
      <c r="EG786" s="72"/>
      <c r="EH786" s="72"/>
      <c r="EI786" s="129"/>
      <c r="EJ786" s="129"/>
      <c r="EK786" s="129"/>
      <c r="EL786" s="129"/>
      <c r="EM786" s="72"/>
      <c r="EN786" s="72"/>
      <c r="EO786" s="72"/>
      <c r="EP786" s="72"/>
      <c r="EQ786" s="72"/>
      <c r="ER786" s="72"/>
      <c r="ES786" s="72"/>
      <c r="ET786" s="72"/>
    </row>
    <row r="787">
      <c r="CD787" s="72"/>
      <c r="CE787" s="72"/>
      <c r="CF787" s="72"/>
      <c r="CG787" s="72"/>
      <c r="CH787" s="72"/>
      <c r="CI787" s="72"/>
      <c r="CJ787" s="72"/>
      <c r="CK787" s="72"/>
      <c r="CL787" s="72"/>
      <c r="CM787" s="72"/>
      <c r="CN787" s="72"/>
      <c r="CO787" s="72"/>
      <c r="CP787" s="72"/>
      <c r="CQ787" s="72"/>
      <c r="CR787" s="72"/>
      <c r="CS787" s="72"/>
      <c r="CT787" s="72"/>
      <c r="CU787" s="72"/>
      <c r="CV787" s="72"/>
      <c r="CW787" s="72"/>
      <c r="CX787" s="72"/>
      <c r="CY787" s="72"/>
      <c r="CZ787" s="72"/>
      <c r="DA787" s="72"/>
      <c r="DB787" s="72"/>
      <c r="DC787" s="72"/>
      <c r="DD787" s="72"/>
      <c r="DE787" s="72"/>
      <c r="DF787" s="72"/>
      <c r="DG787" s="72"/>
      <c r="DH787" s="72"/>
      <c r="DI787" s="72"/>
      <c r="DJ787" s="72"/>
      <c r="DK787" s="72"/>
      <c r="DL787" s="72"/>
      <c r="DM787" s="72"/>
      <c r="DN787" s="72"/>
      <c r="DO787" s="72"/>
      <c r="DP787" s="72"/>
      <c r="DQ787" s="72"/>
      <c r="DR787" s="72"/>
      <c r="DS787" s="72"/>
      <c r="DT787" s="72"/>
      <c r="DU787" s="72"/>
      <c r="DV787" s="72"/>
      <c r="DW787" s="72"/>
      <c r="DX787" s="72"/>
      <c r="DY787" s="72"/>
      <c r="DZ787" s="72"/>
      <c r="EA787" s="72"/>
      <c r="EB787" s="72"/>
      <c r="EC787" s="72"/>
      <c r="ED787" s="72"/>
      <c r="EE787" s="72"/>
      <c r="EF787" s="72"/>
      <c r="EG787" s="72"/>
      <c r="EH787" s="72"/>
      <c r="EI787" s="129"/>
      <c r="EJ787" s="129"/>
      <c r="EK787" s="129"/>
      <c r="EL787" s="129"/>
      <c r="EM787" s="72"/>
      <c r="EN787" s="72"/>
      <c r="EO787" s="72"/>
      <c r="EP787" s="72"/>
      <c r="EQ787" s="72"/>
      <c r="ER787" s="72"/>
      <c r="ES787" s="72"/>
      <c r="ET787" s="72"/>
    </row>
    <row r="788">
      <c r="CD788" s="72"/>
      <c r="CE788" s="72"/>
      <c r="CF788" s="72"/>
      <c r="CG788" s="72"/>
      <c r="CH788" s="72"/>
      <c r="CI788" s="72"/>
      <c r="CJ788" s="72"/>
      <c r="CK788" s="72"/>
      <c r="CL788" s="72"/>
      <c r="CM788" s="72"/>
      <c r="CN788" s="72"/>
      <c r="CO788" s="72"/>
      <c r="CP788" s="72"/>
      <c r="CQ788" s="72"/>
      <c r="CR788" s="72"/>
      <c r="CS788" s="72"/>
      <c r="CT788" s="72"/>
      <c r="CU788" s="72"/>
      <c r="CV788" s="72"/>
      <c r="CW788" s="72"/>
      <c r="CX788" s="72"/>
      <c r="CY788" s="72"/>
      <c r="CZ788" s="72"/>
      <c r="DA788" s="72"/>
      <c r="DB788" s="72"/>
      <c r="DC788" s="72"/>
      <c r="DD788" s="72"/>
      <c r="DE788" s="72"/>
      <c r="DF788" s="72"/>
      <c r="DG788" s="72"/>
      <c r="DH788" s="72"/>
      <c r="DI788" s="72"/>
      <c r="DJ788" s="72"/>
      <c r="DK788" s="72"/>
      <c r="DL788" s="72"/>
      <c r="DM788" s="72"/>
      <c r="DN788" s="72"/>
      <c r="DO788" s="72"/>
      <c r="DP788" s="72"/>
      <c r="DQ788" s="72"/>
      <c r="DR788" s="72"/>
      <c r="DS788" s="72"/>
      <c r="DT788" s="72"/>
      <c r="DU788" s="72"/>
      <c r="DV788" s="72"/>
      <c r="DW788" s="72"/>
      <c r="DX788" s="72"/>
      <c r="DY788" s="72"/>
      <c r="DZ788" s="72"/>
      <c r="EA788" s="72"/>
      <c r="EB788" s="72"/>
      <c r="EC788" s="72"/>
      <c r="ED788" s="72"/>
      <c r="EE788" s="72"/>
      <c r="EF788" s="72"/>
      <c r="EG788" s="72"/>
      <c r="EH788" s="72"/>
      <c r="EI788" s="129"/>
      <c r="EJ788" s="129"/>
      <c r="EK788" s="129"/>
      <c r="EL788" s="129"/>
      <c r="EM788" s="72"/>
      <c r="EN788" s="72"/>
      <c r="EO788" s="72"/>
      <c r="EP788" s="72"/>
      <c r="EQ788" s="72"/>
      <c r="ER788" s="72"/>
      <c r="ES788" s="72"/>
      <c r="ET788" s="72"/>
    </row>
    <row r="789">
      <c r="CD789" s="72"/>
      <c r="CE789" s="72"/>
      <c r="CF789" s="72"/>
      <c r="CG789" s="72"/>
      <c r="CH789" s="72"/>
      <c r="CI789" s="72"/>
      <c r="CJ789" s="72"/>
      <c r="CK789" s="72"/>
      <c r="CL789" s="72"/>
      <c r="CM789" s="72"/>
      <c r="CN789" s="72"/>
      <c r="CO789" s="72"/>
      <c r="CP789" s="72"/>
      <c r="CQ789" s="72"/>
      <c r="CR789" s="72"/>
      <c r="CS789" s="72"/>
      <c r="CT789" s="72"/>
      <c r="CU789" s="72"/>
      <c r="CV789" s="72"/>
      <c r="CW789" s="72"/>
      <c r="CX789" s="72"/>
      <c r="CY789" s="72"/>
      <c r="CZ789" s="72"/>
      <c r="DA789" s="72"/>
      <c r="DB789" s="72"/>
      <c r="DC789" s="72"/>
      <c r="DD789" s="72"/>
      <c r="DE789" s="72"/>
      <c r="DF789" s="72"/>
      <c r="DG789" s="72"/>
      <c r="DH789" s="72"/>
      <c r="DI789" s="72"/>
      <c r="DJ789" s="72"/>
      <c r="DK789" s="72"/>
      <c r="DL789" s="72"/>
      <c r="DM789" s="72"/>
      <c r="DN789" s="72"/>
      <c r="DO789" s="72"/>
      <c r="DP789" s="72"/>
      <c r="DQ789" s="72"/>
      <c r="DR789" s="72"/>
      <c r="DS789" s="72"/>
      <c r="DT789" s="72"/>
      <c r="DU789" s="72"/>
      <c r="DV789" s="72"/>
      <c r="DW789" s="72"/>
      <c r="DX789" s="72"/>
      <c r="DY789" s="72"/>
      <c r="DZ789" s="72"/>
      <c r="EA789" s="72"/>
      <c r="EB789" s="72"/>
      <c r="EC789" s="72"/>
      <c r="ED789" s="72"/>
      <c r="EE789" s="72"/>
      <c r="EF789" s="72"/>
      <c r="EG789" s="72"/>
      <c r="EH789" s="72"/>
      <c r="EI789" s="129"/>
      <c r="EJ789" s="129"/>
      <c r="EK789" s="129"/>
      <c r="EL789" s="129"/>
      <c r="EM789" s="72"/>
      <c r="EN789" s="72"/>
      <c r="EO789" s="72"/>
      <c r="EP789" s="72"/>
      <c r="EQ789" s="72"/>
      <c r="ER789" s="72"/>
      <c r="ES789" s="72"/>
      <c r="ET789" s="72"/>
    </row>
    <row r="790">
      <c r="CD790" s="72"/>
      <c r="CE790" s="72"/>
      <c r="CF790" s="72"/>
      <c r="CG790" s="72"/>
      <c r="CH790" s="72"/>
      <c r="CI790" s="72"/>
      <c r="CJ790" s="72"/>
      <c r="CK790" s="72"/>
      <c r="CL790" s="72"/>
      <c r="CM790" s="72"/>
      <c r="CN790" s="72"/>
      <c r="CO790" s="72"/>
      <c r="CP790" s="72"/>
      <c r="CQ790" s="72"/>
      <c r="CR790" s="72"/>
      <c r="CS790" s="72"/>
      <c r="CT790" s="72"/>
      <c r="CU790" s="72"/>
      <c r="CV790" s="72"/>
      <c r="CW790" s="72"/>
      <c r="CX790" s="72"/>
      <c r="CY790" s="72"/>
      <c r="CZ790" s="72"/>
      <c r="DA790" s="72"/>
      <c r="DB790" s="72"/>
      <c r="DC790" s="72"/>
      <c r="DD790" s="72"/>
      <c r="DE790" s="72"/>
      <c r="DF790" s="72"/>
      <c r="DG790" s="72"/>
      <c r="DH790" s="72"/>
      <c r="DI790" s="72"/>
      <c r="DJ790" s="72"/>
      <c r="DK790" s="72"/>
      <c r="DL790" s="72"/>
      <c r="DM790" s="72"/>
      <c r="DN790" s="72"/>
      <c r="DO790" s="72"/>
      <c r="DP790" s="72"/>
      <c r="DQ790" s="72"/>
      <c r="DR790" s="72"/>
      <c r="DS790" s="72"/>
      <c r="DT790" s="72"/>
      <c r="DU790" s="72"/>
      <c r="DV790" s="72"/>
      <c r="DW790" s="72"/>
      <c r="DX790" s="72"/>
      <c r="DY790" s="72"/>
      <c r="DZ790" s="72"/>
      <c r="EA790" s="72"/>
      <c r="EB790" s="72"/>
      <c r="EC790" s="72"/>
      <c r="ED790" s="72"/>
      <c r="EE790" s="72"/>
      <c r="EF790" s="72"/>
      <c r="EG790" s="72"/>
      <c r="EH790" s="72"/>
      <c r="EI790" s="129"/>
      <c r="EJ790" s="129"/>
      <c r="EK790" s="129"/>
      <c r="EL790" s="129"/>
      <c r="EM790" s="72"/>
      <c r="EN790" s="72"/>
      <c r="EO790" s="72"/>
      <c r="EP790" s="72"/>
      <c r="EQ790" s="72"/>
      <c r="ER790" s="72"/>
      <c r="ES790" s="72"/>
      <c r="ET790" s="72"/>
    </row>
    <row r="791">
      <c r="CD791" s="72"/>
      <c r="CE791" s="72"/>
      <c r="CF791" s="72"/>
      <c r="CG791" s="72"/>
      <c r="CH791" s="72"/>
      <c r="CI791" s="72"/>
      <c r="CJ791" s="72"/>
      <c r="CK791" s="72"/>
      <c r="CL791" s="72"/>
      <c r="CM791" s="72"/>
      <c r="CN791" s="72"/>
      <c r="CO791" s="72"/>
      <c r="CP791" s="72"/>
      <c r="CQ791" s="72"/>
      <c r="CR791" s="72"/>
      <c r="CS791" s="72"/>
      <c r="CT791" s="72"/>
      <c r="CU791" s="72"/>
      <c r="CV791" s="72"/>
      <c r="CW791" s="72"/>
      <c r="CX791" s="72"/>
      <c r="CY791" s="72"/>
      <c r="CZ791" s="72"/>
      <c r="DA791" s="72"/>
      <c r="DB791" s="72"/>
      <c r="DC791" s="72"/>
      <c r="DD791" s="72"/>
      <c r="DE791" s="72"/>
      <c r="DF791" s="72"/>
      <c r="DG791" s="72"/>
      <c r="DH791" s="72"/>
      <c r="DI791" s="72"/>
      <c r="DJ791" s="72"/>
      <c r="DK791" s="72"/>
      <c r="DL791" s="72"/>
      <c r="DM791" s="72"/>
      <c r="DN791" s="72"/>
      <c r="DO791" s="72"/>
      <c r="DP791" s="72"/>
      <c r="DQ791" s="72"/>
      <c r="DR791" s="72"/>
      <c r="DS791" s="72"/>
      <c r="DT791" s="72"/>
      <c r="DU791" s="72"/>
      <c r="DV791" s="72"/>
      <c r="DW791" s="72"/>
      <c r="DX791" s="72"/>
      <c r="DY791" s="72"/>
      <c r="DZ791" s="72"/>
      <c r="EA791" s="72"/>
      <c r="EB791" s="72"/>
      <c r="EC791" s="72"/>
      <c r="ED791" s="72"/>
      <c r="EE791" s="72"/>
      <c r="EF791" s="72"/>
      <c r="EG791" s="72"/>
      <c r="EH791" s="72"/>
      <c r="EI791" s="129"/>
      <c r="EJ791" s="129"/>
      <c r="EK791" s="129"/>
      <c r="EL791" s="129"/>
      <c r="EM791" s="72"/>
      <c r="EN791" s="72"/>
      <c r="EO791" s="72"/>
      <c r="EP791" s="72"/>
      <c r="EQ791" s="72"/>
      <c r="ER791" s="72"/>
      <c r="ES791" s="72"/>
      <c r="ET791" s="72"/>
    </row>
    <row r="792">
      <c r="CD792" s="72"/>
      <c r="CE792" s="72"/>
      <c r="CF792" s="72"/>
      <c r="CG792" s="72"/>
      <c r="CH792" s="72"/>
      <c r="CI792" s="72"/>
      <c r="CJ792" s="72"/>
      <c r="CK792" s="72"/>
      <c r="CL792" s="72"/>
      <c r="CM792" s="72"/>
      <c r="CN792" s="72"/>
      <c r="CO792" s="72"/>
      <c r="CP792" s="72"/>
      <c r="CQ792" s="72"/>
      <c r="CR792" s="72"/>
      <c r="CS792" s="72"/>
      <c r="CT792" s="72"/>
      <c r="CU792" s="72"/>
      <c r="CV792" s="72"/>
      <c r="CW792" s="72"/>
      <c r="CX792" s="72"/>
      <c r="CY792" s="72"/>
      <c r="CZ792" s="72"/>
      <c r="DA792" s="72"/>
      <c r="DB792" s="72"/>
      <c r="DC792" s="72"/>
      <c r="DD792" s="72"/>
      <c r="DE792" s="72"/>
      <c r="DF792" s="72"/>
      <c r="DG792" s="72"/>
      <c r="DH792" s="72"/>
      <c r="DI792" s="72"/>
      <c r="DJ792" s="72"/>
      <c r="DK792" s="72"/>
      <c r="DL792" s="72"/>
      <c r="DM792" s="72"/>
      <c r="DN792" s="72"/>
      <c r="DO792" s="72"/>
      <c r="DP792" s="72"/>
      <c r="DQ792" s="72"/>
      <c r="DR792" s="72"/>
      <c r="DS792" s="72"/>
      <c r="DT792" s="72"/>
      <c r="DU792" s="72"/>
      <c r="DV792" s="72"/>
      <c r="DW792" s="72"/>
      <c r="DX792" s="72"/>
      <c r="DY792" s="72"/>
      <c r="DZ792" s="72"/>
      <c r="EA792" s="72"/>
      <c r="EB792" s="72"/>
      <c r="EC792" s="72"/>
      <c r="ED792" s="72"/>
      <c r="EE792" s="72"/>
      <c r="EF792" s="72"/>
      <c r="EG792" s="72"/>
      <c r="EH792" s="72"/>
      <c r="EI792" s="129"/>
      <c r="EJ792" s="129"/>
      <c r="EK792" s="129"/>
      <c r="EL792" s="129"/>
      <c r="EM792" s="72"/>
      <c r="EN792" s="72"/>
      <c r="EO792" s="72"/>
      <c r="EP792" s="72"/>
      <c r="EQ792" s="72"/>
      <c r="ER792" s="72"/>
      <c r="ES792" s="72"/>
      <c r="ET792" s="72"/>
    </row>
    <row r="793">
      <c r="CD793" s="72"/>
      <c r="CE793" s="72"/>
      <c r="CF793" s="72"/>
      <c r="CG793" s="72"/>
      <c r="CH793" s="72"/>
      <c r="CI793" s="72"/>
      <c r="CJ793" s="72"/>
      <c r="CK793" s="72"/>
      <c r="CL793" s="72"/>
      <c r="CM793" s="72"/>
      <c r="CN793" s="72"/>
      <c r="CO793" s="72"/>
      <c r="CP793" s="72"/>
      <c r="CQ793" s="72"/>
      <c r="CR793" s="72"/>
      <c r="CS793" s="72"/>
      <c r="CT793" s="72"/>
      <c r="CU793" s="72"/>
      <c r="CV793" s="72"/>
      <c r="CW793" s="72"/>
      <c r="CX793" s="72"/>
      <c r="CY793" s="72"/>
      <c r="CZ793" s="72"/>
      <c r="DA793" s="72"/>
      <c r="DB793" s="72"/>
      <c r="DC793" s="72"/>
      <c r="DD793" s="72"/>
      <c r="DE793" s="72"/>
      <c r="DF793" s="72"/>
      <c r="DG793" s="72"/>
      <c r="DH793" s="72"/>
      <c r="DI793" s="72"/>
      <c r="DJ793" s="72"/>
      <c r="DK793" s="72"/>
      <c r="DL793" s="72"/>
      <c r="DM793" s="72"/>
      <c r="DN793" s="72"/>
      <c r="DO793" s="72"/>
      <c r="DP793" s="72"/>
      <c r="DQ793" s="72"/>
      <c r="DR793" s="72"/>
      <c r="DS793" s="72"/>
      <c r="DT793" s="72"/>
      <c r="DU793" s="72"/>
      <c r="DV793" s="72"/>
      <c r="DW793" s="72"/>
      <c r="DX793" s="72"/>
      <c r="DY793" s="72"/>
      <c r="DZ793" s="72"/>
      <c r="EA793" s="72"/>
      <c r="EB793" s="72"/>
      <c r="EC793" s="72"/>
      <c r="ED793" s="72"/>
      <c r="EE793" s="72"/>
      <c r="EF793" s="72"/>
      <c r="EG793" s="72"/>
      <c r="EH793" s="72"/>
      <c r="EI793" s="129"/>
      <c r="EJ793" s="129"/>
      <c r="EK793" s="129"/>
      <c r="EL793" s="129"/>
      <c r="EM793" s="72"/>
      <c r="EN793" s="72"/>
      <c r="EO793" s="72"/>
      <c r="EP793" s="72"/>
      <c r="EQ793" s="72"/>
      <c r="ER793" s="72"/>
      <c r="ES793" s="72"/>
      <c r="ET793" s="72"/>
    </row>
    <row r="794">
      <c r="CD794" s="72"/>
      <c r="CE794" s="72"/>
      <c r="CF794" s="72"/>
      <c r="CG794" s="72"/>
      <c r="CH794" s="72"/>
      <c r="CI794" s="72"/>
      <c r="CJ794" s="72"/>
      <c r="CK794" s="72"/>
      <c r="CL794" s="72"/>
      <c r="CM794" s="72"/>
      <c r="CN794" s="72"/>
      <c r="CO794" s="72"/>
      <c r="CP794" s="72"/>
      <c r="CQ794" s="72"/>
      <c r="CR794" s="72"/>
      <c r="CS794" s="72"/>
      <c r="CT794" s="72"/>
      <c r="CU794" s="72"/>
      <c r="CV794" s="72"/>
      <c r="CW794" s="72"/>
      <c r="CX794" s="72"/>
      <c r="CY794" s="72"/>
      <c r="CZ794" s="72"/>
      <c r="DA794" s="72"/>
      <c r="DB794" s="72"/>
      <c r="DC794" s="72"/>
      <c r="DD794" s="72"/>
      <c r="DE794" s="72"/>
      <c r="DF794" s="72"/>
      <c r="DG794" s="72"/>
      <c r="DH794" s="72"/>
      <c r="DI794" s="72"/>
      <c r="DJ794" s="72"/>
      <c r="DK794" s="72"/>
      <c r="DL794" s="72"/>
      <c r="DM794" s="72"/>
      <c r="DN794" s="72"/>
      <c r="DO794" s="72"/>
      <c r="DP794" s="72"/>
      <c r="DQ794" s="72"/>
      <c r="DR794" s="72"/>
      <c r="DS794" s="72"/>
      <c r="DT794" s="72"/>
      <c r="DU794" s="72"/>
      <c r="DV794" s="72"/>
      <c r="DW794" s="72"/>
      <c r="DX794" s="72"/>
      <c r="DY794" s="72"/>
      <c r="DZ794" s="72"/>
      <c r="EA794" s="72"/>
      <c r="EB794" s="72"/>
      <c r="EC794" s="72"/>
      <c r="ED794" s="72"/>
      <c r="EE794" s="72"/>
      <c r="EF794" s="72"/>
      <c r="EG794" s="72"/>
      <c r="EH794" s="72"/>
      <c r="EI794" s="129"/>
      <c r="EJ794" s="129"/>
      <c r="EK794" s="129"/>
      <c r="EL794" s="129"/>
      <c r="EM794" s="72"/>
      <c r="EN794" s="72"/>
      <c r="EO794" s="72"/>
      <c r="EP794" s="72"/>
      <c r="EQ794" s="72"/>
      <c r="ER794" s="72"/>
      <c r="ES794" s="72"/>
      <c r="ET794" s="72"/>
    </row>
    <row r="795">
      <c r="CD795" s="72"/>
      <c r="CE795" s="72"/>
      <c r="CF795" s="72"/>
      <c r="CG795" s="72"/>
      <c r="CH795" s="72"/>
      <c r="CI795" s="72"/>
      <c r="CJ795" s="72"/>
      <c r="CK795" s="72"/>
      <c r="CL795" s="72"/>
      <c r="CM795" s="72"/>
      <c r="CN795" s="72"/>
      <c r="CO795" s="72"/>
      <c r="CP795" s="72"/>
      <c r="CQ795" s="72"/>
      <c r="CR795" s="72"/>
      <c r="CS795" s="72"/>
      <c r="CT795" s="72"/>
      <c r="CU795" s="72"/>
      <c r="CV795" s="72"/>
      <c r="CW795" s="72"/>
      <c r="CX795" s="72"/>
      <c r="CY795" s="72"/>
      <c r="CZ795" s="72"/>
      <c r="DA795" s="72"/>
      <c r="DB795" s="72"/>
      <c r="DC795" s="72"/>
      <c r="DD795" s="72"/>
      <c r="DE795" s="72"/>
      <c r="DF795" s="72"/>
      <c r="DG795" s="72"/>
      <c r="DH795" s="72"/>
      <c r="DI795" s="72"/>
      <c r="DJ795" s="72"/>
      <c r="DK795" s="72"/>
      <c r="DL795" s="72"/>
      <c r="DM795" s="72"/>
      <c r="DN795" s="72"/>
      <c r="DO795" s="72"/>
      <c r="DP795" s="72"/>
      <c r="DQ795" s="72"/>
      <c r="DR795" s="72"/>
      <c r="DS795" s="72"/>
      <c r="DT795" s="72"/>
      <c r="DU795" s="72"/>
      <c r="DV795" s="72"/>
      <c r="DW795" s="72"/>
      <c r="DX795" s="72"/>
      <c r="DY795" s="72"/>
      <c r="DZ795" s="72"/>
      <c r="EA795" s="72"/>
      <c r="EB795" s="72"/>
      <c r="EC795" s="72"/>
      <c r="ED795" s="72"/>
      <c r="EE795" s="72"/>
      <c r="EF795" s="72"/>
      <c r="EG795" s="72"/>
      <c r="EH795" s="72"/>
      <c r="EI795" s="129"/>
      <c r="EJ795" s="129"/>
      <c r="EK795" s="129"/>
      <c r="EL795" s="129"/>
      <c r="EM795" s="72"/>
      <c r="EN795" s="72"/>
      <c r="EO795" s="72"/>
      <c r="EP795" s="72"/>
      <c r="EQ795" s="72"/>
      <c r="ER795" s="72"/>
      <c r="ES795" s="72"/>
      <c r="ET795" s="72"/>
    </row>
    <row r="796">
      <c r="CD796" s="72"/>
      <c r="CE796" s="72"/>
      <c r="CF796" s="72"/>
      <c r="CG796" s="72"/>
      <c r="CH796" s="72"/>
      <c r="CI796" s="72"/>
      <c r="CJ796" s="72"/>
      <c r="CK796" s="72"/>
      <c r="CL796" s="72"/>
      <c r="CM796" s="72"/>
      <c r="CN796" s="72"/>
      <c r="CO796" s="72"/>
      <c r="CP796" s="72"/>
      <c r="CQ796" s="72"/>
      <c r="CR796" s="72"/>
      <c r="CS796" s="72"/>
      <c r="CT796" s="72"/>
      <c r="CU796" s="72"/>
      <c r="CV796" s="72"/>
      <c r="CW796" s="72"/>
      <c r="CX796" s="72"/>
      <c r="CY796" s="72"/>
      <c r="CZ796" s="72"/>
      <c r="DA796" s="72"/>
      <c r="DB796" s="72"/>
      <c r="DC796" s="72"/>
      <c r="DD796" s="72"/>
      <c r="DE796" s="72"/>
      <c r="DF796" s="72"/>
      <c r="DG796" s="72"/>
      <c r="DH796" s="72"/>
      <c r="DI796" s="72"/>
      <c r="DJ796" s="72"/>
      <c r="DK796" s="72"/>
      <c r="DL796" s="72"/>
      <c r="DM796" s="72"/>
      <c r="DN796" s="72"/>
      <c r="DO796" s="72"/>
      <c r="DP796" s="72"/>
      <c r="DQ796" s="72"/>
      <c r="DR796" s="72"/>
      <c r="DS796" s="72"/>
      <c r="DT796" s="72"/>
      <c r="DU796" s="72"/>
      <c r="DV796" s="72"/>
      <c r="DW796" s="72"/>
      <c r="DX796" s="72"/>
      <c r="DY796" s="72"/>
      <c r="DZ796" s="72"/>
      <c r="EA796" s="72"/>
      <c r="EB796" s="72"/>
      <c r="EC796" s="72"/>
      <c r="ED796" s="72"/>
      <c r="EE796" s="72"/>
      <c r="EF796" s="72"/>
      <c r="EG796" s="72"/>
      <c r="EH796" s="72"/>
      <c r="EI796" s="129"/>
      <c r="EJ796" s="129"/>
      <c r="EK796" s="129"/>
      <c r="EL796" s="129"/>
      <c r="EM796" s="72"/>
      <c r="EN796" s="72"/>
      <c r="EO796" s="72"/>
      <c r="EP796" s="72"/>
      <c r="EQ796" s="72"/>
      <c r="ER796" s="72"/>
      <c r="ES796" s="72"/>
      <c r="ET796" s="72"/>
    </row>
    <row r="797">
      <c r="CD797" s="72"/>
      <c r="CE797" s="72"/>
      <c r="CF797" s="72"/>
      <c r="CG797" s="72"/>
      <c r="CH797" s="72"/>
      <c r="CI797" s="72"/>
      <c r="CJ797" s="72"/>
      <c r="CK797" s="72"/>
      <c r="CL797" s="72"/>
      <c r="CM797" s="72"/>
      <c r="CN797" s="72"/>
      <c r="CO797" s="72"/>
      <c r="CP797" s="72"/>
      <c r="CQ797" s="72"/>
      <c r="CR797" s="72"/>
      <c r="CS797" s="72"/>
      <c r="CT797" s="72"/>
      <c r="CU797" s="72"/>
      <c r="CV797" s="72"/>
      <c r="CW797" s="72"/>
      <c r="CX797" s="72"/>
      <c r="CY797" s="72"/>
      <c r="CZ797" s="72"/>
      <c r="DA797" s="72"/>
      <c r="DB797" s="72"/>
      <c r="DC797" s="72"/>
      <c r="DD797" s="72"/>
      <c r="DE797" s="72"/>
      <c r="DF797" s="72"/>
      <c r="DG797" s="72"/>
      <c r="DH797" s="72"/>
      <c r="DI797" s="72"/>
      <c r="DJ797" s="72"/>
      <c r="DK797" s="72"/>
      <c r="DL797" s="72"/>
      <c r="DM797" s="72"/>
      <c r="DN797" s="72"/>
      <c r="DO797" s="72"/>
      <c r="DP797" s="72"/>
      <c r="DQ797" s="72"/>
      <c r="DR797" s="72"/>
      <c r="DS797" s="72"/>
      <c r="DT797" s="72"/>
      <c r="DU797" s="72"/>
      <c r="DV797" s="72"/>
      <c r="DW797" s="72"/>
      <c r="DX797" s="72"/>
      <c r="DY797" s="72"/>
      <c r="DZ797" s="72"/>
      <c r="EA797" s="72"/>
      <c r="EB797" s="72"/>
      <c r="EC797" s="72"/>
      <c r="ED797" s="72"/>
      <c r="EE797" s="72"/>
      <c r="EF797" s="72"/>
      <c r="EG797" s="72"/>
      <c r="EH797" s="72"/>
      <c r="EI797" s="129"/>
      <c r="EJ797" s="129"/>
      <c r="EK797" s="129"/>
      <c r="EL797" s="129"/>
      <c r="EM797" s="72"/>
      <c r="EN797" s="72"/>
      <c r="EO797" s="72"/>
      <c r="EP797" s="72"/>
      <c r="EQ797" s="72"/>
      <c r="ER797" s="72"/>
      <c r="ES797" s="72"/>
      <c r="ET797" s="72"/>
    </row>
    <row r="798">
      <c r="CD798" s="72"/>
      <c r="CE798" s="72"/>
      <c r="CF798" s="72"/>
      <c r="CG798" s="72"/>
      <c r="CH798" s="72"/>
      <c r="CI798" s="72"/>
      <c r="CJ798" s="72"/>
      <c r="CK798" s="72"/>
      <c r="CL798" s="72"/>
      <c r="CM798" s="72"/>
      <c r="CN798" s="72"/>
      <c r="CO798" s="72"/>
      <c r="CP798" s="72"/>
      <c r="CQ798" s="72"/>
      <c r="CR798" s="72"/>
      <c r="CS798" s="72"/>
      <c r="CT798" s="72"/>
      <c r="CU798" s="72"/>
      <c r="CV798" s="72"/>
      <c r="CW798" s="72"/>
      <c r="CX798" s="72"/>
      <c r="CY798" s="72"/>
      <c r="CZ798" s="72"/>
      <c r="DA798" s="72"/>
      <c r="DB798" s="72"/>
      <c r="DC798" s="72"/>
      <c r="DD798" s="72"/>
      <c r="DE798" s="72"/>
      <c r="DF798" s="72"/>
      <c r="DG798" s="72"/>
      <c r="DH798" s="72"/>
      <c r="DI798" s="72"/>
      <c r="DJ798" s="72"/>
      <c r="DK798" s="72"/>
      <c r="DL798" s="72"/>
      <c r="DM798" s="72"/>
      <c r="DN798" s="72"/>
      <c r="DO798" s="72"/>
      <c r="DP798" s="72"/>
      <c r="DQ798" s="72"/>
      <c r="DR798" s="72"/>
      <c r="DS798" s="72"/>
      <c r="DT798" s="72"/>
      <c r="DU798" s="72"/>
      <c r="DV798" s="72"/>
      <c r="DW798" s="72"/>
      <c r="DX798" s="72"/>
      <c r="DY798" s="72"/>
      <c r="DZ798" s="72"/>
      <c r="EA798" s="72"/>
      <c r="EB798" s="72"/>
      <c r="EC798" s="72"/>
      <c r="ED798" s="72"/>
      <c r="EE798" s="72"/>
      <c r="EF798" s="72"/>
      <c r="EG798" s="72"/>
      <c r="EH798" s="72"/>
      <c r="EI798" s="129"/>
      <c r="EJ798" s="129"/>
      <c r="EK798" s="129"/>
      <c r="EL798" s="129"/>
      <c r="EM798" s="72"/>
      <c r="EN798" s="72"/>
      <c r="EO798" s="72"/>
      <c r="EP798" s="72"/>
      <c r="EQ798" s="72"/>
      <c r="ER798" s="72"/>
      <c r="ES798" s="72"/>
      <c r="ET798" s="72"/>
    </row>
    <row r="799">
      <c r="CD799" s="72"/>
      <c r="CE799" s="72"/>
      <c r="CF799" s="72"/>
      <c r="CG799" s="72"/>
      <c r="CH799" s="72"/>
      <c r="CI799" s="72"/>
      <c r="CJ799" s="72"/>
      <c r="CK799" s="72"/>
      <c r="CL799" s="72"/>
      <c r="CM799" s="72"/>
      <c r="CN799" s="72"/>
      <c r="CO799" s="72"/>
      <c r="CP799" s="72"/>
      <c r="CQ799" s="72"/>
      <c r="CR799" s="72"/>
      <c r="CS799" s="72"/>
      <c r="CT799" s="72"/>
      <c r="CU799" s="72"/>
      <c r="CV799" s="72"/>
      <c r="CW799" s="72"/>
      <c r="CX799" s="72"/>
      <c r="CY799" s="72"/>
      <c r="CZ799" s="72"/>
      <c r="DA799" s="72"/>
      <c r="DB799" s="72"/>
      <c r="DC799" s="72"/>
      <c r="DD799" s="72"/>
      <c r="DE799" s="72"/>
      <c r="DF799" s="72"/>
      <c r="DG799" s="72"/>
      <c r="DH799" s="72"/>
      <c r="DI799" s="72"/>
      <c r="DJ799" s="72"/>
      <c r="DK799" s="72"/>
      <c r="DL799" s="72"/>
      <c r="DM799" s="72"/>
      <c r="DN799" s="72"/>
      <c r="DO799" s="72"/>
      <c r="DP799" s="72"/>
      <c r="DQ799" s="72"/>
      <c r="DR799" s="72"/>
      <c r="DS799" s="72"/>
      <c r="DT799" s="72"/>
      <c r="DU799" s="72"/>
      <c r="DV799" s="72"/>
      <c r="DW799" s="72"/>
      <c r="DX799" s="72"/>
      <c r="DY799" s="72"/>
      <c r="DZ799" s="72"/>
      <c r="EA799" s="72"/>
      <c r="EB799" s="72"/>
      <c r="EC799" s="72"/>
      <c r="ED799" s="72"/>
      <c r="EE799" s="72"/>
      <c r="EF799" s="72"/>
      <c r="EG799" s="72"/>
      <c r="EH799" s="72"/>
      <c r="EI799" s="129"/>
      <c r="EJ799" s="129"/>
      <c r="EK799" s="129"/>
      <c r="EL799" s="129"/>
      <c r="EM799" s="72"/>
      <c r="EN799" s="72"/>
      <c r="EO799" s="72"/>
      <c r="EP799" s="72"/>
      <c r="EQ799" s="72"/>
      <c r="ER799" s="72"/>
      <c r="ES799" s="72"/>
      <c r="ET799" s="72"/>
    </row>
    <row r="800">
      <c r="CD800" s="72"/>
      <c r="CE800" s="72"/>
      <c r="CF800" s="72"/>
      <c r="CG800" s="72"/>
      <c r="CH800" s="72"/>
      <c r="CI800" s="72"/>
      <c r="CJ800" s="72"/>
      <c r="CK800" s="72"/>
      <c r="CL800" s="72"/>
      <c r="CM800" s="72"/>
      <c r="CN800" s="72"/>
      <c r="CO800" s="72"/>
      <c r="CP800" s="72"/>
      <c r="CQ800" s="72"/>
      <c r="CR800" s="72"/>
      <c r="CS800" s="72"/>
      <c r="CT800" s="72"/>
      <c r="CU800" s="72"/>
      <c r="CV800" s="72"/>
      <c r="CW800" s="72"/>
      <c r="CX800" s="72"/>
      <c r="CY800" s="72"/>
      <c r="CZ800" s="72"/>
      <c r="DA800" s="72"/>
      <c r="DB800" s="72"/>
      <c r="DC800" s="72"/>
      <c r="DD800" s="72"/>
      <c r="DE800" s="72"/>
      <c r="DF800" s="72"/>
      <c r="DG800" s="72"/>
      <c r="DH800" s="72"/>
      <c r="DI800" s="72"/>
      <c r="DJ800" s="72"/>
      <c r="DK800" s="72"/>
      <c r="DL800" s="72"/>
      <c r="DM800" s="72"/>
      <c r="DN800" s="72"/>
      <c r="DO800" s="72"/>
      <c r="DP800" s="72"/>
      <c r="DQ800" s="72"/>
      <c r="DR800" s="72"/>
      <c r="DS800" s="72"/>
      <c r="DT800" s="72"/>
      <c r="DU800" s="72"/>
      <c r="DV800" s="72"/>
      <c r="DW800" s="72"/>
      <c r="DX800" s="72"/>
      <c r="DY800" s="72"/>
      <c r="DZ800" s="72"/>
      <c r="EA800" s="72"/>
      <c r="EB800" s="72"/>
      <c r="EC800" s="72"/>
      <c r="ED800" s="72"/>
      <c r="EE800" s="72"/>
      <c r="EF800" s="72"/>
      <c r="EG800" s="72"/>
      <c r="EH800" s="72"/>
      <c r="EI800" s="129"/>
      <c r="EJ800" s="129"/>
      <c r="EK800" s="129"/>
      <c r="EL800" s="129"/>
      <c r="EM800" s="72"/>
      <c r="EN800" s="72"/>
      <c r="EO800" s="72"/>
      <c r="EP800" s="72"/>
      <c r="EQ800" s="72"/>
      <c r="ER800" s="72"/>
      <c r="ES800" s="72"/>
      <c r="ET800" s="72"/>
    </row>
    <row r="801">
      <c r="CD801" s="72"/>
      <c r="CE801" s="72"/>
      <c r="CF801" s="72"/>
      <c r="CG801" s="72"/>
      <c r="CH801" s="72"/>
      <c r="CI801" s="72"/>
      <c r="CJ801" s="72"/>
      <c r="CK801" s="72"/>
      <c r="CL801" s="72"/>
      <c r="CM801" s="72"/>
      <c r="CN801" s="72"/>
      <c r="CO801" s="72"/>
      <c r="CP801" s="72"/>
      <c r="CQ801" s="72"/>
      <c r="CR801" s="72"/>
      <c r="CS801" s="72"/>
      <c r="CT801" s="72"/>
      <c r="CU801" s="72"/>
      <c r="CV801" s="72"/>
      <c r="CW801" s="72"/>
      <c r="CX801" s="72"/>
      <c r="CY801" s="72"/>
      <c r="CZ801" s="72"/>
      <c r="DA801" s="72"/>
      <c r="DB801" s="72"/>
      <c r="DC801" s="72"/>
      <c r="DD801" s="72"/>
      <c r="DE801" s="72"/>
      <c r="DF801" s="72"/>
      <c r="DG801" s="72"/>
      <c r="DH801" s="72"/>
      <c r="DI801" s="72"/>
      <c r="DJ801" s="72"/>
      <c r="DK801" s="72"/>
      <c r="DL801" s="72"/>
      <c r="DM801" s="72"/>
      <c r="DN801" s="72"/>
      <c r="DO801" s="72"/>
      <c r="DP801" s="72"/>
      <c r="DQ801" s="72"/>
      <c r="DR801" s="72"/>
      <c r="DS801" s="72"/>
      <c r="DT801" s="72"/>
      <c r="DU801" s="72"/>
      <c r="DV801" s="72"/>
      <c r="DW801" s="72"/>
      <c r="DX801" s="72"/>
      <c r="DY801" s="72"/>
      <c r="DZ801" s="72"/>
      <c r="EA801" s="72"/>
      <c r="EB801" s="72"/>
      <c r="EC801" s="72"/>
      <c r="ED801" s="72"/>
      <c r="EE801" s="72"/>
      <c r="EF801" s="72"/>
      <c r="EG801" s="72"/>
      <c r="EH801" s="72"/>
      <c r="EI801" s="129"/>
      <c r="EJ801" s="129"/>
      <c r="EK801" s="129"/>
      <c r="EL801" s="129"/>
      <c r="EM801" s="72"/>
      <c r="EN801" s="72"/>
      <c r="EO801" s="72"/>
      <c r="EP801" s="72"/>
      <c r="EQ801" s="72"/>
      <c r="ER801" s="72"/>
      <c r="ES801" s="72"/>
      <c r="ET801" s="72"/>
    </row>
    <row r="802">
      <c r="CD802" s="72"/>
      <c r="CE802" s="72"/>
      <c r="CF802" s="72"/>
      <c r="CG802" s="72"/>
      <c r="CH802" s="72"/>
      <c r="CI802" s="72"/>
      <c r="CJ802" s="72"/>
      <c r="CK802" s="72"/>
      <c r="CL802" s="72"/>
      <c r="CM802" s="72"/>
      <c r="CN802" s="72"/>
      <c r="CO802" s="72"/>
      <c r="CP802" s="72"/>
      <c r="CQ802" s="72"/>
      <c r="CR802" s="72"/>
      <c r="CS802" s="72"/>
      <c r="CT802" s="72"/>
      <c r="CU802" s="72"/>
      <c r="CV802" s="72"/>
      <c r="CW802" s="72"/>
      <c r="CX802" s="72"/>
      <c r="CY802" s="72"/>
      <c r="CZ802" s="72"/>
      <c r="DA802" s="72"/>
      <c r="DB802" s="72"/>
      <c r="DC802" s="72"/>
      <c r="DD802" s="72"/>
      <c r="DE802" s="72"/>
      <c r="DF802" s="72"/>
      <c r="DG802" s="72"/>
      <c r="DH802" s="72"/>
      <c r="DI802" s="72"/>
      <c r="DJ802" s="72"/>
      <c r="DK802" s="72"/>
      <c r="DL802" s="72"/>
      <c r="DM802" s="72"/>
      <c r="DN802" s="72"/>
      <c r="DO802" s="72"/>
      <c r="DP802" s="72"/>
      <c r="DQ802" s="72"/>
      <c r="DR802" s="72"/>
      <c r="DS802" s="72"/>
      <c r="DT802" s="72"/>
      <c r="DU802" s="72"/>
      <c r="DV802" s="72"/>
      <c r="DW802" s="72"/>
      <c r="DX802" s="72"/>
      <c r="DY802" s="72"/>
      <c r="DZ802" s="72"/>
      <c r="EA802" s="72"/>
      <c r="EB802" s="72"/>
      <c r="EC802" s="72"/>
      <c r="ED802" s="72"/>
      <c r="EE802" s="72"/>
      <c r="EF802" s="72"/>
      <c r="EG802" s="72"/>
      <c r="EH802" s="72"/>
      <c r="EI802" s="129"/>
      <c r="EJ802" s="129"/>
      <c r="EK802" s="129"/>
      <c r="EL802" s="129"/>
      <c r="EM802" s="72"/>
      <c r="EN802" s="72"/>
      <c r="EO802" s="72"/>
      <c r="EP802" s="72"/>
      <c r="EQ802" s="72"/>
      <c r="ER802" s="72"/>
      <c r="ES802" s="72"/>
      <c r="ET802" s="72"/>
    </row>
    <row r="803">
      <c r="CD803" s="72"/>
      <c r="CE803" s="72"/>
      <c r="CF803" s="72"/>
      <c r="CG803" s="72"/>
      <c r="CH803" s="72"/>
      <c r="CI803" s="72"/>
      <c r="CJ803" s="72"/>
      <c r="CK803" s="72"/>
      <c r="CL803" s="72"/>
      <c r="CM803" s="72"/>
      <c r="CN803" s="72"/>
      <c r="CO803" s="72"/>
      <c r="CP803" s="72"/>
      <c r="CQ803" s="72"/>
      <c r="CR803" s="72"/>
      <c r="CS803" s="72"/>
      <c r="CT803" s="72"/>
      <c r="CU803" s="72"/>
      <c r="CV803" s="72"/>
      <c r="CW803" s="72"/>
      <c r="CX803" s="72"/>
      <c r="CY803" s="72"/>
      <c r="CZ803" s="72"/>
      <c r="DA803" s="72"/>
      <c r="DB803" s="72"/>
      <c r="DC803" s="72"/>
      <c r="DD803" s="72"/>
      <c r="DE803" s="72"/>
      <c r="DF803" s="72"/>
      <c r="DG803" s="72"/>
      <c r="DH803" s="72"/>
      <c r="DI803" s="72"/>
      <c r="DJ803" s="72"/>
      <c r="DK803" s="72"/>
      <c r="DL803" s="72"/>
      <c r="DM803" s="72"/>
      <c r="DN803" s="72"/>
      <c r="DO803" s="72"/>
      <c r="DP803" s="72"/>
      <c r="DQ803" s="72"/>
      <c r="DR803" s="72"/>
      <c r="DS803" s="72"/>
      <c r="DT803" s="72"/>
      <c r="DU803" s="72"/>
      <c r="DV803" s="72"/>
      <c r="DW803" s="72"/>
      <c r="DX803" s="72"/>
      <c r="DY803" s="72"/>
      <c r="DZ803" s="72"/>
      <c r="EA803" s="72"/>
      <c r="EB803" s="72"/>
      <c r="EC803" s="72"/>
      <c r="ED803" s="72"/>
      <c r="EE803" s="72"/>
      <c r="EF803" s="72"/>
      <c r="EG803" s="72"/>
      <c r="EH803" s="72"/>
      <c r="EI803" s="129"/>
      <c r="EJ803" s="129"/>
      <c r="EK803" s="129"/>
      <c r="EL803" s="129"/>
      <c r="EM803" s="72"/>
      <c r="EN803" s="72"/>
      <c r="EO803" s="72"/>
      <c r="EP803" s="72"/>
      <c r="EQ803" s="72"/>
      <c r="ER803" s="72"/>
      <c r="ES803" s="72"/>
      <c r="ET803" s="72"/>
    </row>
    <row r="804">
      <c r="CD804" s="72"/>
      <c r="CE804" s="72"/>
      <c r="CF804" s="72"/>
      <c r="CG804" s="72"/>
      <c r="CH804" s="72"/>
      <c r="CI804" s="72"/>
      <c r="CJ804" s="72"/>
      <c r="CK804" s="72"/>
      <c r="CL804" s="72"/>
      <c r="CM804" s="72"/>
      <c r="CN804" s="72"/>
      <c r="CO804" s="72"/>
      <c r="CP804" s="72"/>
      <c r="CQ804" s="72"/>
      <c r="CR804" s="72"/>
      <c r="CS804" s="72"/>
      <c r="CT804" s="72"/>
      <c r="CU804" s="72"/>
      <c r="CV804" s="72"/>
      <c r="CW804" s="72"/>
      <c r="CX804" s="72"/>
      <c r="CY804" s="72"/>
      <c r="CZ804" s="72"/>
      <c r="DA804" s="72"/>
      <c r="DB804" s="72"/>
      <c r="DC804" s="72"/>
      <c r="DD804" s="72"/>
      <c r="DE804" s="72"/>
      <c r="DF804" s="72"/>
      <c r="DG804" s="72"/>
      <c r="DH804" s="72"/>
      <c r="DI804" s="72"/>
      <c r="DJ804" s="72"/>
      <c r="DK804" s="72"/>
      <c r="DL804" s="72"/>
      <c r="DM804" s="72"/>
      <c r="DN804" s="72"/>
      <c r="DO804" s="72"/>
      <c r="DP804" s="72"/>
      <c r="DQ804" s="72"/>
      <c r="DR804" s="72"/>
      <c r="DS804" s="72"/>
      <c r="DT804" s="72"/>
      <c r="DU804" s="72"/>
      <c r="DV804" s="72"/>
      <c r="DW804" s="72"/>
      <c r="DX804" s="72"/>
      <c r="DY804" s="72"/>
      <c r="DZ804" s="72"/>
      <c r="EA804" s="72"/>
      <c r="EB804" s="72"/>
      <c r="EC804" s="72"/>
      <c r="ED804" s="72"/>
      <c r="EE804" s="72"/>
      <c r="EF804" s="72"/>
      <c r="EG804" s="72"/>
      <c r="EH804" s="72"/>
      <c r="EI804" s="129"/>
      <c r="EJ804" s="129"/>
      <c r="EK804" s="129"/>
      <c r="EL804" s="129"/>
      <c r="EM804" s="72"/>
      <c r="EN804" s="72"/>
      <c r="EO804" s="72"/>
      <c r="EP804" s="72"/>
      <c r="EQ804" s="72"/>
      <c r="ER804" s="72"/>
      <c r="ES804" s="72"/>
      <c r="ET804" s="72"/>
    </row>
    <row r="805">
      <c r="CD805" s="72"/>
      <c r="CE805" s="72"/>
      <c r="CF805" s="72"/>
      <c r="CG805" s="72"/>
      <c r="CH805" s="72"/>
      <c r="CI805" s="72"/>
      <c r="CJ805" s="72"/>
      <c r="CK805" s="72"/>
      <c r="CL805" s="72"/>
      <c r="CM805" s="72"/>
      <c r="CN805" s="72"/>
      <c r="CO805" s="72"/>
      <c r="CP805" s="72"/>
      <c r="CQ805" s="72"/>
      <c r="CR805" s="72"/>
      <c r="CS805" s="72"/>
      <c r="CT805" s="72"/>
      <c r="CU805" s="72"/>
      <c r="CV805" s="72"/>
      <c r="CW805" s="72"/>
      <c r="CX805" s="72"/>
      <c r="CY805" s="72"/>
      <c r="CZ805" s="72"/>
      <c r="DA805" s="72"/>
      <c r="DB805" s="72"/>
      <c r="DC805" s="72"/>
      <c r="DD805" s="72"/>
      <c r="DE805" s="72"/>
      <c r="DF805" s="72"/>
      <c r="DG805" s="72"/>
      <c r="DH805" s="72"/>
      <c r="DI805" s="72"/>
      <c r="DJ805" s="72"/>
      <c r="DK805" s="72"/>
      <c r="DL805" s="72"/>
      <c r="DM805" s="72"/>
      <c r="DN805" s="72"/>
      <c r="DO805" s="72"/>
      <c r="DP805" s="72"/>
      <c r="DQ805" s="72"/>
      <c r="DR805" s="72"/>
      <c r="DS805" s="72"/>
      <c r="DT805" s="72"/>
      <c r="DU805" s="72"/>
      <c r="DV805" s="72"/>
      <c r="DW805" s="72"/>
      <c r="DX805" s="72"/>
      <c r="DY805" s="72"/>
      <c r="DZ805" s="72"/>
      <c r="EA805" s="72"/>
      <c r="EB805" s="72"/>
      <c r="EC805" s="72"/>
      <c r="ED805" s="72"/>
      <c r="EE805" s="72"/>
      <c r="EF805" s="72"/>
      <c r="EG805" s="72"/>
      <c r="EH805" s="72"/>
      <c r="EI805" s="129"/>
      <c r="EJ805" s="129"/>
      <c r="EK805" s="129"/>
      <c r="EL805" s="129"/>
      <c r="EM805" s="72"/>
      <c r="EN805" s="72"/>
      <c r="EO805" s="72"/>
      <c r="EP805" s="72"/>
      <c r="EQ805" s="72"/>
      <c r="ER805" s="72"/>
      <c r="ES805" s="72"/>
      <c r="ET805" s="72"/>
    </row>
    <row r="806">
      <c r="CD806" s="72"/>
      <c r="CE806" s="72"/>
      <c r="CF806" s="72"/>
      <c r="CG806" s="72"/>
      <c r="CH806" s="72"/>
      <c r="CI806" s="72"/>
      <c r="CJ806" s="72"/>
      <c r="CK806" s="72"/>
      <c r="CL806" s="72"/>
      <c r="CM806" s="72"/>
      <c r="CN806" s="72"/>
      <c r="CO806" s="72"/>
      <c r="CP806" s="72"/>
      <c r="CQ806" s="72"/>
      <c r="CR806" s="72"/>
      <c r="CS806" s="72"/>
      <c r="CT806" s="72"/>
      <c r="CU806" s="72"/>
      <c r="CV806" s="72"/>
      <c r="CW806" s="72"/>
      <c r="CX806" s="72"/>
      <c r="CY806" s="72"/>
      <c r="CZ806" s="72"/>
      <c r="DA806" s="72"/>
      <c r="DB806" s="72"/>
      <c r="DC806" s="72"/>
      <c r="DD806" s="72"/>
      <c r="DE806" s="72"/>
      <c r="DF806" s="72"/>
      <c r="DG806" s="72"/>
      <c r="DH806" s="72"/>
      <c r="DI806" s="72"/>
      <c r="DJ806" s="72"/>
      <c r="DK806" s="72"/>
      <c r="DL806" s="72"/>
      <c r="DM806" s="72"/>
      <c r="DN806" s="72"/>
      <c r="DO806" s="72"/>
      <c r="DP806" s="72"/>
      <c r="DQ806" s="72"/>
      <c r="DR806" s="72"/>
      <c r="DS806" s="72"/>
      <c r="DT806" s="72"/>
      <c r="DU806" s="72"/>
      <c r="DV806" s="72"/>
      <c r="DW806" s="72"/>
      <c r="DX806" s="72"/>
      <c r="DY806" s="72"/>
      <c r="DZ806" s="72"/>
      <c r="EA806" s="72"/>
      <c r="EB806" s="72"/>
      <c r="EC806" s="72"/>
      <c r="ED806" s="72"/>
      <c r="EE806" s="72"/>
      <c r="EF806" s="72"/>
      <c r="EG806" s="72"/>
      <c r="EH806" s="72"/>
      <c r="EI806" s="129"/>
      <c r="EJ806" s="129"/>
      <c r="EK806" s="129"/>
      <c r="EL806" s="129"/>
      <c r="EM806" s="72"/>
      <c r="EN806" s="72"/>
      <c r="EO806" s="72"/>
      <c r="EP806" s="72"/>
      <c r="EQ806" s="72"/>
      <c r="ER806" s="72"/>
      <c r="ES806" s="72"/>
      <c r="ET806" s="72"/>
    </row>
    <row r="807">
      <c r="CD807" s="72"/>
      <c r="CE807" s="72"/>
      <c r="CF807" s="72"/>
      <c r="CG807" s="72"/>
      <c r="CH807" s="72"/>
      <c r="CI807" s="72"/>
      <c r="CJ807" s="72"/>
      <c r="CK807" s="72"/>
      <c r="CL807" s="72"/>
      <c r="CM807" s="72"/>
      <c r="CN807" s="72"/>
      <c r="CO807" s="72"/>
      <c r="CP807" s="72"/>
      <c r="CQ807" s="72"/>
      <c r="CR807" s="72"/>
      <c r="CS807" s="72"/>
      <c r="CT807" s="72"/>
      <c r="CU807" s="72"/>
      <c r="CV807" s="72"/>
      <c r="CW807" s="72"/>
      <c r="CX807" s="72"/>
      <c r="CY807" s="72"/>
      <c r="CZ807" s="72"/>
      <c r="DA807" s="72"/>
      <c r="DB807" s="72"/>
      <c r="DC807" s="72"/>
      <c r="DD807" s="72"/>
      <c r="DE807" s="72"/>
      <c r="DF807" s="72"/>
      <c r="DG807" s="72"/>
      <c r="DH807" s="72"/>
      <c r="DI807" s="72"/>
      <c r="DJ807" s="72"/>
      <c r="DK807" s="72"/>
      <c r="DL807" s="72"/>
      <c r="DM807" s="72"/>
      <c r="DN807" s="72"/>
      <c r="DO807" s="72"/>
      <c r="DP807" s="72"/>
      <c r="DQ807" s="72"/>
      <c r="DR807" s="72"/>
      <c r="DS807" s="72"/>
      <c r="DT807" s="72"/>
      <c r="DU807" s="72"/>
      <c r="DV807" s="72"/>
      <c r="DW807" s="72"/>
      <c r="DX807" s="72"/>
      <c r="DY807" s="72"/>
      <c r="DZ807" s="72"/>
      <c r="EA807" s="72"/>
      <c r="EB807" s="72"/>
      <c r="EC807" s="72"/>
      <c r="ED807" s="72"/>
      <c r="EE807" s="72"/>
      <c r="EF807" s="72"/>
      <c r="EG807" s="72"/>
      <c r="EH807" s="72"/>
      <c r="EI807" s="129"/>
      <c r="EJ807" s="129"/>
      <c r="EK807" s="129"/>
      <c r="EL807" s="129"/>
      <c r="EM807" s="72"/>
      <c r="EN807" s="72"/>
      <c r="EO807" s="72"/>
      <c r="EP807" s="72"/>
      <c r="EQ807" s="72"/>
      <c r="ER807" s="72"/>
      <c r="ES807" s="72"/>
      <c r="ET807" s="72"/>
    </row>
    <row r="808">
      <c r="CD808" s="72"/>
      <c r="CE808" s="72"/>
      <c r="CF808" s="72"/>
      <c r="CG808" s="72"/>
      <c r="CH808" s="72"/>
      <c r="CI808" s="72"/>
      <c r="CJ808" s="72"/>
      <c r="CK808" s="72"/>
      <c r="CL808" s="72"/>
      <c r="CM808" s="72"/>
      <c r="CN808" s="72"/>
      <c r="CO808" s="72"/>
      <c r="CP808" s="72"/>
      <c r="CQ808" s="72"/>
      <c r="CR808" s="72"/>
      <c r="CS808" s="72"/>
      <c r="CT808" s="72"/>
      <c r="CU808" s="72"/>
      <c r="CV808" s="72"/>
      <c r="CW808" s="72"/>
      <c r="CX808" s="72"/>
      <c r="CY808" s="72"/>
      <c r="CZ808" s="72"/>
      <c r="DA808" s="72"/>
      <c r="DB808" s="72"/>
      <c r="DC808" s="72"/>
      <c r="DD808" s="72"/>
      <c r="DE808" s="72"/>
      <c r="DF808" s="72"/>
      <c r="DG808" s="72"/>
      <c r="DH808" s="72"/>
      <c r="DI808" s="72"/>
      <c r="DJ808" s="72"/>
      <c r="DK808" s="72"/>
      <c r="DL808" s="72"/>
      <c r="DM808" s="72"/>
      <c r="DN808" s="72"/>
      <c r="DO808" s="72"/>
      <c r="DP808" s="72"/>
      <c r="DQ808" s="72"/>
      <c r="DR808" s="72"/>
      <c r="DS808" s="72"/>
      <c r="DT808" s="72"/>
      <c r="DU808" s="72"/>
      <c r="DV808" s="72"/>
      <c r="DW808" s="72"/>
      <c r="DX808" s="72"/>
      <c r="DY808" s="72"/>
      <c r="DZ808" s="72"/>
      <c r="EA808" s="72"/>
      <c r="EB808" s="72"/>
      <c r="EC808" s="72"/>
      <c r="ED808" s="72"/>
      <c r="EE808" s="72"/>
      <c r="EF808" s="72"/>
      <c r="EG808" s="72"/>
      <c r="EH808" s="72"/>
      <c r="EI808" s="129"/>
      <c r="EJ808" s="129"/>
      <c r="EK808" s="129"/>
      <c r="EL808" s="129"/>
      <c r="EM808" s="72"/>
      <c r="EN808" s="72"/>
      <c r="EO808" s="72"/>
      <c r="EP808" s="72"/>
      <c r="EQ808" s="72"/>
      <c r="ER808" s="72"/>
      <c r="ES808" s="72"/>
      <c r="ET808" s="72"/>
    </row>
    <row r="809">
      <c r="CD809" s="72"/>
      <c r="CE809" s="72"/>
      <c r="CF809" s="72"/>
      <c r="CG809" s="72"/>
      <c r="CH809" s="72"/>
      <c r="CI809" s="72"/>
      <c r="CJ809" s="72"/>
      <c r="CK809" s="72"/>
      <c r="CL809" s="72"/>
      <c r="CM809" s="72"/>
      <c r="CN809" s="72"/>
      <c r="CO809" s="72"/>
      <c r="CP809" s="72"/>
      <c r="CQ809" s="72"/>
      <c r="CR809" s="72"/>
      <c r="CS809" s="72"/>
      <c r="CT809" s="72"/>
      <c r="CU809" s="72"/>
      <c r="CV809" s="72"/>
      <c r="CW809" s="72"/>
      <c r="CX809" s="72"/>
      <c r="CY809" s="72"/>
      <c r="CZ809" s="72"/>
      <c r="DA809" s="72"/>
      <c r="DB809" s="72"/>
      <c r="DC809" s="72"/>
      <c r="DD809" s="72"/>
      <c r="DE809" s="72"/>
      <c r="DF809" s="72"/>
      <c r="DG809" s="72"/>
      <c r="DH809" s="72"/>
      <c r="DI809" s="72"/>
      <c r="DJ809" s="72"/>
      <c r="DK809" s="72"/>
      <c r="DL809" s="72"/>
      <c r="DM809" s="72"/>
      <c r="DN809" s="72"/>
      <c r="DO809" s="72"/>
      <c r="DP809" s="72"/>
      <c r="DQ809" s="72"/>
      <c r="DR809" s="72"/>
      <c r="DS809" s="72"/>
      <c r="DT809" s="72"/>
      <c r="DU809" s="72"/>
      <c r="DV809" s="72"/>
      <c r="DW809" s="72"/>
      <c r="DX809" s="72"/>
      <c r="DY809" s="72"/>
      <c r="DZ809" s="72"/>
      <c r="EA809" s="72"/>
      <c r="EB809" s="72"/>
      <c r="EC809" s="72"/>
      <c r="ED809" s="72"/>
      <c r="EE809" s="72"/>
      <c r="EF809" s="72"/>
      <c r="EG809" s="72"/>
      <c r="EH809" s="72"/>
      <c r="EI809" s="129"/>
      <c r="EJ809" s="129"/>
      <c r="EK809" s="129"/>
      <c r="EL809" s="129"/>
      <c r="EM809" s="72"/>
      <c r="EN809" s="72"/>
      <c r="EO809" s="72"/>
      <c r="EP809" s="72"/>
      <c r="EQ809" s="72"/>
      <c r="ER809" s="72"/>
      <c r="ES809" s="72"/>
      <c r="ET809" s="72"/>
    </row>
    <row r="810">
      <c r="CD810" s="72"/>
      <c r="CE810" s="72"/>
      <c r="CF810" s="72"/>
      <c r="CG810" s="72"/>
      <c r="CH810" s="72"/>
      <c r="CI810" s="72"/>
      <c r="CJ810" s="72"/>
      <c r="CK810" s="72"/>
      <c r="CL810" s="72"/>
      <c r="CM810" s="72"/>
      <c r="CN810" s="72"/>
      <c r="CO810" s="72"/>
      <c r="CP810" s="72"/>
      <c r="CQ810" s="72"/>
      <c r="CR810" s="72"/>
      <c r="CS810" s="72"/>
      <c r="CT810" s="72"/>
      <c r="CU810" s="72"/>
      <c r="CV810" s="72"/>
      <c r="CW810" s="72"/>
      <c r="CX810" s="72"/>
      <c r="CY810" s="72"/>
      <c r="CZ810" s="72"/>
      <c r="DA810" s="72"/>
      <c r="DB810" s="72"/>
      <c r="DC810" s="72"/>
      <c r="DD810" s="72"/>
      <c r="DE810" s="72"/>
      <c r="DF810" s="72"/>
      <c r="DG810" s="72"/>
      <c r="DH810" s="72"/>
      <c r="DI810" s="72"/>
      <c r="DJ810" s="72"/>
      <c r="DK810" s="72"/>
      <c r="DL810" s="72"/>
      <c r="DM810" s="72"/>
      <c r="DN810" s="72"/>
      <c r="DO810" s="72"/>
      <c r="DP810" s="72"/>
      <c r="DQ810" s="72"/>
      <c r="DR810" s="72"/>
      <c r="DS810" s="72"/>
      <c r="DT810" s="72"/>
      <c r="DU810" s="72"/>
      <c r="DV810" s="72"/>
      <c r="DW810" s="72"/>
      <c r="DX810" s="72"/>
      <c r="DY810" s="72"/>
      <c r="DZ810" s="72"/>
      <c r="EA810" s="72"/>
      <c r="EB810" s="72"/>
      <c r="EC810" s="72"/>
      <c r="ED810" s="72"/>
      <c r="EE810" s="72"/>
      <c r="EF810" s="72"/>
      <c r="EG810" s="72"/>
      <c r="EH810" s="72"/>
      <c r="EI810" s="129"/>
      <c r="EJ810" s="129"/>
      <c r="EK810" s="129"/>
      <c r="EL810" s="129"/>
      <c r="EM810" s="72"/>
      <c r="EN810" s="72"/>
      <c r="EO810" s="72"/>
      <c r="EP810" s="72"/>
      <c r="EQ810" s="72"/>
      <c r="ER810" s="72"/>
      <c r="ES810" s="72"/>
      <c r="ET810" s="72"/>
    </row>
    <row r="811">
      <c r="CD811" s="72"/>
      <c r="CE811" s="72"/>
      <c r="CF811" s="72"/>
      <c r="CG811" s="72"/>
      <c r="CH811" s="72"/>
      <c r="CI811" s="72"/>
      <c r="CJ811" s="72"/>
      <c r="CK811" s="72"/>
      <c r="CL811" s="72"/>
      <c r="CM811" s="72"/>
      <c r="CN811" s="72"/>
      <c r="CO811" s="72"/>
      <c r="CP811" s="72"/>
      <c r="CQ811" s="72"/>
      <c r="CR811" s="72"/>
      <c r="CS811" s="72"/>
      <c r="CT811" s="72"/>
      <c r="CU811" s="72"/>
      <c r="CV811" s="72"/>
      <c r="CW811" s="72"/>
      <c r="CX811" s="72"/>
      <c r="CY811" s="72"/>
      <c r="CZ811" s="72"/>
      <c r="DA811" s="72"/>
      <c r="DB811" s="72"/>
      <c r="DC811" s="72"/>
      <c r="DD811" s="72"/>
      <c r="DE811" s="72"/>
      <c r="DF811" s="72"/>
      <c r="DG811" s="72"/>
      <c r="DH811" s="72"/>
      <c r="DI811" s="72"/>
      <c r="DJ811" s="72"/>
      <c r="DK811" s="72"/>
      <c r="DL811" s="72"/>
      <c r="DM811" s="72"/>
      <c r="DN811" s="72"/>
      <c r="DO811" s="72"/>
      <c r="DP811" s="72"/>
      <c r="DQ811" s="72"/>
      <c r="DR811" s="72"/>
      <c r="DS811" s="72"/>
      <c r="DT811" s="72"/>
      <c r="DU811" s="72"/>
      <c r="DV811" s="72"/>
      <c r="DW811" s="72"/>
      <c r="DX811" s="72"/>
      <c r="DY811" s="72"/>
      <c r="DZ811" s="72"/>
      <c r="EA811" s="72"/>
      <c r="EB811" s="72"/>
      <c r="EC811" s="72"/>
      <c r="ED811" s="72"/>
      <c r="EE811" s="72"/>
      <c r="EF811" s="72"/>
      <c r="EG811" s="72"/>
      <c r="EH811" s="72"/>
      <c r="EI811" s="129"/>
      <c r="EJ811" s="129"/>
      <c r="EK811" s="129"/>
      <c r="EL811" s="129"/>
      <c r="EM811" s="72"/>
      <c r="EN811" s="72"/>
      <c r="EO811" s="72"/>
      <c r="EP811" s="72"/>
      <c r="EQ811" s="72"/>
      <c r="ER811" s="72"/>
      <c r="ES811" s="72"/>
      <c r="ET811" s="72"/>
    </row>
    <row r="812">
      <c r="CD812" s="72"/>
      <c r="CE812" s="72"/>
      <c r="CF812" s="72"/>
      <c r="CG812" s="72"/>
      <c r="CH812" s="72"/>
      <c r="CI812" s="72"/>
      <c r="CJ812" s="72"/>
      <c r="CK812" s="72"/>
      <c r="CL812" s="72"/>
      <c r="CM812" s="72"/>
      <c r="CN812" s="72"/>
      <c r="CO812" s="72"/>
      <c r="CP812" s="72"/>
      <c r="CQ812" s="72"/>
      <c r="CR812" s="72"/>
      <c r="CS812" s="72"/>
      <c r="CT812" s="72"/>
      <c r="CU812" s="72"/>
      <c r="CV812" s="72"/>
      <c r="CW812" s="72"/>
      <c r="CX812" s="72"/>
      <c r="CY812" s="72"/>
      <c r="CZ812" s="72"/>
      <c r="DA812" s="72"/>
      <c r="DB812" s="72"/>
      <c r="DC812" s="72"/>
      <c r="DD812" s="72"/>
      <c r="DE812" s="72"/>
      <c r="DF812" s="72"/>
      <c r="DG812" s="72"/>
      <c r="DH812" s="72"/>
      <c r="DI812" s="72"/>
      <c r="DJ812" s="72"/>
      <c r="DK812" s="72"/>
      <c r="DL812" s="72"/>
      <c r="DM812" s="72"/>
      <c r="DN812" s="72"/>
      <c r="DO812" s="72"/>
      <c r="DP812" s="72"/>
      <c r="DQ812" s="72"/>
      <c r="DR812" s="72"/>
      <c r="DS812" s="72"/>
      <c r="DT812" s="72"/>
      <c r="DU812" s="72"/>
      <c r="DV812" s="72"/>
      <c r="DW812" s="72"/>
      <c r="DX812" s="72"/>
      <c r="DY812" s="72"/>
      <c r="DZ812" s="72"/>
      <c r="EA812" s="72"/>
      <c r="EB812" s="72"/>
      <c r="EC812" s="72"/>
      <c r="ED812" s="72"/>
      <c r="EE812" s="72"/>
      <c r="EF812" s="72"/>
      <c r="EG812" s="72"/>
      <c r="EH812" s="72"/>
      <c r="EI812" s="129"/>
      <c r="EJ812" s="129"/>
      <c r="EK812" s="129"/>
      <c r="EL812" s="129"/>
      <c r="EM812" s="72"/>
      <c r="EN812" s="72"/>
      <c r="EO812" s="72"/>
      <c r="EP812" s="72"/>
      <c r="EQ812" s="72"/>
      <c r="ER812" s="72"/>
      <c r="ES812" s="72"/>
      <c r="ET812" s="72"/>
    </row>
    <row r="813">
      <c r="CD813" s="72"/>
      <c r="CE813" s="72"/>
      <c r="CF813" s="72"/>
      <c r="CG813" s="72"/>
      <c r="CH813" s="72"/>
      <c r="CI813" s="72"/>
      <c r="CJ813" s="72"/>
      <c r="CK813" s="72"/>
      <c r="CL813" s="72"/>
      <c r="CM813" s="72"/>
      <c r="CN813" s="72"/>
      <c r="CO813" s="72"/>
      <c r="CP813" s="72"/>
      <c r="CQ813" s="72"/>
      <c r="CR813" s="72"/>
      <c r="CS813" s="72"/>
      <c r="CT813" s="72"/>
      <c r="CU813" s="72"/>
      <c r="CV813" s="72"/>
      <c r="CW813" s="72"/>
      <c r="CX813" s="72"/>
      <c r="CY813" s="72"/>
      <c r="CZ813" s="72"/>
      <c r="DA813" s="72"/>
      <c r="DB813" s="72"/>
      <c r="DC813" s="72"/>
      <c r="DD813" s="72"/>
      <c r="DE813" s="72"/>
      <c r="DF813" s="72"/>
      <c r="DG813" s="72"/>
      <c r="DH813" s="72"/>
      <c r="DI813" s="72"/>
      <c r="DJ813" s="72"/>
      <c r="DK813" s="72"/>
      <c r="DL813" s="72"/>
      <c r="DM813" s="72"/>
      <c r="DN813" s="72"/>
      <c r="DO813" s="72"/>
      <c r="DP813" s="72"/>
      <c r="DQ813" s="72"/>
      <c r="DR813" s="72"/>
      <c r="DS813" s="72"/>
      <c r="DT813" s="72"/>
      <c r="DU813" s="72"/>
      <c r="DV813" s="72"/>
      <c r="DW813" s="72"/>
      <c r="DX813" s="72"/>
      <c r="DY813" s="72"/>
      <c r="DZ813" s="72"/>
      <c r="EA813" s="72"/>
      <c r="EB813" s="72"/>
      <c r="EC813" s="72"/>
      <c r="ED813" s="72"/>
      <c r="EE813" s="72"/>
      <c r="EF813" s="72"/>
      <c r="EG813" s="72"/>
      <c r="EH813" s="72"/>
      <c r="EI813" s="129"/>
      <c r="EJ813" s="129"/>
      <c r="EK813" s="129"/>
      <c r="EL813" s="129"/>
      <c r="EM813" s="72"/>
      <c r="EN813" s="72"/>
      <c r="EO813" s="72"/>
      <c r="EP813" s="72"/>
      <c r="EQ813" s="72"/>
      <c r="ER813" s="72"/>
      <c r="ES813" s="72"/>
      <c r="ET813" s="72"/>
    </row>
    <row r="814">
      <c r="CD814" s="72"/>
      <c r="CE814" s="72"/>
      <c r="CF814" s="72"/>
      <c r="CG814" s="72"/>
      <c r="CH814" s="72"/>
      <c r="CI814" s="72"/>
      <c r="CJ814" s="72"/>
      <c r="CK814" s="72"/>
      <c r="CL814" s="72"/>
      <c r="CM814" s="72"/>
      <c r="CN814" s="72"/>
      <c r="CO814" s="72"/>
      <c r="CP814" s="72"/>
      <c r="CQ814" s="72"/>
      <c r="CR814" s="72"/>
      <c r="CS814" s="72"/>
      <c r="CT814" s="72"/>
      <c r="CU814" s="72"/>
      <c r="CV814" s="72"/>
      <c r="CW814" s="72"/>
      <c r="CX814" s="72"/>
      <c r="CY814" s="72"/>
      <c r="CZ814" s="72"/>
      <c r="DA814" s="72"/>
      <c r="DB814" s="72"/>
      <c r="DC814" s="72"/>
      <c r="DD814" s="72"/>
      <c r="DE814" s="72"/>
      <c r="DF814" s="72"/>
      <c r="DG814" s="72"/>
      <c r="DH814" s="72"/>
      <c r="DI814" s="72"/>
      <c r="DJ814" s="72"/>
      <c r="DK814" s="72"/>
      <c r="DL814" s="72"/>
      <c r="DM814" s="72"/>
      <c r="DN814" s="72"/>
      <c r="DO814" s="72"/>
      <c r="DP814" s="72"/>
      <c r="DQ814" s="72"/>
      <c r="DR814" s="72"/>
      <c r="DS814" s="72"/>
      <c r="DT814" s="72"/>
      <c r="DU814" s="72"/>
      <c r="DV814" s="72"/>
      <c r="DW814" s="72"/>
      <c r="DX814" s="72"/>
      <c r="DY814" s="72"/>
      <c r="DZ814" s="72"/>
      <c r="EA814" s="72"/>
      <c r="EB814" s="72"/>
      <c r="EC814" s="72"/>
      <c r="ED814" s="72"/>
      <c r="EE814" s="72"/>
      <c r="EF814" s="72"/>
      <c r="EG814" s="72"/>
      <c r="EH814" s="72"/>
      <c r="EI814" s="129"/>
      <c r="EJ814" s="129"/>
      <c r="EK814" s="129"/>
      <c r="EL814" s="129"/>
      <c r="EM814" s="72"/>
      <c r="EN814" s="72"/>
      <c r="EO814" s="72"/>
      <c r="EP814" s="72"/>
      <c r="EQ814" s="72"/>
      <c r="ER814" s="72"/>
      <c r="ES814" s="72"/>
      <c r="ET814" s="72"/>
    </row>
    <row r="815">
      <c r="CD815" s="72"/>
      <c r="CE815" s="72"/>
      <c r="CF815" s="72"/>
      <c r="CG815" s="72"/>
      <c r="CH815" s="72"/>
      <c r="CI815" s="72"/>
      <c r="CJ815" s="72"/>
      <c r="CK815" s="72"/>
      <c r="CL815" s="72"/>
      <c r="CM815" s="72"/>
      <c r="CN815" s="72"/>
      <c r="CO815" s="72"/>
      <c r="CP815" s="72"/>
      <c r="CQ815" s="72"/>
      <c r="CR815" s="72"/>
      <c r="CS815" s="72"/>
      <c r="CT815" s="72"/>
      <c r="CU815" s="72"/>
      <c r="CV815" s="72"/>
      <c r="CW815" s="72"/>
      <c r="CX815" s="72"/>
      <c r="CY815" s="72"/>
      <c r="CZ815" s="72"/>
      <c r="DA815" s="72"/>
      <c r="DB815" s="72"/>
      <c r="DC815" s="72"/>
      <c r="DD815" s="72"/>
      <c r="DE815" s="72"/>
      <c r="DF815" s="72"/>
      <c r="DG815" s="72"/>
      <c r="DH815" s="72"/>
      <c r="DI815" s="72"/>
      <c r="DJ815" s="72"/>
      <c r="DK815" s="72"/>
      <c r="DL815" s="72"/>
      <c r="DM815" s="72"/>
      <c r="DN815" s="72"/>
      <c r="DO815" s="72"/>
      <c r="DP815" s="72"/>
      <c r="DQ815" s="72"/>
      <c r="DR815" s="72"/>
      <c r="DS815" s="72"/>
      <c r="DT815" s="72"/>
      <c r="DU815" s="72"/>
      <c r="DV815" s="72"/>
      <c r="DW815" s="72"/>
      <c r="DX815" s="72"/>
      <c r="DY815" s="72"/>
      <c r="DZ815" s="72"/>
      <c r="EA815" s="72"/>
      <c r="EB815" s="72"/>
      <c r="EC815" s="72"/>
      <c r="ED815" s="72"/>
      <c r="EE815" s="72"/>
      <c r="EF815" s="72"/>
      <c r="EG815" s="72"/>
      <c r="EH815" s="72"/>
      <c r="EI815" s="129"/>
      <c r="EJ815" s="129"/>
      <c r="EK815" s="129"/>
      <c r="EL815" s="129"/>
      <c r="EM815" s="72"/>
      <c r="EN815" s="72"/>
      <c r="EO815" s="72"/>
      <c r="EP815" s="72"/>
      <c r="EQ815" s="72"/>
      <c r="ER815" s="72"/>
      <c r="ES815" s="72"/>
      <c r="ET815" s="72"/>
    </row>
    <row r="816">
      <c r="CD816" s="72"/>
      <c r="CE816" s="72"/>
      <c r="CF816" s="72"/>
      <c r="CG816" s="72"/>
      <c r="CH816" s="72"/>
      <c r="CI816" s="72"/>
      <c r="CJ816" s="72"/>
      <c r="CK816" s="72"/>
      <c r="CL816" s="72"/>
      <c r="CM816" s="72"/>
      <c r="CN816" s="72"/>
      <c r="CO816" s="72"/>
      <c r="CP816" s="72"/>
      <c r="CQ816" s="72"/>
      <c r="CR816" s="72"/>
      <c r="CS816" s="72"/>
      <c r="CT816" s="72"/>
      <c r="CU816" s="72"/>
      <c r="CV816" s="72"/>
      <c r="CW816" s="72"/>
      <c r="CX816" s="72"/>
      <c r="CY816" s="72"/>
      <c r="CZ816" s="72"/>
      <c r="DA816" s="72"/>
      <c r="DB816" s="72"/>
      <c r="DC816" s="72"/>
      <c r="DD816" s="72"/>
      <c r="DE816" s="72"/>
      <c r="DF816" s="72"/>
      <c r="DG816" s="72"/>
      <c r="DH816" s="72"/>
      <c r="DI816" s="72"/>
      <c r="DJ816" s="72"/>
      <c r="DK816" s="72"/>
      <c r="DL816" s="72"/>
      <c r="DM816" s="72"/>
      <c r="DN816" s="72"/>
      <c r="DO816" s="72"/>
      <c r="DP816" s="72"/>
      <c r="DQ816" s="72"/>
      <c r="DR816" s="72"/>
      <c r="DS816" s="72"/>
      <c r="DT816" s="72"/>
      <c r="DU816" s="72"/>
      <c r="DV816" s="72"/>
      <c r="DW816" s="72"/>
      <c r="DX816" s="72"/>
      <c r="DY816" s="72"/>
      <c r="DZ816" s="72"/>
      <c r="EA816" s="72"/>
      <c r="EB816" s="72"/>
      <c r="EC816" s="72"/>
      <c r="ED816" s="72"/>
      <c r="EE816" s="72"/>
      <c r="EF816" s="72"/>
      <c r="EG816" s="72"/>
      <c r="EH816" s="72"/>
      <c r="EI816" s="129"/>
      <c r="EJ816" s="129"/>
      <c r="EK816" s="129"/>
      <c r="EL816" s="129"/>
      <c r="EM816" s="72"/>
      <c r="EN816" s="72"/>
      <c r="EO816" s="72"/>
      <c r="EP816" s="72"/>
      <c r="EQ816" s="72"/>
      <c r="ER816" s="72"/>
      <c r="ES816" s="72"/>
      <c r="ET816" s="72"/>
    </row>
    <row r="817">
      <c r="CD817" s="72"/>
      <c r="CE817" s="72"/>
      <c r="CF817" s="72"/>
      <c r="CG817" s="72"/>
      <c r="CH817" s="72"/>
      <c r="CI817" s="72"/>
      <c r="CJ817" s="72"/>
      <c r="CK817" s="72"/>
      <c r="CL817" s="72"/>
      <c r="CM817" s="72"/>
      <c r="CN817" s="72"/>
      <c r="CO817" s="72"/>
      <c r="CP817" s="72"/>
      <c r="CQ817" s="72"/>
      <c r="CR817" s="72"/>
      <c r="CS817" s="72"/>
      <c r="CT817" s="72"/>
      <c r="CU817" s="72"/>
      <c r="CV817" s="72"/>
      <c r="CW817" s="72"/>
      <c r="CX817" s="72"/>
      <c r="CY817" s="72"/>
      <c r="CZ817" s="72"/>
      <c r="DA817" s="72"/>
      <c r="DB817" s="72"/>
      <c r="DC817" s="72"/>
      <c r="DD817" s="72"/>
      <c r="DE817" s="72"/>
      <c r="DF817" s="72"/>
      <c r="DG817" s="72"/>
      <c r="DH817" s="72"/>
      <c r="DI817" s="72"/>
      <c r="DJ817" s="72"/>
      <c r="DK817" s="72"/>
      <c r="DL817" s="72"/>
      <c r="DM817" s="72"/>
      <c r="DN817" s="72"/>
      <c r="DO817" s="72"/>
      <c r="DP817" s="72"/>
      <c r="DQ817" s="72"/>
      <c r="DR817" s="72"/>
      <c r="DS817" s="72"/>
      <c r="DT817" s="72"/>
      <c r="DU817" s="72"/>
      <c r="DV817" s="72"/>
      <c r="DW817" s="72"/>
      <c r="DX817" s="72"/>
      <c r="DY817" s="72"/>
      <c r="DZ817" s="72"/>
      <c r="EA817" s="72"/>
      <c r="EB817" s="72"/>
      <c r="EC817" s="72"/>
      <c r="ED817" s="72"/>
      <c r="EE817" s="72"/>
      <c r="EF817" s="72"/>
      <c r="EG817" s="72"/>
      <c r="EH817" s="72"/>
      <c r="EI817" s="129"/>
      <c r="EJ817" s="129"/>
      <c r="EK817" s="129"/>
      <c r="EL817" s="129"/>
      <c r="EM817" s="72"/>
      <c r="EN817" s="72"/>
      <c r="EO817" s="72"/>
      <c r="EP817" s="72"/>
      <c r="EQ817" s="72"/>
      <c r="ER817" s="72"/>
      <c r="ES817" s="72"/>
      <c r="ET817" s="72"/>
    </row>
    <row r="818">
      <c r="CD818" s="72"/>
      <c r="CE818" s="72"/>
      <c r="CF818" s="72"/>
      <c r="CG818" s="72"/>
      <c r="CH818" s="72"/>
      <c r="CI818" s="72"/>
      <c r="CJ818" s="72"/>
      <c r="CK818" s="72"/>
      <c r="CL818" s="72"/>
      <c r="CM818" s="72"/>
      <c r="CN818" s="72"/>
      <c r="CO818" s="72"/>
      <c r="CP818" s="72"/>
      <c r="CQ818" s="72"/>
      <c r="CR818" s="72"/>
      <c r="CS818" s="72"/>
      <c r="CT818" s="72"/>
      <c r="CU818" s="72"/>
      <c r="CV818" s="72"/>
      <c r="CW818" s="72"/>
      <c r="CX818" s="72"/>
      <c r="CY818" s="72"/>
      <c r="CZ818" s="72"/>
      <c r="DA818" s="72"/>
      <c r="DB818" s="72"/>
      <c r="DC818" s="72"/>
      <c r="DD818" s="72"/>
      <c r="DE818" s="72"/>
      <c r="DF818" s="72"/>
      <c r="DG818" s="72"/>
      <c r="DH818" s="72"/>
      <c r="DI818" s="72"/>
      <c r="DJ818" s="72"/>
      <c r="DK818" s="72"/>
      <c r="DL818" s="72"/>
      <c r="DM818" s="72"/>
      <c r="DN818" s="72"/>
      <c r="DO818" s="72"/>
      <c r="DP818" s="72"/>
      <c r="DQ818" s="72"/>
      <c r="DR818" s="72"/>
      <c r="DS818" s="72"/>
      <c r="DT818" s="72"/>
      <c r="DU818" s="72"/>
      <c r="DV818" s="72"/>
      <c r="DW818" s="72"/>
      <c r="DX818" s="72"/>
      <c r="DY818" s="72"/>
      <c r="DZ818" s="72"/>
      <c r="EA818" s="72"/>
      <c r="EB818" s="72"/>
      <c r="EC818" s="72"/>
      <c r="ED818" s="72"/>
      <c r="EE818" s="72"/>
      <c r="EF818" s="72"/>
      <c r="EG818" s="72"/>
      <c r="EH818" s="72"/>
      <c r="EI818" s="129"/>
      <c r="EJ818" s="129"/>
      <c r="EK818" s="129"/>
      <c r="EL818" s="129"/>
      <c r="EM818" s="72"/>
      <c r="EN818" s="72"/>
      <c r="EO818" s="72"/>
      <c r="EP818" s="72"/>
      <c r="EQ818" s="72"/>
      <c r="ER818" s="72"/>
      <c r="ES818" s="72"/>
      <c r="ET818" s="72"/>
    </row>
    <row r="819">
      <c r="CD819" s="72"/>
      <c r="CE819" s="72"/>
      <c r="CF819" s="72"/>
      <c r="CG819" s="72"/>
      <c r="CH819" s="72"/>
      <c r="CI819" s="72"/>
      <c r="CJ819" s="72"/>
      <c r="CK819" s="72"/>
      <c r="CL819" s="72"/>
      <c r="CM819" s="72"/>
      <c r="CN819" s="72"/>
      <c r="CO819" s="72"/>
      <c r="CP819" s="72"/>
      <c r="CQ819" s="72"/>
      <c r="CR819" s="72"/>
      <c r="CS819" s="72"/>
      <c r="CT819" s="72"/>
      <c r="CU819" s="72"/>
      <c r="CV819" s="72"/>
      <c r="CW819" s="72"/>
      <c r="CX819" s="72"/>
      <c r="CY819" s="72"/>
      <c r="CZ819" s="72"/>
      <c r="DA819" s="72"/>
      <c r="DB819" s="72"/>
      <c r="DC819" s="72"/>
      <c r="DD819" s="72"/>
      <c r="DE819" s="72"/>
      <c r="DF819" s="72"/>
      <c r="DG819" s="72"/>
      <c r="DH819" s="72"/>
      <c r="DI819" s="72"/>
      <c r="DJ819" s="72"/>
      <c r="DK819" s="72"/>
      <c r="DL819" s="72"/>
      <c r="DM819" s="72"/>
      <c r="DN819" s="72"/>
      <c r="DO819" s="72"/>
      <c r="DP819" s="72"/>
      <c r="DQ819" s="72"/>
      <c r="DR819" s="72"/>
      <c r="DS819" s="72"/>
      <c r="DT819" s="72"/>
      <c r="DU819" s="72"/>
      <c r="DV819" s="72"/>
      <c r="DW819" s="72"/>
      <c r="DX819" s="72"/>
      <c r="DY819" s="72"/>
      <c r="DZ819" s="72"/>
      <c r="EA819" s="72"/>
      <c r="EB819" s="72"/>
      <c r="EC819" s="72"/>
      <c r="ED819" s="72"/>
      <c r="EE819" s="72"/>
      <c r="EF819" s="72"/>
      <c r="EG819" s="72"/>
      <c r="EH819" s="72"/>
      <c r="EI819" s="129"/>
      <c r="EJ819" s="129"/>
      <c r="EK819" s="129"/>
      <c r="EL819" s="129"/>
      <c r="EM819" s="72"/>
      <c r="EN819" s="72"/>
      <c r="EO819" s="72"/>
      <c r="EP819" s="72"/>
      <c r="EQ819" s="72"/>
      <c r="ER819" s="72"/>
      <c r="ES819" s="72"/>
      <c r="ET819" s="72"/>
    </row>
    <row r="820">
      <c r="CD820" s="72"/>
      <c r="CE820" s="72"/>
      <c r="CF820" s="72"/>
      <c r="CG820" s="72"/>
      <c r="CH820" s="72"/>
      <c r="CI820" s="72"/>
      <c r="CJ820" s="72"/>
      <c r="CK820" s="72"/>
      <c r="CL820" s="72"/>
      <c r="CM820" s="72"/>
      <c r="CN820" s="72"/>
      <c r="CO820" s="72"/>
      <c r="CP820" s="72"/>
      <c r="CQ820" s="72"/>
      <c r="CR820" s="72"/>
      <c r="CS820" s="72"/>
      <c r="CT820" s="72"/>
      <c r="CU820" s="72"/>
      <c r="CV820" s="72"/>
      <c r="CW820" s="72"/>
      <c r="CX820" s="72"/>
      <c r="CY820" s="72"/>
      <c r="CZ820" s="72"/>
      <c r="DA820" s="72"/>
      <c r="DB820" s="72"/>
      <c r="DC820" s="72"/>
      <c r="DD820" s="72"/>
      <c r="DE820" s="72"/>
      <c r="DF820" s="72"/>
      <c r="DG820" s="72"/>
      <c r="DH820" s="72"/>
      <c r="DI820" s="72"/>
      <c r="DJ820" s="72"/>
      <c r="DK820" s="72"/>
      <c r="DL820" s="72"/>
      <c r="DM820" s="72"/>
      <c r="DN820" s="72"/>
      <c r="DO820" s="72"/>
      <c r="DP820" s="72"/>
      <c r="DQ820" s="72"/>
      <c r="DR820" s="72"/>
      <c r="DS820" s="72"/>
      <c r="DT820" s="72"/>
      <c r="DU820" s="72"/>
      <c r="DV820" s="72"/>
      <c r="DW820" s="72"/>
      <c r="DX820" s="72"/>
      <c r="DY820" s="72"/>
      <c r="DZ820" s="72"/>
      <c r="EA820" s="72"/>
      <c r="EB820" s="72"/>
      <c r="EC820" s="72"/>
      <c r="ED820" s="72"/>
      <c r="EE820" s="72"/>
      <c r="EF820" s="72"/>
      <c r="EG820" s="72"/>
      <c r="EH820" s="72"/>
      <c r="EI820" s="129"/>
      <c r="EJ820" s="129"/>
      <c r="EK820" s="129"/>
      <c r="EL820" s="129"/>
      <c r="EM820" s="72"/>
      <c r="EN820" s="72"/>
      <c r="EO820" s="72"/>
      <c r="EP820" s="72"/>
      <c r="EQ820" s="72"/>
      <c r="ER820" s="72"/>
      <c r="ES820" s="72"/>
      <c r="ET820" s="72"/>
    </row>
    <row r="821">
      <c r="CD821" s="72"/>
      <c r="CE821" s="72"/>
      <c r="CF821" s="72"/>
      <c r="CG821" s="72"/>
      <c r="CH821" s="72"/>
      <c r="CI821" s="72"/>
      <c r="CJ821" s="72"/>
      <c r="CK821" s="72"/>
      <c r="CL821" s="72"/>
      <c r="CM821" s="72"/>
      <c r="CN821" s="72"/>
      <c r="CO821" s="72"/>
      <c r="CP821" s="72"/>
      <c r="CQ821" s="72"/>
      <c r="CR821" s="72"/>
      <c r="CS821" s="72"/>
      <c r="CT821" s="72"/>
      <c r="CU821" s="72"/>
      <c r="CV821" s="72"/>
      <c r="CW821" s="72"/>
      <c r="CX821" s="72"/>
      <c r="CY821" s="72"/>
      <c r="CZ821" s="72"/>
      <c r="DA821" s="72"/>
      <c r="DB821" s="72"/>
      <c r="DC821" s="72"/>
      <c r="DD821" s="72"/>
      <c r="DE821" s="72"/>
      <c r="DF821" s="72"/>
      <c r="DG821" s="72"/>
      <c r="DH821" s="72"/>
      <c r="DI821" s="72"/>
      <c r="DJ821" s="72"/>
      <c r="DK821" s="72"/>
      <c r="DL821" s="72"/>
      <c r="DM821" s="72"/>
      <c r="DN821" s="72"/>
      <c r="DO821" s="72"/>
      <c r="DP821" s="72"/>
      <c r="DQ821" s="72"/>
      <c r="DR821" s="72"/>
      <c r="DS821" s="72"/>
      <c r="DT821" s="72"/>
      <c r="DU821" s="72"/>
      <c r="DV821" s="72"/>
      <c r="DW821" s="72"/>
      <c r="DX821" s="72"/>
      <c r="DY821" s="72"/>
      <c r="DZ821" s="72"/>
      <c r="EA821" s="72"/>
      <c r="EB821" s="72"/>
      <c r="EC821" s="72"/>
      <c r="ED821" s="72"/>
      <c r="EE821" s="72"/>
      <c r="EF821" s="72"/>
      <c r="EG821" s="72"/>
      <c r="EH821" s="72"/>
      <c r="EI821" s="129"/>
      <c r="EJ821" s="129"/>
      <c r="EK821" s="129"/>
      <c r="EL821" s="129"/>
      <c r="EM821" s="72"/>
      <c r="EN821" s="72"/>
      <c r="EO821" s="72"/>
      <c r="EP821" s="72"/>
      <c r="EQ821" s="72"/>
      <c r="ER821" s="72"/>
      <c r="ES821" s="72"/>
      <c r="ET821" s="72"/>
    </row>
    <row r="822">
      <c r="CD822" s="72"/>
      <c r="CE822" s="72"/>
      <c r="CF822" s="72"/>
      <c r="CG822" s="72"/>
      <c r="CH822" s="72"/>
      <c r="CI822" s="72"/>
      <c r="CJ822" s="72"/>
      <c r="CK822" s="72"/>
      <c r="CL822" s="72"/>
      <c r="CM822" s="72"/>
      <c r="CN822" s="72"/>
      <c r="CO822" s="72"/>
      <c r="CP822" s="72"/>
      <c r="CQ822" s="72"/>
      <c r="CR822" s="72"/>
      <c r="CS822" s="72"/>
      <c r="CT822" s="72"/>
      <c r="CU822" s="72"/>
      <c r="CV822" s="72"/>
      <c r="CW822" s="72"/>
      <c r="CX822" s="72"/>
      <c r="CY822" s="72"/>
      <c r="CZ822" s="72"/>
      <c r="DA822" s="72"/>
      <c r="DB822" s="72"/>
      <c r="DC822" s="72"/>
      <c r="DD822" s="72"/>
      <c r="DE822" s="72"/>
      <c r="DF822" s="72"/>
      <c r="DG822" s="72"/>
      <c r="DH822" s="72"/>
      <c r="DI822" s="72"/>
      <c r="DJ822" s="72"/>
      <c r="DK822" s="72"/>
      <c r="DL822" s="72"/>
      <c r="DM822" s="72"/>
      <c r="DN822" s="72"/>
      <c r="DO822" s="72"/>
      <c r="DP822" s="72"/>
      <c r="DQ822" s="72"/>
      <c r="DR822" s="72"/>
      <c r="DS822" s="72"/>
      <c r="DT822" s="72"/>
      <c r="DU822" s="72"/>
      <c r="DV822" s="72"/>
      <c r="DW822" s="72"/>
      <c r="DX822" s="72"/>
      <c r="DY822" s="72"/>
      <c r="DZ822" s="72"/>
      <c r="EA822" s="72"/>
      <c r="EB822" s="72"/>
      <c r="EC822" s="72"/>
      <c r="ED822" s="72"/>
      <c r="EE822" s="72"/>
      <c r="EF822" s="72"/>
      <c r="EG822" s="72"/>
      <c r="EH822" s="72"/>
      <c r="EI822" s="129"/>
      <c r="EJ822" s="129"/>
      <c r="EK822" s="129"/>
      <c r="EL822" s="129"/>
      <c r="EM822" s="72"/>
      <c r="EN822" s="72"/>
      <c r="EO822" s="72"/>
      <c r="EP822" s="72"/>
      <c r="EQ822" s="72"/>
      <c r="ER822" s="72"/>
      <c r="ES822" s="72"/>
      <c r="ET822" s="72"/>
    </row>
    <row r="823">
      <c r="CD823" s="72"/>
      <c r="CE823" s="72"/>
      <c r="CF823" s="72"/>
      <c r="CG823" s="72"/>
      <c r="CH823" s="72"/>
      <c r="CI823" s="72"/>
      <c r="CJ823" s="72"/>
      <c r="CK823" s="72"/>
      <c r="CL823" s="72"/>
      <c r="CM823" s="72"/>
      <c r="CN823" s="72"/>
      <c r="CO823" s="72"/>
      <c r="CP823" s="72"/>
      <c r="CQ823" s="72"/>
      <c r="CR823" s="72"/>
      <c r="CS823" s="72"/>
      <c r="CT823" s="72"/>
      <c r="CU823" s="72"/>
      <c r="CV823" s="72"/>
      <c r="CW823" s="72"/>
      <c r="CX823" s="72"/>
      <c r="CY823" s="72"/>
      <c r="CZ823" s="72"/>
      <c r="DA823" s="72"/>
      <c r="DB823" s="72"/>
      <c r="DC823" s="72"/>
      <c r="DD823" s="72"/>
      <c r="DE823" s="72"/>
      <c r="DF823" s="72"/>
      <c r="DG823" s="72"/>
      <c r="DH823" s="72"/>
      <c r="DI823" s="72"/>
      <c r="DJ823" s="72"/>
      <c r="DK823" s="72"/>
      <c r="DL823" s="72"/>
      <c r="DM823" s="72"/>
      <c r="DN823" s="72"/>
      <c r="DO823" s="72"/>
      <c r="DP823" s="72"/>
      <c r="DQ823" s="72"/>
      <c r="DR823" s="72"/>
      <c r="DS823" s="72"/>
      <c r="DT823" s="72"/>
      <c r="DU823" s="72"/>
      <c r="DV823" s="72"/>
      <c r="DW823" s="72"/>
      <c r="DX823" s="72"/>
      <c r="DY823" s="72"/>
      <c r="DZ823" s="72"/>
      <c r="EA823" s="72"/>
      <c r="EB823" s="72"/>
      <c r="EC823" s="72"/>
      <c r="ED823" s="72"/>
      <c r="EE823" s="72"/>
      <c r="EF823" s="72"/>
      <c r="EG823" s="72"/>
      <c r="EH823" s="72"/>
      <c r="EI823" s="129"/>
      <c r="EJ823" s="129"/>
      <c r="EK823" s="129"/>
      <c r="EL823" s="129"/>
      <c r="EM823" s="72"/>
      <c r="EN823" s="72"/>
      <c r="EO823" s="72"/>
      <c r="EP823" s="72"/>
      <c r="EQ823" s="72"/>
      <c r="ER823" s="72"/>
      <c r="ES823" s="72"/>
      <c r="ET823" s="72"/>
    </row>
    <row r="824">
      <c r="CD824" s="72"/>
      <c r="CE824" s="72"/>
      <c r="CF824" s="72"/>
      <c r="CG824" s="72"/>
      <c r="CH824" s="72"/>
      <c r="CI824" s="72"/>
      <c r="CJ824" s="72"/>
      <c r="CK824" s="72"/>
      <c r="CL824" s="72"/>
      <c r="CM824" s="72"/>
      <c r="CN824" s="72"/>
      <c r="CO824" s="72"/>
      <c r="CP824" s="72"/>
      <c r="CQ824" s="72"/>
      <c r="CR824" s="72"/>
      <c r="CS824" s="72"/>
      <c r="CT824" s="72"/>
      <c r="CU824" s="72"/>
      <c r="CV824" s="72"/>
      <c r="CW824" s="72"/>
      <c r="CX824" s="72"/>
      <c r="CY824" s="72"/>
      <c r="CZ824" s="72"/>
      <c r="DA824" s="72"/>
      <c r="DB824" s="72"/>
      <c r="DC824" s="72"/>
      <c r="DD824" s="72"/>
      <c r="DE824" s="72"/>
      <c r="DF824" s="72"/>
      <c r="DG824" s="72"/>
      <c r="DH824" s="72"/>
      <c r="DI824" s="72"/>
      <c r="DJ824" s="72"/>
      <c r="DK824" s="72"/>
      <c r="DL824" s="72"/>
      <c r="DM824" s="72"/>
      <c r="DN824" s="72"/>
      <c r="DO824" s="72"/>
      <c r="DP824" s="72"/>
      <c r="DQ824" s="72"/>
      <c r="DR824" s="72"/>
      <c r="DS824" s="72"/>
      <c r="DT824" s="72"/>
      <c r="DU824" s="72"/>
      <c r="DV824" s="72"/>
      <c r="DW824" s="72"/>
      <c r="DX824" s="72"/>
      <c r="DY824" s="72"/>
      <c r="DZ824" s="72"/>
      <c r="EA824" s="72"/>
      <c r="EB824" s="72"/>
      <c r="EC824" s="72"/>
      <c r="ED824" s="72"/>
      <c r="EE824" s="72"/>
      <c r="EF824" s="72"/>
      <c r="EG824" s="72"/>
      <c r="EH824" s="72"/>
      <c r="EI824" s="129"/>
      <c r="EJ824" s="129"/>
      <c r="EK824" s="129"/>
      <c r="EL824" s="129"/>
      <c r="EM824" s="72"/>
      <c r="EN824" s="72"/>
      <c r="EO824" s="72"/>
      <c r="EP824" s="72"/>
      <c r="EQ824" s="72"/>
      <c r="ER824" s="72"/>
      <c r="ES824" s="72"/>
      <c r="ET824" s="72"/>
    </row>
    <row r="825">
      <c r="CD825" s="72"/>
      <c r="CE825" s="72"/>
      <c r="CF825" s="72"/>
      <c r="CG825" s="72"/>
      <c r="CH825" s="72"/>
      <c r="CI825" s="72"/>
      <c r="CJ825" s="72"/>
      <c r="CK825" s="72"/>
      <c r="CL825" s="72"/>
      <c r="CM825" s="72"/>
      <c r="CN825" s="72"/>
      <c r="CO825" s="72"/>
      <c r="CP825" s="72"/>
      <c r="CQ825" s="72"/>
      <c r="CR825" s="72"/>
      <c r="CS825" s="72"/>
      <c r="CT825" s="72"/>
      <c r="CU825" s="72"/>
      <c r="CV825" s="72"/>
      <c r="CW825" s="72"/>
      <c r="CX825" s="72"/>
      <c r="CY825" s="72"/>
      <c r="CZ825" s="72"/>
      <c r="DA825" s="72"/>
      <c r="DB825" s="72"/>
      <c r="DC825" s="72"/>
      <c r="DD825" s="72"/>
      <c r="DE825" s="72"/>
      <c r="DF825" s="72"/>
      <c r="DG825" s="72"/>
      <c r="DH825" s="72"/>
      <c r="DI825" s="72"/>
      <c r="DJ825" s="72"/>
      <c r="DK825" s="72"/>
      <c r="DL825" s="72"/>
      <c r="DM825" s="72"/>
      <c r="DN825" s="72"/>
      <c r="DO825" s="72"/>
      <c r="DP825" s="72"/>
      <c r="DQ825" s="72"/>
      <c r="DR825" s="72"/>
      <c r="DS825" s="72"/>
      <c r="DT825" s="72"/>
      <c r="DU825" s="72"/>
      <c r="DV825" s="72"/>
      <c r="DW825" s="72"/>
      <c r="DX825" s="72"/>
      <c r="DY825" s="72"/>
      <c r="DZ825" s="72"/>
      <c r="EA825" s="72"/>
      <c r="EB825" s="72"/>
      <c r="EC825" s="72"/>
      <c r="ED825" s="72"/>
      <c r="EE825" s="72"/>
      <c r="EF825" s="72"/>
      <c r="EG825" s="72"/>
      <c r="EH825" s="72"/>
      <c r="EI825" s="129"/>
      <c r="EJ825" s="129"/>
      <c r="EK825" s="129"/>
      <c r="EL825" s="129"/>
      <c r="EM825" s="72"/>
      <c r="EN825" s="72"/>
      <c r="EO825" s="72"/>
      <c r="EP825" s="72"/>
      <c r="EQ825" s="72"/>
      <c r="ER825" s="72"/>
      <c r="ES825" s="72"/>
      <c r="ET825" s="72"/>
    </row>
    <row r="826">
      <c r="CD826" s="72"/>
      <c r="CE826" s="72"/>
      <c r="CF826" s="72"/>
      <c r="CG826" s="72"/>
      <c r="CH826" s="72"/>
      <c r="CI826" s="72"/>
      <c r="CJ826" s="72"/>
      <c r="CK826" s="72"/>
      <c r="CL826" s="72"/>
      <c r="CM826" s="72"/>
      <c r="CN826" s="72"/>
      <c r="CO826" s="72"/>
      <c r="CP826" s="72"/>
      <c r="CQ826" s="72"/>
      <c r="CR826" s="72"/>
      <c r="CS826" s="72"/>
      <c r="CT826" s="72"/>
      <c r="CU826" s="72"/>
      <c r="CV826" s="72"/>
      <c r="CW826" s="72"/>
      <c r="CX826" s="72"/>
      <c r="CY826" s="72"/>
      <c r="CZ826" s="72"/>
      <c r="DA826" s="72"/>
      <c r="DB826" s="72"/>
      <c r="DC826" s="72"/>
      <c r="DD826" s="72"/>
      <c r="DE826" s="72"/>
      <c r="DF826" s="72"/>
      <c r="DG826" s="72"/>
      <c r="DH826" s="72"/>
      <c r="DI826" s="72"/>
      <c r="DJ826" s="72"/>
      <c r="DK826" s="72"/>
      <c r="DL826" s="72"/>
      <c r="DM826" s="72"/>
      <c r="DN826" s="72"/>
      <c r="DO826" s="72"/>
      <c r="DP826" s="72"/>
      <c r="DQ826" s="72"/>
      <c r="DR826" s="72"/>
      <c r="DS826" s="72"/>
      <c r="DT826" s="72"/>
      <c r="DU826" s="72"/>
      <c r="DV826" s="72"/>
      <c r="DW826" s="72"/>
      <c r="DX826" s="72"/>
      <c r="DY826" s="72"/>
      <c r="DZ826" s="72"/>
      <c r="EA826" s="72"/>
      <c r="EB826" s="72"/>
      <c r="EC826" s="72"/>
      <c r="ED826" s="72"/>
      <c r="EE826" s="72"/>
      <c r="EF826" s="72"/>
      <c r="EG826" s="72"/>
      <c r="EH826" s="72"/>
      <c r="EI826" s="129"/>
      <c r="EJ826" s="129"/>
      <c r="EK826" s="129"/>
      <c r="EL826" s="129"/>
      <c r="EM826" s="72"/>
      <c r="EN826" s="72"/>
      <c r="EO826" s="72"/>
      <c r="EP826" s="72"/>
      <c r="EQ826" s="72"/>
      <c r="ER826" s="72"/>
      <c r="ES826" s="72"/>
      <c r="ET826" s="72"/>
    </row>
    <row r="827">
      <c r="CD827" s="72"/>
      <c r="CE827" s="72"/>
      <c r="CF827" s="72"/>
      <c r="CG827" s="72"/>
      <c r="CH827" s="72"/>
      <c r="CI827" s="72"/>
      <c r="CJ827" s="72"/>
      <c r="CK827" s="72"/>
      <c r="CL827" s="72"/>
      <c r="CM827" s="72"/>
      <c r="CN827" s="72"/>
      <c r="CO827" s="72"/>
      <c r="CP827" s="72"/>
      <c r="CQ827" s="72"/>
      <c r="CR827" s="72"/>
      <c r="CS827" s="72"/>
      <c r="CT827" s="72"/>
      <c r="CU827" s="72"/>
      <c r="CV827" s="72"/>
      <c r="CW827" s="72"/>
      <c r="CX827" s="72"/>
      <c r="CY827" s="72"/>
      <c r="CZ827" s="72"/>
      <c r="DA827" s="72"/>
      <c r="DB827" s="72"/>
      <c r="DC827" s="72"/>
      <c r="DD827" s="72"/>
      <c r="DE827" s="72"/>
      <c r="DF827" s="72"/>
      <c r="DG827" s="72"/>
      <c r="DH827" s="72"/>
      <c r="DI827" s="72"/>
      <c r="DJ827" s="72"/>
      <c r="DK827" s="72"/>
      <c r="DL827" s="72"/>
      <c r="DM827" s="72"/>
      <c r="DN827" s="72"/>
      <c r="DO827" s="72"/>
      <c r="DP827" s="72"/>
      <c r="DQ827" s="72"/>
      <c r="DR827" s="72"/>
      <c r="DS827" s="72"/>
      <c r="DT827" s="72"/>
      <c r="DU827" s="72"/>
      <c r="DV827" s="72"/>
      <c r="DW827" s="72"/>
      <c r="DX827" s="72"/>
      <c r="DY827" s="72"/>
      <c r="DZ827" s="72"/>
      <c r="EA827" s="72"/>
      <c r="EB827" s="72"/>
      <c r="EC827" s="72"/>
      <c r="ED827" s="72"/>
      <c r="EE827" s="72"/>
      <c r="EF827" s="72"/>
      <c r="EG827" s="72"/>
      <c r="EH827" s="72"/>
      <c r="EI827" s="129"/>
      <c r="EJ827" s="129"/>
      <c r="EK827" s="129"/>
      <c r="EL827" s="129"/>
      <c r="EM827" s="72"/>
      <c r="EN827" s="72"/>
      <c r="EO827" s="72"/>
      <c r="EP827" s="72"/>
      <c r="EQ827" s="72"/>
      <c r="ER827" s="72"/>
      <c r="ES827" s="72"/>
      <c r="ET827" s="72"/>
    </row>
    <row r="828">
      <c r="CD828" s="72"/>
      <c r="CE828" s="72"/>
      <c r="CF828" s="72"/>
      <c r="CG828" s="72"/>
      <c r="CH828" s="72"/>
      <c r="CI828" s="72"/>
      <c r="CJ828" s="72"/>
      <c r="CK828" s="72"/>
      <c r="CL828" s="72"/>
      <c r="CM828" s="72"/>
      <c r="CN828" s="72"/>
      <c r="CO828" s="72"/>
      <c r="CP828" s="72"/>
      <c r="CQ828" s="72"/>
      <c r="CR828" s="72"/>
      <c r="CS828" s="72"/>
      <c r="CT828" s="72"/>
      <c r="CU828" s="72"/>
      <c r="CV828" s="72"/>
      <c r="CW828" s="72"/>
      <c r="CX828" s="72"/>
      <c r="CY828" s="72"/>
      <c r="CZ828" s="72"/>
      <c r="DA828" s="72"/>
      <c r="DB828" s="72"/>
      <c r="DC828" s="72"/>
      <c r="DD828" s="72"/>
      <c r="DE828" s="72"/>
      <c r="DF828" s="72"/>
      <c r="DG828" s="72"/>
      <c r="DH828" s="72"/>
      <c r="DI828" s="72"/>
      <c r="DJ828" s="72"/>
      <c r="DK828" s="72"/>
      <c r="DL828" s="72"/>
      <c r="DM828" s="72"/>
      <c r="DN828" s="72"/>
      <c r="DO828" s="72"/>
      <c r="DP828" s="72"/>
      <c r="DQ828" s="72"/>
      <c r="DR828" s="72"/>
      <c r="DS828" s="72"/>
      <c r="DT828" s="72"/>
      <c r="DU828" s="72"/>
      <c r="DV828" s="72"/>
      <c r="DW828" s="72"/>
      <c r="DX828" s="72"/>
      <c r="DY828" s="72"/>
      <c r="DZ828" s="72"/>
      <c r="EA828" s="72"/>
      <c r="EB828" s="72"/>
      <c r="EC828" s="72"/>
      <c r="ED828" s="72"/>
      <c r="EE828" s="72"/>
      <c r="EF828" s="72"/>
      <c r="EG828" s="72"/>
      <c r="EH828" s="72"/>
      <c r="EI828" s="129"/>
      <c r="EJ828" s="129"/>
      <c r="EK828" s="129"/>
      <c r="EL828" s="129"/>
      <c r="EM828" s="72"/>
      <c r="EN828" s="72"/>
      <c r="EO828" s="72"/>
      <c r="EP828" s="72"/>
      <c r="EQ828" s="72"/>
      <c r="ER828" s="72"/>
      <c r="ES828" s="72"/>
      <c r="ET828" s="72"/>
    </row>
    <row r="829">
      <c r="CD829" s="72"/>
      <c r="CE829" s="72"/>
      <c r="CF829" s="72"/>
      <c r="CG829" s="72"/>
      <c r="CH829" s="72"/>
      <c r="CI829" s="72"/>
      <c r="CJ829" s="72"/>
      <c r="CK829" s="72"/>
      <c r="CL829" s="72"/>
      <c r="CM829" s="72"/>
      <c r="CN829" s="72"/>
      <c r="CO829" s="72"/>
      <c r="CP829" s="72"/>
      <c r="CQ829" s="72"/>
      <c r="CR829" s="72"/>
      <c r="CS829" s="72"/>
      <c r="CT829" s="72"/>
      <c r="CU829" s="72"/>
      <c r="CV829" s="72"/>
      <c r="CW829" s="72"/>
      <c r="CX829" s="72"/>
      <c r="CY829" s="72"/>
      <c r="CZ829" s="72"/>
      <c r="DA829" s="72"/>
      <c r="DB829" s="72"/>
      <c r="DC829" s="72"/>
      <c r="DD829" s="72"/>
      <c r="DE829" s="72"/>
      <c r="DF829" s="72"/>
      <c r="DG829" s="72"/>
      <c r="DH829" s="72"/>
      <c r="DI829" s="72"/>
      <c r="DJ829" s="72"/>
      <c r="DK829" s="72"/>
      <c r="DL829" s="72"/>
      <c r="DM829" s="72"/>
      <c r="DN829" s="72"/>
      <c r="DO829" s="72"/>
      <c r="DP829" s="72"/>
      <c r="DQ829" s="72"/>
      <c r="DR829" s="72"/>
      <c r="DS829" s="72"/>
      <c r="DT829" s="72"/>
      <c r="DU829" s="72"/>
      <c r="DV829" s="72"/>
      <c r="DW829" s="72"/>
      <c r="DX829" s="72"/>
      <c r="DY829" s="72"/>
      <c r="DZ829" s="72"/>
      <c r="EA829" s="72"/>
      <c r="EB829" s="72"/>
      <c r="EC829" s="72"/>
      <c r="ED829" s="72"/>
      <c r="EE829" s="72"/>
      <c r="EF829" s="72"/>
      <c r="EG829" s="72"/>
      <c r="EH829" s="72"/>
      <c r="EI829" s="129"/>
      <c r="EJ829" s="129"/>
      <c r="EK829" s="129"/>
      <c r="EL829" s="129"/>
      <c r="EM829" s="72"/>
      <c r="EN829" s="72"/>
      <c r="EO829" s="72"/>
      <c r="EP829" s="72"/>
      <c r="EQ829" s="72"/>
      <c r="ER829" s="72"/>
      <c r="ES829" s="72"/>
      <c r="ET829" s="72"/>
    </row>
    <row r="830">
      <c r="CD830" s="72"/>
      <c r="CE830" s="72"/>
      <c r="CF830" s="72"/>
      <c r="CG830" s="72"/>
      <c r="CH830" s="72"/>
      <c r="CI830" s="72"/>
      <c r="CJ830" s="72"/>
      <c r="CK830" s="72"/>
      <c r="CL830" s="72"/>
      <c r="CM830" s="72"/>
      <c r="CN830" s="72"/>
      <c r="CO830" s="72"/>
      <c r="CP830" s="72"/>
      <c r="CQ830" s="72"/>
      <c r="CR830" s="72"/>
      <c r="CS830" s="72"/>
      <c r="CT830" s="72"/>
      <c r="CU830" s="72"/>
      <c r="CV830" s="72"/>
      <c r="CW830" s="72"/>
      <c r="CX830" s="72"/>
      <c r="CY830" s="72"/>
      <c r="CZ830" s="72"/>
      <c r="DA830" s="72"/>
      <c r="DB830" s="72"/>
      <c r="DC830" s="72"/>
      <c r="DD830" s="72"/>
      <c r="DE830" s="72"/>
      <c r="DF830" s="72"/>
      <c r="DG830" s="72"/>
      <c r="DH830" s="72"/>
      <c r="DI830" s="72"/>
      <c r="DJ830" s="72"/>
      <c r="DK830" s="72"/>
      <c r="DL830" s="72"/>
      <c r="DM830" s="72"/>
      <c r="DN830" s="72"/>
      <c r="DO830" s="72"/>
      <c r="DP830" s="72"/>
      <c r="DQ830" s="72"/>
      <c r="DR830" s="72"/>
      <c r="DS830" s="72"/>
      <c r="DT830" s="72"/>
      <c r="DU830" s="72"/>
      <c r="DV830" s="72"/>
      <c r="DW830" s="72"/>
      <c r="DX830" s="72"/>
      <c r="DY830" s="72"/>
      <c r="DZ830" s="72"/>
      <c r="EA830" s="72"/>
      <c r="EB830" s="72"/>
      <c r="EC830" s="72"/>
      <c r="ED830" s="72"/>
      <c r="EE830" s="72"/>
      <c r="EF830" s="72"/>
      <c r="EG830" s="72"/>
      <c r="EH830" s="72"/>
      <c r="EI830" s="129"/>
      <c r="EJ830" s="129"/>
      <c r="EK830" s="129"/>
      <c r="EL830" s="129"/>
      <c r="EM830" s="72"/>
      <c r="EN830" s="72"/>
      <c r="EO830" s="72"/>
      <c r="EP830" s="72"/>
      <c r="EQ830" s="72"/>
      <c r="ER830" s="72"/>
      <c r="ES830" s="72"/>
      <c r="ET830" s="72"/>
    </row>
    <row r="831">
      <c r="CD831" s="72"/>
      <c r="CE831" s="72"/>
      <c r="CF831" s="72"/>
      <c r="CG831" s="72"/>
      <c r="CH831" s="72"/>
      <c r="CI831" s="72"/>
      <c r="CJ831" s="72"/>
      <c r="CK831" s="72"/>
      <c r="CL831" s="72"/>
      <c r="CM831" s="72"/>
      <c r="CN831" s="72"/>
      <c r="CO831" s="72"/>
      <c r="CP831" s="72"/>
      <c r="CQ831" s="72"/>
      <c r="CR831" s="72"/>
      <c r="CS831" s="72"/>
      <c r="CT831" s="72"/>
      <c r="CU831" s="72"/>
      <c r="CV831" s="72"/>
      <c r="CW831" s="72"/>
      <c r="CX831" s="72"/>
      <c r="CY831" s="72"/>
      <c r="CZ831" s="72"/>
      <c r="DA831" s="72"/>
      <c r="DB831" s="72"/>
      <c r="DC831" s="72"/>
      <c r="DD831" s="72"/>
      <c r="DE831" s="72"/>
      <c r="DF831" s="72"/>
      <c r="DG831" s="72"/>
      <c r="DH831" s="72"/>
      <c r="DI831" s="72"/>
      <c r="DJ831" s="72"/>
      <c r="DK831" s="72"/>
      <c r="DL831" s="72"/>
      <c r="DM831" s="72"/>
      <c r="DN831" s="72"/>
      <c r="DO831" s="72"/>
      <c r="DP831" s="72"/>
      <c r="DQ831" s="72"/>
      <c r="DR831" s="72"/>
      <c r="DS831" s="72"/>
      <c r="DT831" s="72"/>
      <c r="DU831" s="72"/>
      <c r="DV831" s="72"/>
      <c r="DW831" s="72"/>
      <c r="DX831" s="72"/>
      <c r="DY831" s="72"/>
      <c r="DZ831" s="72"/>
      <c r="EA831" s="72"/>
      <c r="EB831" s="72"/>
      <c r="EC831" s="72"/>
      <c r="ED831" s="72"/>
      <c r="EE831" s="72"/>
      <c r="EF831" s="72"/>
      <c r="EG831" s="72"/>
      <c r="EH831" s="72"/>
      <c r="EI831" s="129"/>
      <c r="EJ831" s="129"/>
      <c r="EK831" s="129"/>
      <c r="EL831" s="129"/>
      <c r="EM831" s="72"/>
      <c r="EN831" s="72"/>
      <c r="EO831" s="72"/>
      <c r="EP831" s="72"/>
      <c r="EQ831" s="72"/>
      <c r="ER831" s="72"/>
      <c r="ES831" s="72"/>
      <c r="ET831" s="72"/>
    </row>
    <row r="832">
      <c r="CD832" s="72"/>
      <c r="CE832" s="72"/>
      <c r="CF832" s="72"/>
      <c r="CG832" s="72"/>
      <c r="CH832" s="72"/>
      <c r="CI832" s="72"/>
      <c r="CJ832" s="72"/>
      <c r="CK832" s="72"/>
      <c r="CL832" s="72"/>
      <c r="CM832" s="72"/>
      <c r="CN832" s="72"/>
      <c r="CO832" s="72"/>
      <c r="CP832" s="72"/>
      <c r="CQ832" s="72"/>
      <c r="CR832" s="72"/>
      <c r="CS832" s="72"/>
      <c r="CT832" s="72"/>
      <c r="CU832" s="72"/>
      <c r="CV832" s="72"/>
      <c r="CW832" s="72"/>
      <c r="CX832" s="72"/>
      <c r="CY832" s="72"/>
      <c r="CZ832" s="72"/>
      <c r="DA832" s="72"/>
      <c r="DB832" s="72"/>
      <c r="DC832" s="72"/>
      <c r="DD832" s="72"/>
      <c r="DE832" s="72"/>
      <c r="DF832" s="72"/>
      <c r="DG832" s="72"/>
      <c r="DH832" s="72"/>
      <c r="DI832" s="72"/>
      <c r="DJ832" s="72"/>
      <c r="DK832" s="72"/>
      <c r="DL832" s="72"/>
      <c r="DM832" s="72"/>
      <c r="DN832" s="72"/>
      <c r="DO832" s="72"/>
      <c r="DP832" s="72"/>
      <c r="DQ832" s="72"/>
      <c r="DR832" s="72"/>
      <c r="DS832" s="72"/>
      <c r="DT832" s="72"/>
      <c r="DU832" s="72"/>
      <c r="DV832" s="72"/>
      <c r="DW832" s="72"/>
      <c r="DX832" s="72"/>
      <c r="DY832" s="72"/>
      <c r="DZ832" s="72"/>
      <c r="EA832" s="72"/>
      <c r="EB832" s="72"/>
      <c r="EC832" s="72"/>
      <c r="ED832" s="72"/>
      <c r="EE832" s="72"/>
      <c r="EF832" s="72"/>
      <c r="EG832" s="72"/>
      <c r="EH832" s="72"/>
      <c r="EI832" s="129"/>
      <c r="EJ832" s="129"/>
      <c r="EK832" s="129"/>
      <c r="EL832" s="129"/>
      <c r="EM832" s="72"/>
      <c r="EN832" s="72"/>
      <c r="EO832" s="72"/>
      <c r="EP832" s="72"/>
      <c r="EQ832" s="72"/>
      <c r="ER832" s="72"/>
      <c r="ES832" s="72"/>
      <c r="ET832" s="72"/>
    </row>
    <row r="833">
      <c r="CD833" s="72"/>
      <c r="CE833" s="72"/>
      <c r="CF833" s="72"/>
      <c r="CG833" s="72"/>
      <c r="CH833" s="72"/>
      <c r="CI833" s="72"/>
      <c r="CJ833" s="72"/>
      <c r="CK833" s="72"/>
      <c r="CL833" s="72"/>
      <c r="CM833" s="72"/>
      <c r="CN833" s="72"/>
      <c r="CO833" s="72"/>
      <c r="CP833" s="72"/>
      <c r="CQ833" s="72"/>
      <c r="CR833" s="72"/>
      <c r="CS833" s="72"/>
      <c r="CT833" s="72"/>
      <c r="CU833" s="72"/>
      <c r="CV833" s="72"/>
      <c r="CW833" s="72"/>
      <c r="CX833" s="72"/>
      <c r="CY833" s="72"/>
      <c r="CZ833" s="72"/>
      <c r="DA833" s="72"/>
      <c r="DB833" s="72"/>
      <c r="DC833" s="72"/>
      <c r="DD833" s="72"/>
      <c r="DE833" s="72"/>
      <c r="DF833" s="72"/>
      <c r="DG833" s="72"/>
      <c r="DH833" s="72"/>
      <c r="DI833" s="72"/>
      <c r="DJ833" s="72"/>
      <c r="DK833" s="72"/>
      <c r="DL833" s="72"/>
      <c r="DM833" s="72"/>
      <c r="DN833" s="72"/>
      <c r="DO833" s="72"/>
      <c r="DP833" s="72"/>
      <c r="DQ833" s="72"/>
      <c r="DR833" s="72"/>
      <c r="DS833" s="72"/>
      <c r="DT833" s="72"/>
      <c r="DU833" s="72"/>
      <c r="DV833" s="72"/>
      <c r="DW833" s="72"/>
      <c r="DX833" s="72"/>
      <c r="DY833" s="72"/>
      <c r="DZ833" s="72"/>
      <c r="EA833" s="72"/>
      <c r="EB833" s="72"/>
      <c r="EC833" s="72"/>
      <c r="ED833" s="72"/>
      <c r="EE833" s="72"/>
      <c r="EF833" s="72"/>
      <c r="EG833" s="72"/>
      <c r="EH833" s="72"/>
      <c r="EI833" s="129"/>
      <c r="EJ833" s="129"/>
      <c r="EK833" s="129"/>
      <c r="EL833" s="129"/>
      <c r="EM833" s="72"/>
      <c r="EN833" s="72"/>
      <c r="EO833" s="72"/>
      <c r="EP833" s="72"/>
      <c r="EQ833" s="72"/>
      <c r="ER833" s="72"/>
      <c r="ES833" s="72"/>
      <c r="ET833" s="72"/>
    </row>
    <row r="834">
      <c r="CD834" s="72"/>
      <c r="CE834" s="72"/>
      <c r="CF834" s="72"/>
      <c r="CG834" s="72"/>
      <c r="CH834" s="72"/>
      <c r="CI834" s="72"/>
      <c r="CJ834" s="72"/>
      <c r="CK834" s="72"/>
      <c r="CL834" s="72"/>
      <c r="CM834" s="72"/>
      <c r="CN834" s="72"/>
      <c r="CO834" s="72"/>
      <c r="CP834" s="72"/>
      <c r="CQ834" s="72"/>
      <c r="CR834" s="72"/>
      <c r="CS834" s="72"/>
      <c r="CT834" s="72"/>
      <c r="CU834" s="72"/>
      <c r="CV834" s="72"/>
      <c r="CW834" s="72"/>
      <c r="CX834" s="72"/>
      <c r="CY834" s="72"/>
      <c r="CZ834" s="72"/>
      <c r="DA834" s="72"/>
      <c r="DB834" s="72"/>
      <c r="DC834" s="72"/>
      <c r="DD834" s="72"/>
      <c r="DE834" s="72"/>
      <c r="DF834" s="72"/>
      <c r="DG834" s="72"/>
      <c r="DH834" s="72"/>
      <c r="DI834" s="72"/>
      <c r="DJ834" s="72"/>
      <c r="DK834" s="72"/>
      <c r="DL834" s="72"/>
      <c r="DM834" s="72"/>
      <c r="DN834" s="72"/>
      <c r="DO834" s="72"/>
      <c r="DP834" s="72"/>
      <c r="DQ834" s="72"/>
      <c r="DR834" s="72"/>
      <c r="DS834" s="72"/>
      <c r="DT834" s="72"/>
      <c r="DU834" s="72"/>
      <c r="DV834" s="72"/>
      <c r="DW834" s="72"/>
      <c r="DX834" s="72"/>
      <c r="DY834" s="72"/>
      <c r="DZ834" s="72"/>
      <c r="EA834" s="72"/>
      <c r="EB834" s="72"/>
      <c r="EC834" s="72"/>
      <c r="ED834" s="72"/>
      <c r="EE834" s="72"/>
      <c r="EF834" s="72"/>
      <c r="EG834" s="72"/>
      <c r="EH834" s="72"/>
      <c r="EI834" s="129"/>
      <c r="EJ834" s="129"/>
      <c r="EK834" s="129"/>
      <c r="EL834" s="129"/>
      <c r="EM834" s="72"/>
      <c r="EN834" s="72"/>
      <c r="EO834" s="72"/>
      <c r="EP834" s="72"/>
      <c r="EQ834" s="72"/>
      <c r="ER834" s="72"/>
      <c r="ES834" s="72"/>
      <c r="ET834" s="72"/>
    </row>
    <row r="835">
      <c r="CD835" s="72"/>
      <c r="CE835" s="72"/>
      <c r="CF835" s="72"/>
      <c r="CG835" s="72"/>
      <c r="CH835" s="72"/>
      <c r="CI835" s="72"/>
      <c r="CJ835" s="72"/>
      <c r="CK835" s="72"/>
      <c r="CL835" s="72"/>
      <c r="CM835" s="72"/>
      <c r="CN835" s="72"/>
      <c r="CO835" s="72"/>
      <c r="CP835" s="72"/>
      <c r="CQ835" s="72"/>
      <c r="CR835" s="72"/>
      <c r="CS835" s="72"/>
      <c r="CT835" s="72"/>
      <c r="CU835" s="72"/>
      <c r="CV835" s="72"/>
      <c r="CW835" s="72"/>
      <c r="CX835" s="72"/>
      <c r="CY835" s="72"/>
      <c r="CZ835" s="72"/>
      <c r="DA835" s="72"/>
      <c r="DB835" s="72"/>
      <c r="DC835" s="72"/>
      <c r="DD835" s="72"/>
      <c r="DE835" s="72"/>
      <c r="DF835" s="72"/>
      <c r="DG835" s="72"/>
      <c r="DH835" s="72"/>
      <c r="DI835" s="72"/>
      <c r="DJ835" s="72"/>
      <c r="DK835" s="72"/>
      <c r="DL835" s="72"/>
      <c r="DM835" s="72"/>
      <c r="DN835" s="72"/>
      <c r="DO835" s="72"/>
      <c r="DP835" s="72"/>
      <c r="DQ835" s="72"/>
      <c r="DR835" s="72"/>
      <c r="DS835" s="72"/>
      <c r="DT835" s="72"/>
      <c r="DU835" s="72"/>
      <c r="DV835" s="72"/>
      <c r="DW835" s="72"/>
      <c r="DX835" s="72"/>
      <c r="DY835" s="72"/>
      <c r="DZ835" s="72"/>
      <c r="EA835" s="72"/>
      <c r="EB835" s="72"/>
      <c r="EC835" s="72"/>
      <c r="ED835" s="72"/>
      <c r="EE835" s="72"/>
      <c r="EF835" s="72"/>
      <c r="EG835" s="72"/>
      <c r="EH835" s="72"/>
      <c r="EI835" s="129"/>
      <c r="EJ835" s="129"/>
      <c r="EK835" s="129"/>
      <c r="EL835" s="129"/>
      <c r="EM835" s="72"/>
      <c r="EN835" s="72"/>
      <c r="EO835" s="72"/>
      <c r="EP835" s="72"/>
      <c r="EQ835" s="72"/>
      <c r="ER835" s="72"/>
      <c r="ES835" s="72"/>
      <c r="ET835" s="72"/>
    </row>
    <row r="836">
      <c r="CD836" s="72"/>
      <c r="CE836" s="72"/>
      <c r="CF836" s="72"/>
      <c r="CG836" s="72"/>
      <c r="CH836" s="72"/>
      <c r="CI836" s="72"/>
      <c r="CJ836" s="72"/>
      <c r="CK836" s="72"/>
      <c r="CL836" s="72"/>
      <c r="CM836" s="72"/>
      <c r="CN836" s="72"/>
      <c r="CO836" s="72"/>
      <c r="CP836" s="72"/>
      <c r="CQ836" s="72"/>
      <c r="CR836" s="72"/>
      <c r="CS836" s="72"/>
      <c r="CT836" s="72"/>
      <c r="CU836" s="72"/>
      <c r="CV836" s="72"/>
      <c r="CW836" s="72"/>
      <c r="CX836" s="72"/>
      <c r="CY836" s="72"/>
      <c r="CZ836" s="72"/>
      <c r="DA836" s="72"/>
      <c r="DB836" s="72"/>
      <c r="DC836" s="72"/>
      <c r="DD836" s="72"/>
      <c r="DE836" s="72"/>
      <c r="DF836" s="72"/>
      <c r="DG836" s="72"/>
      <c r="DH836" s="72"/>
      <c r="DI836" s="72"/>
      <c r="DJ836" s="72"/>
      <c r="DK836" s="72"/>
      <c r="DL836" s="72"/>
      <c r="DM836" s="72"/>
      <c r="DN836" s="72"/>
      <c r="DO836" s="72"/>
      <c r="DP836" s="72"/>
      <c r="DQ836" s="72"/>
      <c r="DR836" s="72"/>
      <c r="DS836" s="72"/>
      <c r="DT836" s="72"/>
      <c r="DU836" s="72"/>
      <c r="DV836" s="72"/>
      <c r="DW836" s="72"/>
      <c r="DX836" s="72"/>
      <c r="DY836" s="72"/>
      <c r="DZ836" s="72"/>
      <c r="EA836" s="72"/>
      <c r="EB836" s="72"/>
      <c r="EC836" s="72"/>
      <c r="ED836" s="72"/>
      <c r="EE836" s="72"/>
      <c r="EF836" s="72"/>
      <c r="EG836" s="72"/>
      <c r="EH836" s="72"/>
      <c r="EI836" s="129"/>
      <c r="EJ836" s="129"/>
      <c r="EK836" s="129"/>
      <c r="EL836" s="129"/>
      <c r="EM836" s="72"/>
      <c r="EN836" s="72"/>
      <c r="EO836" s="72"/>
      <c r="EP836" s="72"/>
      <c r="EQ836" s="72"/>
      <c r="ER836" s="72"/>
      <c r="ES836" s="72"/>
      <c r="ET836" s="72"/>
    </row>
    <row r="837">
      <c r="CD837" s="72"/>
      <c r="CE837" s="72"/>
      <c r="CF837" s="72"/>
      <c r="CG837" s="72"/>
      <c r="CH837" s="72"/>
      <c r="CI837" s="72"/>
      <c r="CJ837" s="72"/>
      <c r="CK837" s="72"/>
      <c r="CL837" s="72"/>
      <c r="CM837" s="72"/>
      <c r="CN837" s="72"/>
      <c r="CO837" s="72"/>
      <c r="CP837" s="72"/>
      <c r="CQ837" s="72"/>
      <c r="CR837" s="72"/>
      <c r="CS837" s="72"/>
      <c r="CT837" s="72"/>
      <c r="CU837" s="72"/>
      <c r="CV837" s="72"/>
      <c r="CW837" s="72"/>
      <c r="CX837" s="72"/>
      <c r="CY837" s="72"/>
      <c r="CZ837" s="72"/>
      <c r="DA837" s="72"/>
      <c r="DB837" s="72"/>
      <c r="DC837" s="72"/>
      <c r="DD837" s="72"/>
      <c r="DE837" s="72"/>
      <c r="DF837" s="72"/>
      <c r="DG837" s="72"/>
      <c r="DH837" s="72"/>
      <c r="DI837" s="72"/>
      <c r="DJ837" s="72"/>
      <c r="DK837" s="72"/>
      <c r="DL837" s="72"/>
      <c r="DM837" s="72"/>
      <c r="DN837" s="72"/>
      <c r="DO837" s="72"/>
      <c r="DP837" s="72"/>
      <c r="DQ837" s="72"/>
      <c r="DR837" s="72"/>
      <c r="DS837" s="72"/>
      <c r="DT837" s="72"/>
      <c r="DU837" s="72"/>
      <c r="DV837" s="72"/>
      <c r="DW837" s="72"/>
      <c r="DX837" s="72"/>
      <c r="DY837" s="72"/>
      <c r="DZ837" s="72"/>
      <c r="EA837" s="72"/>
      <c r="EB837" s="72"/>
      <c r="EC837" s="72"/>
      <c r="ED837" s="72"/>
      <c r="EE837" s="72"/>
      <c r="EF837" s="72"/>
      <c r="EG837" s="72"/>
      <c r="EH837" s="72"/>
      <c r="EI837" s="129"/>
      <c r="EJ837" s="129"/>
      <c r="EK837" s="129"/>
      <c r="EL837" s="129"/>
      <c r="EM837" s="72"/>
      <c r="EN837" s="72"/>
      <c r="EO837" s="72"/>
      <c r="EP837" s="72"/>
      <c r="EQ837" s="72"/>
      <c r="ER837" s="72"/>
      <c r="ES837" s="72"/>
      <c r="ET837" s="72"/>
    </row>
    <row r="838">
      <c r="CD838" s="72"/>
      <c r="CE838" s="72"/>
      <c r="CF838" s="72"/>
      <c r="CG838" s="72"/>
      <c r="CH838" s="72"/>
      <c r="CI838" s="72"/>
      <c r="CJ838" s="72"/>
      <c r="CK838" s="72"/>
      <c r="CL838" s="72"/>
      <c r="CM838" s="72"/>
      <c r="CN838" s="72"/>
      <c r="CO838" s="72"/>
      <c r="CP838" s="72"/>
      <c r="CQ838" s="72"/>
      <c r="CR838" s="72"/>
      <c r="CS838" s="72"/>
      <c r="CT838" s="72"/>
      <c r="CU838" s="72"/>
      <c r="CV838" s="72"/>
      <c r="CW838" s="72"/>
      <c r="CX838" s="72"/>
      <c r="CY838" s="72"/>
      <c r="CZ838" s="72"/>
      <c r="DA838" s="72"/>
      <c r="DB838" s="72"/>
      <c r="DC838" s="72"/>
      <c r="DD838" s="72"/>
      <c r="DE838" s="72"/>
      <c r="DF838" s="72"/>
      <c r="DG838" s="72"/>
      <c r="DH838" s="72"/>
      <c r="DI838" s="72"/>
      <c r="DJ838" s="72"/>
      <c r="DK838" s="72"/>
      <c r="DL838" s="72"/>
      <c r="DM838" s="72"/>
      <c r="DN838" s="72"/>
      <c r="DO838" s="72"/>
      <c r="DP838" s="72"/>
      <c r="DQ838" s="72"/>
      <c r="DR838" s="72"/>
      <c r="DS838" s="72"/>
      <c r="DT838" s="72"/>
      <c r="DU838" s="72"/>
      <c r="DV838" s="72"/>
      <c r="DW838" s="72"/>
      <c r="DX838" s="72"/>
      <c r="DY838" s="72"/>
      <c r="DZ838" s="72"/>
      <c r="EA838" s="72"/>
      <c r="EB838" s="72"/>
      <c r="EC838" s="72"/>
      <c r="ED838" s="72"/>
      <c r="EE838" s="72"/>
      <c r="EF838" s="72"/>
      <c r="EG838" s="72"/>
      <c r="EH838" s="72"/>
      <c r="EI838" s="129"/>
      <c r="EJ838" s="129"/>
      <c r="EK838" s="129"/>
      <c r="EL838" s="129"/>
      <c r="EM838" s="72"/>
      <c r="EN838" s="72"/>
      <c r="EO838" s="72"/>
      <c r="EP838" s="72"/>
      <c r="EQ838" s="72"/>
      <c r="ER838" s="72"/>
      <c r="ES838" s="72"/>
      <c r="ET838" s="72"/>
    </row>
    <row r="839">
      <c r="CD839" s="72"/>
      <c r="CE839" s="72"/>
      <c r="CF839" s="72"/>
      <c r="CG839" s="72"/>
      <c r="CH839" s="72"/>
      <c r="CI839" s="72"/>
      <c r="CJ839" s="72"/>
      <c r="CK839" s="72"/>
      <c r="CL839" s="72"/>
      <c r="CM839" s="72"/>
      <c r="CN839" s="72"/>
      <c r="CO839" s="72"/>
      <c r="CP839" s="72"/>
      <c r="CQ839" s="72"/>
      <c r="CR839" s="72"/>
      <c r="CS839" s="72"/>
      <c r="CT839" s="72"/>
      <c r="CU839" s="72"/>
      <c r="CV839" s="72"/>
      <c r="CW839" s="72"/>
      <c r="CX839" s="72"/>
      <c r="CY839" s="72"/>
      <c r="CZ839" s="72"/>
      <c r="DA839" s="72"/>
      <c r="DB839" s="72"/>
      <c r="DC839" s="72"/>
      <c r="DD839" s="72"/>
      <c r="DE839" s="72"/>
      <c r="DF839" s="72"/>
      <c r="DG839" s="72"/>
      <c r="DH839" s="72"/>
      <c r="DI839" s="72"/>
      <c r="DJ839" s="72"/>
      <c r="DK839" s="72"/>
      <c r="DL839" s="72"/>
      <c r="DM839" s="72"/>
      <c r="DN839" s="72"/>
      <c r="DO839" s="72"/>
      <c r="DP839" s="72"/>
      <c r="DQ839" s="72"/>
      <c r="DR839" s="72"/>
      <c r="DS839" s="72"/>
      <c r="DT839" s="72"/>
      <c r="DU839" s="72"/>
      <c r="DV839" s="72"/>
      <c r="DW839" s="72"/>
      <c r="DX839" s="72"/>
      <c r="DY839" s="72"/>
      <c r="DZ839" s="72"/>
      <c r="EA839" s="72"/>
      <c r="EB839" s="72"/>
      <c r="EC839" s="72"/>
      <c r="ED839" s="72"/>
      <c r="EE839" s="72"/>
      <c r="EF839" s="72"/>
      <c r="EG839" s="72"/>
      <c r="EH839" s="72"/>
      <c r="EI839" s="129"/>
      <c r="EJ839" s="129"/>
      <c r="EK839" s="129"/>
      <c r="EL839" s="129"/>
      <c r="EM839" s="72"/>
      <c r="EN839" s="72"/>
      <c r="EO839" s="72"/>
      <c r="EP839" s="72"/>
      <c r="EQ839" s="72"/>
      <c r="ER839" s="72"/>
      <c r="ES839" s="72"/>
      <c r="ET839" s="72"/>
    </row>
    <row r="840">
      <c r="CD840" s="72"/>
      <c r="CE840" s="72"/>
      <c r="CF840" s="72"/>
      <c r="CG840" s="72"/>
      <c r="CH840" s="72"/>
      <c r="CI840" s="72"/>
      <c r="CJ840" s="72"/>
      <c r="CK840" s="72"/>
      <c r="CL840" s="72"/>
      <c r="CM840" s="72"/>
      <c r="CN840" s="72"/>
      <c r="CO840" s="72"/>
      <c r="CP840" s="72"/>
      <c r="CQ840" s="72"/>
      <c r="CR840" s="72"/>
      <c r="CS840" s="72"/>
      <c r="CT840" s="72"/>
      <c r="CU840" s="72"/>
      <c r="CV840" s="72"/>
      <c r="CW840" s="72"/>
      <c r="CX840" s="72"/>
      <c r="CY840" s="72"/>
      <c r="CZ840" s="72"/>
      <c r="DA840" s="72"/>
      <c r="DB840" s="72"/>
      <c r="DC840" s="72"/>
      <c r="DD840" s="72"/>
      <c r="DE840" s="72"/>
      <c r="DF840" s="72"/>
      <c r="DG840" s="72"/>
      <c r="DH840" s="72"/>
      <c r="DI840" s="72"/>
      <c r="DJ840" s="72"/>
      <c r="DK840" s="72"/>
      <c r="DL840" s="72"/>
      <c r="DM840" s="72"/>
      <c r="DN840" s="72"/>
      <c r="DO840" s="72"/>
      <c r="DP840" s="72"/>
      <c r="DQ840" s="72"/>
      <c r="DR840" s="72"/>
      <c r="DS840" s="72"/>
      <c r="DT840" s="72"/>
      <c r="DU840" s="72"/>
      <c r="DV840" s="72"/>
      <c r="DW840" s="72"/>
      <c r="DX840" s="72"/>
      <c r="DY840" s="72"/>
      <c r="DZ840" s="72"/>
      <c r="EA840" s="72"/>
      <c r="EB840" s="72"/>
      <c r="EC840" s="72"/>
      <c r="ED840" s="72"/>
      <c r="EE840" s="72"/>
      <c r="EF840" s="72"/>
      <c r="EG840" s="72"/>
      <c r="EH840" s="72"/>
      <c r="EI840" s="129"/>
      <c r="EJ840" s="129"/>
      <c r="EK840" s="129"/>
      <c r="EL840" s="129"/>
      <c r="EM840" s="72"/>
      <c r="EN840" s="72"/>
      <c r="EO840" s="72"/>
      <c r="EP840" s="72"/>
      <c r="EQ840" s="72"/>
      <c r="ER840" s="72"/>
      <c r="ES840" s="72"/>
      <c r="ET840" s="72"/>
    </row>
    <row r="841">
      <c r="CD841" s="72"/>
      <c r="CE841" s="72"/>
      <c r="CF841" s="72"/>
      <c r="CG841" s="72"/>
      <c r="CH841" s="72"/>
      <c r="CI841" s="72"/>
      <c r="CJ841" s="72"/>
      <c r="CK841" s="72"/>
      <c r="CL841" s="72"/>
      <c r="CM841" s="72"/>
      <c r="CN841" s="72"/>
      <c r="CO841" s="72"/>
      <c r="CP841" s="72"/>
      <c r="CQ841" s="72"/>
      <c r="CR841" s="72"/>
      <c r="CS841" s="72"/>
      <c r="CT841" s="72"/>
      <c r="CU841" s="72"/>
      <c r="CV841" s="72"/>
      <c r="CW841" s="72"/>
      <c r="CX841" s="72"/>
      <c r="CY841" s="72"/>
      <c r="CZ841" s="72"/>
      <c r="DA841" s="72"/>
      <c r="DB841" s="72"/>
      <c r="DC841" s="72"/>
      <c r="DD841" s="72"/>
      <c r="DE841" s="72"/>
      <c r="DF841" s="72"/>
      <c r="DG841" s="72"/>
      <c r="DH841" s="72"/>
      <c r="DI841" s="72"/>
      <c r="DJ841" s="72"/>
      <c r="DK841" s="72"/>
      <c r="DL841" s="72"/>
      <c r="DM841" s="72"/>
      <c r="DN841" s="72"/>
      <c r="DO841" s="72"/>
      <c r="DP841" s="72"/>
      <c r="DQ841" s="72"/>
      <c r="DR841" s="72"/>
      <c r="DS841" s="72"/>
      <c r="DT841" s="72"/>
      <c r="DU841" s="72"/>
      <c r="DV841" s="72"/>
      <c r="DW841" s="72"/>
      <c r="DX841" s="72"/>
      <c r="DY841" s="72"/>
      <c r="DZ841" s="72"/>
      <c r="EA841" s="72"/>
      <c r="EB841" s="72"/>
      <c r="EC841" s="72"/>
      <c r="ED841" s="72"/>
      <c r="EE841" s="72"/>
      <c r="EF841" s="72"/>
      <c r="EG841" s="72"/>
      <c r="EH841" s="72"/>
      <c r="EI841" s="129"/>
      <c r="EJ841" s="129"/>
      <c r="EK841" s="129"/>
      <c r="EL841" s="129"/>
      <c r="EM841" s="72"/>
      <c r="EN841" s="72"/>
      <c r="EO841" s="72"/>
      <c r="EP841" s="72"/>
      <c r="EQ841" s="72"/>
      <c r="ER841" s="72"/>
      <c r="ES841" s="72"/>
      <c r="ET841" s="72"/>
    </row>
    <row r="842">
      <c r="CD842" s="72"/>
      <c r="CE842" s="72"/>
      <c r="CF842" s="72"/>
      <c r="CG842" s="72"/>
      <c r="CH842" s="72"/>
      <c r="CI842" s="72"/>
      <c r="CJ842" s="72"/>
      <c r="CK842" s="72"/>
      <c r="CL842" s="72"/>
      <c r="CM842" s="72"/>
      <c r="CN842" s="72"/>
      <c r="CO842" s="72"/>
      <c r="CP842" s="72"/>
      <c r="CQ842" s="72"/>
      <c r="CR842" s="72"/>
      <c r="CS842" s="72"/>
      <c r="CT842" s="72"/>
      <c r="CU842" s="72"/>
      <c r="CV842" s="72"/>
      <c r="CW842" s="72"/>
      <c r="CX842" s="72"/>
      <c r="CY842" s="72"/>
      <c r="CZ842" s="72"/>
      <c r="DA842" s="72"/>
      <c r="DB842" s="72"/>
      <c r="DC842" s="72"/>
      <c r="DD842" s="72"/>
      <c r="DE842" s="72"/>
      <c r="DF842" s="72"/>
      <c r="DG842" s="72"/>
      <c r="DH842" s="72"/>
      <c r="DI842" s="72"/>
      <c r="DJ842" s="72"/>
      <c r="DK842" s="72"/>
      <c r="DL842" s="72"/>
      <c r="DM842" s="72"/>
      <c r="DN842" s="72"/>
      <c r="DO842" s="72"/>
      <c r="DP842" s="72"/>
      <c r="DQ842" s="72"/>
      <c r="DR842" s="72"/>
      <c r="DS842" s="72"/>
      <c r="DT842" s="72"/>
      <c r="DU842" s="72"/>
      <c r="DV842" s="72"/>
      <c r="DW842" s="72"/>
      <c r="DX842" s="72"/>
      <c r="DY842" s="72"/>
      <c r="DZ842" s="72"/>
      <c r="EA842" s="72"/>
      <c r="EB842" s="72"/>
      <c r="EC842" s="72"/>
      <c r="ED842" s="72"/>
      <c r="EE842" s="72"/>
      <c r="EF842" s="72"/>
      <c r="EG842" s="72"/>
      <c r="EH842" s="72"/>
      <c r="EI842" s="129"/>
      <c r="EJ842" s="129"/>
      <c r="EK842" s="129"/>
      <c r="EL842" s="129"/>
      <c r="EM842" s="72"/>
      <c r="EN842" s="72"/>
      <c r="EO842" s="72"/>
      <c r="EP842" s="72"/>
      <c r="EQ842" s="72"/>
      <c r="ER842" s="72"/>
      <c r="ES842" s="72"/>
      <c r="ET842" s="72"/>
    </row>
    <row r="843">
      <c r="CD843" s="72"/>
      <c r="CE843" s="72"/>
      <c r="CF843" s="72"/>
      <c r="CG843" s="72"/>
      <c r="CH843" s="72"/>
      <c r="CI843" s="72"/>
      <c r="CJ843" s="72"/>
      <c r="CK843" s="72"/>
      <c r="CL843" s="72"/>
      <c r="CM843" s="72"/>
      <c r="CN843" s="72"/>
      <c r="CO843" s="72"/>
      <c r="CP843" s="72"/>
      <c r="CQ843" s="72"/>
      <c r="CR843" s="72"/>
      <c r="CS843" s="72"/>
      <c r="CT843" s="72"/>
      <c r="CU843" s="72"/>
      <c r="CV843" s="72"/>
      <c r="CW843" s="72"/>
      <c r="CX843" s="72"/>
      <c r="CY843" s="72"/>
      <c r="CZ843" s="72"/>
      <c r="DA843" s="72"/>
      <c r="DB843" s="72"/>
      <c r="DC843" s="72"/>
      <c r="DD843" s="72"/>
      <c r="DE843" s="72"/>
      <c r="DF843" s="72"/>
      <c r="DG843" s="72"/>
      <c r="DH843" s="72"/>
      <c r="DI843" s="72"/>
      <c r="DJ843" s="72"/>
      <c r="DK843" s="72"/>
      <c r="DL843" s="72"/>
      <c r="DM843" s="72"/>
      <c r="DN843" s="72"/>
      <c r="DO843" s="72"/>
      <c r="DP843" s="72"/>
      <c r="DQ843" s="72"/>
      <c r="DR843" s="72"/>
      <c r="DS843" s="72"/>
      <c r="DT843" s="72"/>
      <c r="DU843" s="72"/>
      <c r="DV843" s="72"/>
      <c r="DW843" s="72"/>
      <c r="DX843" s="72"/>
      <c r="DY843" s="72"/>
      <c r="DZ843" s="72"/>
      <c r="EA843" s="72"/>
      <c r="EB843" s="72"/>
      <c r="EC843" s="72"/>
      <c r="ED843" s="72"/>
      <c r="EE843" s="72"/>
      <c r="EF843" s="72"/>
      <c r="EG843" s="72"/>
      <c r="EH843" s="72"/>
      <c r="EI843" s="129"/>
      <c r="EJ843" s="129"/>
      <c r="EK843" s="129"/>
      <c r="EL843" s="129"/>
      <c r="EM843" s="72"/>
      <c r="EN843" s="72"/>
      <c r="EO843" s="72"/>
      <c r="EP843" s="72"/>
      <c r="EQ843" s="72"/>
      <c r="ER843" s="72"/>
      <c r="ES843" s="72"/>
      <c r="ET843" s="72"/>
    </row>
    <row r="844">
      <c r="CD844" s="72"/>
      <c r="CE844" s="72"/>
      <c r="CF844" s="72"/>
      <c r="CG844" s="72"/>
      <c r="CH844" s="72"/>
      <c r="CI844" s="72"/>
      <c r="CJ844" s="72"/>
      <c r="CK844" s="72"/>
      <c r="CL844" s="72"/>
      <c r="CM844" s="72"/>
      <c r="CN844" s="72"/>
      <c r="CO844" s="72"/>
      <c r="CP844" s="72"/>
      <c r="CQ844" s="72"/>
      <c r="CR844" s="72"/>
      <c r="CS844" s="72"/>
      <c r="CT844" s="72"/>
      <c r="CU844" s="72"/>
      <c r="CV844" s="72"/>
      <c r="CW844" s="72"/>
      <c r="CX844" s="72"/>
      <c r="CY844" s="72"/>
      <c r="CZ844" s="72"/>
      <c r="DA844" s="72"/>
      <c r="DB844" s="72"/>
      <c r="DC844" s="72"/>
      <c r="DD844" s="72"/>
      <c r="DE844" s="72"/>
      <c r="DF844" s="72"/>
      <c r="DG844" s="72"/>
      <c r="DH844" s="72"/>
      <c r="DI844" s="72"/>
      <c r="DJ844" s="72"/>
      <c r="DK844" s="72"/>
      <c r="DL844" s="72"/>
      <c r="DM844" s="72"/>
      <c r="DN844" s="72"/>
      <c r="DO844" s="72"/>
      <c r="DP844" s="72"/>
      <c r="DQ844" s="72"/>
      <c r="DR844" s="72"/>
      <c r="DS844" s="72"/>
      <c r="DT844" s="72"/>
      <c r="DU844" s="72"/>
      <c r="DV844" s="72"/>
      <c r="DW844" s="72"/>
      <c r="DX844" s="72"/>
      <c r="DY844" s="72"/>
      <c r="DZ844" s="72"/>
      <c r="EA844" s="72"/>
      <c r="EB844" s="72"/>
      <c r="EC844" s="72"/>
      <c r="ED844" s="72"/>
      <c r="EE844" s="72"/>
      <c r="EF844" s="72"/>
      <c r="EG844" s="72"/>
      <c r="EH844" s="72"/>
      <c r="EI844" s="129"/>
      <c r="EJ844" s="129"/>
      <c r="EK844" s="129"/>
      <c r="EL844" s="129"/>
      <c r="EM844" s="72"/>
      <c r="EN844" s="72"/>
      <c r="EO844" s="72"/>
      <c r="EP844" s="72"/>
      <c r="EQ844" s="72"/>
      <c r="ER844" s="72"/>
      <c r="ES844" s="72"/>
      <c r="ET844" s="72"/>
    </row>
    <row r="845">
      <c r="CD845" s="72"/>
      <c r="CE845" s="72"/>
      <c r="CF845" s="72"/>
      <c r="CG845" s="72"/>
      <c r="CH845" s="72"/>
      <c r="CI845" s="72"/>
      <c r="CJ845" s="72"/>
      <c r="CK845" s="72"/>
      <c r="CL845" s="72"/>
      <c r="CM845" s="72"/>
      <c r="CN845" s="72"/>
      <c r="CO845" s="72"/>
      <c r="CP845" s="72"/>
      <c r="CQ845" s="72"/>
      <c r="CR845" s="72"/>
      <c r="CS845" s="72"/>
      <c r="CT845" s="72"/>
      <c r="CU845" s="72"/>
      <c r="CV845" s="72"/>
      <c r="CW845" s="72"/>
      <c r="CX845" s="72"/>
      <c r="CY845" s="72"/>
      <c r="CZ845" s="72"/>
      <c r="DA845" s="72"/>
      <c r="DB845" s="72"/>
      <c r="DC845" s="72"/>
      <c r="DD845" s="72"/>
      <c r="DE845" s="72"/>
      <c r="DF845" s="72"/>
      <c r="DG845" s="72"/>
      <c r="DH845" s="72"/>
      <c r="DI845" s="72"/>
      <c r="DJ845" s="72"/>
      <c r="DK845" s="72"/>
      <c r="DL845" s="72"/>
      <c r="DM845" s="72"/>
      <c r="DN845" s="72"/>
      <c r="DO845" s="72"/>
      <c r="DP845" s="72"/>
      <c r="DQ845" s="72"/>
      <c r="DR845" s="72"/>
      <c r="DS845" s="72"/>
      <c r="DT845" s="72"/>
      <c r="DU845" s="72"/>
      <c r="DV845" s="72"/>
      <c r="DW845" s="72"/>
      <c r="DX845" s="72"/>
      <c r="DY845" s="72"/>
      <c r="DZ845" s="72"/>
      <c r="EA845" s="72"/>
      <c r="EB845" s="72"/>
      <c r="EC845" s="72"/>
      <c r="ED845" s="72"/>
      <c r="EE845" s="72"/>
      <c r="EF845" s="72"/>
      <c r="EG845" s="72"/>
      <c r="EH845" s="72"/>
      <c r="EI845" s="129"/>
      <c r="EJ845" s="129"/>
      <c r="EK845" s="129"/>
      <c r="EL845" s="129"/>
      <c r="EM845" s="72"/>
      <c r="EN845" s="72"/>
      <c r="EO845" s="72"/>
      <c r="EP845" s="72"/>
      <c r="EQ845" s="72"/>
      <c r="ER845" s="72"/>
      <c r="ES845" s="72"/>
      <c r="ET845" s="72"/>
    </row>
    <row r="846">
      <c r="CD846" s="72"/>
      <c r="CE846" s="72"/>
      <c r="CF846" s="72"/>
      <c r="CG846" s="72"/>
      <c r="CH846" s="72"/>
      <c r="CI846" s="72"/>
      <c r="CJ846" s="72"/>
      <c r="CK846" s="72"/>
      <c r="CL846" s="72"/>
      <c r="CM846" s="72"/>
      <c r="CN846" s="72"/>
      <c r="CO846" s="72"/>
      <c r="CP846" s="72"/>
      <c r="CQ846" s="72"/>
      <c r="CR846" s="72"/>
      <c r="CS846" s="72"/>
      <c r="CT846" s="72"/>
      <c r="CU846" s="72"/>
      <c r="CV846" s="72"/>
      <c r="CW846" s="72"/>
      <c r="CX846" s="72"/>
      <c r="CY846" s="72"/>
      <c r="CZ846" s="72"/>
      <c r="DA846" s="72"/>
      <c r="DB846" s="72"/>
      <c r="DC846" s="72"/>
      <c r="DD846" s="72"/>
      <c r="DE846" s="72"/>
      <c r="DF846" s="72"/>
      <c r="DG846" s="72"/>
      <c r="DH846" s="72"/>
      <c r="DI846" s="72"/>
      <c r="DJ846" s="72"/>
      <c r="DK846" s="72"/>
      <c r="DL846" s="72"/>
      <c r="DM846" s="72"/>
      <c r="DN846" s="72"/>
      <c r="DO846" s="72"/>
      <c r="DP846" s="72"/>
      <c r="DQ846" s="72"/>
      <c r="DR846" s="72"/>
      <c r="DS846" s="72"/>
      <c r="DT846" s="72"/>
      <c r="DU846" s="72"/>
      <c r="DV846" s="72"/>
      <c r="DW846" s="72"/>
      <c r="DX846" s="72"/>
      <c r="DY846" s="72"/>
      <c r="DZ846" s="72"/>
      <c r="EA846" s="72"/>
      <c r="EB846" s="72"/>
      <c r="EC846" s="72"/>
      <c r="ED846" s="72"/>
      <c r="EE846" s="72"/>
      <c r="EF846" s="72"/>
      <c r="EG846" s="72"/>
      <c r="EH846" s="72"/>
      <c r="EI846" s="129"/>
      <c r="EJ846" s="129"/>
      <c r="EK846" s="129"/>
      <c r="EL846" s="129"/>
      <c r="EM846" s="72"/>
      <c r="EN846" s="72"/>
      <c r="EO846" s="72"/>
      <c r="EP846" s="72"/>
      <c r="EQ846" s="72"/>
      <c r="ER846" s="72"/>
      <c r="ES846" s="72"/>
      <c r="ET846" s="72"/>
    </row>
    <row r="847">
      <c r="CD847" s="72"/>
      <c r="CE847" s="72"/>
      <c r="CF847" s="72"/>
      <c r="CG847" s="72"/>
      <c r="CH847" s="72"/>
      <c r="CI847" s="72"/>
      <c r="CJ847" s="72"/>
      <c r="CK847" s="72"/>
      <c r="CL847" s="72"/>
      <c r="CM847" s="72"/>
      <c r="CN847" s="72"/>
      <c r="CO847" s="72"/>
      <c r="CP847" s="72"/>
      <c r="CQ847" s="72"/>
      <c r="CR847" s="72"/>
      <c r="CS847" s="72"/>
      <c r="CT847" s="72"/>
      <c r="CU847" s="72"/>
      <c r="CV847" s="72"/>
      <c r="CW847" s="72"/>
      <c r="CX847" s="72"/>
      <c r="CY847" s="72"/>
      <c r="CZ847" s="72"/>
      <c r="DA847" s="72"/>
      <c r="DB847" s="72"/>
      <c r="DC847" s="72"/>
      <c r="DD847" s="72"/>
      <c r="DE847" s="72"/>
      <c r="DF847" s="72"/>
      <c r="DG847" s="72"/>
      <c r="DH847" s="72"/>
      <c r="DI847" s="72"/>
      <c r="DJ847" s="72"/>
      <c r="DK847" s="72"/>
      <c r="DL847" s="72"/>
      <c r="DM847" s="72"/>
      <c r="DN847" s="72"/>
      <c r="DO847" s="72"/>
      <c r="DP847" s="72"/>
      <c r="DQ847" s="72"/>
      <c r="DR847" s="72"/>
      <c r="DS847" s="72"/>
      <c r="DT847" s="72"/>
      <c r="DU847" s="72"/>
      <c r="DV847" s="72"/>
      <c r="DW847" s="72"/>
      <c r="DX847" s="72"/>
      <c r="DY847" s="72"/>
      <c r="DZ847" s="72"/>
      <c r="EA847" s="72"/>
      <c r="EB847" s="72"/>
      <c r="EC847" s="72"/>
      <c r="ED847" s="72"/>
      <c r="EE847" s="72"/>
      <c r="EF847" s="72"/>
      <c r="EG847" s="72"/>
      <c r="EH847" s="72"/>
      <c r="EI847" s="129"/>
      <c r="EJ847" s="129"/>
      <c r="EK847" s="129"/>
      <c r="EL847" s="129"/>
      <c r="EM847" s="72"/>
      <c r="EN847" s="72"/>
      <c r="EO847" s="72"/>
      <c r="EP847" s="72"/>
      <c r="EQ847" s="72"/>
      <c r="ER847" s="72"/>
      <c r="ES847" s="72"/>
      <c r="ET847" s="72"/>
    </row>
    <row r="848">
      <c r="CD848" s="72"/>
      <c r="CE848" s="72"/>
      <c r="CF848" s="72"/>
      <c r="CG848" s="72"/>
      <c r="CH848" s="72"/>
      <c r="CI848" s="72"/>
      <c r="CJ848" s="72"/>
      <c r="CK848" s="72"/>
      <c r="CL848" s="72"/>
      <c r="CM848" s="72"/>
      <c r="CN848" s="72"/>
      <c r="CO848" s="72"/>
      <c r="CP848" s="72"/>
      <c r="CQ848" s="72"/>
      <c r="CR848" s="72"/>
      <c r="CS848" s="72"/>
      <c r="CT848" s="72"/>
      <c r="CU848" s="72"/>
      <c r="CV848" s="72"/>
      <c r="CW848" s="72"/>
      <c r="CX848" s="72"/>
      <c r="CY848" s="72"/>
      <c r="CZ848" s="72"/>
      <c r="DA848" s="72"/>
      <c r="DB848" s="72"/>
      <c r="DC848" s="72"/>
      <c r="DD848" s="72"/>
      <c r="DE848" s="72"/>
      <c r="DF848" s="72"/>
      <c r="DG848" s="72"/>
      <c r="DH848" s="72"/>
      <c r="DI848" s="72"/>
      <c r="DJ848" s="72"/>
      <c r="DK848" s="72"/>
      <c r="DL848" s="72"/>
      <c r="DM848" s="72"/>
      <c r="DN848" s="72"/>
      <c r="DO848" s="72"/>
      <c r="DP848" s="72"/>
      <c r="DQ848" s="72"/>
      <c r="DR848" s="72"/>
      <c r="DS848" s="72"/>
      <c r="DT848" s="72"/>
      <c r="DU848" s="72"/>
      <c r="DV848" s="72"/>
      <c r="DW848" s="72"/>
      <c r="DX848" s="72"/>
      <c r="DY848" s="72"/>
      <c r="DZ848" s="72"/>
      <c r="EA848" s="72"/>
      <c r="EB848" s="72"/>
      <c r="EC848" s="72"/>
      <c r="ED848" s="72"/>
      <c r="EE848" s="72"/>
      <c r="EF848" s="72"/>
      <c r="EG848" s="72"/>
      <c r="EH848" s="72"/>
      <c r="EI848" s="129"/>
      <c r="EJ848" s="129"/>
      <c r="EK848" s="129"/>
      <c r="EL848" s="129"/>
      <c r="EM848" s="72"/>
      <c r="EN848" s="72"/>
      <c r="EO848" s="72"/>
      <c r="EP848" s="72"/>
      <c r="EQ848" s="72"/>
      <c r="ER848" s="72"/>
      <c r="ES848" s="72"/>
      <c r="ET848" s="72"/>
    </row>
    <row r="849">
      <c r="CD849" s="72"/>
      <c r="CE849" s="72"/>
      <c r="CF849" s="72"/>
      <c r="CG849" s="72"/>
      <c r="CH849" s="72"/>
      <c r="CI849" s="72"/>
      <c r="CJ849" s="72"/>
      <c r="CK849" s="72"/>
      <c r="CL849" s="72"/>
      <c r="CM849" s="72"/>
      <c r="CN849" s="72"/>
      <c r="CO849" s="72"/>
      <c r="CP849" s="72"/>
      <c r="CQ849" s="72"/>
      <c r="CR849" s="72"/>
      <c r="CS849" s="72"/>
      <c r="CT849" s="72"/>
      <c r="CU849" s="72"/>
      <c r="CV849" s="72"/>
      <c r="CW849" s="72"/>
      <c r="CX849" s="72"/>
      <c r="CY849" s="72"/>
      <c r="CZ849" s="72"/>
      <c r="DA849" s="72"/>
      <c r="DB849" s="72"/>
      <c r="DC849" s="72"/>
      <c r="DD849" s="72"/>
      <c r="DE849" s="72"/>
      <c r="DF849" s="72"/>
      <c r="DG849" s="72"/>
      <c r="DH849" s="72"/>
      <c r="DI849" s="72"/>
      <c r="DJ849" s="72"/>
      <c r="DK849" s="72"/>
      <c r="DL849" s="72"/>
      <c r="DM849" s="72"/>
      <c r="DN849" s="72"/>
      <c r="DO849" s="72"/>
      <c r="DP849" s="72"/>
      <c r="DQ849" s="72"/>
      <c r="DR849" s="72"/>
      <c r="DS849" s="72"/>
      <c r="DT849" s="72"/>
      <c r="DU849" s="72"/>
      <c r="DV849" s="72"/>
      <c r="DW849" s="72"/>
      <c r="DX849" s="72"/>
      <c r="DY849" s="72"/>
      <c r="DZ849" s="72"/>
      <c r="EA849" s="72"/>
      <c r="EB849" s="72"/>
      <c r="EC849" s="72"/>
      <c r="ED849" s="72"/>
      <c r="EE849" s="72"/>
      <c r="EF849" s="72"/>
      <c r="EG849" s="72"/>
      <c r="EH849" s="72"/>
      <c r="EI849" s="129"/>
      <c r="EJ849" s="129"/>
      <c r="EK849" s="129"/>
      <c r="EL849" s="129"/>
      <c r="EM849" s="72"/>
      <c r="EN849" s="72"/>
      <c r="EO849" s="72"/>
      <c r="EP849" s="72"/>
      <c r="EQ849" s="72"/>
      <c r="ER849" s="72"/>
      <c r="ES849" s="72"/>
      <c r="ET849" s="72"/>
    </row>
    <row r="850">
      <c r="CD850" s="72"/>
      <c r="CE850" s="72"/>
      <c r="CF850" s="72"/>
      <c r="CG850" s="72"/>
      <c r="CH850" s="72"/>
      <c r="CI850" s="72"/>
      <c r="CJ850" s="72"/>
      <c r="CK850" s="72"/>
      <c r="CL850" s="72"/>
      <c r="CM850" s="72"/>
      <c r="CN850" s="72"/>
      <c r="CO850" s="72"/>
      <c r="CP850" s="72"/>
      <c r="CQ850" s="72"/>
      <c r="CR850" s="72"/>
      <c r="CS850" s="72"/>
      <c r="CT850" s="72"/>
      <c r="CU850" s="72"/>
      <c r="CV850" s="72"/>
      <c r="CW850" s="72"/>
      <c r="CX850" s="72"/>
      <c r="CY850" s="72"/>
      <c r="CZ850" s="72"/>
      <c r="DA850" s="72"/>
      <c r="DB850" s="72"/>
      <c r="DC850" s="72"/>
      <c r="DD850" s="72"/>
      <c r="DE850" s="72"/>
      <c r="DF850" s="72"/>
      <c r="DG850" s="72"/>
      <c r="DH850" s="72"/>
      <c r="DI850" s="72"/>
      <c r="DJ850" s="72"/>
      <c r="DK850" s="72"/>
      <c r="DL850" s="72"/>
      <c r="DM850" s="72"/>
      <c r="DN850" s="72"/>
      <c r="DO850" s="72"/>
      <c r="DP850" s="72"/>
      <c r="DQ850" s="72"/>
      <c r="DR850" s="72"/>
      <c r="DS850" s="72"/>
      <c r="DT850" s="72"/>
      <c r="DU850" s="72"/>
      <c r="DV850" s="72"/>
      <c r="DW850" s="72"/>
      <c r="DX850" s="72"/>
      <c r="DY850" s="72"/>
      <c r="DZ850" s="72"/>
      <c r="EA850" s="72"/>
      <c r="EB850" s="72"/>
      <c r="EC850" s="72"/>
      <c r="ED850" s="72"/>
      <c r="EE850" s="72"/>
      <c r="EF850" s="72"/>
      <c r="EG850" s="72"/>
      <c r="EH850" s="72"/>
      <c r="EI850" s="129"/>
      <c r="EJ850" s="129"/>
      <c r="EK850" s="129"/>
      <c r="EL850" s="129"/>
      <c r="EM850" s="72"/>
      <c r="EN850" s="72"/>
      <c r="EO850" s="72"/>
      <c r="EP850" s="72"/>
      <c r="EQ850" s="72"/>
      <c r="ER850" s="72"/>
      <c r="ES850" s="72"/>
      <c r="ET850" s="72"/>
    </row>
    <row r="851">
      <c r="CD851" s="72"/>
      <c r="CE851" s="72"/>
      <c r="CF851" s="72"/>
      <c r="CG851" s="72"/>
      <c r="CH851" s="72"/>
      <c r="CI851" s="72"/>
      <c r="CJ851" s="72"/>
      <c r="CK851" s="72"/>
      <c r="CL851" s="72"/>
      <c r="CM851" s="72"/>
      <c r="CN851" s="72"/>
      <c r="CO851" s="72"/>
      <c r="CP851" s="72"/>
      <c r="CQ851" s="72"/>
      <c r="CR851" s="72"/>
      <c r="CS851" s="72"/>
      <c r="CT851" s="72"/>
      <c r="CU851" s="72"/>
      <c r="CV851" s="72"/>
      <c r="CW851" s="72"/>
      <c r="CX851" s="72"/>
      <c r="CY851" s="72"/>
      <c r="CZ851" s="72"/>
      <c r="DA851" s="72"/>
      <c r="DB851" s="72"/>
      <c r="DC851" s="72"/>
      <c r="DD851" s="72"/>
      <c r="DE851" s="72"/>
      <c r="DF851" s="72"/>
      <c r="DG851" s="72"/>
      <c r="DH851" s="72"/>
      <c r="DI851" s="72"/>
      <c r="DJ851" s="72"/>
      <c r="DK851" s="72"/>
      <c r="DL851" s="72"/>
      <c r="DM851" s="72"/>
      <c r="DN851" s="72"/>
      <c r="DO851" s="72"/>
      <c r="DP851" s="72"/>
      <c r="DQ851" s="72"/>
      <c r="DR851" s="72"/>
      <c r="DS851" s="72"/>
      <c r="DT851" s="72"/>
      <c r="DU851" s="72"/>
      <c r="DV851" s="72"/>
      <c r="DW851" s="72"/>
      <c r="DX851" s="72"/>
      <c r="DY851" s="72"/>
      <c r="DZ851" s="72"/>
      <c r="EA851" s="72"/>
      <c r="EB851" s="72"/>
      <c r="EC851" s="72"/>
      <c r="ED851" s="72"/>
      <c r="EE851" s="72"/>
      <c r="EF851" s="72"/>
      <c r="EG851" s="72"/>
      <c r="EH851" s="72"/>
      <c r="EI851" s="129"/>
      <c r="EJ851" s="129"/>
      <c r="EK851" s="129"/>
      <c r="EL851" s="129"/>
      <c r="EM851" s="72"/>
      <c r="EN851" s="72"/>
      <c r="EO851" s="72"/>
      <c r="EP851" s="72"/>
      <c r="EQ851" s="72"/>
      <c r="ER851" s="72"/>
      <c r="ES851" s="72"/>
      <c r="ET851" s="72"/>
    </row>
    <row r="852">
      <c r="CD852" s="72"/>
      <c r="CE852" s="72"/>
      <c r="CF852" s="72"/>
      <c r="CG852" s="72"/>
      <c r="CH852" s="72"/>
      <c r="CI852" s="72"/>
      <c r="CJ852" s="72"/>
      <c r="CK852" s="72"/>
      <c r="CL852" s="72"/>
      <c r="CM852" s="72"/>
      <c r="CN852" s="72"/>
      <c r="CO852" s="72"/>
      <c r="CP852" s="72"/>
      <c r="CQ852" s="72"/>
      <c r="CR852" s="72"/>
      <c r="CS852" s="72"/>
      <c r="CT852" s="72"/>
      <c r="CU852" s="72"/>
      <c r="CV852" s="72"/>
      <c r="CW852" s="72"/>
      <c r="CX852" s="72"/>
      <c r="CY852" s="72"/>
      <c r="CZ852" s="72"/>
      <c r="DA852" s="72"/>
      <c r="DB852" s="72"/>
      <c r="DC852" s="72"/>
      <c r="DD852" s="72"/>
      <c r="DE852" s="72"/>
      <c r="DF852" s="72"/>
      <c r="DG852" s="72"/>
      <c r="DH852" s="72"/>
      <c r="DI852" s="72"/>
      <c r="DJ852" s="72"/>
      <c r="DK852" s="72"/>
      <c r="DL852" s="72"/>
      <c r="DM852" s="72"/>
      <c r="DN852" s="72"/>
      <c r="DO852" s="72"/>
      <c r="DP852" s="72"/>
      <c r="DQ852" s="72"/>
      <c r="DR852" s="72"/>
      <c r="DS852" s="72"/>
      <c r="DT852" s="72"/>
      <c r="DU852" s="72"/>
      <c r="DV852" s="72"/>
      <c r="DW852" s="72"/>
      <c r="DX852" s="72"/>
      <c r="DY852" s="72"/>
      <c r="DZ852" s="72"/>
      <c r="EA852" s="72"/>
      <c r="EB852" s="72"/>
      <c r="EC852" s="72"/>
      <c r="ED852" s="72"/>
      <c r="EE852" s="72"/>
      <c r="EF852" s="72"/>
      <c r="EG852" s="72"/>
      <c r="EH852" s="72"/>
      <c r="EI852" s="129"/>
      <c r="EJ852" s="129"/>
      <c r="EK852" s="129"/>
      <c r="EL852" s="129"/>
      <c r="EM852" s="72"/>
      <c r="EN852" s="72"/>
      <c r="EO852" s="72"/>
      <c r="EP852" s="72"/>
      <c r="EQ852" s="72"/>
      <c r="ER852" s="72"/>
      <c r="ES852" s="72"/>
      <c r="ET852" s="72"/>
    </row>
    <row r="853">
      <c r="CD853" s="72"/>
      <c r="CE853" s="72"/>
      <c r="CF853" s="72"/>
      <c r="CG853" s="72"/>
      <c r="CH853" s="72"/>
      <c r="CI853" s="72"/>
      <c r="CJ853" s="72"/>
      <c r="CK853" s="72"/>
      <c r="CL853" s="72"/>
      <c r="CM853" s="72"/>
      <c r="CN853" s="72"/>
      <c r="CO853" s="72"/>
      <c r="CP853" s="72"/>
      <c r="CQ853" s="72"/>
      <c r="CR853" s="72"/>
      <c r="CS853" s="72"/>
      <c r="CT853" s="72"/>
      <c r="CU853" s="72"/>
      <c r="CV853" s="72"/>
      <c r="CW853" s="72"/>
      <c r="CX853" s="72"/>
      <c r="CY853" s="72"/>
      <c r="CZ853" s="72"/>
      <c r="DA853" s="72"/>
      <c r="DB853" s="72"/>
      <c r="DC853" s="72"/>
      <c r="DD853" s="72"/>
      <c r="DE853" s="72"/>
      <c r="DF853" s="72"/>
      <c r="DG853" s="72"/>
      <c r="DH853" s="72"/>
      <c r="DI853" s="72"/>
      <c r="DJ853" s="72"/>
      <c r="DK853" s="72"/>
      <c r="DL853" s="72"/>
      <c r="DM853" s="72"/>
      <c r="DN853" s="72"/>
      <c r="DO853" s="72"/>
      <c r="DP853" s="72"/>
      <c r="DQ853" s="72"/>
      <c r="DR853" s="72"/>
      <c r="DS853" s="72"/>
      <c r="DT853" s="72"/>
      <c r="DU853" s="72"/>
      <c r="DV853" s="72"/>
      <c r="DW853" s="72"/>
      <c r="DX853" s="72"/>
      <c r="DY853" s="72"/>
      <c r="DZ853" s="72"/>
      <c r="EA853" s="72"/>
      <c r="EB853" s="72"/>
      <c r="EC853" s="72"/>
      <c r="ED853" s="72"/>
      <c r="EE853" s="72"/>
      <c r="EF853" s="72"/>
      <c r="EG853" s="72"/>
      <c r="EH853" s="72"/>
      <c r="EI853" s="129"/>
      <c r="EJ853" s="129"/>
      <c r="EK853" s="129"/>
      <c r="EL853" s="129"/>
      <c r="EM853" s="72"/>
      <c r="EN853" s="72"/>
      <c r="EO853" s="72"/>
      <c r="EP853" s="72"/>
      <c r="EQ853" s="72"/>
      <c r="ER853" s="72"/>
      <c r="ES853" s="72"/>
      <c r="ET853" s="72"/>
    </row>
    <row r="854">
      <c r="CD854" s="72"/>
      <c r="CE854" s="72"/>
      <c r="CF854" s="72"/>
      <c r="CG854" s="72"/>
      <c r="CH854" s="72"/>
      <c r="CI854" s="72"/>
      <c r="CJ854" s="72"/>
      <c r="CK854" s="72"/>
      <c r="CL854" s="72"/>
      <c r="CM854" s="72"/>
      <c r="CN854" s="72"/>
      <c r="CO854" s="72"/>
      <c r="CP854" s="72"/>
      <c r="CQ854" s="72"/>
      <c r="CR854" s="72"/>
      <c r="CS854" s="72"/>
      <c r="CT854" s="72"/>
      <c r="CU854" s="72"/>
      <c r="CV854" s="72"/>
      <c r="CW854" s="72"/>
      <c r="CX854" s="72"/>
      <c r="CY854" s="72"/>
      <c r="CZ854" s="72"/>
      <c r="DA854" s="72"/>
      <c r="DB854" s="72"/>
      <c r="DC854" s="72"/>
      <c r="DD854" s="72"/>
      <c r="DE854" s="72"/>
      <c r="DF854" s="72"/>
      <c r="DG854" s="72"/>
      <c r="DH854" s="72"/>
      <c r="DI854" s="72"/>
      <c r="DJ854" s="72"/>
      <c r="DK854" s="72"/>
      <c r="DL854" s="72"/>
      <c r="DM854" s="72"/>
      <c r="DN854" s="72"/>
      <c r="DO854" s="72"/>
      <c r="DP854" s="72"/>
      <c r="DQ854" s="72"/>
      <c r="DR854" s="72"/>
      <c r="DS854" s="72"/>
      <c r="DT854" s="72"/>
      <c r="DU854" s="72"/>
      <c r="DV854" s="72"/>
      <c r="DW854" s="72"/>
      <c r="DX854" s="72"/>
      <c r="DY854" s="72"/>
      <c r="DZ854" s="72"/>
      <c r="EA854" s="72"/>
      <c r="EB854" s="72"/>
      <c r="EC854" s="72"/>
      <c r="ED854" s="72"/>
      <c r="EE854" s="72"/>
      <c r="EF854" s="72"/>
      <c r="EG854" s="72"/>
      <c r="EH854" s="72"/>
      <c r="EI854" s="129"/>
      <c r="EJ854" s="129"/>
      <c r="EK854" s="129"/>
      <c r="EL854" s="129"/>
      <c r="EM854" s="72"/>
      <c r="EN854" s="72"/>
      <c r="EO854" s="72"/>
      <c r="EP854" s="72"/>
      <c r="EQ854" s="72"/>
      <c r="ER854" s="72"/>
      <c r="ES854" s="72"/>
      <c r="ET854" s="72"/>
    </row>
    <row r="855">
      <c r="CD855" s="72"/>
      <c r="CE855" s="72"/>
      <c r="CF855" s="72"/>
      <c r="CG855" s="72"/>
      <c r="CH855" s="72"/>
      <c r="CI855" s="72"/>
      <c r="CJ855" s="72"/>
      <c r="CK855" s="72"/>
      <c r="CL855" s="72"/>
      <c r="CM855" s="72"/>
      <c r="CN855" s="72"/>
      <c r="CO855" s="72"/>
      <c r="CP855" s="72"/>
      <c r="CQ855" s="72"/>
      <c r="CR855" s="72"/>
      <c r="CS855" s="72"/>
      <c r="CT855" s="72"/>
      <c r="CU855" s="72"/>
      <c r="CV855" s="72"/>
      <c r="CW855" s="72"/>
      <c r="CX855" s="72"/>
      <c r="CY855" s="72"/>
      <c r="CZ855" s="72"/>
      <c r="DA855" s="72"/>
      <c r="DB855" s="72"/>
      <c r="DC855" s="72"/>
      <c r="DD855" s="72"/>
      <c r="DE855" s="72"/>
      <c r="DF855" s="72"/>
      <c r="DG855" s="72"/>
      <c r="DH855" s="72"/>
      <c r="DI855" s="72"/>
      <c r="DJ855" s="72"/>
      <c r="DK855" s="72"/>
      <c r="DL855" s="72"/>
      <c r="DM855" s="72"/>
      <c r="DN855" s="72"/>
      <c r="DO855" s="72"/>
      <c r="DP855" s="72"/>
      <c r="DQ855" s="72"/>
      <c r="DR855" s="72"/>
      <c r="DS855" s="72"/>
      <c r="DT855" s="72"/>
      <c r="DU855" s="72"/>
      <c r="DV855" s="72"/>
      <c r="DW855" s="72"/>
      <c r="DX855" s="72"/>
      <c r="DY855" s="72"/>
      <c r="DZ855" s="72"/>
      <c r="EA855" s="72"/>
      <c r="EB855" s="72"/>
      <c r="EC855" s="72"/>
      <c r="ED855" s="72"/>
      <c r="EE855" s="72"/>
      <c r="EF855" s="72"/>
      <c r="EG855" s="72"/>
      <c r="EH855" s="72"/>
      <c r="EI855" s="129"/>
      <c r="EJ855" s="129"/>
      <c r="EK855" s="129"/>
      <c r="EL855" s="129"/>
      <c r="EM855" s="72"/>
      <c r="EN855" s="72"/>
      <c r="EO855" s="72"/>
      <c r="EP855" s="72"/>
      <c r="EQ855" s="72"/>
      <c r="ER855" s="72"/>
      <c r="ES855" s="72"/>
      <c r="ET855" s="72"/>
    </row>
    <row r="856">
      <c r="CD856" s="72"/>
      <c r="CE856" s="72"/>
      <c r="CF856" s="72"/>
      <c r="CG856" s="72"/>
      <c r="CH856" s="72"/>
      <c r="CI856" s="72"/>
      <c r="CJ856" s="72"/>
      <c r="CK856" s="72"/>
      <c r="CL856" s="72"/>
      <c r="CM856" s="72"/>
      <c r="CN856" s="72"/>
      <c r="CO856" s="72"/>
      <c r="CP856" s="72"/>
      <c r="CQ856" s="72"/>
      <c r="CR856" s="72"/>
      <c r="CS856" s="72"/>
      <c r="CT856" s="72"/>
      <c r="CU856" s="72"/>
      <c r="CV856" s="72"/>
      <c r="CW856" s="72"/>
      <c r="CX856" s="72"/>
      <c r="CY856" s="72"/>
      <c r="CZ856" s="72"/>
      <c r="DA856" s="72"/>
      <c r="DB856" s="72"/>
      <c r="DC856" s="72"/>
      <c r="DD856" s="72"/>
      <c r="DE856" s="72"/>
      <c r="DF856" s="72"/>
      <c r="DG856" s="72"/>
      <c r="DH856" s="72"/>
      <c r="DI856" s="72"/>
      <c r="DJ856" s="72"/>
      <c r="DK856" s="72"/>
      <c r="DL856" s="72"/>
      <c r="DM856" s="72"/>
      <c r="DN856" s="72"/>
      <c r="DO856" s="72"/>
      <c r="DP856" s="72"/>
      <c r="DQ856" s="72"/>
      <c r="DR856" s="72"/>
      <c r="DS856" s="72"/>
      <c r="DT856" s="72"/>
      <c r="DU856" s="72"/>
      <c r="DV856" s="72"/>
      <c r="DW856" s="72"/>
      <c r="DX856" s="72"/>
      <c r="DY856" s="72"/>
      <c r="DZ856" s="72"/>
      <c r="EA856" s="72"/>
      <c r="EB856" s="72"/>
      <c r="EC856" s="72"/>
      <c r="ED856" s="72"/>
      <c r="EE856" s="72"/>
      <c r="EF856" s="72"/>
      <c r="EG856" s="72"/>
      <c r="EH856" s="72"/>
      <c r="EI856" s="129"/>
      <c r="EJ856" s="129"/>
      <c r="EK856" s="129"/>
      <c r="EL856" s="129"/>
      <c r="EM856" s="72"/>
      <c r="EN856" s="72"/>
      <c r="EO856" s="72"/>
      <c r="EP856" s="72"/>
      <c r="EQ856" s="72"/>
      <c r="ER856" s="72"/>
      <c r="ES856" s="72"/>
      <c r="ET856" s="72"/>
    </row>
    <row r="857">
      <c r="CD857" s="72"/>
      <c r="CE857" s="72"/>
      <c r="CF857" s="72"/>
      <c r="CG857" s="72"/>
      <c r="CH857" s="72"/>
      <c r="CI857" s="72"/>
      <c r="CJ857" s="72"/>
      <c r="CK857" s="72"/>
      <c r="CL857" s="72"/>
      <c r="CM857" s="72"/>
      <c r="CN857" s="72"/>
      <c r="CO857" s="72"/>
      <c r="CP857" s="72"/>
      <c r="CQ857" s="72"/>
      <c r="CR857" s="72"/>
      <c r="CS857" s="72"/>
      <c r="CT857" s="72"/>
      <c r="CU857" s="72"/>
      <c r="CV857" s="72"/>
      <c r="CW857" s="72"/>
      <c r="CX857" s="72"/>
      <c r="CY857" s="72"/>
      <c r="CZ857" s="72"/>
      <c r="DA857" s="72"/>
      <c r="DB857" s="72"/>
      <c r="DC857" s="72"/>
      <c r="DD857" s="72"/>
      <c r="DE857" s="72"/>
      <c r="DF857" s="72"/>
      <c r="DG857" s="72"/>
      <c r="DH857" s="72"/>
      <c r="DI857" s="72"/>
      <c r="DJ857" s="72"/>
      <c r="DK857" s="72"/>
      <c r="DL857" s="72"/>
      <c r="DM857" s="72"/>
      <c r="DN857" s="72"/>
      <c r="DO857" s="72"/>
      <c r="DP857" s="72"/>
      <c r="DQ857" s="72"/>
      <c r="DR857" s="72"/>
      <c r="DS857" s="72"/>
      <c r="DT857" s="72"/>
      <c r="DU857" s="72"/>
      <c r="DV857" s="72"/>
      <c r="DW857" s="72"/>
      <c r="DX857" s="72"/>
      <c r="DY857" s="72"/>
      <c r="DZ857" s="72"/>
      <c r="EA857" s="72"/>
      <c r="EB857" s="72"/>
      <c r="EC857" s="72"/>
      <c r="ED857" s="72"/>
      <c r="EE857" s="72"/>
      <c r="EF857" s="72"/>
      <c r="EG857" s="72"/>
      <c r="EH857" s="72"/>
      <c r="EI857" s="129"/>
      <c r="EJ857" s="129"/>
      <c r="EK857" s="129"/>
      <c r="EL857" s="129"/>
      <c r="EM857" s="72"/>
      <c r="EN857" s="72"/>
      <c r="EO857" s="72"/>
      <c r="EP857" s="72"/>
      <c r="EQ857" s="72"/>
      <c r="ER857" s="72"/>
      <c r="ES857" s="72"/>
      <c r="ET857" s="72"/>
    </row>
    <row r="858">
      <c r="CD858" s="72"/>
      <c r="CE858" s="72"/>
      <c r="CF858" s="72"/>
      <c r="CG858" s="72"/>
      <c r="CH858" s="72"/>
      <c r="CI858" s="72"/>
      <c r="CJ858" s="72"/>
      <c r="CK858" s="72"/>
      <c r="CL858" s="72"/>
      <c r="CM858" s="72"/>
      <c r="CN858" s="72"/>
      <c r="CO858" s="72"/>
      <c r="CP858" s="72"/>
      <c r="CQ858" s="72"/>
      <c r="CR858" s="72"/>
      <c r="CS858" s="72"/>
      <c r="CT858" s="72"/>
      <c r="CU858" s="72"/>
      <c r="CV858" s="72"/>
      <c r="CW858" s="72"/>
      <c r="CX858" s="72"/>
      <c r="CY858" s="72"/>
      <c r="CZ858" s="72"/>
      <c r="DA858" s="72"/>
      <c r="DB858" s="72"/>
      <c r="DC858" s="72"/>
      <c r="DD858" s="72"/>
      <c r="DE858" s="72"/>
      <c r="DF858" s="72"/>
      <c r="DG858" s="72"/>
      <c r="DH858" s="72"/>
      <c r="DI858" s="72"/>
      <c r="DJ858" s="72"/>
      <c r="DK858" s="72"/>
      <c r="DL858" s="72"/>
      <c r="DM858" s="72"/>
      <c r="DN858" s="72"/>
      <c r="DO858" s="72"/>
      <c r="DP858" s="72"/>
      <c r="DQ858" s="72"/>
      <c r="DR858" s="72"/>
      <c r="DS858" s="72"/>
      <c r="DT858" s="72"/>
      <c r="DU858" s="72"/>
      <c r="DV858" s="72"/>
      <c r="DW858" s="72"/>
      <c r="DX858" s="72"/>
      <c r="DY858" s="72"/>
      <c r="DZ858" s="72"/>
      <c r="EA858" s="72"/>
      <c r="EB858" s="72"/>
      <c r="EC858" s="72"/>
      <c r="ED858" s="72"/>
      <c r="EE858" s="72"/>
      <c r="EF858" s="72"/>
      <c r="EG858" s="72"/>
      <c r="EH858" s="72"/>
      <c r="EI858" s="129"/>
      <c r="EJ858" s="129"/>
      <c r="EK858" s="129"/>
      <c r="EL858" s="129"/>
      <c r="EM858" s="72"/>
      <c r="EN858" s="72"/>
      <c r="EO858" s="72"/>
      <c r="EP858" s="72"/>
      <c r="EQ858" s="72"/>
      <c r="ER858" s="72"/>
      <c r="ES858" s="72"/>
      <c r="ET858" s="72"/>
    </row>
    <row r="859">
      <c r="CD859" s="72"/>
      <c r="CE859" s="72"/>
      <c r="CF859" s="72"/>
      <c r="CG859" s="72"/>
      <c r="CH859" s="72"/>
      <c r="CI859" s="72"/>
      <c r="CJ859" s="72"/>
      <c r="CK859" s="72"/>
      <c r="CL859" s="72"/>
      <c r="CM859" s="72"/>
      <c r="CN859" s="72"/>
      <c r="CO859" s="72"/>
      <c r="CP859" s="72"/>
      <c r="CQ859" s="72"/>
      <c r="CR859" s="72"/>
      <c r="CS859" s="72"/>
      <c r="CT859" s="72"/>
      <c r="CU859" s="72"/>
      <c r="CV859" s="72"/>
      <c r="CW859" s="72"/>
      <c r="CX859" s="72"/>
      <c r="CY859" s="72"/>
      <c r="CZ859" s="72"/>
      <c r="DA859" s="72"/>
      <c r="DB859" s="72"/>
      <c r="DC859" s="72"/>
      <c r="DD859" s="72"/>
      <c r="DE859" s="72"/>
      <c r="DF859" s="72"/>
      <c r="DG859" s="72"/>
      <c r="DH859" s="72"/>
      <c r="DI859" s="72"/>
      <c r="DJ859" s="72"/>
      <c r="DK859" s="72"/>
      <c r="DL859" s="72"/>
      <c r="DM859" s="72"/>
      <c r="DN859" s="72"/>
      <c r="DO859" s="72"/>
      <c r="DP859" s="72"/>
      <c r="DQ859" s="72"/>
      <c r="DR859" s="72"/>
      <c r="DS859" s="72"/>
      <c r="DT859" s="72"/>
      <c r="DU859" s="72"/>
      <c r="DV859" s="72"/>
      <c r="DW859" s="72"/>
      <c r="DX859" s="72"/>
      <c r="DY859" s="72"/>
      <c r="DZ859" s="72"/>
      <c r="EA859" s="72"/>
      <c r="EB859" s="72"/>
      <c r="EC859" s="72"/>
      <c r="ED859" s="72"/>
      <c r="EE859" s="72"/>
      <c r="EF859" s="72"/>
      <c r="EG859" s="72"/>
      <c r="EH859" s="72"/>
      <c r="EI859" s="129"/>
      <c r="EJ859" s="129"/>
      <c r="EK859" s="129"/>
      <c r="EL859" s="129"/>
      <c r="EM859" s="72"/>
      <c r="EN859" s="72"/>
      <c r="EO859" s="72"/>
      <c r="EP859" s="72"/>
      <c r="EQ859" s="72"/>
      <c r="ER859" s="72"/>
      <c r="ES859" s="72"/>
      <c r="ET859" s="72"/>
    </row>
    <row r="860">
      <c r="CD860" s="72"/>
      <c r="CE860" s="72"/>
      <c r="CF860" s="72"/>
      <c r="CG860" s="72"/>
      <c r="CH860" s="72"/>
      <c r="CI860" s="72"/>
      <c r="CJ860" s="72"/>
      <c r="CK860" s="72"/>
      <c r="CL860" s="72"/>
      <c r="CM860" s="72"/>
      <c r="CN860" s="72"/>
      <c r="CO860" s="72"/>
      <c r="CP860" s="72"/>
      <c r="CQ860" s="72"/>
      <c r="CR860" s="72"/>
      <c r="CS860" s="72"/>
      <c r="CT860" s="72"/>
      <c r="CU860" s="72"/>
      <c r="CV860" s="72"/>
      <c r="CW860" s="72"/>
      <c r="CX860" s="72"/>
      <c r="CY860" s="72"/>
      <c r="CZ860" s="72"/>
      <c r="DA860" s="72"/>
      <c r="DB860" s="72"/>
      <c r="DC860" s="72"/>
      <c r="DD860" s="72"/>
      <c r="DE860" s="72"/>
      <c r="DF860" s="72"/>
      <c r="DG860" s="72"/>
      <c r="DH860" s="72"/>
      <c r="DI860" s="72"/>
      <c r="DJ860" s="72"/>
      <c r="DK860" s="72"/>
      <c r="DL860" s="72"/>
      <c r="DM860" s="72"/>
      <c r="DN860" s="72"/>
      <c r="DO860" s="72"/>
      <c r="DP860" s="72"/>
      <c r="DQ860" s="72"/>
      <c r="DR860" s="72"/>
      <c r="DS860" s="72"/>
      <c r="DT860" s="72"/>
      <c r="DU860" s="72"/>
      <c r="DV860" s="72"/>
      <c r="DW860" s="72"/>
      <c r="DX860" s="72"/>
      <c r="DY860" s="72"/>
      <c r="DZ860" s="72"/>
      <c r="EA860" s="72"/>
      <c r="EB860" s="72"/>
      <c r="EC860" s="72"/>
      <c r="ED860" s="72"/>
      <c r="EE860" s="72"/>
      <c r="EF860" s="72"/>
      <c r="EG860" s="72"/>
      <c r="EH860" s="72"/>
      <c r="EI860" s="129"/>
      <c r="EJ860" s="129"/>
      <c r="EK860" s="129"/>
      <c r="EL860" s="129"/>
      <c r="EM860" s="72"/>
      <c r="EN860" s="72"/>
      <c r="EO860" s="72"/>
      <c r="EP860" s="72"/>
      <c r="EQ860" s="72"/>
      <c r="ER860" s="72"/>
      <c r="ES860" s="72"/>
      <c r="ET860" s="72"/>
    </row>
    <row r="861">
      <c r="CD861" s="72"/>
      <c r="CE861" s="72"/>
      <c r="CF861" s="72"/>
      <c r="CG861" s="72"/>
      <c r="CH861" s="72"/>
      <c r="CI861" s="72"/>
      <c r="CJ861" s="72"/>
      <c r="CK861" s="72"/>
      <c r="CL861" s="72"/>
      <c r="CM861" s="72"/>
      <c r="CN861" s="72"/>
      <c r="CO861" s="72"/>
      <c r="CP861" s="72"/>
      <c r="CQ861" s="72"/>
      <c r="CR861" s="72"/>
      <c r="CS861" s="72"/>
      <c r="CT861" s="72"/>
      <c r="CU861" s="72"/>
      <c r="CV861" s="72"/>
      <c r="CW861" s="72"/>
      <c r="CX861" s="72"/>
      <c r="CY861" s="72"/>
      <c r="CZ861" s="72"/>
      <c r="DA861" s="72"/>
      <c r="DB861" s="72"/>
      <c r="DC861" s="72"/>
      <c r="DD861" s="72"/>
      <c r="DE861" s="72"/>
      <c r="DF861" s="72"/>
      <c r="DG861" s="72"/>
      <c r="DH861" s="72"/>
      <c r="DI861" s="72"/>
      <c r="DJ861" s="72"/>
      <c r="DK861" s="72"/>
      <c r="DL861" s="72"/>
      <c r="DM861" s="72"/>
      <c r="DN861" s="72"/>
      <c r="DO861" s="72"/>
      <c r="DP861" s="72"/>
      <c r="DQ861" s="72"/>
      <c r="DR861" s="72"/>
      <c r="DS861" s="72"/>
      <c r="DT861" s="72"/>
      <c r="DU861" s="72"/>
      <c r="DV861" s="72"/>
      <c r="DW861" s="72"/>
      <c r="DX861" s="72"/>
      <c r="DY861" s="72"/>
      <c r="DZ861" s="72"/>
      <c r="EA861" s="72"/>
      <c r="EB861" s="72"/>
      <c r="EC861" s="72"/>
      <c r="ED861" s="72"/>
      <c r="EE861" s="72"/>
      <c r="EF861" s="72"/>
      <c r="EG861" s="72"/>
      <c r="EH861" s="72"/>
      <c r="EI861" s="129"/>
      <c r="EJ861" s="129"/>
      <c r="EK861" s="129"/>
      <c r="EL861" s="129"/>
      <c r="EM861" s="72"/>
      <c r="EN861" s="72"/>
      <c r="EO861" s="72"/>
      <c r="EP861" s="72"/>
      <c r="EQ861" s="72"/>
      <c r="ER861" s="72"/>
      <c r="ES861" s="72"/>
      <c r="ET861" s="72"/>
    </row>
    <row r="862">
      <c r="CD862" s="72"/>
      <c r="CE862" s="72"/>
      <c r="CF862" s="72"/>
      <c r="CG862" s="72"/>
      <c r="CH862" s="72"/>
      <c r="CI862" s="72"/>
      <c r="CJ862" s="72"/>
      <c r="CK862" s="72"/>
      <c r="CL862" s="72"/>
      <c r="CM862" s="72"/>
      <c r="CN862" s="72"/>
      <c r="CO862" s="72"/>
      <c r="CP862" s="72"/>
      <c r="CQ862" s="72"/>
      <c r="CR862" s="72"/>
      <c r="CS862" s="72"/>
      <c r="CT862" s="72"/>
      <c r="CU862" s="72"/>
      <c r="CV862" s="72"/>
      <c r="CW862" s="72"/>
      <c r="CX862" s="72"/>
      <c r="CY862" s="72"/>
      <c r="CZ862" s="72"/>
      <c r="DA862" s="72"/>
      <c r="DB862" s="72"/>
      <c r="DC862" s="72"/>
      <c r="DD862" s="72"/>
      <c r="DE862" s="72"/>
      <c r="DF862" s="72"/>
      <c r="DG862" s="72"/>
      <c r="DH862" s="72"/>
      <c r="DI862" s="72"/>
      <c r="DJ862" s="72"/>
      <c r="DK862" s="72"/>
      <c r="DL862" s="72"/>
      <c r="DM862" s="72"/>
      <c r="DN862" s="72"/>
      <c r="DO862" s="72"/>
      <c r="DP862" s="72"/>
      <c r="DQ862" s="72"/>
      <c r="DR862" s="72"/>
      <c r="DS862" s="72"/>
      <c r="DT862" s="72"/>
      <c r="DU862" s="72"/>
      <c r="DV862" s="72"/>
      <c r="DW862" s="72"/>
      <c r="DX862" s="72"/>
      <c r="DY862" s="72"/>
      <c r="DZ862" s="72"/>
      <c r="EA862" s="72"/>
      <c r="EB862" s="72"/>
      <c r="EC862" s="72"/>
      <c r="ED862" s="72"/>
      <c r="EE862" s="72"/>
      <c r="EF862" s="72"/>
      <c r="EG862" s="72"/>
      <c r="EH862" s="72"/>
      <c r="EI862" s="129"/>
      <c r="EJ862" s="129"/>
      <c r="EK862" s="129"/>
      <c r="EL862" s="129"/>
      <c r="EM862" s="72"/>
      <c r="EN862" s="72"/>
      <c r="EO862" s="72"/>
      <c r="EP862" s="72"/>
      <c r="EQ862" s="72"/>
      <c r="ER862" s="72"/>
      <c r="ES862" s="72"/>
      <c r="ET862" s="72"/>
    </row>
    <row r="863">
      <c r="CD863" s="72"/>
      <c r="CE863" s="72"/>
      <c r="CF863" s="72"/>
      <c r="CG863" s="72"/>
      <c r="CH863" s="72"/>
      <c r="CI863" s="72"/>
      <c r="CJ863" s="72"/>
      <c r="CK863" s="72"/>
      <c r="CL863" s="72"/>
      <c r="CM863" s="72"/>
      <c r="CN863" s="72"/>
      <c r="CO863" s="72"/>
      <c r="CP863" s="72"/>
      <c r="CQ863" s="72"/>
      <c r="CR863" s="72"/>
      <c r="CS863" s="72"/>
      <c r="CT863" s="72"/>
      <c r="CU863" s="72"/>
      <c r="CV863" s="72"/>
      <c r="CW863" s="72"/>
      <c r="CX863" s="72"/>
      <c r="CY863" s="72"/>
      <c r="CZ863" s="72"/>
      <c r="DA863" s="72"/>
      <c r="DB863" s="72"/>
      <c r="DC863" s="72"/>
      <c r="DD863" s="72"/>
      <c r="DE863" s="72"/>
      <c r="DF863" s="72"/>
      <c r="DG863" s="72"/>
      <c r="DH863" s="72"/>
      <c r="DI863" s="72"/>
      <c r="DJ863" s="72"/>
      <c r="DK863" s="72"/>
      <c r="DL863" s="72"/>
      <c r="DM863" s="72"/>
      <c r="DN863" s="72"/>
      <c r="DO863" s="72"/>
      <c r="DP863" s="72"/>
      <c r="DQ863" s="72"/>
      <c r="DR863" s="72"/>
      <c r="DS863" s="72"/>
      <c r="DT863" s="72"/>
      <c r="DU863" s="72"/>
      <c r="DV863" s="72"/>
      <c r="DW863" s="72"/>
      <c r="DX863" s="72"/>
      <c r="DY863" s="72"/>
      <c r="DZ863" s="72"/>
      <c r="EA863" s="72"/>
      <c r="EB863" s="72"/>
      <c r="EC863" s="72"/>
      <c r="ED863" s="72"/>
      <c r="EE863" s="72"/>
      <c r="EF863" s="72"/>
      <c r="EG863" s="72"/>
      <c r="EH863" s="72"/>
      <c r="EI863" s="129"/>
      <c r="EJ863" s="129"/>
      <c r="EK863" s="129"/>
      <c r="EL863" s="129"/>
      <c r="EM863" s="72"/>
      <c r="EN863" s="72"/>
      <c r="EO863" s="72"/>
      <c r="EP863" s="72"/>
      <c r="EQ863" s="72"/>
      <c r="ER863" s="72"/>
      <c r="ES863" s="72"/>
      <c r="ET863" s="72"/>
    </row>
    <row r="864">
      <c r="CD864" s="72"/>
      <c r="CE864" s="72"/>
      <c r="CF864" s="72"/>
      <c r="CG864" s="72"/>
      <c r="CH864" s="72"/>
      <c r="CI864" s="72"/>
      <c r="CJ864" s="72"/>
      <c r="CK864" s="72"/>
      <c r="CL864" s="72"/>
      <c r="CM864" s="72"/>
      <c r="CN864" s="72"/>
      <c r="CO864" s="72"/>
      <c r="CP864" s="72"/>
      <c r="CQ864" s="72"/>
      <c r="CR864" s="72"/>
      <c r="CS864" s="72"/>
      <c r="CT864" s="72"/>
      <c r="CU864" s="72"/>
      <c r="CV864" s="72"/>
      <c r="CW864" s="72"/>
      <c r="CX864" s="72"/>
      <c r="CY864" s="72"/>
      <c r="CZ864" s="72"/>
      <c r="DA864" s="72"/>
      <c r="DB864" s="72"/>
      <c r="DC864" s="72"/>
      <c r="DD864" s="72"/>
      <c r="DE864" s="72"/>
      <c r="DF864" s="72"/>
      <c r="DG864" s="72"/>
      <c r="DH864" s="72"/>
      <c r="DI864" s="72"/>
      <c r="DJ864" s="72"/>
      <c r="DK864" s="72"/>
      <c r="DL864" s="72"/>
      <c r="DM864" s="72"/>
      <c r="DN864" s="72"/>
      <c r="DO864" s="72"/>
      <c r="DP864" s="72"/>
      <c r="DQ864" s="72"/>
      <c r="DR864" s="72"/>
      <c r="DS864" s="72"/>
      <c r="DT864" s="72"/>
      <c r="DU864" s="72"/>
      <c r="DV864" s="72"/>
      <c r="DW864" s="72"/>
      <c r="DX864" s="72"/>
      <c r="DY864" s="72"/>
      <c r="DZ864" s="72"/>
      <c r="EA864" s="72"/>
      <c r="EB864" s="72"/>
      <c r="EC864" s="72"/>
      <c r="ED864" s="72"/>
      <c r="EE864" s="72"/>
      <c r="EF864" s="72"/>
      <c r="EG864" s="72"/>
      <c r="EH864" s="72"/>
      <c r="EI864" s="129"/>
      <c r="EJ864" s="129"/>
      <c r="EK864" s="129"/>
      <c r="EL864" s="129"/>
      <c r="EM864" s="72"/>
      <c r="EN864" s="72"/>
      <c r="EO864" s="72"/>
      <c r="EP864" s="72"/>
      <c r="EQ864" s="72"/>
      <c r="ER864" s="72"/>
      <c r="ES864" s="72"/>
      <c r="ET864" s="72"/>
    </row>
    <row r="865">
      <c r="CD865" s="72"/>
      <c r="CE865" s="72"/>
      <c r="CF865" s="72"/>
      <c r="CG865" s="72"/>
      <c r="CH865" s="72"/>
      <c r="CI865" s="72"/>
      <c r="CJ865" s="72"/>
      <c r="CK865" s="72"/>
      <c r="CL865" s="72"/>
      <c r="CM865" s="72"/>
      <c r="CN865" s="72"/>
      <c r="CO865" s="72"/>
      <c r="CP865" s="72"/>
      <c r="CQ865" s="72"/>
      <c r="CR865" s="72"/>
      <c r="CS865" s="72"/>
      <c r="CT865" s="72"/>
      <c r="CU865" s="72"/>
      <c r="CV865" s="72"/>
      <c r="CW865" s="72"/>
      <c r="CX865" s="72"/>
      <c r="CY865" s="72"/>
      <c r="CZ865" s="72"/>
      <c r="DA865" s="72"/>
      <c r="DB865" s="72"/>
      <c r="DC865" s="72"/>
      <c r="DD865" s="72"/>
      <c r="DE865" s="72"/>
      <c r="DF865" s="72"/>
      <c r="DG865" s="72"/>
      <c r="DH865" s="72"/>
      <c r="DI865" s="72"/>
      <c r="DJ865" s="72"/>
      <c r="DK865" s="72"/>
      <c r="DL865" s="72"/>
      <c r="DM865" s="72"/>
      <c r="DN865" s="72"/>
      <c r="DO865" s="72"/>
      <c r="DP865" s="72"/>
      <c r="DQ865" s="72"/>
      <c r="DR865" s="72"/>
      <c r="DS865" s="72"/>
      <c r="DT865" s="72"/>
      <c r="DU865" s="72"/>
      <c r="DV865" s="72"/>
      <c r="DW865" s="72"/>
      <c r="DX865" s="72"/>
      <c r="DY865" s="72"/>
      <c r="DZ865" s="72"/>
      <c r="EA865" s="72"/>
      <c r="EB865" s="72"/>
      <c r="EC865" s="72"/>
      <c r="ED865" s="72"/>
      <c r="EE865" s="72"/>
      <c r="EF865" s="72"/>
      <c r="EG865" s="72"/>
      <c r="EH865" s="72"/>
      <c r="EI865" s="129"/>
      <c r="EJ865" s="129"/>
      <c r="EK865" s="129"/>
      <c r="EL865" s="129"/>
      <c r="EM865" s="72"/>
      <c r="EN865" s="72"/>
      <c r="EO865" s="72"/>
      <c r="EP865" s="72"/>
      <c r="EQ865" s="72"/>
      <c r="ER865" s="72"/>
      <c r="ES865" s="72"/>
      <c r="ET865" s="72"/>
    </row>
    <row r="866">
      <c r="CD866" s="72"/>
      <c r="CE866" s="72"/>
      <c r="CF866" s="72"/>
      <c r="CG866" s="72"/>
      <c r="CH866" s="72"/>
      <c r="CI866" s="72"/>
      <c r="CJ866" s="72"/>
      <c r="CK866" s="72"/>
      <c r="CL866" s="72"/>
      <c r="CM866" s="72"/>
      <c r="CN866" s="72"/>
      <c r="CO866" s="72"/>
      <c r="CP866" s="72"/>
      <c r="CQ866" s="72"/>
      <c r="CR866" s="72"/>
      <c r="CS866" s="72"/>
      <c r="CT866" s="72"/>
      <c r="CU866" s="72"/>
      <c r="CV866" s="72"/>
      <c r="CW866" s="72"/>
      <c r="CX866" s="72"/>
      <c r="CY866" s="72"/>
      <c r="CZ866" s="72"/>
      <c r="DA866" s="72"/>
      <c r="DB866" s="72"/>
      <c r="DC866" s="72"/>
      <c r="DD866" s="72"/>
      <c r="DE866" s="72"/>
      <c r="DF866" s="72"/>
      <c r="DG866" s="72"/>
      <c r="DH866" s="72"/>
      <c r="DI866" s="72"/>
      <c r="DJ866" s="72"/>
      <c r="DK866" s="72"/>
      <c r="DL866" s="72"/>
      <c r="DM866" s="72"/>
      <c r="DN866" s="72"/>
      <c r="DO866" s="72"/>
      <c r="DP866" s="72"/>
      <c r="DQ866" s="72"/>
      <c r="DR866" s="72"/>
      <c r="DS866" s="72"/>
      <c r="DT866" s="72"/>
      <c r="DU866" s="72"/>
      <c r="DV866" s="72"/>
      <c r="DW866" s="72"/>
      <c r="DX866" s="72"/>
      <c r="DY866" s="72"/>
      <c r="DZ866" s="72"/>
      <c r="EA866" s="72"/>
      <c r="EB866" s="72"/>
      <c r="EC866" s="72"/>
      <c r="ED866" s="72"/>
      <c r="EE866" s="72"/>
      <c r="EF866" s="72"/>
      <c r="EG866" s="72"/>
      <c r="EH866" s="72"/>
      <c r="EI866" s="129"/>
      <c r="EJ866" s="129"/>
      <c r="EK866" s="129"/>
      <c r="EL866" s="129"/>
      <c r="EM866" s="72"/>
      <c r="EN866" s="72"/>
      <c r="EO866" s="72"/>
      <c r="EP866" s="72"/>
      <c r="EQ866" s="72"/>
      <c r="ER866" s="72"/>
      <c r="ES866" s="72"/>
      <c r="ET866" s="72"/>
    </row>
    <row r="867">
      <c r="CD867" s="72"/>
      <c r="CE867" s="72"/>
      <c r="CF867" s="72"/>
      <c r="CG867" s="72"/>
      <c r="CH867" s="72"/>
      <c r="CI867" s="72"/>
      <c r="CJ867" s="72"/>
      <c r="CK867" s="72"/>
      <c r="CL867" s="72"/>
      <c r="CM867" s="72"/>
      <c r="CN867" s="72"/>
      <c r="CO867" s="72"/>
      <c r="CP867" s="72"/>
      <c r="CQ867" s="72"/>
      <c r="CR867" s="72"/>
      <c r="CS867" s="72"/>
      <c r="CT867" s="72"/>
      <c r="CU867" s="72"/>
      <c r="CV867" s="72"/>
      <c r="CW867" s="72"/>
      <c r="CX867" s="72"/>
      <c r="CY867" s="72"/>
      <c r="CZ867" s="72"/>
      <c r="DA867" s="72"/>
      <c r="DB867" s="72"/>
      <c r="DC867" s="72"/>
      <c r="DD867" s="72"/>
      <c r="DE867" s="72"/>
      <c r="DF867" s="72"/>
      <c r="DG867" s="72"/>
      <c r="DH867" s="72"/>
      <c r="DI867" s="72"/>
      <c r="DJ867" s="72"/>
      <c r="DK867" s="72"/>
      <c r="DL867" s="72"/>
      <c r="DM867" s="72"/>
      <c r="DN867" s="72"/>
      <c r="DO867" s="72"/>
      <c r="DP867" s="72"/>
      <c r="DQ867" s="72"/>
      <c r="DR867" s="72"/>
      <c r="DS867" s="72"/>
      <c r="DT867" s="72"/>
      <c r="DU867" s="72"/>
      <c r="DV867" s="72"/>
      <c r="DW867" s="72"/>
      <c r="DX867" s="72"/>
      <c r="DY867" s="72"/>
      <c r="DZ867" s="72"/>
      <c r="EA867" s="72"/>
      <c r="EB867" s="72"/>
      <c r="EC867" s="72"/>
      <c r="ED867" s="72"/>
      <c r="EE867" s="72"/>
      <c r="EF867" s="72"/>
      <c r="EG867" s="72"/>
      <c r="EH867" s="72"/>
      <c r="EI867" s="129"/>
      <c r="EJ867" s="129"/>
      <c r="EK867" s="129"/>
      <c r="EL867" s="129"/>
      <c r="EM867" s="72"/>
      <c r="EN867" s="72"/>
      <c r="EO867" s="72"/>
      <c r="EP867" s="72"/>
      <c r="EQ867" s="72"/>
      <c r="ER867" s="72"/>
      <c r="ES867" s="72"/>
      <c r="ET867" s="72"/>
    </row>
    <row r="868">
      <c r="CD868" s="72"/>
      <c r="CE868" s="72"/>
      <c r="CF868" s="72"/>
      <c r="CG868" s="72"/>
      <c r="CH868" s="72"/>
      <c r="CI868" s="72"/>
      <c r="CJ868" s="72"/>
      <c r="CK868" s="72"/>
      <c r="CL868" s="72"/>
      <c r="CM868" s="72"/>
      <c r="CN868" s="72"/>
      <c r="CO868" s="72"/>
      <c r="CP868" s="72"/>
      <c r="CQ868" s="72"/>
      <c r="CR868" s="72"/>
      <c r="CS868" s="72"/>
      <c r="CT868" s="72"/>
      <c r="CU868" s="72"/>
      <c r="CV868" s="72"/>
      <c r="CW868" s="72"/>
      <c r="CX868" s="72"/>
      <c r="CY868" s="72"/>
      <c r="CZ868" s="72"/>
      <c r="DA868" s="72"/>
      <c r="DB868" s="72"/>
      <c r="DC868" s="72"/>
      <c r="DD868" s="72"/>
      <c r="DE868" s="72"/>
      <c r="DF868" s="72"/>
      <c r="DG868" s="72"/>
      <c r="DH868" s="72"/>
      <c r="DI868" s="72"/>
      <c r="DJ868" s="72"/>
      <c r="DK868" s="72"/>
      <c r="DL868" s="72"/>
      <c r="DM868" s="72"/>
      <c r="DN868" s="72"/>
      <c r="DO868" s="72"/>
      <c r="DP868" s="72"/>
      <c r="DQ868" s="72"/>
      <c r="DR868" s="72"/>
      <c r="DS868" s="72"/>
      <c r="DT868" s="72"/>
      <c r="DU868" s="72"/>
      <c r="DV868" s="72"/>
      <c r="DW868" s="72"/>
      <c r="DX868" s="72"/>
      <c r="DY868" s="72"/>
      <c r="DZ868" s="72"/>
      <c r="EA868" s="72"/>
      <c r="EB868" s="72"/>
      <c r="EC868" s="72"/>
      <c r="ED868" s="72"/>
      <c r="EE868" s="72"/>
      <c r="EF868" s="72"/>
      <c r="EG868" s="72"/>
      <c r="EH868" s="72"/>
      <c r="EI868" s="129"/>
      <c r="EJ868" s="129"/>
      <c r="EK868" s="129"/>
      <c r="EL868" s="129"/>
      <c r="EM868" s="72"/>
      <c r="EN868" s="72"/>
      <c r="EO868" s="72"/>
      <c r="EP868" s="72"/>
      <c r="EQ868" s="72"/>
      <c r="ER868" s="72"/>
      <c r="ES868" s="72"/>
      <c r="ET868" s="72"/>
    </row>
    <row r="869">
      <c r="CD869" s="72"/>
      <c r="CE869" s="72"/>
      <c r="CF869" s="72"/>
      <c r="CG869" s="72"/>
      <c r="CH869" s="72"/>
      <c r="CI869" s="72"/>
      <c r="CJ869" s="72"/>
      <c r="CK869" s="72"/>
      <c r="CL869" s="72"/>
      <c r="CM869" s="72"/>
      <c r="CN869" s="72"/>
      <c r="CO869" s="72"/>
      <c r="CP869" s="72"/>
      <c r="CQ869" s="72"/>
      <c r="CR869" s="72"/>
      <c r="CS869" s="72"/>
      <c r="CT869" s="72"/>
      <c r="CU869" s="72"/>
      <c r="CV869" s="72"/>
      <c r="CW869" s="72"/>
      <c r="CX869" s="72"/>
      <c r="CY869" s="72"/>
      <c r="CZ869" s="72"/>
      <c r="DA869" s="72"/>
      <c r="DB869" s="72"/>
      <c r="DC869" s="72"/>
      <c r="DD869" s="72"/>
      <c r="DE869" s="72"/>
      <c r="DF869" s="72"/>
      <c r="DG869" s="72"/>
      <c r="DH869" s="72"/>
      <c r="DI869" s="72"/>
      <c r="DJ869" s="72"/>
      <c r="DK869" s="72"/>
      <c r="DL869" s="72"/>
      <c r="DM869" s="72"/>
      <c r="DN869" s="72"/>
      <c r="DO869" s="72"/>
      <c r="DP869" s="72"/>
      <c r="DQ869" s="72"/>
      <c r="DR869" s="72"/>
      <c r="DS869" s="72"/>
      <c r="DT869" s="72"/>
      <c r="DU869" s="72"/>
      <c r="DV869" s="72"/>
      <c r="DW869" s="72"/>
      <c r="DX869" s="72"/>
      <c r="DY869" s="72"/>
      <c r="DZ869" s="72"/>
      <c r="EA869" s="72"/>
      <c r="EB869" s="72"/>
      <c r="EC869" s="72"/>
      <c r="ED869" s="72"/>
      <c r="EE869" s="72"/>
      <c r="EF869" s="72"/>
      <c r="EG869" s="72"/>
      <c r="EH869" s="72"/>
      <c r="EI869" s="129"/>
      <c r="EJ869" s="129"/>
      <c r="EK869" s="129"/>
      <c r="EL869" s="129"/>
      <c r="EM869" s="72"/>
      <c r="EN869" s="72"/>
      <c r="EO869" s="72"/>
      <c r="EP869" s="72"/>
      <c r="EQ869" s="72"/>
      <c r="ER869" s="72"/>
      <c r="ES869" s="72"/>
      <c r="ET869" s="72"/>
    </row>
    <row r="870">
      <c r="CD870" s="72"/>
      <c r="CE870" s="72"/>
      <c r="CF870" s="72"/>
      <c r="CG870" s="72"/>
      <c r="CH870" s="72"/>
      <c r="CI870" s="72"/>
      <c r="CJ870" s="72"/>
      <c r="CK870" s="72"/>
      <c r="CL870" s="72"/>
      <c r="CM870" s="72"/>
      <c r="CN870" s="72"/>
      <c r="CO870" s="72"/>
      <c r="CP870" s="72"/>
      <c r="CQ870" s="72"/>
      <c r="CR870" s="72"/>
      <c r="CS870" s="72"/>
      <c r="CT870" s="72"/>
      <c r="CU870" s="72"/>
      <c r="CV870" s="72"/>
      <c r="CW870" s="72"/>
      <c r="CX870" s="72"/>
      <c r="CY870" s="72"/>
      <c r="CZ870" s="72"/>
      <c r="DA870" s="72"/>
      <c r="DB870" s="72"/>
      <c r="DC870" s="72"/>
      <c r="DD870" s="72"/>
      <c r="DE870" s="72"/>
      <c r="DF870" s="72"/>
      <c r="DG870" s="72"/>
      <c r="DH870" s="72"/>
      <c r="DI870" s="72"/>
      <c r="DJ870" s="72"/>
      <c r="DK870" s="72"/>
      <c r="DL870" s="72"/>
      <c r="DM870" s="72"/>
      <c r="DN870" s="72"/>
      <c r="DO870" s="72"/>
      <c r="DP870" s="72"/>
      <c r="DQ870" s="72"/>
      <c r="DR870" s="72"/>
      <c r="DS870" s="72"/>
      <c r="DT870" s="72"/>
      <c r="DU870" s="72"/>
      <c r="DV870" s="72"/>
      <c r="DW870" s="72"/>
      <c r="DX870" s="72"/>
      <c r="DY870" s="72"/>
      <c r="DZ870" s="72"/>
      <c r="EA870" s="72"/>
      <c r="EB870" s="72"/>
      <c r="EC870" s="72"/>
      <c r="ED870" s="72"/>
      <c r="EE870" s="72"/>
      <c r="EF870" s="72"/>
      <c r="EG870" s="72"/>
      <c r="EH870" s="72"/>
      <c r="EI870" s="129"/>
      <c r="EJ870" s="129"/>
      <c r="EK870" s="129"/>
      <c r="EL870" s="129"/>
      <c r="EM870" s="72"/>
      <c r="EN870" s="72"/>
      <c r="EO870" s="72"/>
      <c r="EP870" s="72"/>
      <c r="EQ870" s="72"/>
      <c r="ER870" s="72"/>
      <c r="ES870" s="72"/>
      <c r="ET870" s="72"/>
    </row>
    <row r="871">
      <c r="CD871" s="72"/>
      <c r="CE871" s="72"/>
      <c r="CF871" s="72"/>
      <c r="CG871" s="72"/>
      <c r="CH871" s="72"/>
      <c r="CI871" s="72"/>
      <c r="CJ871" s="72"/>
      <c r="CK871" s="72"/>
      <c r="CL871" s="72"/>
      <c r="CM871" s="72"/>
      <c r="CN871" s="72"/>
      <c r="CO871" s="72"/>
      <c r="CP871" s="72"/>
      <c r="CQ871" s="72"/>
      <c r="CR871" s="72"/>
      <c r="CS871" s="72"/>
      <c r="CT871" s="72"/>
      <c r="CU871" s="72"/>
      <c r="CV871" s="72"/>
      <c r="CW871" s="72"/>
      <c r="CX871" s="72"/>
      <c r="CY871" s="72"/>
      <c r="CZ871" s="72"/>
      <c r="DA871" s="72"/>
      <c r="DB871" s="72"/>
      <c r="DC871" s="72"/>
      <c r="DD871" s="72"/>
      <c r="DE871" s="72"/>
      <c r="DF871" s="72"/>
      <c r="DG871" s="72"/>
      <c r="DH871" s="72"/>
      <c r="DI871" s="72"/>
      <c r="DJ871" s="72"/>
      <c r="DK871" s="72"/>
      <c r="DL871" s="72"/>
      <c r="DM871" s="72"/>
      <c r="DN871" s="72"/>
      <c r="DO871" s="72"/>
      <c r="DP871" s="72"/>
      <c r="DQ871" s="72"/>
      <c r="DR871" s="72"/>
      <c r="DS871" s="72"/>
      <c r="DT871" s="72"/>
      <c r="DU871" s="72"/>
      <c r="DV871" s="72"/>
      <c r="DW871" s="72"/>
      <c r="DX871" s="72"/>
      <c r="DY871" s="72"/>
      <c r="DZ871" s="72"/>
      <c r="EA871" s="72"/>
      <c r="EB871" s="72"/>
      <c r="EC871" s="72"/>
      <c r="ED871" s="72"/>
      <c r="EE871" s="72"/>
      <c r="EF871" s="72"/>
      <c r="EG871" s="72"/>
      <c r="EH871" s="72"/>
      <c r="EI871" s="129"/>
      <c r="EJ871" s="129"/>
      <c r="EK871" s="129"/>
      <c r="EL871" s="129"/>
      <c r="EM871" s="72"/>
      <c r="EN871" s="72"/>
      <c r="EO871" s="72"/>
      <c r="EP871" s="72"/>
      <c r="EQ871" s="72"/>
      <c r="ER871" s="72"/>
      <c r="ES871" s="72"/>
      <c r="ET871" s="72"/>
    </row>
    <row r="872">
      <c r="CD872" s="72"/>
      <c r="CE872" s="72"/>
      <c r="CF872" s="72"/>
      <c r="CG872" s="72"/>
      <c r="CH872" s="72"/>
      <c r="CI872" s="72"/>
      <c r="CJ872" s="72"/>
      <c r="CK872" s="72"/>
      <c r="CL872" s="72"/>
      <c r="CM872" s="72"/>
      <c r="CN872" s="72"/>
      <c r="CO872" s="72"/>
      <c r="CP872" s="72"/>
      <c r="CQ872" s="72"/>
      <c r="CR872" s="72"/>
      <c r="CS872" s="72"/>
      <c r="CT872" s="72"/>
      <c r="CU872" s="72"/>
      <c r="CV872" s="72"/>
      <c r="CW872" s="72"/>
      <c r="CX872" s="72"/>
      <c r="CY872" s="72"/>
      <c r="CZ872" s="72"/>
      <c r="DA872" s="72"/>
      <c r="DB872" s="72"/>
      <c r="DC872" s="72"/>
      <c r="DD872" s="72"/>
      <c r="DE872" s="72"/>
      <c r="DF872" s="72"/>
      <c r="DG872" s="72"/>
      <c r="DH872" s="72"/>
      <c r="DI872" s="72"/>
      <c r="DJ872" s="72"/>
      <c r="DK872" s="72"/>
      <c r="DL872" s="72"/>
      <c r="DM872" s="72"/>
      <c r="DN872" s="72"/>
      <c r="DO872" s="72"/>
      <c r="DP872" s="72"/>
      <c r="DQ872" s="72"/>
      <c r="DR872" s="72"/>
      <c r="DS872" s="72"/>
      <c r="DT872" s="72"/>
      <c r="DU872" s="72"/>
      <c r="DV872" s="72"/>
      <c r="DW872" s="72"/>
      <c r="DX872" s="72"/>
      <c r="DY872" s="72"/>
      <c r="DZ872" s="72"/>
      <c r="EA872" s="72"/>
      <c r="EB872" s="72"/>
      <c r="EC872" s="72"/>
      <c r="ED872" s="72"/>
      <c r="EE872" s="72"/>
      <c r="EF872" s="72"/>
      <c r="EG872" s="72"/>
      <c r="EH872" s="72"/>
      <c r="EI872" s="129"/>
      <c r="EJ872" s="129"/>
      <c r="EK872" s="129"/>
      <c r="EL872" s="129"/>
      <c r="EM872" s="72"/>
      <c r="EN872" s="72"/>
      <c r="EO872" s="72"/>
      <c r="EP872" s="72"/>
      <c r="EQ872" s="72"/>
      <c r="ER872" s="72"/>
      <c r="ES872" s="72"/>
      <c r="ET872" s="72"/>
    </row>
    <row r="873">
      <c r="CD873" s="72"/>
      <c r="CE873" s="72"/>
      <c r="CF873" s="72"/>
      <c r="CG873" s="72"/>
      <c r="CH873" s="72"/>
      <c r="CI873" s="72"/>
      <c r="CJ873" s="72"/>
      <c r="CK873" s="72"/>
      <c r="CL873" s="72"/>
      <c r="CM873" s="72"/>
      <c r="CN873" s="72"/>
      <c r="CO873" s="72"/>
      <c r="CP873" s="72"/>
      <c r="CQ873" s="72"/>
      <c r="CR873" s="72"/>
      <c r="CS873" s="72"/>
      <c r="CT873" s="72"/>
      <c r="CU873" s="72"/>
      <c r="CV873" s="72"/>
      <c r="CW873" s="72"/>
      <c r="CX873" s="72"/>
      <c r="CY873" s="72"/>
      <c r="CZ873" s="72"/>
      <c r="DA873" s="72"/>
      <c r="DB873" s="72"/>
      <c r="DC873" s="72"/>
      <c r="DD873" s="72"/>
      <c r="DE873" s="72"/>
      <c r="DF873" s="72"/>
      <c r="DG873" s="72"/>
      <c r="DH873" s="72"/>
      <c r="DI873" s="72"/>
      <c r="DJ873" s="72"/>
      <c r="DK873" s="72"/>
      <c r="DL873" s="72"/>
      <c r="DM873" s="72"/>
      <c r="DN873" s="72"/>
      <c r="DO873" s="72"/>
      <c r="DP873" s="72"/>
      <c r="DQ873" s="72"/>
      <c r="DR873" s="72"/>
      <c r="DS873" s="72"/>
      <c r="DT873" s="72"/>
      <c r="DU873" s="72"/>
      <c r="DV873" s="72"/>
      <c r="DW873" s="72"/>
      <c r="DX873" s="72"/>
      <c r="DY873" s="72"/>
      <c r="DZ873" s="72"/>
      <c r="EA873" s="72"/>
      <c r="EB873" s="72"/>
      <c r="EC873" s="72"/>
      <c r="ED873" s="72"/>
      <c r="EE873" s="72"/>
      <c r="EF873" s="72"/>
      <c r="EG873" s="72"/>
      <c r="EH873" s="72"/>
      <c r="EI873" s="129"/>
      <c r="EJ873" s="129"/>
      <c r="EK873" s="129"/>
      <c r="EL873" s="129"/>
      <c r="EM873" s="72"/>
      <c r="EN873" s="72"/>
      <c r="EO873" s="72"/>
      <c r="EP873" s="72"/>
      <c r="EQ873" s="72"/>
      <c r="ER873" s="72"/>
      <c r="ES873" s="72"/>
      <c r="ET873" s="72"/>
    </row>
    <row r="874">
      <c r="CD874" s="72"/>
      <c r="CE874" s="72"/>
      <c r="CF874" s="72"/>
      <c r="CG874" s="72"/>
      <c r="CH874" s="72"/>
      <c r="CI874" s="72"/>
      <c r="CJ874" s="72"/>
      <c r="CK874" s="72"/>
      <c r="CL874" s="72"/>
      <c r="CM874" s="72"/>
      <c r="CN874" s="72"/>
      <c r="CO874" s="72"/>
      <c r="CP874" s="72"/>
      <c r="CQ874" s="72"/>
      <c r="CR874" s="72"/>
      <c r="CS874" s="72"/>
      <c r="CT874" s="72"/>
      <c r="CU874" s="72"/>
      <c r="CV874" s="72"/>
      <c r="CW874" s="72"/>
      <c r="CX874" s="72"/>
      <c r="CY874" s="72"/>
      <c r="CZ874" s="72"/>
      <c r="DA874" s="72"/>
      <c r="DB874" s="72"/>
      <c r="DC874" s="72"/>
      <c r="DD874" s="72"/>
      <c r="DE874" s="72"/>
      <c r="DF874" s="72"/>
      <c r="DG874" s="72"/>
      <c r="DH874" s="72"/>
      <c r="DI874" s="72"/>
      <c r="DJ874" s="72"/>
      <c r="DK874" s="72"/>
      <c r="DL874" s="72"/>
      <c r="DM874" s="72"/>
      <c r="DN874" s="72"/>
      <c r="DO874" s="72"/>
      <c r="DP874" s="72"/>
      <c r="DQ874" s="72"/>
      <c r="DR874" s="72"/>
      <c r="DS874" s="72"/>
      <c r="DT874" s="72"/>
      <c r="DU874" s="72"/>
      <c r="DV874" s="72"/>
      <c r="DW874" s="72"/>
      <c r="DX874" s="72"/>
      <c r="DY874" s="72"/>
      <c r="DZ874" s="72"/>
      <c r="EA874" s="72"/>
      <c r="EB874" s="72"/>
      <c r="EC874" s="72"/>
      <c r="ED874" s="72"/>
      <c r="EE874" s="72"/>
      <c r="EF874" s="72"/>
      <c r="EG874" s="72"/>
      <c r="EH874" s="72"/>
      <c r="EI874" s="129"/>
      <c r="EJ874" s="129"/>
      <c r="EK874" s="129"/>
      <c r="EL874" s="129"/>
      <c r="EM874" s="72"/>
      <c r="EN874" s="72"/>
      <c r="EO874" s="72"/>
      <c r="EP874" s="72"/>
      <c r="EQ874" s="72"/>
      <c r="ER874" s="72"/>
      <c r="ES874" s="72"/>
      <c r="ET874" s="72"/>
    </row>
    <row r="875">
      <c r="CD875" s="72"/>
      <c r="CE875" s="72"/>
      <c r="CF875" s="72"/>
      <c r="CG875" s="72"/>
      <c r="CH875" s="72"/>
      <c r="CI875" s="72"/>
      <c r="CJ875" s="72"/>
      <c r="CK875" s="72"/>
      <c r="CL875" s="72"/>
      <c r="CM875" s="72"/>
      <c r="CN875" s="72"/>
      <c r="CO875" s="72"/>
      <c r="CP875" s="72"/>
      <c r="CQ875" s="72"/>
      <c r="CR875" s="72"/>
      <c r="CS875" s="72"/>
      <c r="CT875" s="72"/>
      <c r="CU875" s="72"/>
      <c r="CV875" s="72"/>
      <c r="CW875" s="72"/>
      <c r="CX875" s="72"/>
      <c r="CY875" s="72"/>
      <c r="CZ875" s="72"/>
      <c r="DA875" s="72"/>
      <c r="DB875" s="72"/>
      <c r="DC875" s="72"/>
      <c r="DD875" s="72"/>
      <c r="DE875" s="72"/>
      <c r="DF875" s="72"/>
      <c r="DG875" s="72"/>
      <c r="DH875" s="72"/>
      <c r="DI875" s="72"/>
      <c r="DJ875" s="72"/>
      <c r="DK875" s="72"/>
      <c r="DL875" s="72"/>
      <c r="DM875" s="72"/>
      <c r="DN875" s="72"/>
      <c r="DO875" s="72"/>
      <c r="DP875" s="72"/>
      <c r="DQ875" s="72"/>
      <c r="DR875" s="72"/>
      <c r="DS875" s="72"/>
      <c r="DT875" s="72"/>
      <c r="DU875" s="72"/>
      <c r="DV875" s="72"/>
      <c r="DW875" s="72"/>
      <c r="DX875" s="72"/>
      <c r="DY875" s="72"/>
      <c r="DZ875" s="72"/>
      <c r="EA875" s="72"/>
      <c r="EB875" s="72"/>
      <c r="EC875" s="72"/>
      <c r="ED875" s="72"/>
      <c r="EE875" s="72"/>
      <c r="EF875" s="72"/>
      <c r="EG875" s="72"/>
      <c r="EH875" s="72"/>
      <c r="EI875" s="129"/>
      <c r="EJ875" s="129"/>
      <c r="EK875" s="129"/>
      <c r="EL875" s="129"/>
      <c r="EM875" s="72"/>
      <c r="EN875" s="72"/>
      <c r="EO875" s="72"/>
      <c r="EP875" s="72"/>
      <c r="EQ875" s="72"/>
      <c r="ER875" s="72"/>
      <c r="ES875" s="72"/>
      <c r="ET875" s="72"/>
    </row>
    <row r="876">
      <c r="CD876" s="72"/>
      <c r="CE876" s="72"/>
      <c r="CF876" s="72"/>
      <c r="CG876" s="72"/>
      <c r="CH876" s="72"/>
      <c r="CI876" s="72"/>
      <c r="CJ876" s="72"/>
      <c r="CK876" s="72"/>
      <c r="CL876" s="72"/>
      <c r="CM876" s="72"/>
      <c r="CN876" s="72"/>
      <c r="CO876" s="72"/>
      <c r="CP876" s="72"/>
      <c r="CQ876" s="72"/>
      <c r="CR876" s="72"/>
      <c r="CS876" s="72"/>
      <c r="CT876" s="72"/>
      <c r="CU876" s="72"/>
      <c r="CV876" s="72"/>
      <c r="CW876" s="72"/>
      <c r="CX876" s="72"/>
      <c r="CY876" s="72"/>
      <c r="CZ876" s="72"/>
      <c r="DA876" s="72"/>
      <c r="DB876" s="72"/>
      <c r="DC876" s="72"/>
      <c r="DD876" s="72"/>
      <c r="DE876" s="72"/>
      <c r="DF876" s="72"/>
      <c r="DG876" s="72"/>
      <c r="DH876" s="72"/>
      <c r="DI876" s="72"/>
      <c r="DJ876" s="72"/>
      <c r="DK876" s="72"/>
      <c r="DL876" s="72"/>
      <c r="DM876" s="72"/>
      <c r="DN876" s="72"/>
      <c r="DO876" s="72"/>
      <c r="DP876" s="72"/>
      <c r="DQ876" s="72"/>
      <c r="DR876" s="72"/>
      <c r="DS876" s="72"/>
      <c r="DT876" s="72"/>
      <c r="DU876" s="72"/>
      <c r="DV876" s="72"/>
      <c r="DW876" s="72"/>
      <c r="DX876" s="72"/>
      <c r="DY876" s="72"/>
      <c r="DZ876" s="72"/>
      <c r="EA876" s="72"/>
      <c r="EB876" s="72"/>
      <c r="EC876" s="72"/>
      <c r="ED876" s="72"/>
      <c r="EE876" s="72"/>
      <c r="EF876" s="72"/>
      <c r="EG876" s="72"/>
      <c r="EH876" s="72"/>
      <c r="EI876" s="129"/>
      <c r="EJ876" s="129"/>
      <c r="EK876" s="129"/>
      <c r="EL876" s="129"/>
      <c r="EM876" s="72"/>
      <c r="EN876" s="72"/>
      <c r="EO876" s="72"/>
      <c r="EP876" s="72"/>
      <c r="EQ876" s="72"/>
      <c r="ER876" s="72"/>
      <c r="ES876" s="72"/>
      <c r="ET876" s="72"/>
    </row>
    <row r="877">
      <c r="CD877" s="72"/>
      <c r="CE877" s="72"/>
      <c r="CF877" s="72"/>
      <c r="CG877" s="72"/>
      <c r="CH877" s="72"/>
      <c r="CI877" s="72"/>
      <c r="CJ877" s="72"/>
      <c r="CK877" s="72"/>
      <c r="CL877" s="72"/>
      <c r="CM877" s="72"/>
      <c r="CN877" s="72"/>
      <c r="CO877" s="72"/>
      <c r="CP877" s="72"/>
      <c r="CQ877" s="72"/>
      <c r="CR877" s="72"/>
      <c r="CS877" s="72"/>
      <c r="CT877" s="72"/>
      <c r="CU877" s="72"/>
      <c r="CV877" s="72"/>
      <c r="CW877" s="72"/>
      <c r="CX877" s="72"/>
      <c r="CY877" s="72"/>
      <c r="CZ877" s="72"/>
      <c r="DA877" s="72"/>
      <c r="DB877" s="72"/>
      <c r="DC877" s="72"/>
      <c r="DD877" s="72"/>
      <c r="DE877" s="72"/>
      <c r="DF877" s="72"/>
      <c r="DG877" s="72"/>
      <c r="DH877" s="72"/>
      <c r="DI877" s="72"/>
      <c r="DJ877" s="72"/>
      <c r="DK877" s="72"/>
      <c r="DL877" s="72"/>
      <c r="DM877" s="72"/>
      <c r="DN877" s="72"/>
      <c r="DO877" s="72"/>
      <c r="DP877" s="72"/>
      <c r="DQ877" s="72"/>
      <c r="DR877" s="72"/>
      <c r="DS877" s="72"/>
      <c r="DT877" s="72"/>
      <c r="DU877" s="72"/>
      <c r="DV877" s="72"/>
      <c r="DW877" s="72"/>
      <c r="DX877" s="72"/>
      <c r="DY877" s="72"/>
      <c r="DZ877" s="72"/>
      <c r="EA877" s="72"/>
      <c r="EB877" s="72"/>
      <c r="EC877" s="72"/>
      <c r="ED877" s="72"/>
      <c r="EE877" s="72"/>
      <c r="EF877" s="72"/>
      <c r="EG877" s="72"/>
      <c r="EH877" s="72"/>
      <c r="EI877" s="129"/>
      <c r="EJ877" s="129"/>
      <c r="EK877" s="129"/>
      <c r="EL877" s="129"/>
      <c r="EM877" s="72"/>
      <c r="EN877" s="72"/>
      <c r="EO877" s="72"/>
      <c r="EP877" s="72"/>
      <c r="EQ877" s="72"/>
      <c r="ER877" s="72"/>
      <c r="ES877" s="72"/>
      <c r="ET877" s="72"/>
    </row>
    <row r="878">
      <c r="CD878" s="72"/>
      <c r="CE878" s="72"/>
      <c r="CF878" s="72"/>
      <c r="CG878" s="72"/>
      <c r="CH878" s="72"/>
      <c r="CI878" s="72"/>
      <c r="CJ878" s="72"/>
      <c r="CK878" s="72"/>
      <c r="CL878" s="72"/>
      <c r="CM878" s="72"/>
      <c r="CN878" s="72"/>
      <c r="CO878" s="72"/>
      <c r="CP878" s="72"/>
      <c r="CQ878" s="72"/>
      <c r="CR878" s="72"/>
      <c r="CS878" s="72"/>
      <c r="CT878" s="72"/>
      <c r="CU878" s="72"/>
      <c r="CV878" s="72"/>
      <c r="CW878" s="72"/>
      <c r="CX878" s="72"/>
      <c r="CY878" s="72"/>
      <c r="CZ878" s="72"/>
      <c r="DA878" s="72"/>
      <c r="DB878" s="72"/>
      <c r="DC878" s="72"/>
      <c r="DD878" s="72"/>
      <c r="DE878" s="72"/>
      <c r="DF878" s="72"/>
      <c r="DG878" s="72"/>
      <c r="DH878" s="72"/>
      <c r="DI878" s="72"/>
      <c r="DJ878" s="72"/>
      <c r="DK878" s="72"/>
      <c r="DL878" s="72"/>
      <c r="DM878" s="72"/>
      <c r="DN878" s="72"/>
      <c r="DO878" s="72"/>
      <c r="DP878" s="72"/>
      <c r="DQ878" s="72"/>
      <c r="DR878" s="72"/>
      <c r="DS878" s="72"/>
      <c r="DT878" s="72"/>
      <c r="DU878" s="72"/>
      <c r="DV878" s="72"/>
      <c r="DW878" s="72"/>
      <c r="DX878" s="72"/>
      <c r="DY878" s="72"/>
      <c r="DZ878" s="72"/>
      <c r="EA878" s="72"/>
      <c r="EB878" s="72"/>
      <c r="EC878" s="72"/>
      <c r="ED878" s="72"/>
      <c r="EE878" s="72"/>
      <c r="EF878" s="72"/>
      <c r="EG878" s="72"/>
      <c r="EH878" s="72"/>
      <c r="EI878" s="129"/>
      <c r="EJ878" s="129"/>
      <c r="EK878" s="129"/>
      <c r="EL878" s="129"/>
      <c r="EM878" s="72"/>
      <c r="EN878" s="72"/>
      <c r="EO878" s="72"/>
      <c r="EP878" s="72"/>
      <c r="EQ878" s="72"/>
      <c r="ER878" s="72"/>
      <c r="ES878" s="72"/>
      <c r="ET878" s="72"/>
    </row>
    <row r="879">
      <c r="CD879" s="72"/>
      <c r="CE879" s="72"/>
      <c r="CF879" s="72"/>
      <c r="CG879" s="72"/>
      <c r="CH879" s="72"/>
      <c r="CI879" s="72"/>
      <c r="CJ879" s="72"/>
      <c r="CK879" s="72"/>
      <c r="CL879" s="72"/>
      <c r="CM879" s="72"/>
      <c r="CN879" s="72"/>
      <c r="CO879" s="72"/>
      <c r="CP879" s="72"/>
      <c r="CQ879" s="72"/>
      <c r="CR879" s="72"/>
      <c r="CS879" s="72"/>
      <c r="CT879" s="72"/>
      <c r="CU879" s="72"/>
      <c r="CV879" s="72"/>
      <c r="CW879" s="72"/>
      <c r="CX879" s="72"/>
      <c r="CY879" s="72"/>
      <c r="CZ879" s="72"/>
      <c r="DA879" s="72"/>
      <c r="DB879" s="72"/>
      <c r="DC879" s="72"/>
      <c r="DD879" s="72"/>
      <c r="DE879" s="72"/>
      <c r="DF879" s="72"/>
      <c r="DG879" s="72"/>
      <c r="DH879" s="72"/>
      <c r="DI879" s="72"/>
      <c r="DJ879" s="72"/>
      <c r="DK879" s="72"/>
      <c r="DL879" s="72"/>
      <c r="DM879" s="72"/>
      <c r="DN879" s="72"/>
      <c r="DO879" s="72"/>
      <c r="DP879" s="72"/>
      <c r="DQ879" s="72"/>
      <c r="DR879" s="72"/>
      <c r="DS879" s="72"/>
      <c r="DT879" s="72"/>
      <c r="DU879" s="72"/>
      <c r="DV879" s="72"/>
      <c r="DW879" s="72"/>
      <c r="DX879" s="72"/>
      <c r="DY879" s="72"/>
      <c r="DZ879" s="72"/>
      <c r="EA879" s="72"/>
      <c r="EB879" s="72"/>
      <c r="EC879" s="72"/>
      <c r="ED879" s="72"/>
      <c r="EE879" s="72"/>
      <c r="EF879" s="72"/>
      <c r="EG879" s="72"/>
      <c r="EH879" s="72"/>
      <c r="EI879" s="129"/>
      <c r="EJ879" s="129"/>
      <c r="EK879" s="129"/>
      <c r="EL879" s="129"/>
      <c r="EM879" s="72"/>
      <c r="EN879" s="72"/>
      <c r="EO879" s="72"/>
      <c r="EP879" s="72"/>
      <c r="EQ879" s="72"/>
      <c r="ER879" s="72"/>
      <c r="ES879" s="72"/>
      <c r="ET879" s="72"/>
    </row>
    <row r="880">
      <c r="CD880" s="72"/>
      <c r="CE880" s="72"/>
      <c r="CF880" s="72"/>
      <c r="CG880" s="72"/>
      <c r="CH880" s="72"/>
      <c r="CI880" s="72"/>
      <c r="CJ880" s="72"/>
      <c r="CK880" s="72"/>
      <c r="CL880" s="72"/>
      <c r="CM880" s="72"/>
      <c r="CN880" s="72"/>
      <c r="CO880" s="72"/>
      <c r="CP880" s="72"/>
      <c r="CQ880" s="72"/>
      <c r="CR880" s="72"/>
      <c r="CS880" s="72"/>
      <c r="CT880" s="72"/>
      <c r="CU880" s="72"/>
      <c r="CV880" s="72"/>
      <c r="CW880" s="72"/>
      <c r="CX880" s="72"/>
      <c r="CY880" s="72"/>
      <c r="CZ880" s="72"/>
      <c r="DA880" s="72"/>
      <c r="DB880" s="72"/>
      <c r="DC880" s="72"/>
      <c r="DD880" s="72"/>
      <c r="DE880" s="72"/>
      <c r="DF880" s="72"/>
      <c r="DG880" s="72"/>
      <c r="DH880" s="72"/>
      <c r="DI880" s="72"/>
      <c r="DJ880" s="72"/>
      <c r="DK880" s="72"/>
      <c r="DL880" s="72"/>
      <c r="DM880" s="72"/>
      <c r="DN880" s="72"/>
      <c r="DO880" s="72"/>
      <c r="DP880" s="72"/>
      <c r="DQ880" s="72"/>
      <c r="DR880" s="72"/>
      <c r="DS880" s="72"/>
      <c r="DT880" s="72"/>
      <c r="DU880" s="72"/>
      <c r="DV880" s="72"/>
      <c r="DW880" s="72"/>
      <c r="DX880" s="72"/>
      <c r="DY880" s="72"/>
      <c r="DZ880" s="72"/>
      <c r="EA880" s="72"/>
      <c r="EB880" s="72"/>
      <c r="EC880" s="72"/>
      <c r="ED880" s="72"/>
      <c r="EE880" s="72"/>
      <c r="EF880" s="72"/>
      <c r="EG880" s="72"/>
      <c r="EH880" s="72"/>
      <c r="EI880" s="129"/>
      <c r="EJ880" s="129"/>
      <c r="EK880" s="129"/>
      <c r="EL880" s="129"/>
      <c r="EM880" s="72"/>
      <c r="EN880" s="72"/>
      <c r="EO880" s="72"/>
      <c r="EP880" s="72"/>
      <c r="EQ880" s="72"/>
      <c r="ER880" s="72"/>
      <c r="ES880" s="72"/>
      <c r="ET880" s="72"/>
    </row>
    <row r="881">
      <c r="CD881" s="72"/>
      <c r="CE881" s="72"/>
      <c r="CF881" s="72"/>
      <c r="CG881" s="72"/>
      <c r="CH881" s="72"/>
      <c r="CI881" s="72"/>
      <c r="CJ881" s="72"/>
      <c r="CK881" s="72"/>
      <c r="CL881" s="72"/>
      <c r="CM881" s="72"/>
      <c r="CN881" s="72"/>
      <c r="CO881" s="72"/>
      <c r="CP881" s="72"/>
      <c r="CQ881" s="72"/>
      <c r="CR881" s="72"/>
      <c r="CS881" s="72"/>
      <c r="CT881" s="72"/>
      <c r="CU881" s="72"/>
      <c r="CV881" s="72"/>
      <c r="CW881" s="72"/>
      <c r="CX881" s="72"/>
      <c r="CY881" s="72"/>
      <c r="CZ881" s="72"/>
      <c r="DA881" s="72"/>
      <c r="DB881" s="72"/>
      <c r="DC881" s="72"/>
      <c r="DD881" s="72"/>
      <c r="DE881" s="72"/>
      <c r="DF881" s="72"/>
      <c r="DG881" s="72"/>
      <c r="DH881" s="72"/>
      <c r="DI881" s="72"/>
      <c r="DJ881" s="72"/>
      <c r="DK881" s="72"/>
      <c r="DL881" s="72"/>
      <c r="DM881" s="72"/>
      <c r="DN881" s="72"/>
      <c r="DO881" s="72"/>
      <c r="DP881" s="72"/>
      <c r="DQ881" s="72"/>
      <c r="DR881" s="72"/>
      <c r="DS881" s="72"/>
      <c r="DT881" s="72"/>
      <c r="DU881" s="72"/>
      <c r="DV881" s="72"/>
      <c r="DW881" s="72"/>
      <c r="DX881" s="72"/>
      <c r="DY881" s="72"/>
      <c r="DZ881" s="72"/>
      <c r="EA881" s="72"/>
      <c r="EB881" s="72"/>
      <c r="EC881" s="72"/>
      <c r="ED881" s="72"/>
      <c r="EE881" s="72"/>
      <c r="EF881" s="72"/>
      <c r="EG881" s="72"/>
      <c r="EH881" s="72"/>
      <c r="EI881" s="129"/>
      <c r="EJ881" s="129"/>
      <c r="EK881" s="129"/>
      <c r="EL881" s="129"/>
      <c r="EM881" s="72"/>
      <c r="EN881" s="72"/>
      <c r="EO881" s="72"/>
      <c r="EP881" s="72"/>
      <c r="EQ881" s="72"/>
      <c r="ER881" s="72"/>
      <c r="ES881" s="72"/>
      <c r="ET881" s="72"/>
    </row>
    <row r="882">
      <c r="CD882" s="72"/>
      <c r="CE882" s="72"/>
      <c r="CF882" s="72"/>
      <c r="CG882" s="72"/>
      <c r="CH882" s="72"/>
      <c r="CI882" s="72"/>
      <c r="CJ882" s="72"/>
      <c r="CK882" s="72"/>
      <c r="CL882" s="72"/>
      <c r="CM882" s="72"/>
      <c r="CN882" s="72"/>
      <c r="CO882" s="72"/>
      <c r="CP882" s="72"/>
      <c r="CQ882" s="72"/>
      <c r="CR882" s="72"/>
      <c r="CS882" s="72"/>
      <c r="CT882" s="72"/>
      <c r="CU882" s="72"/>
      <c r="CV882" s="72"/>
      <c r="CW882" s="72"/>
      <c r="CX882" s="72"/>
      <c r="CY882" s="72"/>
      <c r="CZ882" s="72"/>
      <c r="DA882" s="72"/>
      <c r="DB882" s="72"/>
      <c r="DC882" s="72"/>
      <c r="DD882" s="72"/>
      <c r="DE882" s="72"/>
      <c r="DF882" s="72"/>
      <c r="DG882" s="72"/>
      <c r="DH882" s="72"/>
      <c r="DI882" s="72"/>
      <c r="DJ882" s="72"/>
      <c r="DK882" s="72"/>
      <c r="DL882" s="72"/>
      <c r="DM882" s="72"/>
      <c r="DN882" s="72"/>
      <c r="DO882" s="72"/>
      <c r="DP882" s="72"/>
      <c r="DQ882" s="72"/>
      <c r="DR882" s="72"/>
      <c r="DS882" s="72"/>
      <c r="DT882" s="72"/>
      <c r="DU882" s="72"/>
      <c r="DV882" s="72"/>
      <c r="DW882" s="72"/>
      <c r="DX882" s="72"/>
      <c r="DY882" s="72"/>
      <c r="DZ882" s="72"/>
      <c r="EA882" s="72"/>
      <c r="EB882" s="72"/>
      <c r="EC882" s="72"/>
      <c r="ED882" s="72"/>
      <c r="EE882" s="72"/>
      <c r="EF882" s="72"/>
      <c r="EG882" s="72"/>
      <c r="EH882" s="72"/>
      <c r="EI882" s="129"/>
      <c r="EJ882" s="129"/>
      <c r="EK882" s="129"/>
      <c r="EL882" s="129"/>
      <c r="EM882" s="72"/>
      <c r="EN882" s="72"/>
      <c r="EO882" s="72"/>
      <c r="EP882" s="72"/>
      <c r="EQ882" s="72"/>
      <c r="ER882" s="72"/>
      <c r="ES882" s="72"/>
      <c r="ET882" s="72"/>
    </row>
    <row r="883">
      <c r="CD883" s="72"/>
      <c r="CE883" s="72"/>
      <c r="CF883" s="72"/>
      <c r="CG883" s="72"/>
      <c r="CH883" s="72"/>
      <c r="CI883" s="72"/>
      <c r="CJ883" s="72"/>
      <c r="CK883" s="72"/>
      <c r="CL883" s="72"/>
      <c r="CM883" s="72"/>
      <c r="CN883" s="72"/>
      <c r="CO883" s="72"/>
      <c r="CP883" s="72"/>
      <c r="CQ883" s="72"/>
      <c r="CR883" s="72"/>
      <c r="CS883" s="72"/>
      <c r="CT883" s="72"/>
      <c r="CU883" s="72"/>
      <c r="CV883" s="72"/>
      <c r="CW883" s="72"/>
      <c r="CX883" s="72"/>
      <c r="CY883" s="72"/>
      <c r="CZ883" s="72"/>
      <c r="DA883" s="72"/>
      <c r="DB883" s="72"/>
      <c r="DC883" s="72"/>
      <c r="DD883" s="72"/>
      <c r="DE883" s="72"/>
      <c r="DF883" s="72"/>
      <c r="DG883" s="72"/>
      <c r="DH883" s="72"/>
      <c r="DI883" s="72"/>
      <c r="DJ883" s="72"/>
      <c r="DK883" s="72"/>
      <c r="DL883" s="72"/>
      <c r="DM883" s="72"/>
      <c r="DN883" s="72"/>
      <c r="DO883" s="72"/>
      <c r="DP883" s="72"/>
      <c r="DQ883" s="72"/>
      <c r="DR883" s="72"/>
      <c r="DS883" s="72"/>
      <c r="DT883" s="72"/>
      <c r="DU883" s="72"/>
      <c r="DV883" s="72"/>
      <c r="DW883" s="72"/>
      <c r="DX883" s="72"/>
      <c r="DY883" s="72"/>
      <c r="DZ883" s="72"/>
      <c r="EA883" s="72"/>
      <c r="EB883" s="72"/>
      <c r="EC883" s="72"/>
      <c r="ED883" s="72"/>
      <c r="EE883" s="72"/>
      <c r="EF883" s="72"/>
      <c r="EG883" s="72"/>
      <c r="EH883" s="72"/>
      <c r="EI883" s="129"/>
      <c r="EJ883" s="129"/>
      <c r="EK883" s="129"/>
      <c r="EL883" s="129"/>
      <c r="EM883" s="72"/>
      <c r="EN883" s="72"/>
      <c r="EO883" s="72"/>
      <c r="EP883" s="72"/>
      <c r="EQ883" s="72"/>
      <c r="ER883" s="72"/>
      <c r="ES883" s="72"/>
      <c r="ET883" s="72"/>
    </row>
    <row r="884">
      <c r="CD884" s="72"/>
      <c r="CE884" s="72"/>
      <c r="CF884" s="72"/>
      <c r="CG884" s="72"/>
      <c r="CH884" s="72"/>
      <c r="CI884" s="72"/>
      <c r="CJ884" s="72"/>
      <c r="CK884" s="72"/>
      <c r="CL884" s="72"/>
      <c r="CM884" s="72"/>
      <c r="CN884" s="72"/>
      <c r="CO884" s="72"/>
      <c r="CP884" s="72"/>
      <c r="CQ884" s="72"/>
      <c r="CR884" s="72"/>
      <c r="CS884" s="72"/>
      <c r="CT884" s="72"/>
      <c r="CU884" s="72"/>
      <c r="CV884" s="72"/>
      <c r="CW884" s="72"/>
      <c r="CX884" s="72"/>
      <c r="CY884" s="72"/>
      <c r="CZ884" s="72"/>
      <c r="DA884" s="72"/>
      <c r="DB884" s="72"/>
      <c r="DC884" s="72"/>
      <c r="DD884" s="72"/>
      <c r="DE884" s="72"/>
      <c r="DF884" s="72"/>
      <c r="DG884" s="72"/>
      <c r="DH884" s="72"/>
      <c r="DI884" s="72"/>
      <c r="DJ884" s="72"/>
      <c r="DK884" s="72"/>
      <c r="DL884" s="72"/>
      <c r="DM884" s="72"/>
      <c r="DN884" s="72"/>
      <c r="DO884" s="72"/>
      <c r="DP884" s="72"/>
      <c r="DQ884" s="72"/>
      <c r="DR884" s="72"/>
      <c r="DS884" s="72"/>
      <c r="DT884" s="72"/>
      <c r="DU884" s="72"/>
      <c r="DV884" s="72"/>
      <c r="DW884" s="72"/>
      <c r="DX884" s="72"/>
      <c r="DY884" s="72"/>
      <c r="DZ884" s="72"/>
      <c r="EA884" s="72"/>
      <c r="EB884" s="72"/>
      <c r="EC884" s="72"/>
      <c r="ED884" s="72"/>
      <c r="EE884" s="72"/>
      <c r="EF884" s="72"/>
      <c r="EG884" s="72"/>
      <c r="EH884" s="72"/>
      <c r="EI884" s="129"/>
      <c r="EJ884" s="129"/>
      <c r="EK884" s="129"/>
      <c r="EL884" s="129"/>
      <c r="EM884" s="72"/>
      <c r="EN884" s="72"/>
      <c r="EO884" s="72"/>
      <c r="EP884" s="72"/>
      <c r="EQ884" s="72"/>
      <c r="ER884" s="72"/>
      <c r="ES884" s="72"/>
      <c r="ET884" s="72"/>
    </row>
    <row r="885">
      <c r="CD885" s="72"/>
      <c r="CE885" s="72"/>
      <c r="CF885" s="72"/>
      <c r="CG885" s="72"/>
      <c r="CH885" s="72"/>
      <c r="CI885" s="72"/>
      <c r="CJ885" s="72"/>
      <c r="CK885" s="72"/>
      <c r="CL885" s="72"/>
      <c r="CM885" s="72"/>
      <c r="CN885" s="72"/>
      <c r="CO885" s="72"/>
      <c r="CP885" s="72"/>
      <c r="CQ885" s="72"/>
      <c r="CR885" s="72"/>
      <c r="CS885" s="72"/>
      <c r="CT885" s="72"/>
      <c r="CU885" s="72"/>
      <c r="CV885" s="72"/>
      <c r="CW885" s="72"/>
      <c r="CX885" s="72"/>
      <c r="CY885" s="72"/>
      <c r="CZ885" s="72"/>
      <c r="DA885" s="72"/>
      <c r="DB885" s="72"/>
      <c r="DC885" s="72"/>
      <c r="DD885" s="72"/>
      <c r="DE885" s="72"/>
      <c r="DF885" s="72"/>
      <c r="DG885" s="72"/>
      <c r="DH885" s="72"/>
      <c r="DI885" s="72"/>
      <c r="DJ885" s="72"/>
      <c r="DK885" s="72"/>
      <c r="DL885" s="72"/>
      <c r="DM885" s="72"/>
      <c r="DN885" s="72"/>
      <c r="DO885" s="72"/>
      <c r="DP885" s="72"/>
      <c r="DQ885" s="72"/>
      <c r="DR885" s="72"/>
      <c r="DS885" s="72"/>
      <c r="DT885" s="72"/>
      <c r="DU885" s="72"/>
      <c r="DV885" s="72"/>
      <c r="DW885" s="72"/>
      <c r="DX885" s="72"/>
      <c r="DY885" s="72"/>
      <c r="DZ885" s="72"/>
      <c r="EA885" s="72"/>
      <c r="EB885" s="72"/>
      <c r="EC885" s="72"/>
      <c r="ED885" s="72"/>
      <c r="EE885" s="72"/>
      <c r="EF885" s="72"/>
      <c r="EG885" s="72"/>
      <c r="EH885" s="72"/>
      <c r="EI885" s="129"/>
      <c r="EJ885" s="129"/>
      <c r="EK885" s="129"/>
      <c r="EL885" s="129"/>
      <c r="EM885" s="72"/>
      <c r="EN885" s="72"/>
      <c r="EO885" s="72"/>
      <c r="EP885" s="72"/>
      <c r="EQ885" s="72"/>
      <c r="ER885" s="72"/>
      <c r="ES885" s="72"/>
      <c r="ET885" s="72"/>
    </row>
    <row r="886">
      <c r="CD886" s="72"/>
      <c r="CE886" s="72"/>
      <c r="CF886" s="72"/>
      <c r="CG886" s="72"/>
      <c r="CH886" s="72"/>
      <c r="CI886" s="72"/>
      <c r="CJ886" s="72"/>
      <c r="CK886" s="72"/>
      <c r="CL886" s="72"/>
      <c r="CM886" s="72"/>
      <c r="CN886" s="72"/>
      <c r="CO886" s="72"/>
      <c r="CP886" s="72"/>
      <c r="CQ886" s="72"/>
      <c r="CR886" s="72"/>
      <c r="CS886" s="72"/>
      <c r="CT886" s="72"/>
      <c r="CU886" s="72"/>
      <c r="CV886" s="72"/>
      <c r="CW886" s="72"/>
      <c r="CX886" s="72"/>
      <c r="CY886" s="72"/>
      <c r="CZ886" s="72"/>
      <c r="DA886" s="72"/>
      <c r="DB886" s="72"/>
      <c r="DC886" s="72"/>
      <c r="DD886" s="72"/>
      <c r="DE886" s="72"/>
      <c r="DF886" s="72"/>
      <c r="DG886" s="72"/>
      <c r="DH886" s="72"/>
      <c r="DI886" s="72"/>
      <c r="DJ886" s="72"/>
      <c r="DK886" s="72"/>
      <c r="DL886" s="72"/>
      <c r="DM886" s="72"/>
      <c r="DN886" s="72"/>
      <c r="DO886" s="72"/>
      <c r="DP886" s="72"/>
      <c r="DQ886" s="72"/>
      <c r="DR886" s="72"/>
      <c r="DS886" s="72"/>
      <c r="DT886" s="72"/>
      <c r="DU886" s="72"/>
      <c r="DV886" s="72"/>
      <c r="DW886" s="72"/>
      <c r="DX886" s="72"/>
      <c r="DY886" s="72"/>
      <c r="DZ886" s="72"/>
      <c r="EA886" s="72"/>
      <c r="EB886" s="72"/>
      <c r="EC886" s="72"/>
      <c r="ED886" s="72"/>
      <c r="EE886" s="72"/>
      <c r="EF886" s="72"/>
      <c r="EG886" s="72"/>
      <c r="EH886" s="72"/>
      <c r="EI886" s="129"/>
      <c r="EJ886" s="129"/>
      <c r="EK886" s="129"/>
      <c r="EL886" s="129"/>
      <c r="EM886" s="72"/>
      <c r="EN886" s="72"/>
      <c r="EO886" s="72"/>
      <c r="EP886" s="72"/>
      <c r="EQ886" s="72"/>
      <c r="ER886" s="72"/>
      <c r="ES886" s="72"/>
      <c r="ET886" s="72"/>
    </row>
    <row r="887">
      <c r="CD887" s="72"/>
      <c r="CE887" s="72"/>
      <c r="CF887" s="72"/>
      <c r="CG887" s="72"/>
      <c r="CH887" s="72"/>
      <c r="CI887" s="72"/>
      <c r="CJ887" s="72"/>
      <c r="CK887" s="72"/>
      <c r="CL887" s="72"/>
      <c r="CM887" s="72"/>
      <c r="CN887" s="72"/>
      <c r="CO887" s="72"/>
      <c r="CP887" s="72"/>
      <c r="CQ887" s="72"/>
      <c r="CR887" s="72"/>
      <c r="CS887" s="72"/>
      <c r="CT887" s="72"/>
      <c r="CU887" s="72"/>
      <c r="CV887" s="72"/>
      <c r="CW887" s="72"/>
      <c r="CX887" s="72"/>
      <c r="CY887" s="72"/>
      <c r="CZ887" s="72"/>
      <c r="DA887" s="72"/>
      <c r="DB887" s="72"/>
      <c r="DC887" s="72"/>
      <c r="DD887" s="72"/>
      <c r="DE887" s="72"/>
      <c r="DF887" s="72"/>
      <c r="DG887" s="72"/>
      <c r="DH887" s="72"/>
      <c r="DI887" s="72"/>
      <c r="DJ887" s="72"/>
      <c r="DK887" s="72"/>
      <c r="DL887" s="72"/>
      <c r="DM887" s="72"/>
      <c r="DN887" s="72"/>
      <c r="DO887" s="72"/>
      <c r="DP887" s="72"/>
      <c r="DQ887" s="72"/>
      <c r="DR887" s="72"/>
      <c r="DS887" s="72"/>
      <c r="DT887" s="72"/>
      <c r="DU887" s="72"/>
      <c r="DV887" s="72"/>
      <c r="DW887" s="72"/>
      <c r="DX887" s="72"/>
      <c r="DY887" s="72"/>
      <c r="DZ887" s="72"/>
      <c r="EA887" s="72"/>
      <c r="EB887" s="72"/>
      <c r="EC887" s="72"/>
      <c r="ED887" s="72"/>
      <c r="EE887" s="72"/>
      <c r="EF887" s="72"/>
      <c r="EG887" s="72"/>
      <c r="EH887" s="72"/>
      <c r="EI887" s="129"/>
      <c r="EJ887" s="129"/>
      <c r="EK887" s="129"/>
      <c r="EL887" s="129"/>
      <c r="EM887" s="72"/>
      <c r="EN887" s="72"/>
      <c r="EO887" s="72"/>
      <c r="EP887" s="72"/>
      <c r="EQ887" s="72"/>
      <c r="ER887" s="72"/>
      <c r="ES887" s="72"/>
      <c r="ET887" s="72"/>
    </row>
    <row r="888">
      <c r="CD888" s="72"/>
      <c r="CE888" s="72"/>
      <c r="CF888" s="72"/>
      <c r="CG888" s="72"/>
      <c r="CH888" s="72"/>
      <c r="CI888" s="72"/>
      <c r="CJ888" s="72"/>
      <c r="CK888" s="72"/>
      <c r="CL888" s="72"/>
      <c r="CM888" s="72"/>
      <c r="CN888" s="72"/>
      <c r="CO888" s="72"/>
      <c r="CP888" s="72"/>
      <c r="CQ888" s="72"/>
      <c r="CR888" s="72"/>
      <c r="CS888" s="72"/>
      <c r="CT888" s="72"/>
      <c r="CU888" s="72"/>
      <c r="CV888" s="72"/>
      <c r="CW888" s="72"/>
      <c r="CX888" s="72"/>
      <c r="CY888" s="72"/>
      <c r="CZ888" s="72"/>
      <c r="DA888" s="72"/>
      <c r="DB888" s="72"/>
      <c r="DC888" s="72"/>
      <c r="DD888" s="72"/>
      <c r="DE888" s="72"/>
      <c r="DF888" s="72"/>
      <c r="DG888" s="72"/>
      <c r="DH888" s="72"/>
      <c r="DI888" s="72"/>
      <c r="DJ888" s="72"/>
      <c r="DK888" s="72"/>
      <c r="DL888" s="72"/>
      <c r="DM888" s="72"/>
      <c r="DN888" s="72"/>
      <c r="DO888" s="72"/>
      <c r="DP888" s="72"/>
      <c r="DQ888" s="72"/>
      <c r="DR888" s="72"/>
      <c r="DS888" s="72"/>
      <c r="DT888" s="72"/>
      <c r="DU888" s="72"/>
      <c r="DV888" s="72"/>
      <c r="DW888" s="72"/>
      <c r="DX888" s="72"/>
      <c r="DY888" s="72"/>
      <c r="DZ888" s="72"/>
      <c r="EA888" s="72"/>
      <c r="EB888" s="72"/>
      <c r="EC888" s="72"/>
      <c r="ED888" s="72"/>
      <c r="EE888" s="72"/>
      <c r="EF888" s="72"/>
      <c r="EG888" s="72"/>
      <c r="EH888" s="72"/>
      <c r="EI888" s="129"/>
      <c r="EJ888" s="129"/>
      <c r="EK888" s="129"/>
      <c r="EL888" s="129"/>
      <c r="EM888" s="72"/>
      <c r="EN888" s="72"/>
      <c r="EO888" s="72"/>
      <c r="EP888" s="72"/>
      <c r="EQ888" s="72"/>
      <c r="ER888" s="72"/>
      <c r="ES888" s="72"/>
      <c r="ET888" s="72"/>
    </row>
    <row r="889">
      <c r="CD889" s="72"/>
      <c r="CE889" s="72"/>
      <c r="CF889" s="72"/>
      <c r="CG889" s="72"/>
      <c r="CH889" s="72"/>
      <c r="CI889" s="72"/>
      <c r="CJ889" s="72"/>
      <c r="CK889" s="72"/>
      <c r="CL889" s="72"/>
      <c r="CM889" s="72"/>
      <c r="CN889" s="72"/>
      <c r="CO889" s="72"/>
      <c r="CP889" s="72"/>
      <c r="CQ889" s="72"/>
      <c r="CR889" s="72"/>
      <c r="CS889" s="72"/>
      <c r="CT889" s="72"/>
      <c r="CU889" s="72"/>
      <c r="CV889" s="72"/>
      <c r="CW889" s="72"/>
      <c r="CX889" s="72"/>
      <c r="CY889" s="72"/>
      <c r="CZ889" s="72"/>
      <c r="DA889" s="72"/>
      <c r="DB889" s="72"/>
      <c r="DC889" s="72"/>
      <c r="DD889" s="72"/>
      <c r="DE889" s="72"/>
      <c r="DF889" s="72"/>
      <c r="DG889" s="72"/>
      <c r="DH889" s="72"/>
      <c r="DI889" s="72"/>
      <c r="DJ889" s="72"/>
      <c r="DK889" s="72"/>
      <c r="DL889" s="72"/>
      <c r="DM889" s="72"/>
      <c r="DN889" s="72"/>
      <c r="DO889" s="72"/>
      <c r="DP889" s="72"/>
      <c r="DQ889" s="72"/>
      <c r="DR889" s="72"/>
      <c r="DS889" s="72"/>
      <c r="DT889" s="72"/>
      <c r="DU889" s="72"/>
      <c r="DV889" s="72"/>
      <c r="DW889" s="72"/>
      <c r="DX889" s="72"/>
      <c r="DY889" s="72"/>
      <c r="DZ889" s="72"/>
      <c r="EA889" s="72"/>
      <c r="EB889" s="72"/>
      <c r="EC889" s="72"/>
      <c r="ED889" s="72"/>
      <c r="EE889" s="72"/>
      <c r="EF889" s="72"/>
      <c r="EG889" s="72"/>
      <c r="EH889" s="72"/>
      <c r="EI889" s="129"/>
      <c r="EJ889" s="129"/>
      <c r="EK889" s="129"/>
      <c r="EL889" s="129"/>
      <c r="EM889" s="72"/>
      <c r="EN889" s="72"/>
      <c r="EO889" s="72"/>
      <c r="EP889" s="72"/>
      <c r="EQ889" s="72"/>
      <c r="ER889" s="72"/>
      <c r="ES889" s="72"/>
      <c r="ET889" s="72"/>
    </row>
    <row r="890">
      <c r="CD890" s="72"/>
      <c r="CE890" s="72"/>
      <c r="CF890" s="72"/>
      <c r="CG890" s="72"/>
      <c r="CH890" s="72"/>
      <c r="CI890" s="72"/>
      <c r="CJ890" s="72"/>
      <c r="CK890" s="72"/>
      <c r="CL890" s="72"/>
      <c r="CM890" s="72"/>
      <c r="CN890" s="72"/>
      <c r="CO890" s="72"/>
      <c r="CP890" s="72"/>
      <c r="CQ890" s="72"/>
      <c r="CR890" s="72"/>
      <c r="CS890" s="72"/>
      <c r="CT890" s="72"/>
      <c r="CU890" s="72"/>
      <c r="CV890" s="72"/>
      <c r="CW890" s="72"/>
      <c r="CX890" s="72"/>
      <c r="CY890" s="72"/>
      <c r="CZ890" s="72"/>
      <c r="DA890" s="72"/>
      <c r="DB890" s="72"/>
      <c r="DC890" s="72"/>
      <c r="DD890" s="72"/>
      <c r="DE890" s="72"/>
      <c r="DF890" s="72"/>
      <c r="DG890" s="72"/>
      <c r="DH890" s="72"/>
      <c r="DI890" s="72"/>
      <c r="DJ890" s="72"/>
      <c r="DK890" s="72"/>
      <c r="DL890" s="72"/>
      <c r="DM890" s="72"/>
      <c r="DN890" s="72"/>
      <c r="DO890" s="72"/>
      <c r="DP890" s="72"/>
      <c r="DQ890" s="72"/>
      <c r="DR890" s="72"/>
      <c r="DS890" s="72"/>
      <c r="DT890" s="72"/>
      <c r="DU890" s="72"/>
      <c r="DV890" s="72"/>
      <c r="DW890" s="72"/>
      <c r="DX890" s="72"/>
      <c r="DY890" s="72"/>
      <c r="DZ890" s="72"/>
      <c r="EA890" s="72"/>
      <c r="EB890" s="72"/>
      <c r="EC890" s="72"/>
      <c r="ED890" s="72"/>
      <c r="EE890" s="72"/>
      <c r="EF890" s="72"/>
      <c r="EG890" s="72"/>
      <c r="EH890" s="72"/>
      <c r="EI890" s="129"/>
      <c r="EJ890" s="129"/>
      <c r="EK890" s="129"/>
      <c r="EL890" s="129"/>
      <c r="EM890" s="72"/>
      <c r="EN890" s="72"/>
      <c r="EO890" s="72"/>
      <c r="EP890" s="72"/>
      <c r="EQ890" s="72"/>
      <c r="ER890" s="72"/>
      <c r="ES890" s="72"/>
      <c r="ET890" s="72"/>
    </row>
    <row r="891">
      <c r="CD891" s="72"/>
      <c r="CE891" s="72"/>
      <c r="CF891" s="72"/>
      <c r="CG891" s="72"/>
      <c r="CH891" s="72"/>
      <c r="CI891" s="72"/>
      <c r="CJ891" s="72"/>
      <c r="CK891" s="72"/>
      <c r="CL891" s="72"/>
      <c r="CM891" s="72"/>
      <c r="CN891" s="72"/>
      <c r="CO891" s="72"/>
      <c r="CP891" s="72"/>
      <c r="CQ891" s="72"/>
      <c r="CR891" s="72"/>
      <c r="CS891" s="72"/>
      <c r="CT891" s="72"/>
      <c r="CU891" s="72"/>
      <c r="CV891" s="72"/>
      <c r="CW891" s="72"/>
      <c r="CX891" s="72"/>
      <c r="CY891" s="72"/>
      <c r="CZ891" s="72"/>
      <c r="DA891" s="72"/>
      <c r="DB891" s="72"/>
      <c r="DC891" s="72"/>
      <c r="DD891" s="72"/>
      <c r="DE891" s="72"/>
      <c r="DF891" s="72"/>
      <c r="DG891" s="72"/>
      <c r="DH891" s="72"/>
      <c r="DI891" s="72"/>
      <c r="DJ891" s="72"/>
      <c r="DK891" s="72"/>
      <c r="DL891" s="72"/>
      <c r="DM891" s="72"/>
      <c r="DN891" s="72"/>
      <c r="DO891" s="72"/>
      <c r="DP891" s="72"/>
      <c r="DQ891" s="72"/>
      <c r="DR891" s="72"/>
      <c r="DS891" s="72"/>
      <c r="DT891" s="72"/>
      <c r="DU891" s="72"/>
      <c r="DV891" s="72"/>
      <c r="DW891" s="72"/>
      <c r="DX891" s="72"/>
      <c r="DY891" s="72"/>
      <c r="DZ891" s="72"/>
      <c r="EA891" s="72"/>
      <c r="EB891" s="72"/>
      <c r="EC891" s="72"/>
      <c r="ED891" s="72"/>
      <c r="EE891" s="72"/>
      <c r="EF891" s="72"/>
      <c r="EG891" s="72"/>
      <c r="EH891" s="72"/>
      <c r="EI891" s="129"/>
      <c r="EJ891" s="129"/>
      <c r="EK891" s="129"/>
      <c r="EL891" s="129"/>
      <c r="EM891" s="72"/>
      <c r="EN891" s="72"/>
      <c r="EO891" s="72"/>
      <c r="EP891" s="72"/>
      <c r="EQ891" s="72"/>
      <c r="ER891" s="72"/>
      <c r="ES891" s="72"/>
      <c r="ET891" s="72"/>
    </row>
    <row r="892">
      <c r="CD892" s="72"/>
      <c r="CE892" s="72"/>
      <c r="CF892" s="72"/>
      <c r="CG892" s="72"/>
      <c r="CH892" s="72"/>
      <c r="CI892" s="72"/>
      <c r="CJ892" s="72"/>
      <c r="CK892" s="72"/>
      <c r="CL892" s="72"/>
      <c r="CM892" s="72"/>
      <c r="CN892" s="72"/>
      <c r="CO892" s="72"/>
      <c r="CP892" s="72"/>
      <c r="CQ892" s="72"/>
      <c r="CR892" s="72"/>
      <c r="CS892" s="72"/>
      <c r="CT892" s="72"/>
      <c r="CU892" s="72"/>
      <c r="CV892" s="72"/>
      <c r="CW892" s="72"/>
      <c r="CX892" s="72"/>
      <c r="CY892" s="72"/>
      <c r="CZ892" s="72"/>
      <c r="DA892" s="72"/>
      <c r="DB892" s="72"/>
      <c r="DC892" s="72"/>
      <c r="DD892" s="72"/>
      <c r="DE892" s="72"/>
      <c r="DF892" s="72"/>
      <c r="DG892" s="72"/>
      <c r="DH892" s="72"/>
      <c r="DI892" s="72"/>
      <c r="DJ892" s="72"/>
      <c r="DK892" s="72"/>
      <c r="DL892" s="72"/>
      <c r="DM892" s="72"/>
      <c r="DN892" s="72"/>
      <c r="DO892" s="72"/>
      <c r="DP892" s="72"/>
      <c r="DQ892" s="72"/>
      <c r="DR892" s="72"/>
      <c r="DS892" s="72"/>
      <c r="DT892" s="72"/>
      <c r="DU892" s="72"/>
      <c r="DV892" s="72"/>
      <c r="DW892" s="72"/>
      <c r="DX892" s="72"/>
      <c r="DY892" s="72"/>
      <c r="DZ892" s="72"/>
      <c r="EA892" s="72"/>
      <c r="EB892" s="72"/>
      <c r="EC892" s="72"/>
      <c r="ED892" s="72"/>
      <c r="EE892" s="72"/>
      <c r="EF892" s="72"/>
      <c r="EG892" s="72"/>
      <c r="EH892" s="72"/>
      <c r="EI892" s="129"/>
      <c r="EJ892" s="129"/>
      <c r="EK892" s="129"/>
      <c r="EL892" s="129"/>
      <c r="EM892" s="72"/>
      <c r="EN892" s="72"/>
      <c r="EO892" s="72"/>
      <c r="EP892" s="72"/>
      <c r="EQ892" s="72"/>
      <c r="ER892" s="72"/>
      <c r="ES892" s="72"/>
      <c r="ET892" s="72"/>
    </row>
    <row r="893">
      <c r="CD893" s="72"/>
      <c r="CE893" s="72"/>
      <c r="CF893" s="72"/>
      <c r="CG893" s="72"/>
      <c r="CH893" s="72"/>
      <c r="CI893" s="72"/>
      <c r="CJ893" s="72"/>
      <c r="CK893" s="72"/>
      <c r="CL893" s="72"/>
      <c r="CM893" s="72"/>
      <c r="CN893" s="72"/>
      <c r="CO893" s="72"/>
      <c r="CP893" s="72"/>
      <c r="CQ893" s="72"/>
      <c r="CR893" s="72"/>
      <c r="CS893" s="72"/>
      <c r="CT893" s="72"/>
      <c r="CU893" s="72"/>
      <c r="CV893" s="72"/>
      <c r="CW893" s="72"/>
      <c r="CX893" s="72"/>
      <c r="CY893" s="72"/>
      <c r="CZ893" s="72"/>
      <c r="DA893" s="72"/>
      <c r="DB893" s="72"/>
      <c r="DC893" s="72"/>
      <c r="DD893" s="72"/>
      <c r="DE893" s="72"/>
      <c r="DF893" s="72"/>
      <c r="DG893" s="72"/>
      <c r="DH893" s="72"/>
      <c r="DI893" s="72"/>
      <c r="DJ893" s="72"/>
      <c r="DK893" s="72"/>
      <c r="DL893" s="72"/>
      <c r="DM893" s="72"/>
      <c r="DN893" s="72"/>
      <c r="DO893" s="72"/>
      <c r="DP893" s="72"/>
      <c r="DQ893" s="72"/>
      <c r="DR893" s="72"/>
      <c r="DS893" s="72"/>
      <c r="DT893" s="72"/>
      <c r="DU893" s="72"/>
      <c r="DV893" s="72"/>
      <c r="DW893" s="72"/>
      <c r="DX893" s="72"/>
      <c r="DY893" s="72"/>
      <c r="DZ893" s="72"/>
      <c r="EA893" s="72"/>
      <c r="EB893" s="72"/>
      <c r="EC893" s="72"/>
      <c r="ED893" s="72"/>
      <c r="EE893" s="72"/>
      <c r="EF893" s="72"/>
      <c r="EG893" s="72"/>
      <c r="EH893" s="72"/>
      <c r="EI893" s="129"/>
      <c r="EJ893" s="129"/>
      <c r="EK893" s="129"/>
      <c r="EL893" s="129"/>
      <c r="EM893" s="72"/>
      <c r="EN893" s="72"/>
      <c r="EO893" s="72"/>
      <c r="EP893" s="72"/>
      <c r="EQ893" s="72"/>
      <c r="ER893" s="72"/>
      <c r="ES893" s="72"/>
      <c r="ET893" s="72"/>
    </row>
    <row r="894">
      <c r="CD894" s="72"/>
      <c r="CE894" s="72"/>
      <c r="CF894" s="72"/>
      <c r="CG894" s="72"/>
      <c r="CH894" s="72"/>
      <c r="CI894" s="72"/>
      <c r="CJ894" s="72"/>
      <c r="CK894" s="72"/>
      <c r="CL894" s="72"/>
      <c r="CM894" s="72"/>
      <c r="CN894" s="72"/>
      <c r="CO894" s="72"/>
      <c r="CP894" s="72"/>
      <c r="CQ894" s="72"/>
      <c r="CR894" s="72"/>
      <c r="CS894" s="72"/>
      <c r="CT894" s="72"/>
      <c r="CU894" s="72"/>
      <c r="CV894" s="72"/>
      <c r="CW894" s="72"/>
      <c r="CX894" s="72"/>
      <c r="CY894" s="72"/>
      <c r="CZ894" s="72"/>
      <c r="DA894" s="72"/>
      <c r="DB894" s="72"/>
      <c r="DC894" s="72"/>
      <c r="DD894" s="72"/>
      <c r="DE894" s="72"/>
      <c r="DF894" s="72"/>
      <c r="DG894" s="72"/>
      <c r="DH894" s="72"/>
      <c r="DI894" s="72"/>
      <c r="DJ894" s="72"/>
      <c r="DK894" s="72"/>
      <c r="DL894" s="72"/>
      <c r="DM894" s="72"/>
      <c r="DN894" s="72"/>
      <c r="DO894" s="72"/>
      <c r="DP894" s="72"/>
      <c r="DQ894" s="72"/>
      <c r="DR894" s="72"/>
      <c r="DS894" s="72"/>
      <c r="DT894" s="72"/>
      <c r="DU894" s="72"/>
      <c r="DV894" s="72"/>
      <c r="DW894" s="72"/>
      <c r="DX894" s="72"/>
      <c r="DY894" s="72"/>
      <c r="DZ894" s="72"/>
      <c r="EA894" s="72"/>
      <c r="EB894" s="72"/>
      <c r="EC894" s="72"/>
      <c r="ED894" s="72"/>
      <c r="EE894" s="72"/>
      <c r="EF894" s="72"/>
      <c r="EG894" s="72"/>
      <c r="EH894" s="72"/>
      <c r="EI894" s="129"/>
      <c r="EJ894" s="129"/>
      <c r="EK894" s="129"/>
      <c r="EL894" s="129"/>
      <c r="EM894" s="72"/>
      <c r="EN894" s="72"/>
      <c r="EO894" s="72"/>
      <c r="EP894" s="72"/>
      <c r="EQ894" s="72"/>
      <c r="ER894" s="72"/>
      <c r="ES894" s="72"/>
      <c r="ET894" s="72"/>
    </row>
    <row r="895">
      <c r="CD895" s="72"/>
      <c r="CE895" s="72"/>
      <c r="CF895" s="72"/>
      <c r="CG895" s="72"/>
      <c r="CH895" s="72"/>
      <c r="CI895" s="72"/>
      <c r="CJ895" s="72"/>
      <c r="CK895" s="72"/>
      <c r="CL895" s="72"/>
      <c r="CM895" s="72"/>
      <c r="CN895" s="72"/>
      <c r="CO895" s="72"/>
      <c r="CP895" s="72"/>
      <c r="CQ895" s="72"/>
      <c r="CR895" s="72"/>
      <c r="CS895" s="72"/>
      <c r="CT895" s="72"/>
      <c r="CU895" s="72"/>
      <c r="CV895" s="72"/>
      <c r="CW895" s="72"/>
      <c r="CX895" s="72"/>
      <c r="CY895" s="72"/>
      <c r="CZ895" s="72"/>
      <c r="DA895" s="72"/>
      <c r="DB895" s="72"/>
      <c r="DC895" s="72"/>
      <c r="DD895" s="72"/>
      <c r="DE895" s="72"/>
      <c r="DF895" s="72"/>
      <c r="DG895" s="72"/>
      <c r="DH895" s="72"/>
      <c r="DI895" s="72"/>
      <c r="DJ895" s="72"/>
      <c r="DK895" s="72"/>
      <c r="DL895" s="72"/>
      <c r="DM895" s="72"/>
      <c r="DN895" s="72"/>
      <c r="DO895" s="72"/>
      <c r="DP895" s="72"/>
      <c r="DQ895" s="72"/>
      <c r="DR895" s="72"/>
      <c r="DS895" s="72"/>
      <c r="DT895" s="72"/>
      <c r="DU895" s="72"/>
      <c r="DV895" s="72"/>
      <c r="DW895" s="72"/>
      <c r="DX895" s="72"/>
      <c r="DY895" s="72"/>
      <c r="DZ895" s="72"/>
      <c r="EA895" s="72"/>
      <c r="EB895" s="72"/>
      <c r="EC895" s="72"/>
      <c r="ED895" s="72"/>
      <c r="EE895" s="72"/>
      <c r="EF895" s="72"/>
      <c r="EG895" s="72"/>
      <c r="EH895" s="72"/>
      <c r="EI895" s="129"/>
      <c r="EJ895" s="129"/>
      <c r="EK895" s="129"/>
      <c r="EL895" s="129"/>
      <c r="EM895" s="72"/>
      <c r="EN895" s="72"/>
      <c r="EO895" s="72"/>
      <c r="EP895" s="72"/>
      <c r="EQ895" s="72"/>
      <c r="ER895" s="72"/>
      <c r="ES895" s="72"/>
      <c r="ET895" s="72"/>
    </row>
    <row r="896">
      <c r="CD896" s="72"/>
      <c r="CE896" s="72"/>
      <c r="CF896" s="72"/>
      <c r="CG896" s="72"/>
      <c r="CH896" s="72"/>
      <c r="CI896" s="72"/>
      <c r="CJ896" s="72"/>
      <c r="CK896" s="72"/>
      <c r="CL896" s="72"/>
      <c r="CM896" s="72"/>
      <c r="CN896" s="72"/>
      <c r="CO896" s="72"/>
      <c r="CP896" s="72"/>
      <c r="CQ896" s="72"/>
      <c r="CR896" s="72"/>
      <c r="CS896" s="72"/>
      <c r="CT896" s="72"/>
      <c r="CU896" s="72"/>
      <c r="CV896" s="72"/>
      <c r="CW896" s="72"/>
      <c r="CX896" s="72"/>
      <c r="CY896" s="72"/>
      <c r="CZ896" s="72"/>
      <c r="DA896" s="72"/>
      <c r="DB896" s="72"/>
      <c r="DC896" s="72"/>
      <c r="DD896" s="72"/>
      <c r="DE896" s="72"/>
      <c r="DF896" s="72"/>
      <c r="DG896" s="72"/>
      <c r="DH896" s="72"/>
      <c r="DI896" s="72"/>
      <c r="DJ896" s="72"/>
      <c r="DK896" s="72"/>
      <c r="DL896" s="72"/>
      <c r="DM896" s="72"/>
      <c r="DN896" s="72"/>
      <c r="DO896" s="72"/>
      <c r="DP896" s="72"/>
      <c r="DQ896" s="72"/>
      <c r="DR896" s="72"/>
      <c r="DS896" s="72"/>
      <c r="DT896" s="72"/>
      <c r="DU896" s="72"/>
      <c r="DV896" s="72"/>
      <c r="DW896" s="72"/>
      <c r="DX896" s="72"/>
      <c r="DY896" s="72"/>
      <c r="DZ896" s="72"/>
      <c r="EA896" s="72"/>
      <c r="EB896" s="72"/>
      <c r="EC896" s="72"/>
      <c r="ED896" s="72"/>
      <c r="EE896" s="72"/>
      <c r="EF896" s="72"/>
      <c r="EG896" s="72"/>
      <c r="EH896" s="72"/>
      <c r="EI896" s="129"/>
      <c r="EJ896" s="129"/>
      <c r="EK896" s="129"/>
      <c r="EL896" s="129"/>
      <c r="EM896" s="72"/>
      <c r="EN896" s="72"/>
      <c r="EO896" s="72"/>
      <c r="EP896" s="72"/>
      <c r="EQ896" s="72"/>
      <c r="ER896" s="72"/>
      <c r="ES896" s="72"/>
      <c r="ET896" s="72"/>
    </row>
    <row r="897">
      <c r="CD897" s="72"/>
      <c r="CE897" s="72"/>
      <c r="CF897" s="72"/>
      <c r="CG897" s="72"/>
      <c r="CH897" s="72"/>
      <c r="CI897" s="72"/>
      <c r="CJ897" s="72"/>
      <c r="CK897" s="72"/>
      <c r="CL897" s="72"/>
      <c r="CM897" s="72"/>
      <c r="CN897" s="72"/>
      <c r="CO897" s="72"/>
      <c r="CP897" s="72"/>
      <c r="CQ897" s="72"/>
      <c r="CR897" s="72"/>
      <c r="CS897" s="72"/>
      <c r="CT897" s="72"/>
      <c r="CU897" s="72"/>
      <c r="CV897" s="72"/>
      <c r="CW897" s="72"/>
      <c r="CX897" s="72"/>
      <c r="CY897" s="72"/>
      <c r="CZ897" s="72"/>
      <c r="DA897" s="72"/>
      <c r="DB897" s="72"/>
      <c r="DC897" s="72"/>
      <c r="DD897" s="72"/>
      <c r="DE897" s="72"/>
      <c r="DF897" s="72"/>
      <c r="DG897" s="72"/>
      <c r="DH897" s="72"/>
      <c r="DI897" s="72"/>
      <c r="DJ897" s="72"/>
      <c r="DK897" s="72"/>
      <c r="DL897" s="72"/>
      <c r="DM897" s="72"/>
      <c r="DN897" s="72"/>
      <c r="DO897" s="72"/>
      <c r="DP897" s="72"/>
      <c r="DQ897" s="72"/>
      <c r="DR897" s="72"/>
      <c r="DS897" s="72"/>
      <c r="DT897" s="72"/>
      <c r="DU897" s="72"/>
      <c r="DV897" s="72"/>
      <c r="DW897" s="72"/>
      <c r="DX897" s="72"/>
      <c r="DY897" s="72"/>
      <c r="DZ897" s="72"/>
      <c r="EA897" s="72"/>
      <c r="EB897" s="72"/>
      <c r="EC897" s="72"/>
      <c r="ED897" s="72"/>
      <c r="EE897" s="72"/>
      <c r="EF897" s="72"/>
      <c r="EG897" s="72"/>
      <c r="EH897" s="72"/>
      <c r="EI897" s="129"/>
      <c r="EJ897" s="129"/>
      <c r="EK897" s="129"/>
      <c r="EL897" s="129"/>
      <c r="EM897" s="72"/>
      <c r="EN897" s="72"/>
      <c r="EO897" s="72"/>
      <c r="EP897" s="72"/>
      <c r="EQ897" s="72"/>
      <c r="ER897" s="72"/>
      <c r="ES897" s="72"/>
      <c r="ET897" s="72"/>
    </row>
    <row r="898">
      <c r="CD898" s="72"/>
      <c r="CE898" s="72"/>
      <c r="CF898" s="72"/>
      <c r="CG898" s="72"/>
      <c r="CH898" s="72"/>
      <c r="CI898" s="72"/>
      <c r="CJ898" s="72"/>
      <c r="CK898" s="72"/>
      <c r="CL898" s="72"/>
      <c r="CM898" s="72"/>
      <c r="CN898" s="72"/>
      <c r="CO898" s="72"/>
      <c r="CP898" s="72"/>
      <c r="CQ898" s="72"/>
      <c r="CR898" s="72"/>
      <c r="CS898" s="72"/>
      <c r="CT898" s="72"/>
      <c r="CU898" s="72"/>
      <c r="CV898" s="72"/>
      <c r="CW898" s="72"/>
      <c r="CX898" s="72"/>
      <c r="CY898" s="72"/>
      <c r="CZ898" s="72"/>
      <c r="DA898" s="72"/>
      <c r="DB898" s="72"/>
      <c r="DC898" s="72"/>
      <c r="DD898" s="72"/>
      <c r="DE898" s="72"/>
      <c r="DF898" s="72"/>
      <c r="DG898" s="72"/>
      <c r="DH898" s="72"/>
      <c r="DI898" s="72"/>
      <c r="DJ898" s="72"/>
      <c r="DK898" s="72"/>
      <c r="DL898" s="72"/>
      <c r="DM898" s="72"/>
      <c r="DN898" s="72"/>
      <c r="DO898" s="72"/>
      <c r="DP898" s="72"/>
      <c r="DQ898" s="72"/>
      <c r="DR898" s="72"/>
      <c r="DS898" s="72"/>
      <c r="DT898" s="72"/>
      <c r="DU898" s="72"/>
      <c r="DV898" s="72"/>
      <c r="DW898" s="72"/>
      <c r="DX898" s="72"/>
      <c r="DY898" s="72"/>
      <c r="DZ898" s="72"/>
      <c r="EA898" s="72"/>
      <c r="EB898" s="72"/>
      <c r="EC898" s="72"/>
      <c r="ED898" s="72"/>
      <c r="EE898" s="72"/>
      <c r="EF898" s="72"/>
      <c r="EG898" s="72"/>
      <c r="EH898" s="72"/>
      <c r="EI898" s="129"/>
      <c r="EJ898" s="129"/>
      <c r="EK898" s="129"/>
      <c r="EL898" s="129"/>
      <c r="EM898" s="72"/>
      <c r="EN898" s="72"/>
      <c r="EO898" s="72"/>
      <c r="EP898" s="72"/>
      <c r="EQ898" s="72"/>
      <c r="ER898" s="72"/>
      <c r="ES898" s="72"/>
      <c r="ET898" s="72"/>
    </row>
    <row r="899">
      <c r="CD899" s="72"/>
      <c r="CE899" s="72"/>
      <c r="CF899" s="72"/>
      <c r="CG899" s="72"/>
      <c r="CH899" s="72"/>
      <c r="CI899" s="72"/>
      <c r="CJ899" s="72"/>
      <c r="CK899" s="72"/>
      <c r="CL899" s="72"/>
      <c r="CM899" s="72"/>
      <c r="CN899" s="72"/>
      <c r="CO899" s="72"/>
      <c r="CP899" s="72"/>
      <c r="CQ899" s="72"/>
      <c r="CR899" s="72"/>
      <c r="CS899" s="72"/>
      <c r="CT899" s="72"/>
      <c r="CU899" s="72"/>
      <c r="CV899" s="72"/>
      <c r="CW899" s="72"/>
      <c r="CX899" s="72"/>
      <c r="CY899" s="72"/>
      <c r="CZ899" s="72"/>
      <c r="DA899" s="72"/>
      <c r="DB899" s="72"/>
      <c r="DC899" s="72"/>
      <c r="DD899" s="72"/>
      <c r="DE899" s="72"/>
      <c r="DF899" s="72"/>
      <c r="DG899" s="72"/>
      <c r="DH899" s="72"/>
      <c r="DI899" s="72"/>
      <c r="DJ899" s="72"/>
      <c r="DK899" s="72"/>
      <c r="DL899" s="72"/>
      <c r="DM899" s="72"/>
      <c r="DN899" s="72"/>
      <c r="DO899" s="72"/>
      <c r="DP899" s="72"/>
      <c r="DQ899" s="72"/>
      <c r="DR899" s="72"/>
      <c r="DS899" s="72"/>
      <c r="DT899" s="72"/>
      <c r="DU899" s="72"/>
      <c r="DV899" s="72"/>
      <c r="DW899" s="72"/>
      <c r="DX899" s="72"/>
      <c r="DY899" s="72"/>
      <c r="DZ899" s="72"/>
      <c r="EA899" s="72"/>
      <c r="EB899" s="72"/>
      <c r="EC899" s="72"/>
      <c r="ED899" s="72"/>
      <c r="EE899" s="72"/>
      <c r="EF899" s="72"/>
      <c r="EG899" s="72"/>
      <c r="EH899" s="72"/>
      <c r="EI899" s="129"/>
      <c r="EJ899" s="129"/>
      <c r="EK899" s="129"/>
      <c r="EL899" s="129"/>
      <c r="EM899" s="72"/>
      <c r="EN899" s="72"/>
      <c r="EO899" s="72"/>
      <c r="EP899" s="72"/>
      <c r="EQ899" s="72"/>
      <c r="ER899" s="72"/>
      <c r="ES899" s="72"/>
      <c r="ET899" s="72"/>
    </row>
    <row r="900">
      <c r="CD900" s="72"/>
      <c r="CE900" s="72"/>
      <c r="CF900" s="72"/>
      <c r="CG900" s="72"/>
      <c r="CH900" s="72"/>
      <c r="CI900" s="72"/>
      <c r="CJ900" s="72"/>
      <c r="CK900" s="72"/>
      <c r="CL900" s="72"/>
      <c r="CM900" s="72"/>
      <c r="CN900" s="72"/>
      <c r="CO900" s="72"/>
      <c r="CP900" s="72"/>
      <c r="CQ900" s="72"/>
      <c r="CR900" s="72"/>
      <c r="CS900" s="72"/>
      <c r="CT900" s="72"/>
      <c r="CU900" s="72"/>
      <c r="CV900" s="72"/>
      <c r="CW900" s="72"/>
      <c r="CX900" s="72"/>
      <c r="CY900" s="72"/>
      <c r="CZ900" s="72"/>
      <c r="DA900" s="72"/>
      <c r="DB900" s="72"/>
      <c r="DC900" s="72"/>
      <c r="DD900" s="72"/>
      <c r="DE900" s="72"/>
      <c r="DF900" s="72"/>
      <c r="DG900" s="72"/>
      <c r="DH900" s="72"/>
      <c r="DI900" s="72"/>
      <c r="DJ900" s="72"/>
      <c r="DK900" s="72"/>
      <c r="DL900" s="72"/>
      <c r="DM900" s="72"/>
      <c r="DN900" s="72"/>
      <c r="DO900" s="72"/>
      <c r="DP900" s="72"/>
      <c r="DQ900" s="72"/>
      <c r="DR900" s="72"/>
      <c r="DS900" s="72"/>
      <c r="DT900" s="72"/>
      <c r="DU900" s="72"/>
      <c r="DV900" s="72"/>
      <c r="DW900" s="72"/>
      <c r="DX900" s="72"/>
      <c r="DY900" s="72"/>
      <c r="DZ900" s="72"/>
      <c r="EA900" s="72"/>
      <c r="EB900" s="72"/>
      <c r="EC900" s="72"/>
      <c r="ED900" s="72"/>
      <c r="EE900" s="72"/>
      <c r="EF900" s="72"/>
      <c r="EG900" s="72"/>
      <c r="EH900" s="72"/>
      <c r="EI900" s="129"/>
      <c r="EJ900" s="129"/>
      <c r="EK900" s="129"/>
      <c r="EL900" s="129"/>
      <c r="EM900" s="72"/>
      <c r="EN900" s="72"/>
      <c r="EO900" s="72"/>
      <c r="EP900" s="72"/>
      <c r="EQ900" s="72"/>
      <c r="ER900" s="72"/>
      <c r="ES900" s="72"/>
      <c r="ET900" s="72"/>
    </row>
    <row r="901">
      <c r="CD901" s="72"/>
      <c r="CE901" s="72"/>
      <c r="CF901" s="72"/>
      <c r="CG901" s="72"/>
      <c r="CH901" s="72"/>
      <c r="CI901" s="72"/>
      <c r="CJ901" s="72"/>
      <c r="CK901" s="72"/>
      <c r="CL901" s="72"/>
      <c r="CM901" s="72"/>
      <c r="CN901" s="72"/>
      <c r="CO901" s="72"/>
      <c r="CP901" s="72"/>
      <c r="CQ901" s="72"/>
      <c r="CR901" s="72"/>
      <c r="CS901" s="72"/>
      <c r="CT901" s="72"/>
      <c r="CU901" s="72"/>
      <c r="CV901" s="72"/>
      <c r="CW901" s="72"/>
      <c r="CX901" s="72"/>
      <c r="CY901" s="72"/>
      <c r="CZ901" s="72"/>
      <c r="DA901" s="72"/>
      <c r="DB901" s="72"/>
      <c r="DC901" s="72"/>
      <c r="DD901" s="72"/>
      <c r="DE901" s="72"/>
      <c r="DF901" s="72"/>
      <c r="DG901" s="72"/>
      <c r="DH901" s="72"/>
      <c r="DI901" s="72"/>
      <c r="DJ901" s="72"/>
      <c r="DK901" s="72"/>
      <c r="DL901" s="72"/>
      <c r="DM901" s="72"/>
      <c r="DN901" s="72"/>
      <c r="DO901" s="72"/>
      <c r="DP901" s="72"/>
      <c r="DQ901" s="72"/>
      <c r="DR901" s="72"/>
      <c r="DS901" s="72"/>
      <c r="DT901" s="72"/>
      <c r="DU901" s="72"/>
      <c r="DV901" s="72"/>
      <c r="DW901" s="72"/>
      <c r="DX901" s="72"/>
      <c r="DY901" s="72"/>
      <c r="DZ901" s="72"/>
      <c r="EA901" s="72"/>
      <c r="EB901" s="72"/>
      <c r="EC901" s="72"/>
      <c r="ED901" s="72"/>
      <c r="EE901" s="72"/>
      <c r="EF901" s="72"/>
      <c r="EG901" s="72"/>
      <c r="EH901" s="72"/>
      <c r="EI901" s="129"/>
      <c r="EJ901" s="129"/>
      <c r="EK901" s="129"/>
      <c r="EL901" s="129"/>
      <c r="EM901" s="72"/>
      <c r="EN901" s="72"/>
      <c r="EO901" s="72"/>
      <c r="EP901" s="72"/>
      <c r="EQ901" s="72"/>
      <c r="ER901" s="72"/>
      <c r="ES901" s="72"/>
      <c r="ET901" s="72"/>
    </row>
    <row r="902">
      <c r="CD902" s="72"/>
      <c r="CE902" s="72"/>
      <c r="CF902" s="72"/>
      <c r="CG902" s="72"/>
      <c r="CH902" s="72"/>
      <c r="CI902" s="72"/>
      <c r="CJ902" s="72"/>
      <c r="CK902" s="72"/>
      <c r="CL902" s="72"/>
      <c r="CM902" s="72"/>
      <c r="CN902" s="72"/>
      <c r="CO902" s="72"/>
      <c r="CP902" s="72"/>
      <c r="CQ902" s="72"/>
      <c r="CR902" s="72"/>
      <c r="CS902" s="72"/>
      <c r="CT902" s="72"/>
      <c r="CU902" s="72"/>
      <c r="CV902" s="72"/>
      <c r="CW902" s="72"/>
      <c r="CX902" s="72"/>
      <c r="CY902" s="72"/>
      <c r="CZ902" s="72"/>
      <c r="DA902" s="72"/>
      <c r="DB902" s="72"/>
      <c r="DC902" s="72"/>
      <c r="DD902" s="72"/>
      <c r="DE902" s="72"/>
      <c r="DF902" s="72"/>
      <c r="DG902" s="72"/>
      <c r="DH902" s="72"/>
      <c r="DI902" s="72"/>
      <c r="DJ902" s="72"/>
      <c r="DK902" s="72"/>
      <c r="DL902" s="72"/>
      <c r="DM902" s="72"/>
      <c r="DN902" s="72"/>
      <c r="DO902" s="72"/>
      <c r="DP902" s="72"/>
      <c r="DQ902" s="72"/>
      <c r="DR902" s="72"/>
      <c r="DS902" s="72"/>
      <c r="DT902" s="72"/>
      <c r="DU902" s="72"/>
      <c r="DV902" s="72"/>
      <c r="DW902" s="72"/>
      <c r="DX902" s="72"/>
      <c r="DY902" s="72"/>
      <c r="DZ902" s="72"/>
      <c r="EA902" s="72"/>
      <c r="EB902" s="72"/>
      <c r="EC902" s="72"/>
      <c r="ED902" s="72"/>
      <c r="EE902" s="72"/>
      <c r="EF902" s="72"/>
      <c r="EG902" s="72"/>
      <c r="EH902" s="72"/>
      <c r="EI902" s="129"/>
      <c r="EJ902" s="129"/>
      <c r="EK902" s="129"/>
      <c r="EL902" s="129"/>
      <c r="EM902" s="72"/>
      <c r="EN902" s="72"/>
      <c r="EO902" s="72"/>
      <c r="EP902" s="72"/>
      <c r="EQ902" s="72"/>
      <c r="ER902" s="72"/>
      <c r="ES902" s="72"/>
      <c r="ET902" s="72"/>
    </row>
    <row r="903">
      <c r="CD903" s="72"/>
      <c r="CE903" s="72"/>
      <c r="CF903" s="72"/>
      <c r="CG903" s="72"/>
      <c r="CH903" s="72"/>
      <c r="CI903" s="72"/>
      <c r="CJ903" s="72"/>
      <c r="CK903" s="72"/>
      <c r="CL903" s="72"/>
      <c r="CM903" s="72"/>
      <c r="CN903" s="72"/>
      <c r="CO903" s="72"/>
      <c r="CP903" s="72"/>
      <c r="CQ903" s="72"/>
      <c r="CR903" s="72"/>
      <c r="CS903" s="72"/>
      <c r="CT903" s="72"/>
      <c r="CU903" s="72"/>
      <c r="CV903" s="72"/>
      <c r="CW903" s="72"/>
      <c r="CX903" s="72"/>
      <c r="CY903" s="72"/>
      <c r="CZ903" s="72"/>
      <c r="DA903" s="72"/>
      <c r="DB903" s="72"/>
      <c r="DC903" s="72"/>
      <c r="DD903" s="72"/>
      <c r="DE903" s="72"/>
      <c r="DF903" s="72"/>
      <c r="DG903" s="72"/>
      <c r="DH903" s="72"/>
      <c r="DI903" s="72"/>
      <c r="DJ903" s="72"/>
      <c r="DK903" s="72"/>
      <c r="DL903" s="72"/>
      <c r="DM903" s="72"/>
      <c r="DN903" s="72"/>
      <c r="DO903" s="72"/>
      <c r="DP903" s="72"/>
      <c r="DQ903" s="72"/>
      <c r="DR903" s="72"/>
      <c r="DS903" s="72"/>
      <c r="DT903" s="72"/>
      <c r="DU903" s="72"/>
      <c r="DV903" s="72"/>
      <c r="DW903" s="72"/>
      <c r="DX903" s="72"/>
      <c r="DY903" s="72"/>
      <c r="DZ903" s="72"/>
      <c r="EA903" s="72"/>
      <c r="EB903" s="72"/>
      <c r="EC903" s="72"/>
      <c r="ED903" s="72"/>
      <c r="EE903" s="72"/>
      <c r="EF903" s="72"/>
      <c r="EG903" s="72"/>
      <c r="EH903" s="72"/>
      <c r="EI903" s="129"/>
      <c r="EJ903" s="129"/>
      <c r="EK903" s="129"/>
      <c r="EL903" s="129"/>
      <c r="EM903" s="72"/>
      <c r="EN903" s="72"/>
      <c r="EO903" s="72"/>
      <c r="EP903" s="72"/>
      <c r="EQ903" s="72"/>
      <c r="ER903" s="72"/>
      <c r="ES903" s="72"/>
      <c r="ET903" s="72"/>
    </row>
    <row r="904">
      <c r="CD904" s="72"/>
      <c r="CE904" s="72"/>
      <c r="CF904" s="72"/>
      <c r="CG904" s="72"/>
      <c r="CH904" s="72"/>
      <c r="CI904" s="72"/>
      <c r="CJ904" s="72"/>
      <c r="CK904" s="72"/>
      <c r="CL904" s="72"/>
      <c r="CM904" s="72"/>
      <c r="CN904" s="72"/>
      <c r="CO904" s="72"/>
      <c r="CP904" s="72"/>
      <c r="CQ904" s="72"/>
      <c r="CR904" s="72"/>
      <c r="CS904" s="72"/>
      <c r="CT904" s="72"/>
      <c r="CU904" s="72"/>
      <c r="CV904" s="72"/>
      <c r="CW904" s="72"/>
      <c r="CX904" s="72"/>
      <c r="CY904" s="72"/>
      <c r="CZ904" s="72"/>
      <c r="DA904" s="72"/>
      <c r="DB904" s="72"/>
      <c r="DC904" s="72"/>
      <c r="DD904" s="72"/>
      <c r="DE904" s="72"/>
      <c r="DF904" s="72"/>
      <c r="DG904" s="72"/>
      <c r="DH904" s="72"/>
      <c r="DI904" s="72"/>
      <c r="DJ904" s="72"/>
      <c r="DK904" s="72"/>
      <c r="DL904" s="72"/>
      <c r="DM904" s="72"/>
      <c r="DN904" s="72"/>
      <c r="DO904" s="72"/>
      <c r="DP904" s="72"/>
      <c r="DQ904" s="72"/>
      <c r="DR904" s="72"/>
      <c r="DS904" s="72"/>
      <c r="DT904" s="72"/>
      <c r="DU904" s="72"/>
      <c r="DV904" s="72"/>
      <c r="DW904" s="72"/>
      <c r="DX904" s="72"/>
      <c r="DY904" s="72"/>
      <c r="DZ904" s="72"/>
      <c r="EA904" s="72"/>
      <c r="EB904" s="72"/>
      <c r="EC904" s="72"/>
      <c r="ED904" s="72"/>
      <c r="EE904" s="72"/>
      <c r="EF904" s="72"/>
      <c r="EG904" s="72"/>
      <c r="EH904" s="72"/>
      <c r="EI904" s="129"/>
      <c r="EJ904" s="129"/>
      <c r="EK904" s="129"/>
      <c r="EL904" s="129"/>
      <c r="EM904" s="72"/>
      <c r="EN904" s="72"/>
      <c r="EO904" s="72"/>
      <c r="EP904" s="72"/>
      <c r="EQ904" s="72"/>
      <c r="ER904" s="72"/>
      <c r="ES904" s="72"/>
      <c r="ET904" s="72"/>
    </row>
    <row r="905">
      <c r="CD905" s="72"/>
      <c r="CE905" s="72"/>
      <c r="CF905" s="72"/>
      <c r="CG905" s="72"/>
      <c r="CH905" s="72"/>
      <c r="CI905" s="72"/>
      <c r="CJ905" s="72"/>
      <c r="CK905" s="72"/>
      <c r="CL905" s="72"/>
      <c r="CM905" s="72"/>
      <c r="CN905" s="72"/>
      <c r="CO905" s="72"/>
      <c r="CP905" s="72"/>
      <c r="CQ905" s="72"/>
      <c r="CR905" s="72"/>
      <c r="CS905" s="72"/>
      <c r="CT905" s="72"/>
      <c r="CU905" s="72"/>
      <c r="CV905" s="72"/>
      <c r="CW905" s="72"/>
      <c r="CX905" s="72"/>
      <c r="CY905" s="72"/>
      <c r="CZ905" s="72"/>
      <c r="DA905" s="72"/>
      <c r="DB905" s="72"/>
      <c r="DC905" s="72"/>
      <c r="DD905" s="72"/>
      <c r="DE905" s="72"/>
      <c r="DF905" s="72"/>
      <c r="DG905" s="72"/>
      <c r="DH905" s="72"/>
      <c r="DI905" s="72"/>
      <c r="DJ905" s="72"/>
      <c r="DK905" s="72"/>
      <c r="DL905" s="72"/>
      <c r="DM905" s="72"/>
      <c r="DN905" s="72"/>
      <c r="DO905" s="72"/>
      <c r="DP905" s="72"/>
      <c r="DQ905" s="72"/>
      <c r="DR905" s="72"/>
      <c r="DS905" s="72"/>
      <c r="DT905" s="72"/>
      <c r="DU905" s="72"/>
      <c r="DV905" s="72"/>
      <c r="DW905" s="72"/>
      <c r="DX905" s="72"/>
      <c r="DY905" s="72"/>
      <c r="DZ905" s="72"/>
      <c r="EA905" s="72"/>
      <c r="EB905" s="72"/>
      <c r="EC905" s="72"/>
      <c r="ED905" s="72"/>
      <c r="EE905" s="72"/>
      <c r="EF905" s="72"/>
      <c r="EG905" s="72"/>
      <c r="EH905" s="72"/>
      <c r="EI905" s="129"/>
      <c r="EJ905" s="129"/>
      <c r="EK905" s="129"/>
      <c r="EL905" s="129"/>
      <c r="EM905" s="72"/>
      <c r="EN905" s="72"/>
      <c r="EO905" s="72"/>
      <c r="EP905" s="72"/>
      <c r="EQ905" s="72"/>
      <c r="ER905" s="72"/>
      <c r="ES905" s="72"/>
      <c r="ET905" s="72"/>
    </row>
    <row r="906">
      <c r="CD906" s="72"/>
      <c r="CE906" s="72"/>
      <c r="CF906" s="72"/>
      <c r="CG906" s="72"/>
      <c r="CH906" s="72"/>
      <c r="CI906" s="72"/>
      <c r="CJ906" s="72"/>
      <c r="CK906" s="72"/>
      <c r="CL906" s="72"/>
      <c r="CM906" s="72"/>
      <c r="CN906" s="72"/>
      <c r="CO906" s="72"/>
      <c r="CP906" s="72"/>
      <c r="CQ906" s="72"/>
      <c r="CR906" s="72"/>
      <c r="CS906" s="72"/>
      <c r="CT906" s="72"/>
      <c r="CU906" s="72"/>
      <c r="CV906" s="72"/>
      <c r="CW906" s="72"/>
      <c r="CX906" s="72"/>
      <c r="CY906" s="72"/>
      <c r="CZ906" s="72"/>
      <c r="DA906" s="72"/>
      <c r="DB906" s="72"/>
      <c r="DC906" s="72"/>
      <c r="DD906" s="72"/>
      <c r="DE906" s="72"/>
      <c r="DF906" s="72"/>
      <c r="DG906" s="72"/>
      <c r="DH906" s="72"/>
      <c r="DI906" s="72"/>
      <c r="DJ906" s="72"/>
      <c r="DK906" s="72"/>
      <c r="DL906" s="72"/>
      <c r="DM906" s="72"/>
      <c r="DN906" s="72"/>
      <c r="DO906" s="72"/>
      <c r="DP906" s="72"/>
      <c r="DQ906" s="72"/>
      <c r="DR906" s="72"/>
      <c r="DS906" s="72"/>
      <c r="DT906" s="72"/>
      <c r="DU906" s="72"/>
      <c r="DV906" s="72"/>
      <c r="DW906" s="72"/>
      <c r="DX906" s="72"/>
      <c r="DY906" s="72"/>
      <c r="DZ906" s="72"/>
      <c r="EA906" s="72"/>
      <c r="EB906" s="72"/>
      <c r="EC906" s="72"/>
      <c r="ED906" s="72"/>
      <c r="EE906" s="72"/>
      <c r="EF906" s="72"/>
      <c r="EG906" s="72"/>
      <c r="EH906" s="72"/>
      <c r="EI906" s="129"/>
      <c r="EJ906" s="129"/>
      <c r="EK906" s="129"/>
      <c r="EL906" s="129"/>
      <c r="EM906" s="72"/>
      <c r="EN906" s="72"/>
      <c r="EO906" s="72"/>
      <c r="EP906" s="72"/>
      <c r="EQ906" s="72"/>
      <c r="ER906" s="72"/>
      <c r="ES906" s="72"/>
      <c r="ET906" s="72"/>
    </row>
    <row r="907">
      <c r="CD907" s="72"/>
      <c r="CE907" s="72"/>
      <c r="CF907" s="72"/>
      <c r="CG907" s="72"/>
      <c r="CH907" s="72"/>
      <c r="CI907" s="72"/>
      <c r="CJ907" s="72"/>
      <c r="CK907" s="72"/>
      <c r="CL907" s="72"/>
      <c r="CM907" s="72"/>
      <c r="CN907" s="72"/>
      <c r="CO907" s="72"/>
      <c r="CP907" s="72"/>
      <c r="CQ907" s="72"/>
      <c r="CR907" s="72"/>
      <c r="CS907" s="72"/>
      <c r="CT907" s="72"/>
      <c r="CU907" s="72"/>
      <c r="CV907" s="72"/>
      <c r="CW907" s="72"/>
      <c r="CX907" s="72"/>
      <c r="CY907" s="72"/>
      <c r="CZ907" s="72"/>
      <c r="DA907" s="72"/>
      <c r="DB907" s="72"/>
      <c r="DC907" s="72"/>
      <c r="DD907" s="72"/>
      <c r="DE907" s="72"/>
      <c r="DF907" s="72"/>
      <c r="DG907" s="72"/>
      <c r="DH907" s="72"/>
      <c r="DI907" s="72"/>
      <c r="DJ907" s="72"/>
      <c r="DK907" s="72"/>
      <c r="DL907" s="72"/>
      <c r="DM907" s="72"/>
      <c r="DN907" s="72"/>
      <c r="DO907" s="72"/>
      <c r="DP907" s="72"/>
      <c r="DQ907" s="72"/>
      <c r="DR907" s="72"/>
      <c r="DS907" s="72"/>
      <c r="DT907" s="72"/>
      <c r="DU907" s="72"/>
      <c r="DV907" s="72"/>
      <c r="DW907" s="72"/>
      <c r="DX907" s="72"/>
      <c r="DY907" s="72"/>
      <c r="DZ907" s="72"/>
      <c r="EA907" s="72"/>
      <c r="EB907" s="72"/>
      <c r="EC907" s="72"/>
      <c r="ED907" s="72"/>
      <c r="EE907" s="72"/>
      <c r="EF907" s="72"/>
      <c r="EG907" s="72"/>
      <c r="EH907" s="72"/>
      <c r="EI907" s="129"/>
      <c r="EJ907" s="129"/>
      <c r="EK907" s="129"/>
      <c r="EL907" s="129"/>
      <c r="EM907" s="72"/>
      <c r="EN907" s="72"/>
      <c r="EO907" s="72"/>
      <c r="EP907" s="72"/>
      <c r="EQ907" s="72"/>
      <c r="ER907" s="72"/>
      <c r="ES907" s="72"/>
      <c r="ET907" s="72"/>
    </row>
    <row r="908">
      <c r="CD908" s="72"/>
      <c r="CE908" s="72"/>
      <c r="CF908" s="72"/>
      <c r="CG908" s="72"/>
      <c r="CH908" s="72"/>
      <c r="CI908" s="72"/>
      <c r="CJ908" s="72"/>
      <c r="CK908" s="72"/>
      <c r="CL908" s="72"/>
      <c r="CM908" s="72"/>
      <c r="CN908" s="72"/>
      <c r="CO908" s="72"/>
      <c r="CP908" s="72"/>
      <c r="CQ908" s="72"/>
      <c r="CR908" s="72"/>
      <c r="CS908" s="72"/>
      <c r="CT908" s="72"/>
      <c r="CU908" s="72"/>
      <c r="CV908" s="72"/>
      <c r="CW908" s="72"/>
      <c r="CX908" s="72"/>
      <c r="CY908" s="72"/>
      <c r="CZ908" s="72"/>
      <c r="DA908" s="72"/>
      <c r="DB908" s="72"/>
      <c r="DC908" s="72"/>
      <c r="DD908" s="72"/>
      <c r="DE908" s="72"/>
      <c r="DF908" s="72"/>
      <c r="DG908" s="72"/>
      <c r="DH908" s="72"/>
      <c r="DI908" s="72"/>
      <c r="DJ908" s="72"/>
      <c r="DK908" s="72"/>
      <c r="DL908" s="72"/>
      <c r="DM908" s="72"/>
      <c r="DN908" s="72"/>
      <c r="DO908" s="72"/>
      <c r="DP908" s="72"/>
      <c r="DQ908" s="72"/>
      <c r="DR908" s="72"/>
      <c r="DS908" s="72"/>
      <c r="DT908" s="72"/>
      <c r="DU908" s="72"/>
      <c r="DV908" s="72"/>
      <c r="DW908" s="72"/>
      <c r="DX908" s="72"/>
      <c r="DY908" s="72"/>
      <c r="DZ908" s="72"/>
      <c r="EA908" s="72"/>
      <c r="EB908" s="72"/>
      <c r="EC908" s="72"/>
      <c r="ED908" s="72"/>
      <c r="EE908" s="72"/>
      <c r="EF908" s="72"/>
      <c r="EG908" s="72"/>
      <c r="EH908" s="72"/>
      <c r="EI908" s="129"/>
      <c r="EJ908" s="129"/>
      <c r="EK908" s="129"/>
      <c r="EL908" s="129"/>
      <c r="EM908" s="72"/>
      <c r="EN908" s="72"/>
      <c r="EO908" s="72"/>
      <c r="EP908" s="72"/>
      <c r="EQ908" s="72"/>
      <c r="ER908" s="72"/>
      <c r="ES908" s="72"/>
      <c r="ET908" s="72"/>
    </row>
    <row r="909">
      <c r="CD909" s="72"/>
      <c r="CE909" s="72"/>
      <c r="CF909" s="72"/>
      <c r="CG909" s="72"/>
      <c r="CH909" s="72"/>
      <c r="CI909" s="72"/>
      <c r="CJ909" s="72"/>
      <c r="CK909" s="72"/>
      <c r="CL909" s="72"/>
      <c r="CM909" s="72"/>
      <c r="CN909" s="72"/>
      <c r="CO909" s="72"/>
      <c r="CP909" s="72"/>
      <c r="CQ909" s="72"/>
      <c r="CR909" s="72"/>
      <c r="CS909" s="72"/>
      <c r="CT909" s="72"/>
      <c r="CU909" s="72"/>
      <c r="CV909" s="72"/>
      <c r="CW909" s="72"/>
      <c r="CX909" s="72"/>
      <c r="CY909" s="72"/>
      <c r="CZ909" s="72"/>
      <c r="DA909" s="72"/>
      <c r="DB909" s="72"/>
      <c r="DC909" s="72"/>
      <c r="DD909" s="72"/>
      <c r="DE909" s="72"/>
      <c r="DF909" s="72"/>
      <c r="DG909" s="72"/>
      <c r="DH909" s="72"/>
      <c r="DI909" s="72"/>
      <c r="DJ909" s="72"/>
      <c r="DK909" s="72"/>
      <c r="DL909" s="72"/>
      <c r="DM909" s="72"/>
      <c r="DN909" s="72"/>
      <c r="DO909" s="72"/>
      <c r="DP909" s="72"/>
      <c r="DQ909" s="72"/>
      <c r="DR909" s="72"/>
      <c r="DS909" s="72"/>
      <c r="DT909" s="72"/>
      <c r="DU909" s="72"/>
      <c r="DV909" s="72"/>
      <c r="DW909" s="72"/>
      <c r="DX909" s="72"/>
      <c r="DY909" s="72"/>
      <c r="DZ909" s="72"/>
      <c r="EA909" s="72"/>
      <c r="EB909" s="72"/>
      <c r="EC909" s="72"/>
      <c r="ED909" s="72"/>
      <c r="EE909" s="72"/>
      <c r="EF909" s="72"/>
      <c r="EG909" s="72"/>
      <c r="EH909" s="72"/>
      <c r="EI909" s="129"/>
      <c r="EJ909" s="129"/>
      <c r="EK909" s="129"/>
      <c r="EL909" s="129"/>
      <c r="EM909" s="72"/>
      <c r="EN909" s="72"/>
      <c r="EO909" s="72"/>
      <c r="EP909" s="72"/>
      <c r="EQ909" s="72"/>
      <c r="ER909" s="72"/>
      <c r="ES909" s="72"/>
      <c r="ET909" s="72"/>
    </row>
    <row r="910">
      <c r="CD910" s="72"/>
      <c r="CE910" s="72"/>
      <c r="CF910" s="72"/>
      <c r="CG910" s="72"/>
      <c r="CH910" s="72"/>
      <c r="CI910" s="72"/>
      <c r="CJ910" s="72"/>
      <c r="CK910" s="72"/>
      <c r="CL910" s="72"/>
      <c r="CM910" s="72"/>
      <c r="CN910" s="72"/>
      <c r="CO910" s="72"/>
      <c r="CP910" s="72"/>
      <c r="CQ910" s="72"/>
      <c r="CR910" s="72"/>
      <c r="CS910" s="72"/>
      <c r="CT910" s="72"/>
      <c r="CU910" s="72"/>
      <c r="CV910" s="72"/>
      <c r="CW910" s="72"/>
      <c r="CX910" s="72"/>
      <c r="CY910" s="72"/>
      <c r="CZ910" s="72"/>
      <c r="DA910" s="72"/>
      <c r="DB910" s="72"/>
      <c r="DC910" s="72"/>
      <c r="DD910" s="72"/>
      <c r="DE910" s="72"/>
      <c r="DF910" s="72"/>
      <c r="DG910" s="72"/>
      <c r="DH910" s="72"/>
      <c r="DI910" s="72"/>
      <c r="DJ910" s="72"/>
      <c r="DK910" s="72"/>
      <c r="DL910" s="72"/>
      <c r="DM910" s="72"/>
      <c r="DN910" s="72"/>
      <c r="DO910" s="72"/>
      <c r="DP910" s="72"/>
      <c r="DQ910" s="72"/>
      <c r="DR910" s="72"/>
      <c r="DS910" s="72"/>
      <c r="DT910" s="72"/>
      <c r="DU910" s="72"/>
      <c r="DV910" s="72"/>
      <c r="DW910" s="72"/>
      <c r="DX910" s="72"/>
      <c r="DY910" s="72"/>
      <c r="DZ910" s="72"/>
      <c r="EA910" s="72"/>
      <c r="EB910" s="72"/>
      <c r="EC910" s="72"/>
      <c r="ED910" s="72"/>
      <c r="EE910" s="72"/>
      <c r="EF910" s="72"/>
      <c r="EG910" s="72"/>
      <c r="EH910" s="72"/>
      <c r="EI910" s="129"/>
      <c r="EJ910" s="129"/>
      <c r="EK910" s="129"/>
      <c r="EL910" s="129"/>
      <c r="EM910" s="72"/>
      <c r="EN910" s="72"/>
      <c r="EO910" s="72"/>
      <c r="EP910" s="72"/>
      <c r="EQ910" s="72"/>
      <c r="ER910" s="72"/>
      <c r="ES910" s="72"/>
      <c r="ET910" s="72"/>
    </row>
    <row r="911">
      <c r="CD911" s="72"/>
      <c r="CE911" s="72"/>
      <c r="CF911" s="72"/>
      <c r="CG911" s="72"/>
      <c r="CH911" s="72"/>
      <c r="CI911" s="72"/>
      <c r="CJ911" s="72"/>
      <c r="CK911" s="72"/>
      <c r="CL911" s="72"/>
      <c r="CM911" s="72"/>
      <c r="CN911" s="72"/>
      <c r="CO911" s="72"/>
      <c r="CP911" s="72"/>
      <c r="CQ911" s="72"/>
      <c r="CR911" s="72"/>
      <c r="CS911" s="72"/>
      <c r="CT911" s="72"/>
      <c r="CU911" s="72"/>
      <c r="CV911" s="72"/>
      <c r="CW911" s="72"/>
      <c r="CX911" s="72"/>
      <c r="CY911" s="72"/>
      <c r="CZ911" s="72"/>
      <c r="DA911" s="72"/>
      <c r="DB911" s="72"/>
      <c r="DC911" s="72"/>
      <c r="DD911" s="72"/>
      <c r="DE911" s="72"/>
      <c r="DF911" s="72"/>
      <c r="DG911" s="72"/>
      <c r="DH911" s="72"/>
      <c r="DI911" s="72"/>
      <c r="DJ911" s="72"/>
      <c r="DK911" s="72"/>
      <c r="DL911" s="72"/>
      <c r="DM911" s="72"/>
      <c r="DN911" s="72"/>
      <c r="DO911" s="72"/>
      <c r="DP911" s="72"/>
      <c r="DQ911" s="72"/>
      <c r="DR911" s="72"/>
      <c r="DS911" s="72"/>
      <c r="DT911" s="72"/>
      <c r="DU911" s="72"/>
      <c r="DV911" s="72"/>
      <c r="DW911" s="72"/>
      <c r="DX911" s="72"/>
      <c r="DY911" s="72"/>
      <c r="DZ911" s="72"/>
      <c r="EA911" s="72"/>
      <c r="EB911" s="72"/>
      <c r="EC911" s="72"/>
      <c r="ED911" s="72"/>
      <c r="EE911" s="72"/>
      <c r="EF911" s="72"/>
      <c r="EG911" s="72"/>
      <c r="EH911" s="72"/>
      <c r="EI911" s="129"/>
      <c r="EJ911" s="129"/>
      <c r="EK911" s="129"/>
      <c r="EL911" s="129"/>
      <c r="EM911" s="72"/>
      <c r="EN911" s="72"/>
      <c r="EO911" s="72"/>
      <c r="EP911" s="72"/>
      <c r="EQ911" s="72"/>
      <c r="ER911" s="72"/>
      <c r="ES911" s="72"/>
      <c r="ET911" s="72"/>
    </row>
    <row r="912">
      <c r="CD912" s="72"/>
      <c r="CE912" s="72"/>
      <c r="CF912" s="72"/>
      <c r="CG912" s="72"/>
      <c r="CH912" s="72"/>
      <c r="CI912" s="72"/>
      <c r="CJ912" s="72"/>
      <c r="CK912" s="72"/>
      <c r="CL912" s="72"/>
      <c r="CM912" s="72"/>
      <c r="CN912" s="72"/>
      <c r="CO912" s="72"/>
      <c r="CP912" s="72"/>
      <c r="CQ912" s="72"/>
      <c r="CR912" s="72"/>
      <c r="CS912" s="72"/>
      <c r="CT912" s="72"/>
      <c r="CU912" s="72"/>
      <c r="CV912" s="72"/>
      <c r="CW912" s="72"/>
      <c r="CX912" s="72"/>
      <c r="CY912" s="72"/>
      <c r="CZ912" s="72"/>
      <c r="DA912" s="72"/>
      <c r="DB912" s="72"/>
      <c r="DC912" s="72"/>
      <c r="DD912" s="72"/>
      <c r="DE912" s="72"/>
      <c r="DF912" s="72"/>
      <c r="DG912" s="72"/>
      <c r="DH912" s="72"/>
      <c r="DI912" s="72"/>
      <c r="DJ912" s="72"/>
      <c r="DK912" s="72"/>
      <c r="DL912" s="72"/>
      <c r="DM912" s="72"/>
      <c r="DN912" s="72"/>
      <c r="DO912" s="72"/>
      <c r="DP912" s="72"/>
      <c r="DQ912" s="72"/>
      <c r="DR912" s="72"/>
      <c r="DS912" s="72"/>
      <c r="DT912" s="72"/>
      <c r="DU912" s="72"/>
      <c r="DV912" s="72"/>
      <c r="DW912" s="72"/>
      <c r="DX912" s="72"/>
      <c r="DY912" s="72"/>
      <c r="DZ912" s="72"/>
      <c r="EA912" s="72"/>
      <c r="EB912" s="72"/>
      <c r="EC912" s="72"/>
      <c r="ED912" s="72"/>
      <c r="EE912" s="72"/>
      <c r="EF912" s="72"/>
      <c r="EG912" s="72"/>
      <c r="EH912" s="72"/>
      <c r="EI912" s="129"/>
      <c r="EJ912" s="129"/>
      <c r="EK912" s="129"/>
      <c r="EL912" s="129"/>
      <c r="EM912" s="72"/>
      <c r="EN912" s="72"/>
      <c r="EO912" s="72"/>
      <c r="EP912" s="72"/>
      <c r="EQ912" s="72"/>
      <c r="ER912" s="72"/>
      <c r="ES912" s="72"/>
      <c r="ET912" s="72"/>
    </row>
    <row r="913">
      <c r="CD913" s="72"/>
      <c r="CE913" s="72"/>
      <c r="CF913" s="72"/>
      <c r="CG913" s="72"/>
      <c r="CH913" s="72"/>
      <c r="CI913" s="72"/>
      <c r="CJ913" s="72"/>
      <c r="CK913" s="72"/>
      <c r="CL913" s="72"/>
      <c r="CM913" s="72"/>
      <c r="CN913" s="72"/>
      <c r="CO913" s="72"/>
      <c r="CP913" s="72"/>
      <c r="CQ913" s="72"/>
      <c r="CR913" s="72"/>
      <c r="CS913" s="72"/>
      <c r="CT913" s="72"/>
      <c r="CU913" s="72"/>
      <c r="CV913" s="72"/>
      <c r="CW913" s="72"/>
      <c r="CX913" s="72"/>
      <c r="CY913" s="72"/>
      <c r="CZ913" s="72"/>
      <c r="DA913" s="72"/>
      <c r="DB913" s="72"/>
      <c r="DC913" s="72"/>
      <c r="DD913" s="72"/>
      <c r="DE913" s="72"/>
      <c r="DF913" s="72"/>
      <c r="DG913" s="72"/>
      <c r="DH913" s="72"/>
      <c r="DI913" s="72"/>
      <c r="DJ913" s="72"/>
      <c r="DK913" s="72"/>
      <c r="DL913" s="72"/>
      <c r="DM913" s="72"/>
      <c r="DN913" s="72"/>
      <c r="DO913" s="72"/>
      <c r="DP913" s="72"/>
      <c r="DQ913" s="72"/>
      <c r="DR913" s="72"/>
      <c r="DS913" s="72"/>
      <c r="DT913" s="72"/>
      <c r="DU913" s="72"/>
      <c r="DV913" s="72"/>
      <c r="DW913" s="72"/>
      <c r="DX913" s="72"/>
      <c r="DY913" s="72"/>
      <c r="DZ913" s="72"/>
      <c r="EA913" s="72"/>
      <c r="EB913" s="72"/>
      <c r="EC913" s="72"/>
      <c r="ED913" s="72"/>
      <c r="EE913" s="72"/>
      <c r="EF913" s="72"/>
      <c r="EG913" s="72"/>
      <c r="EH913" s="72"/>
      <c r="EI913" s="129"/>
      <c r="EJ913" s="129"/>
      <c r="EK913" s="129"/>
      <c r="EL913" s="129"/>
      <c r="EM913" s="72"/>
      <c r="EN913" s="72"/>
      <c r="EO913" s="72"/>
      <c r="EP913" s="72"/>
      <c r="EQ913" s="72"/>
      <c r="ER913" s="72"/>
      <c r="ES913" s="72"/>
      <c r="ET913" s="72"/>
    </row>
    <row r="914">
      <c r="CD914" s="72"/>
      <c r="CE914" s="72"/>
      <c r="CF914" s="72"/>
      <c r="CG914" s="72"/>
      <c r="CH914" s="72"/>
      <c r="CI914" s="72"/>
      <c r="CJ914" s="72"/>
      <c r="CK914" s="72"/>
      <c r="CL914" s="72"/>
      <c r="CM914" s="72"/>
      <c r="CN914" s="72"/>
      <c r="CO914" s="72"/>
      <c r="CP914" s="72"/>
      <c r="CQ914" s="72"/>
      <c r="CR914" s="72"/>
      <c r="CS914" s="72"/>
      <c r="CT914" s="72"/>
      <c r="CU914" s="72"/>
      <c r="CV914" s="72"/>
      <c r="CW914" s="72"/>
      <c r="CX914" s="72"/>
      <c r="CY914" s="72"/>
      <c r="CZ914" s="72"/>
      <c r="DA914" s="72"/>
      <c r="DB914" s="72"/>
      <c r="DC914" s="72"/>
      <c r="DD914" s="72"/>
      <c r="DE914" s="72"/>
      <c r="DF914" s="72"/>
      <c r="DG914" s="72"/>
      <c r="DH914" s="72"/>
      <c r="DI914" s="72"/>
      <c r="DJ914" s="72"/>
      <c r="DK914" s="72"/>
      <c r="DL914" s="72"/>
      <c r="DM914" s="72"/>
      <c r="DN914" s="72"/>
      <c r="DO914" s="72"/>
      <c r="DP914" s="72"/>
      <c r="DQ914" s="72"/>
      <c r="DR914" s="72"/>
      <c r="DS914" s="72"/>
      <c r="DT914" s="72"/>
      <c r="DU914" s="72"/>
      <c r="DV914" s="72"/>
      <c r="DW914" s="72"/>
      <c r="DX914" s="72"/>
      <c r="DY914" s="72"/>
      <c r="DZ914" s="72"/>
      <c r="EA914" s="72"/>
      <c r="EB914" s="72"/>
      <c r="EC914" s="72"/>
      <c r="ED914" s="72"/>
      <c r="EE914" s="72"/>
      <c r="EF914" s="72"/>
      <c r="EG914" s="72"/>
      <c r="EH914" s="72"/>
      <c r="EI914" s="129"/>
      <c r="EJ914" s="129"/>
      <c r="EK914" s="129"/>
      <c r="EL914" s="129"/>
      <c r="EM914" s="72"/>
      <c r="EN914" s="72"/>
      <c r="EO914" s="72"/>
      <c r="EP914" s="72"/>
      <c r="EQ914" s="72"/>
      <c r="ER914" s="72"/>
      <c r="ES914" s="72"/>
      <c r="ET914" s="72"/>
    </row>
    <row r="915">
      <c r="CD915" s="72"/>
      <c r="CE915" s="72"/>
      <c r="CF915" s="72"/>
      <c r="CG915" s="72"/>
      <c r="CH915" s="72"/>
      <c r="CI915" s="72"/>
      <c r="CJ915" s="72"/>
      <c r="CK915" s="72"/>
      <c r="CL915" s="72"/>
      <c r="CM915" s="72"/>
      <c r="CN915" s="72"/>
      <c r="CO915" s="72"/>
      <c r="CP915" s="72"/>
      <c r="CQ915" s="72"/>
      <c r="CR915" s="72"/>
      <c r="CS915" s="72"/>
      <c r="CT915" s="72"/>
      <c r="CU915" s="72"/>
      <c r="CV915" s="72"/>
      <c r="CW915" s="72"/>
      <c r="CX915" s="72"/>
      <c r="CY915" s="72"/>
      <c r="CZ915" s="72"/>
      <c r="DA915" s="72"/>
      <c r="DB915" s="72"/>
      <c r="DC915" s="72"/>
      <c r="DD915" s="72"/>
      <c r="DE915" s="72"/>
      <c r="DF915" s="72"/>
      <c r="DG915" s="72"/>
      <c r="DH915" s="72"/>
      <c r="DI915" s="72"/>
      <c r="DJ915" s="72"/>
      <c r="DK915" s="72"/>
      <c r="DL915" s="72"/>
      <c r="DM915" s="72"/>
      <c r="DN915" s="72"/>
      <c r="DO915" s="72"/>
      <c r="DP915" s="72"/>
      <c r="DQ915" s="72"/>
      <c r="DR915" s="72"/>
      <c r="DS915" s="72"/>
      <c r="DT915" s="72"/>
      <c r="DU915" s="72"/>
      <c r="DV915" s="72"/>
      <c r="DW915" s="72"/>
      <c r="DX915" s="72"/>
      <c r="DY915" s="72"/>
      <c r="DZ915" s="72"/>
      <c r="EA915" s="72"/>
      <c r="EB915" s="72"/>
      <c r="EC915" s="72"/>
      <c r="ED915" s="72"/>
      <c r="EE915" s="72"/>
      <c r="EF915" s="72"/>
      <c r="EG915" s="72"/>
      <c r="EH915" s="72"/>
      <c r="EI915" s="129"/>
      <c r="EJ915" s="129"/>
      <c r="EK915" s="129"/>
      <c r="EL915" s="129"/>
      <c r="EM915" s="72"/>
      <c r="EN915" s="72"/>
      <c r="EO915" s="72"/>
      <c r="EP915" s="72"/>
      <c r="EQ915" s="72"/>
      <c r="ER915" s="72"/>
      <c r="ES915" s="72"/>
      <c r="ET915" s="72"/>
    </row>
    <row r="916">
      <c r="CD916" s="72"/>
      <c r="CE916" s="72"/>
      <c r="CF916" s="72"/>
      <c r="CG916" s="72"/>
      <c r="CH916" s="72"/>
      <c r="CI916" s="72"/>
      <c r="CJ916" s="72"/>
      <c r="CK916" s="72"/>
      <c r="CL916" s="72"/>
      <c r="CM916" s="72"/>
      <c r="CN916" s="72"/>
      <c r="CO916" s="72"/>
      <c r="CP916" s="72"/>
      <c r="CQ916" s="72"/>
      <c r="CR916" s="72"/>
      <c r="CS916" s="72"/>
      <c r="CT916" s="72"/>
      <c r="CU916" s="72"/>
      <c r="CV916" s="72"/>
      <c r="CW916" s="72"/>
      <c r="CX916" s="72"/>
      <c r="CY916" s="72"/>
      <c r="CZ916" s="72"/>
      <c r="DA916" s="72"/>
      <c r="DB916" s="72"/>
      <c r="DC916" s="72"/>
      <c r="DD916" s="72"/>
      <c r="DE916" s="72"/>
      <c r="DF916" s="72"/>
      <c r="DG916" s="72"/>
      <c r="DH916" s="72"/>
      <c r="DI916" s="72"/>
      <c r="DJ916" s="72"/>
      <c r="DK916" s="72"/>
      <c r="DL916" s="72"/>
      <c r="DM916" s="72"/>
      <c r="DN916" s="72"/>
      <c r="DO916" s="72"/>
      <c r="DP916" s="72"/>
      <c r="DQ916" s="72"/>
      <c r="DR916" s="72"/>
      <c r="DS916" s="72"/>
      <c r="DT916" s="72"/>
      <c r="DU916" s="72"/>
      <c r="DV916" s="72"/>
      <c r="DW916" s="72"/>
      <c r="DX916" s="72"/>
      <c r="DY916" s="72"/>
      <c r="DZ916" s="72"/>
      <c r="EA916" s="72"/>
      <c r="EB916" s="72"/>
      <c r="EC916" s="72"/>
      <c r="ED916" s="72"/>
      <c r="EE916" s="72"/>
      <c r="EF916" s="72"/>
      <c r="EG916" s="72"/>
      <c r="EH916" s="72"/>
      <c r="EI916" s="129"/>
      <c r="EJ916" s="129"/>
      <c r="EK916" s="129"/>
      <c r="EL916" s="129"/>
      <c r="EM916" s="72"/>
      <c r="EN916" s="72"/>
      <c r="EO916" s="72"/>
      <c r="EP916" s="72"/>
      <c r="EQ916" s="72"/>
      <c r="ER916" s="72"/>
      <c r="ES916" s="72"/>
      <c r="ET916" s="72"/>
    </row>
    <row r="917">
      <c r="CD917" s="72"/>
      <c r="CE917" s="72"/>
      <c r="CF917" s="72"/>
      <c r="CG917" s="72"/>
      <c r="CH917" s="72"/>
      <c r="CI917" s="72"/>
      <c r="CJ917" s="72"/>
      <c r="CK917" s="72"/>
      <c r="CL917" s="72"/>
      <c r="CM917" s="72"/>
      <c r="CN917" s="72"/>
      <c r="CO917" s="72"/>
      <c r="CP917" s="72"/>
      <c r="CQ917" s="72"/>
      <c r="CR917" s="72"/>
      <c r="CS917" s="72"/>
      <c r="CT917" s="72"/>
      <c r="CU917" s="72"/>
      <c r="CV917" s="72"/>
      <c r="CW917" s="72"/>
      <c r="CX917" s="72"/>
      <c r="CY917" s="72"/>
      <c r="CZ917" s="72"/>
      <c r="DA917" s="72"/>
      <c r="DB917" s="72"/>
      <c r="DC917" s="72"/>
      <c r="DD917" s="72"/>
      <c r="DE917" s="72"/>
      <c r="DF917" s="72"/>
      <c r="DG917" s="72"/>
      <c r="DH917" s="72"/>
      <c r="DI917" s="72"/>
      <c r="DJ917" s="72"/>
      <c r="DK917" s="72"/>
      <c r="DL917" s="72"/>
      <c r="DM917" s="72"/>
      <c r="DN917" s="72"/>
      <c r="DO917" s="72"/>
      <c r="DP917" s="72"/>
      <c r="DQ917" s="72"/>
      <c r="DR917" s="72"/>
      <c r="DS917" s="72"/>
      <c r="DT917" s="72"/>
      <c r="DU917" s="72"/>
      <c r="DV917" s="72"/>
      <c r="DW917" s="72"/>
      <c r="DX917" s="72"/>
      <c r="DY917" s="72"/>
      <c r="DZ917" s="72"/>
      <c r="EA917" s="72"/>
      <c r="EB917" s="72"/>
      <c r="EC917" s="72"/>
      <c r="ED917" s="72"/>
      <c r="EE917" s="72"/>
      <c r="EF917" s="72"/>
      <c r="EG917" s="72"/>
      <c r="EH917" s="72"/>
      <c r="EI917" s="129"/>
      <c r="EJ917" s="129"/>
      <c r="EK917" s="129"/>
      <c r="EL917" s="129"/>
      <c r="EM917" s="72"/>
      <c r="EN917" s="72"/>
      <c r="EO917" s="72"/>
      <c r="EP917" s="72"/>
      <c r="EQ917" s="72"/>
      <c r="ER917" s="72"/>
      <c r="ES917" s="72"/>
      <c r="ET917" s="72"/>
    </row>
    <row r="918">
      <c r="CD918" s="72"/>
      <c r="CE918" s="72"/>
      <c r="CF918" s="72"/>
      <c r="CG918" s="72"/>
      <c r="CH918" s="72"/>
      <c r="CI918" s="72"/>
      <c r="CJ918" s="72"/>
      <c r="CK918" s="72"/>
      <c r="CL918" s="72"/>
      <c r="CM918" s="72"/>
      <c r="CN918" s="72"/>
      <c r="CO918" s="72"/>
      <c r="CP918" s="72"/>
      <c r="CQ918" s="72"/>
      <c r="CR918" s="72"/>
      <c r="CS918" s="72"/>
      <c r="CT918" s="72"/>
      <c r="CU918" s="72"/>
      <c r="CV918" s="72"/>
      <c r="CW918" s="72"/>
      <c r="CX918" s="72"/>
      <c r="CY918" s="72"/>
      <c r="CZ918" s="72"/>
      <c r="DA918" s="72"/>
      <c r="DB918" s="72"/>
      <c r="DC918" s="72"/>
      <c r="DD918" s="72"/>
      <c r="DE918" s="72"/>
      <c r="DF918" s="72"/>
      <c r="DG918" s="72"/>
      <c r="DH918" s="72"/>
      <c r="DI918" s="72"/>
      <c r="DJ918" s="72"/>
      <c r="DK918" s="72"/>
      <c r="DL918" s="72"/>
      <c r="DM918" s="72"/>
      <c r="DN918" s="72"/>
      <c r="DO918" s="72"/>
      <c r="DP918" s="72"/>
      <c r="DQ918" s="72"/>
      <c r="DR918" s="72"/>
      <c r="DS918" s="72"/>
      <c r="DT918" s="72"/>
      <c r="DU918" s="72"/>
      <c r="DV918" s="72"/>
      <c r="DW918" s="72"/>
      <c r="DX918" s="72"/>
      <c r="DY918" s="72"/>
      <c r="DZ918" s="72"/>
      <c r="EA918" s="72"/>
      <c r="EB918" s="72"/>
      <c r="EC918" s="72"/>
      <c r="ED918" s="72"/>
      <c r="EE918" s="72"/>
      <c r="EF918" s="72"/>
      <c r="EG918" s="72"/>
      <c r="EH918" s="72"/>
      <c r="EI918" s="129"/>
      <c r="EJ918" s="129"/>
      <c r="EK918" s="129"/>
      <c r="EL918" s="129"/>
      <c r="EM918" s="72"/>
      <c r="EN918" s="72"/>
      <c r="EO918" s="72"/>
      <c r="EP918" s="72"/>
      <c r="EQ918" s="72"/>
      <c r="ER918" s="72"/>
      <c r="ES918" s="72"/>
      <c r="ET918" s="72"/>
    </row>
    <row r="919">
      <c r="CD919" s="72"/>
      <c r="CE919" s="72"/>
      <c r="CF919" s="72"/>
      <c r="CG919" s="72"/>
      <c r="CH919" s="72"/>
      <c r="CI919" s="72"/>
      <c r="CJ919" s="72"/>
      <c r="CK919" s="72"/>
      <c r="CL919" s="72"/>
      <c r="CM919" s="72"/>
      <c r="CN919" s="72"/>
      <c r="CO919" s="72"/>
      <c r="CP919" s="72"/>
      <c r="CQ919" s="72"/>
      <c r="CR919" s="72"/>
      <c r="CS919" s="72"/>
      <c r="CT919" s="72"/>
      <c r="CU919" s="72"/>
      <c r="CV919" s="72"/>
      <c r="CW919" s="72"/>
      <c r="CX919" s="72"/>
      <c r="CY919" s="72"/>
      <c r="CZ919" s="72"/>
      <c r="DA919" s="72"/>
      <c r="DB919" s="72"/>
      <c r="DC919" s="72"/>
      <c r="DD919" s="72"/>
      <c r="DE919" s="72"/>
      <c r="DF919" s="72"/>
      <c r="DG919" s="72"/>
      <c r="DH919" s="72"/>
      <c r="DI919" s="72"/>
      <c r="DJ919" s="72"/>
      <c r="DK919" s="72"/>
      <c r="DL919" s="72"/>
      <c r="DM919" s="72"/>
      <c r="DN919" s="72"/>
      <c r="DO919" s="72"/>
      <c r="DP919" s="72"/>
      <c r="DQ919" s="72"/>
      <c r="DR919" s="72"/>
      <c r="DS919" s="72"/>
      <c r="DT919" s="72"/>
      <c r="DU919" s="72"/>
      <c r="DV919" s="72"/>
      <c r="DW919" s="72"/>
      <c r="DX919" s="72"/>
      <c r="DY919" s="72"/>
      <c r="DZ919" s="72"/>
      <c r="EA919" s="72"/>
      <c r="EB919" s="72"/>
      <c r="EC919" s="72"/>
      <c r="ED919" s="72"/>
      <c r="EE919" s="72"/>
      <c r="EF919" s="72"/>
      <c r="EG919" s="72"/>
      <c r="EH919" s="72"/>
      <c r="EI919" s="129"/>
      <c r="EJ919" s="129"/>
      <c r="EK919" s="129"/>
      <c r="EL919" s="129"/>
      <c r="EM919" s="72"/>
      <c r="EN919" s="72"/>
      <c r="EO919" s="72"/>
      <c r="EP919" s="72"/>
      <c r="EQ919" s="72"/>
      <c r="ER919" s="72"/>
      <c r="ES919" s="72"/>
      <c r="ET919" s="72"/>
    </row>
    <row r="920">
      <c r="CD920" s="72"/>
      <c r="CE920" s="72"/>
      <c r="CF920" s="72"/>
      <c r="CG920" s="72"/>
      <c r="CH920" s="72"/>
      <c r="CI920" s="72"/>
      <c r="CJ920" s="72"/>
      <c r="CK920" s="72"/>
      <c r="CL920" s="72"/>
      <c r="CM920" s="72"/>
      <c r="CN920" s="72"/>
      <c r="CO920" s="72"/>
      <c r="CP920" s="72"/>
      <c r="CQ920" s="72"/>
      <c r="CR920" s="72"/>
      <c r="CS920" s="72"/>
      <c r="CT920" s="72"/>
      <c r="CU920" s="72"/>
      <c r="CV920" s="72"/>
      <c r="CW920" s="72"/>
      <c r="CX920" s="72"/>
      <c r="CY920" s="72"/>
      <c r="CZ920" s="72"/>
      <c r="DA920" s="72"/>
      <c r="DB920" s="72"/>
      <c r="DC920" s="72"/>
      <c r="DD920" s="72"/>
      <c r="DE920" s="72"/>
      <c r="DF920" s="72"/>
      <c r="DG920" s="72"/>
      <c r="DH920" s="72"/>
      <c r="DI920" s="72"/>
      <c r="DJ920" s="72"/>
      <c r="DK920" s="72"/>
      <c r="DL920" s="72"/>
      <c r="DM920" s="72"/>
      <c r="DN920" s="72"/>
      <c r="DO920" s="72"/>
      <c r="DP920" s="72"/>
      <c r="DQ920" s="72"/>
      <c r="DR920" s="72"/>
      <c r="DS920" s="72"/>
      <c r="DT920" s="72"/>
      <c r="DU920" s="72"/>
      <c r="DV920" s="72"/>
      <c r="DW920" s="72"/>
      <c r="DX920" s="72"/>
      <c r="DY920" s="72"/>
      <c r="DZ920" s="72"/>
      <c r="EA920" s="72"/>
      <c r="EB920" s="72"/>
      <c r="EC920" s="72"/>
      <c r="ED920" s="72"/>
      <c r="EE920" s="72"/>
      <c r="EF920" s="72"/>
      <c r="EG920" s="72"/>
      <c r="EH920" s="72"/>
      <c r="EI920" s="129"/>
      <c r="EJ920" s="129"/>
      <c r="EK920" s="129"/>
      <c r="EL920" s="129"/>
      <c r="EM920" s="72"/>
      <c r="EN920" s="72"/>
      <c r="EO920" s="72"/>
      <c r="EP920" s="72"/>
      <c r="EQ920" s="72"/>
      <c r="ER920" s="72"/>
      <c r="ES920" s="72"/>
      <c r="ET920" s="72"/>
    </row>
    <row r="921">
      <c r="CD921" s="72"/>
      <c r="CE921" s="72"/>
      <c r="CF921" s="72"/>
      <c r="CG921" s="72"/>
      <c r="CH921" s="72"/>
      <c r="CI921" s="72"/>
      <c r="CJ921" s="72"/>
      <c r="CK921" s="72"/>
      <c r="CL921" s="72"/>
      <c r="CM921" s="72"/>
      <c r="CN921" s="72"/>
      <c r="CO921" s="72"/>
      <c r="CP921" s="72"/>
      <c r="CQ921" s="72"/>
      <c r="CR921" s="72"/>
      <c r="CS921" s="72"/>
      <c r="CT921" s="72"/>
      <c r="CU921" s="72"/>
      <c r="CV921" s="72"/>
      <c r="CW921" s="72"/>
      <c r="CX921" s="72"/>
      <c r="CY921" s="72"/>
      <c r="CZ921" s="72"/>
      <c r="DA921" s="72"/>
      <c r="DB921" s="72"/>
      <c r="DC921" s="72"/>
      <c r="DD921" s="72"/>
      <c r="DE921" s="72"/>
      <c r="DF921" s="72"/>
      <c r="DG921" s="72"/>
      <c r="DH921" s="72"/>
      <c r="DI921" s="72"/>
      <c r="DJ921" s="72"/>
      <c r="DK921" s="72"/>
      <c r="DL921" s="72"/>
      <c r="DM921" s="72"/>
      <c r="DN921" s="72"/>
      <c r="DO921" s="72"/>
      <c r="DP921" s="72"/>
      <c r="DQ921" s="72"/>
      <c r="DR921" s="72"/>
      <c r="DS921" s="72"/>
      <c r="DT921" s="72"/>
      <c r="DU921" s="72"/>
      <c r="DV921" s="72"/>
      <c r="DW921" s="72"/>
      <c r="DX921" s="72"/>
      <c r="DY921" s="72"/>
      <c r="DZ921" s="72"/>
      <c r="EA921" s="72"/>
      <c r="EB921" s="72"/>
      <c r="EC921" s="72"/>
      <c r="ED921" s="72"/>
      <c r="EE921" s="72"/>
      <c r="EF921" s="72"/>
      <c r="EG921" s="72"/>
      <c r="EH921" s="72"/>
      <c r="EI921" s="129"/>
      <c r="EJ921" s="129"/>
      <c r="EK921" s="129"/>
      <c r="EL921" s="129"/>
      <c r="EM921" s="72"/>
      <c r="EN921" s="72"/>
      <c r="EO921" s="72"/>
      <c r="EP921" s="72"/>
      <c r="EQ921" s="72"/>
      <c r="ER921" s="72"/>
      <c r="ES921" s="72"/>
      <c r="ET921" s="72"/>
    </row>
    <row r="922">
      <c r="CD922" s="72"/>
      <c r="CE922" s="72"/>
      <c r="CF922" s="72"/>
      <c r="CG922" s="72"/>
      <c r="CH922" s="72"/>
      <c r="CI922" s="72"/>
      <c r="CJ922" s="72"/>
      <c r="CK922" s="72"/>
      <c r="CL922" s="72"/>
      <c r="CM922" s="72"/>
      <c r="CN922" s="72"/>
      <c r="CO922" s="72"/>
      <c r="CP922" s="72"/>
      <c r="CQ922" s="72"/>
      <c r="CR922" s="72"/>
      <c r="CS922" s="72"/>
      <c r="CT922" s="72"/>
      <c r="CU922" s="72"/>
      <c r="CV922" s="72"/>
      <c r="CW922" s="72"/>
      <c r="CX922" s="72"/>
      <c r="CY922" s="72"/>
      <c r="CZ922" s="72"/>
      <c r="DA922" s="72"/>
      <c r="DB922" s="72"/>
      <c r="DC922" s="72"/>
      <c r="DD922" s="72"/>
      <c r="DE922" s="72"/>
      <c r="DF922" s="72"/>
      <c r="DG922" s="72"/>
      <c r="DH922" s="72"/>
      <c r="DI922" s="72"/>
      <c r="DJ922" s="72"/>
      <c r="DK922" s="72"/>
      <c r="DL922" s="72"/>
      <c r="DM922" s="72"/>
      <c r="DN922" s="72"/>
      <c r="DO922" s="72"/>
      <c r="DP922" s="72"/>
      <c r="DQ922" s="72"/>
      <c r="DR922" s="72"/>
      <c r="DS922" s="72"/>
      <c r="DT922" s="72"/>
      <c r="DU922" s="72"/>
      <c r="DV922" s="72"/>
      <c r="DW922" s="72"/>
      <c r="DX922" s="72"/>
      <c r="DY922" s="72"/>
      <c r="DZ922" s="72"/>
      <c r="EA922" s="72"/>
      <c r="EB922" s="72"/>
      <c r="EC922" s="72"/>
      <c r="ED922" s="72"/>
      <c r="EE922" s="72"/>
      <c r="EF922" s="72"/>
      <c r="EG922" s="72"/>
      <c r="EH922" s="72"/>
      <c r="EI922" s="129"/>
      <c r="EJ922" s="129"/>
      <c r="EK922" s="129"/>
      <c r="EL922" s="129"/>
      <c r="EM922" s="72"/>
      <c r="EN922" s="72"/>
      <c r="EO922" s="72"/>
      <c r="EP922" s="72"/>
      <c r="EQ922" s="72"/>
      <c r="ER922" s="72"/>
      <c r="ES922" s="72"/>
      <c r="ET922" s="72"/>
    </row>
    <row r="923">
      <c r="CD923" s="72"/>
      <c r="CE923" s="72"/>
      <c r="CF923" s="72"/>
      <c r="CG923" s="72"/>
      <c r="CH923" s="72"/>
      <c r="CI923" s="72"/>
      <c r="CJ923" s="72"/>
      <c r="CK923" s="72"/>
      <c r="CL923" s="72"/>
      <c r="CM923" s="72"/>
      <c r="CN923" s="72"/>
      <c r="CO923" s="72"/>
      <c r="CP923" s="72"/>
      <c r="CQ923" s="72"/>
      <c r="CR923" s="72"/>
      <c r="CS923" s="72"/>
      <c r="CT923" s="72"/>
      <c r="CU923" s="72"/>
      <c r="CV923" s="72"/>
      <c r="CW923" s="72"/>
      <c r="CX923" s="72"/>
      <c r="CY923" s="72"/>
      <c r="CZ923" s="72"/>
      <c r="DA923" s="72"/>
      <c r="DB923" s="72"/>
      <c r="DC923" s="72"/>
      <c r="DD923" s="72"/>
      <c r="DE923" s="72"/>
      <c r="DF923" s="72"/>
      <c r="DG923" s="72"/>
      <c r="DH923" s="72"/>
      <c r="DI923" s="72"/>
      <c r="DJ923" s="72"/>
      <c r="DK923" s="72"/>
      <c r="DL923" s="72"/>
      <c r="DM923" s="72"/>
      <c r="DN923" s="72"/>
      <c r="DO923" s="72"/>
      <c r="DP923" s="72"/>
      <c r="DQ923" s="72"/>
      <c r="DR923" s="72"/>
      <c r="DS923" s="72"/>
      <c r="DT923" s="72"/>
      <c r="DU923" s="72"/>
      <c r="DV923" s="72"/>
      <c r="DW923" s="72"/>
      <c r="DX923" s="72"/>
      <c r="DY923" s="72"/>
      <c r="DZ923" s="72"/>
      <c r="EA923" s="72"/>
      <c r="EB923" s="72"/>
      <c r="EC923" s="72"/>
      <c r="ED923" s="72"/>
      <c r="EE923" s="72"/>
      <c r="EF923" s="72"/>
      <c r="EG923" s="72"/>
      <c r="EH923" s="72"/>
      <c r="EI923" s="129"/>
      <c r="EJ923" s="129"/>
      <c r="EK923" s="129"/>
      <c r="EL923" s="129"/>
      <c r="EM923" s="72"/>
      <c r="EN923" s="72"/>
      <c r="EO923" s="72"/>
      <c r="EP923" s="72"/>
      <c r="EQ923" s="72"/>
      <c r="ER923" s="72"/>
      <c r="ES923" s="72"/>
      <c r="ET923" s="72"/>
    </row>
    <row r="924">
      <c r="CD924" s="72"/>
      <c r="CE924" s="72"/>
      <c r="CF924" s="72"/>
      <c r="CG924" s="72"/>
      <c r="CH924" s="72"/>
      <c r="CI924" s="72"/>
      <c r="CJ924" s="72"/>
      <c r="CK924" s="72"/>
      <c r="CL924" s="72"/>
      <c r="CM924" s="72"/>
      <c r="CN924" s="72"/>
      <c r="CO924" s="72"/>
      <c r="CP924" s="72"/>
      <c r="CQ924" s="72"/>
      <c r="CR924" s="72"/>
      <c r="CS924" s="72"/>
      <c r="CT924" s="72"/>
      <c r="CU924" s="72"/>
      <c r="CV924" s="72"/>
      <c r="CW924" s="72"/>
      <c r="CX924" s="72"/>
      <c r="CY924" s="72"/>
      <c r="CZ924" s="72"/>
      <c r="DA924" s="72"/>
      <c r="DB924" s="72"/>
      <c r="DC924" s="72"/>
      <c r="DD924" s="72"/>
      <c r="DE924" s="72"/>
      <c r="DF924" s="72"/>
      <c r="DG924" s="72"/>
      <c r="DH924" s="72"/>
      <c r="DI924" s="72"/>
      <c r="DJ924" s="72"/>
      <c r="DK924" s="72"/>
      <c r="DL924" s="72"/>
      <c r="DM924" s="72"/>
      <c r="DN924" s="72"/>
      <c r="DO924" s="72"/>
      <c r="DP924" s="72"/>
      <c r="DQ924" s="72"/>
      <c r="DR924" s="72"/>
      <c r="DS924" s="72"/>
      <c r="DT924" s="72"/>
      <c r="DU924" s="72"/>
      <c r="DV924" s="72"/>
      <c r="DW924" s="72"/>
      <c r="DX924" s="72"/>
      <c r="DY924" s="72"/>
      <c r="DZ924" s="72"/>
      <c r="EA924" s="72"/>
      <c r="EB924" s="72"/>
      <c r="EC924" s="72"/>
      <c r="ED924" s="72"/>
      <c r="EE924" s="72"/>
      <c r="EF924" s="72"/>
      <c r="EG924" s="72"/>
      <c r="EH924" s="72"/>
      <c r="EI924" s="129"/>
      <c r="EJ924" s="129"/>
      <c r="EK924" s="129"/>
      <c r="EL924" s="129"/>
      <c r="EM924" s="72"/>
      <c r="EN924" s="72"/>
      <c r="EO924" s="72"/>
      <c r="EP924" s="72"/>
      <c r="EQ924" s="72"/>
      <c r="ER924" s="72"/>
      <c r="ES924" s="72"/>
      <c r="ET924" s="72"/>
    </row>
    <row r="925">
      <c r="CD925" s="72"/>
      <c r="CE925" s="72"/>
      <c r="CF925" s="72"/>
      <c r="CG925" s="72"/>
      <c r="CH925" s="72"/>
      <c r="CI925" s="72"/>
      <c r="CJ925" s="72"/>
      <c r="CK925" s="72"/>
      <c r="CL925" s="72"/>
      <c r="CM925" s="72"/>
      <c r="CN925" s="72"/>
      <c r="CO925" s="72"/>
      <c r="CP925" s="72"/>
      <c r="CQ925" s="72"/>
      <c r="CR925" s="72"/>
      <c r="CS925" s="72"/>
      <c r="CT925" s="72"/>
      <c r="CU925" s="72"/>
      <c r="CV925" s="72"/>
      <c r="CW925" s="72"/>
      <c r="CX925" s="72"/>
      <c r="CY925" s="72"/>
      <c r="CZ925" s="72"/>
      <c r="DA925" s="72"/>
      <c r="DB925" s="72"/>
      <c r="DC925" s="72"/>
      <c r="DD925" s="72"/>
      <c r="DE925" s="72"/>
      <c r="DF925" s="72"/>
      <c r="DG925" s="72"/>
      <c r="DH925" s="72"/>
      <c r="DI925" s="72"/>
      <c r="DJ925" s="72"/>
      <c r="DK925" s="72"/>
      <c r="DL925" s="72"/>
      <c r="DM925" s="72"/>
      <c r="DN925" s="72"/>
      <c r="DO925" s="72"/>
      <c r="DP925" s="72"/>
      <c r="DQ925" s="72"/>
      <c r="DR925" s="72"/>
      <c r="DS925" s="72"/>
      <c r="DT925" s="72"/>
      <c r="DU925" s="72"/>
      <c r="DV925" s="72"/>
      <c r="DW925" s="72"/>
      <c r="DX925" s="72"/>
      <c r="DY925" s="72"/>
      <c r="DZ925" s="72"/>
      <c r="EA925" s="72"/>
      <c r="EB925" s="72"/>
      <c r="EC925" s="72"/>
      <c r="ED925" s="72"/>
      <c r="EE925" s="72"/>
      <c r="EF925" s="72"/>
      <c r="EG925" s="72"/>
      <c r="EH925" s="72"/>
      <c r="EI925" s="129"/>
      <c r="EJ925" s="129"/>
      <c r="EK925" s="129"/>
      <c r="EL925" s="129"/>
      <c r="EM925" s="72"/>
      <c r="EN925" s="72"/>
      <c r="EO925" s="72"/>
      <c r="EP925" s="72"/>
      <c r="EQ925" s="72"/>
      <c r="ER925" s="72"/>
      <c r="ES925" s="72"/>
      <c r="ET925" s="72"/>
    </row>
    <row r="926">
      <c r="CD926" s="72"/>
      <c r="CE926" s="72"/>
      <c r="CF926" s="72"/>
      <c r="CG926" s="72"/>
      <c r="CH926" s="72"/>
      <c r="CI926" s="72"/>
      <c r="CJ926" s="72"/>
      <c r="CK926" s="72"/>
      <c r="CL926" s="72"/>
      <c r="CM926" s="72"/>
      <c r="CN926" s="72"/>
      <c r="CO926" s="72"/>
      <c r="CP926" s="72"/>
      <c r="CQ926" s="72"/>
      <c r="CR926" s="72"/>
      <c r="CS926" s="72"/>
      <c r="CT926" s="72"/>
      <c r="CU926" s="72"/>
      <c r="CV926" s="72"/>
      <c r="CW926" s="72"/>
      <c r="CX926" s="72"/>
      <c r="CY926" s="72"/>
      <c r="CZ926" s="72"/>
      <c r="DA926" s="72"/>
      <c r="DB926" s="72"/>
      <c r="DC926" s="72"/>
      <c r="DD926" s="72"/>
      <c r="DE926" s="72"/>
      <c r="DF926" s="72"/>
      <c r="DG926" s="72"/>
      <c r="DH926" s="72"/>
      <c r="DI926" s="72"/>
      <c r="DJ926" s="72"/>
      <c r="DK926" s="72"/>
      <c r="DL926" s="72"/>
      <c r="DM926" s="72"/>
      <c r="DN926" s="72"/>
      <c r="DO926" s="72"/>
      <c r="DP926" s="72"/>
      <c r="DQ926" s="72"/>
      <c r="DR926" s="72"/>
      <c r="DS926" s="72"/>
      <c r="DT926" s="72"/>
      <c r="DU926" s="72"/>
      <c r="DV926" s="72"/>
      <c r="DW926" s="72"/>
      <c r="DX926" s="72"/>
      <c r="DY926" s="72"/>
      <c r="DZ926" s="72"/>
      <c r="EA926" s="72"/>
      <c r="EB926" s="72"/>
      <c r="EC926" s="72"/>
      <c r="ED926" s="72"/>
      <c r="EE926" s="72"/>
      <c r="EF926" s="72"/>
      <c r="EG926" s="72"/>
      <c r="EH926" s="72"/>
      <c r="EI926" s="129"/>
      <c r="EJ926" s="129"/>
      <c r="EK926" s="129"/>
      <c r="EL926" s="129"/>
      <c r="EM926" s="72"/>
      <c r="EN926" s="72"/>
      <c r="EO926" s="72"/>
      <c r="EP926" s="72"/>
      <c r="EQ926" s="72"/>
      <c r="ER926" s="72"/>
      <c r="ES926" s="72"/>
      <c r="ET926" s="72"/>
    </row>
    <row r="927">
      <c r="CD927" s="72"/>
      <c r="CE927" s="72"/>
      <c r="CF927" s="72"/>
      <c r="CG927" s="72"/>
      <c r="CH927" s="72"/>
      <c r="CI927" s="72"/>
      <c r="CJ927" s="72"/>
      <c r="CK927" s="72"/>
      <c r="CL927" s="72"/>
      <c r="CM927" s="72"/>
      <c r="CN927" s="72"/>
      <c r="CO927" s="72"/>
      <c r="CP927" s="72"/>
      <c r="CQ927" s="72"/>
      <c r="CR927" s="72"/>
      <c r="CS927" s="72"/>
      <c r="CT927" s="72"/>
      <c r="CU927" s="72"/>
      <c r="CV927" s="72"/>
      <c r="CW927" s="72"/>
      <c r="CX927" s="72"/>
      <c r="CY927" s="72"/>
      <c r="CZ927" s="72"/>
      <c r="DA927" s="72"/>
      <c r="DB927" s="72"/>
      <c r="DC927" s="72"/>
      <c r="DD927" s="72"/>
      <c r="DE927" s="72"/>
      <c r="DF927" s="72"/>
      <c r="DG927" s="72"/>
      <c r="DH927" s="72"/>
      <c r="DI927" s="72"/>
      <c r="DJ927" s="72"/>
      <c r="DK927" s="72"/>
      <c r="DL927" s="72"/>
      <c r="DM927" s="72"/>
      <c r="DN927" s="72"/>
      <c r="DO927" s="72"/>
      <c r="DP927" s="72"/>
      <c r="DQ927" s="72"/>
      <c r="DR927" s="72"/>
      <c r="DS927" s="72"/>
      <c r="DT927" s="72"/>
      <c r="DU927" s="72"/>
      <c r="DV927" s="72"/>
      <c r="DW927" s="72"/>
      <c r="DX927" s="72"/>
      <c r="DY927" s="72"/>
      <c r="DZ927" s="72"/>
      <c r="EA927" s="72"/>
      <c r="EB927" s="72"/>
      <c r="EC927" s="72"/>
      <c r="ED927" s="72"/>
      <c r="EE927" s="72"/>
      <c r="EF927" s="72"/>
      <c r="EG927" s="72"/>
      <c r="EH927" s="72"/>
      <c r="EI927" s="129"/>
      <c r="EJ927" s="129"/>
      <c r="EK927" s="129"/>
      <c r="EL927" s="129"/>
      <c r="EM927" s="72"/>
      <c r="EN927" s="72"/>
      <c r="EO927" s="72"/>
      <c r="EP927" s="72"/>
      <c r="EQ927" s="72"/>
      <c r="ER927" s="72"/>
      <c r="ES927" s="72"/>
      <c r="ET927" s="72"/>
    </row>
    <row r="928">
      <c r="CD928" s="72"/>
      <c r="CE928" s="72"/>
      <c r="CF928" s="72"/>
      <c r="CG928" s="72"/>
      <c r="CH928" s="72"/>
      <c r="CI928" s="72"/>
      <c r="CJ928" s="72"/>
      <c r="CK928" s="72"/>
      <c r="CL928" s="72"/>
      <c r="CM928" s="72"/>
      <c r="CN928" s="72"/>
      <c r="CO928" s="72"/>
      <c r="CP928" s="72"/>
      <c r="CQ928" s="72"/>
      <c r="CR928" s="72"/>
      <c r="CS928" s="72"/>
      <c r="CT928" s="72"/>
      <c r="CU928" s="72"/>
      <c r="CV928" s="72"/>
      <c r="CW928" s="72"/>
      <c r="CX928" s="72"/>
      <c r="CY928" s="72"/>
      <c r="CZ928" s="72"/>
      <c r="DA928" s="72"/>
      <c r="DB928" s="72"/>
      <c r="DC928" s="72"/>
      <c r="DD928" s="72"/>
      <c r="DE928" s="72"/>
      <c r="DF928" s="72"/>
      <c r="DG928" s="72"/>
      <c r="DH928" s="72"/>
      <c r="DI928" s="72"/>
      <c r="DJ928" s="72"/>
      <c r="DK928" s="72"/>
      <c r="DL928" s="72"/>
      <c r="DM928" s="72"/>
      <c r="DN928" s="72"/>
      <c r="DO928" s="72"/>
      <c r="DP928" s="72"/>
      <c r="DQ928" s="72"/>
      <c r="DR928" s="72"/>
      <c r="DS928" s="72"/>
      <c r="DT928" s="72"/>
      <c r="DU928" s="72"/>
      <c r="DV928" s="72"/>
      <c r="DW928" s="72"/>
      <c r="DX928" s="72"/>
      <c r="DY928" s="72"/>
      <c r="DZ928" s="72"/>
      <c r="EA928" s="72"/>
      <c r="EB928" s="72"/>
      <c r="EC928" s="72"/>
      <c r="ED928" s="72"/>
      <c r="EE928" s="72"/>
      <c r="EF928" s="72"/>
      <c r="EG928" s="72"/>
      <c r="EH928" s="72"/>
      <c r="EI928" s="129"/>
      <c r="EJ928" s="129"/>
      <c r="EK928" s="129"/>
      <c r="EL928" s="129"/>
      <c r="EM928" s="72"/>
      <c r="EN928" s="72"/>
      <c r="EO928" s="72"/>
      <c r="EP928" s="72"/>
      <c r="EQ928" s="72"/>
      <c r="ER928" s="72"/>
      <c r="ES928" s="72"/>
      <c r="ET928" s="72"/>
    </row>
    <row r="929">
      <c r="CD929" s="72"/>
      <c r="CE929" s="72"/>
      <c r="CF929" s="72"/>
      <c r="CG929" s="72"/>
      <c r="CH929" s="72"/>
      <c r="CI929" s="72"/>
      <c r="CJ929" s="72"/>
      <c r="CK929" s="72"/>
      <c r="CL929" s="72"/>
      <c r="CM929" s="72"/>
      <c r="CN929" s="72"/>
      <c r="CO929" s="72"/>
      <c r="CP929" s="72"/>
      <c r="CQ929" s="72"/>
      <c r="CR929" s="72"/>
      <c r="CS929" s="72"/>
      <c r="CT929" s="72"/>
      <c r="CU929" s="72"/>
      <c r="CV929" s="72"/>
      <c r="CW929" s="72"/>
      <c r="CX929" s="72"/>
      <c r="CY929" s="72"/>
      <c r="CZ929" s="72"/>
      <c r="DA929" s="72"/>
      <c r="DB929" s="72"/>
      <c r="DC929" s="72"/>
      <c r="DD929" s="72"/>
      <c r="DE929" s="72"/>
      <c r="DF929" s="72"/>
      <c r="DG929" s="72"/>
      <c r="DH929" s="72"/>
      <c r="DI929" s="72"/>
      <c r="DJ929" s="72"/>
      <c r="DK929" s="72"/>
      <c r="DL929" s="72"/>
      <c r="DM929" s="72"/>
      <c r="DN929" s="72"/>
      <c r="DO929" s="72"/>
      <c r="DP929" s="72"/>
      <c r="DQ929" s="72"/>
      <c r="DR929" s="72"/>
      <c r="DS929" s="72"/>
      <c r="DT929" s="72"/>
      <c r="DU929" s="72"/>
      <c r="DV929" s="72"/>
      <c r="DW929" s="72"/>
      <c r="DX929" s="72"/>
      <c r="DY929" s="72"/>
      <c r="DZ929" s="72"/>
      <c r="EA929" s="72"/>
      <c r="EB929" s="72"/>
      <c r="EC929" s="72"/>
      <c r="ED929" s="72"/>
      <c r="EE929" s="72"/>
      <c r="EF929" s="72"/>
      <c r="EG929" s="72"/>
      <c r="EH929" s="72"/>
      <c r="EI929" s="129"/>
      <c r="EJ929" s="129"/>
      <c r="EK929" s="129"/>
      <c r="EL929" s="129"/>
      <c r="EM929" s="72"/>
      <c r="EN929" s="72"/>
      <c r="EO929" s="72"/>
      <c r="EP929" s="72"/>
      <c r="EQ929" s="72"/>
      <c r="ER929" s="72"/>
      <c r="ES929" s="72"/>
      <c r="ET929" s="72"/>
    </row>
    <row r="930">
      <c r="CD930" s="72"/>
      <c r="CE930" s="72"/>
      <c r="CF930" s="72"/>
      <c r="CG930" s="72"/>
      <c r="CH930" s="72"/>
      <c r="CI930" s="72"/>
      <c r="CJ930" s="72"/>
      <c r="CK930" s="72"/>
      <c r="CL930" s="72"/>
      <c r="CM930" s="72"/>
      <c r="CN930" s="72"/>
      <c r="CO930" s="72"/>
      <c r="CP930" s="72"/>
      <c r="CQ930" s="72"/>
      <c r="CR930" s="72"/>
      <c r="CS930" s="72"/>
      <c r="CT930" s="72"/>
      <c r="CU930" s="72"/>
      <c r="CV930" s="72"/>
      <c r="CW930" s="72"/>
      <c r="CX930" s="72"/>
      <c r="CY930" s="72"/>
      <c r="CZ930" s="72"/>
      <c r="DA930" s="72"/>
      <c r="DB930" s="72"/>
      <c r="DC930" s="72"/>
      <c r="DD930" s="72"/>
      <c r="DE930" s="72"/>
      <c r="DF930" s="72"/>
      <c r="DG930" s="72"/>
      <c r="DH930" s="72"/>
      <c r="DI930" s="72"/>
      <c r="DJ930" s="72"/>
      <c r="DK930" s="72"/>
      <c r="DL930" s="72"/>
      <c r="DM930" s="72"/>
      <c r="DN930" s="72"/>
      <c r="DO930" s="72"/>
      <c r="DP930" s="72"/>
      <c r="DQ930" s="72"/>
      <c r="DR930" s="72"/>
      <c r="DS930" s="72"/>
      <c r="DT930" s="72"/>
      <c r="DU930" s="72"/>
      <c r="DV930" s="72"/>
      <c r="DW930" s="72"/>
      <c r="DX930" s="72"/>
      <c r="DY930" s="72"/>
      <c r="DZ930" s="72"/>
      <c r="EA930" s="72"/>
      <c r="EB930" s="72"/>
      <c r="EC930" s="72"/>
      <c r="ED930" s="72"/>
      <c r="EE930" s="72"/>
      <c r="EF930" s="72"/>
      <c r="EG930" s="72"/>
      <c r="EH930" s="72"/>
      <c r="EI930" s="129"/>
      <c r="EJ930" s="129"/>
      <c r="EK930" s="129"/>
      <c r="EL930" s="129"/>
      <c r="EM930" s="72"/>
      <c r="EN930" s="72"/>
      <c r="EO930" s="72"/>
      <c r="EP930" s="72"/>
      <c r="EQ930" s="72"/>
      <c r="ER930" s="72"/>
      <c r="ES930" s="72"/>
      <c r="ET930" s="72"/>
    </row>
    <row r="931">
      <c r="CD931" s="72"/>
      <c r="CE931" s="72"/>
      <c r="CF931" s="72"/>
      <c r="CG931" s="72"/>
      <c r="CH931" s="72"/>
      <c r="CI931" s="72"/>
      <c r="CJ931" s="72"/>
      <c r="CK931" s="72"/>
      <c r="CL931" s="72"/>
      <c r="CM931" s="72"/>
      <c r="CN931" s="72"/>
      <c r="CO931" s="72"/>
      <c r="CP931" s="72"/>
      <c r="CQ931" s="72"/>
      <c r="CR931" s="72"/>
      <c r="CS931" s="72"/>
      <c r="CT931" s="72"/>
      <c r="CU931" s="72"/>
      <c r="CV931" s="72"/>
      <c r="CW931" s="72"/>
      <c r="CX931" s="72"/>
      <c r="CY931" s="72"/>
      <c r="CZ931" s="72"/>
      <c r="DA931" s="72"/>
      <c r="DB931" s="72"/>
      <c r="DC931" s="72"/>
      <c r="DD931" s="72"/>
      <c r="DE931" s="72"/>
      <c r="DF931" s="72"/>
      <c r="DG931" s="72"/>
      <c r="DH931" s="72"/>
      <c r="DI931" s="72"/>
      <c r="DJ931" s="72"/>
      <c r="DK931" s="72"/>
      <c r="DL931" s="72"/>
      <c r="DM931" s="72"/>
      <c r="DN931" s="72"/>
      <c r="DO931" s="72"/>
      <c r="DP931" s="72"/>
      <c r="DQ931" s="72"/>
      <c r="DR931" s="72"/>
      <c r="DS931" s="72"/>
      <c r="DT931" s="72"/>
      <c r="DU931" s="72"/>
      <c r="DV931" s="72"/>
      <c r="DW931" s="72"/>
      <c r="DX931" s="72"/>
      <c r="DY931" s="72"/>
      <c r="DZ931" s="72"/>
      <c r="EA931" s="72"/>
      <c r="EB931" s="72"/>
      <c r="EC931" s="72"/>
      <c r="ED931" s="72"/>
      <c r="EE931" s="72"/>
      <c r="EF931" s="72"/>
      <c r="EG931" s="72"/>
      <c r="EH931" s="72"/>
      <c r="EI931" s="129"/>
      <c r="EJ931" s="129"/>
      <c r="EK931" s="129"/>
      <c r="EL931" s="129"/>
      <c r="EM931" s="72"/>
      <c r="EN931" s="72"/>
      <c r="EO931" s="72"/>
      <c r="EP931" s="72"/>
      <c r="EQ931" s="72"/>
      <c r="ER931" s="72"/>
      <c r="ES931" s="72"/>
      <c r="ET931" s="72"/>
    </row>
    <row r="932">
      <c r="CD932" s="72"/>
      <c r="CE932" s="72"/>
      <c r="CF932" s="72"/>
      <c r="CG932" s="72"/>
      <c r="CH932" s="72"/>
      <c r="CI932" s="72"/>
      <c r="CJ932" s="72"/>
      <c r="CK932" s="72"/>
      <c r="CL932" s="72"/>
      <c r="CM932" s="72"/>
      <c r="CN932" s="72"/>
      <c r="CO932" s="72"/>
      <c r="CP932" s="72"/>
      <c r="CQ932" s="72"/>
      <c r="CR932" s="72"/>
      <c r="CS932" s="72"/>
      <c r="CT932" s="72"/>
      <c r="CU932" s="72"/>
      <c r="CV932" s="72"/>
      <c r="CW932" s="72"/>
      <c r="CX932" s="72"/>
      <c r="CY932" s="72"/>
      <c r="CZ932" s="72"/>
      <c r="DA932" s="72"/>
      <c r="DB932" s="72"/>
      <c r="DC932" s="72"/>
      <c r="DD932" s="72"/>
      <c r="DE932" s="72"/>
      <c r="DF932" s="72"/>
      <c r="DG932" s="72"/>
      <c r="DH932" s="72"/>
      <c r="DI932" s="72"/>
      <c r="DJ932" s="72"/>
      <c r="DK932" s="72"/>
      <c r="DL932" s="72"/>
      <c r="DM932" s="72"/>
      <c r="DN932" s="72"/>
      <c r="DO932" s="72"/>
      <c r="DP932" s="72"/>
      <c r="DQ932" s="72"/>
      <c r="DR932" s="72"/>
      <c r="DS932" s="72"/>
      <c r="DT932" s="72"/>
      <c r="DU932" s="72"/>
      <c r="DV932" s="72"/>
      <c r="DW932" s="72"/>
      <c r="DX932" s="72"/>
      <c r="DY932" s="72"/>
      <c r="DZ932" s="72"/>
      <c r="EA932" s="72"/>
      <c r="EB932" s="72"/>
      <c r="EC932" s="72"/>
      <c r="ED932" s="72"/>
      <c r="EE932" s="72"/>
      <c r="EF932" s="72"/>
      <c r="EG932" s="72"/>
      <c r="EH932" s="72"/>
      <c r="EI932" s="129"/>
      <c r="EJ932" s="129"/>
      <c r="EK932" s="129"/>
      <c r="EL932" s="129"/>
      <c r="EM932" s="72"/>
      <c r="EN932" s="72"/>
      <c r="EO932" s="72"/>
      <c r="EP932" s="72"/>
      <c r="EQ932" s="72"/>
      <c r="ER932" s="72"/>
      <c r="ES932" s="72"/>
      <c r="ET932" s="72"/>
    </row>
    <row r="933">
      <c r="CD933" s="72"/>
      <c r="CE933" s="72"/>
      <c r="CF933" s="72"/>
      <c r="CG933" s="72"/>
      <c r="CH933" s="72"/>
      <c r="CI933" s="72"/>
      <c r="CJ933" s="72"/>
      <c r="CK933" s="72"/>
      <c r="CL933" s="72"/>
      <c r="CM933" s="72"/>
      <c r="CN933" s="72"/>
      <c r="CO933" s="72"/>
      <c r="CP933" s="72"/>
      <c r="CQ933" s="72"/>
      <c r="CR933" s="72"/>
      <c r="CS933" s="72"/>
      <c r="CT933" s="72"/>
      <c r="CU933" s="72"/>
      <c r="CV933" s="72"/>
      <c r="CW933" s="72"/>
      <c r="CX933" s="72"/>
      <c r="CY933" s="72"/>
      <c r="CZ933" s="72"/>
      <c r="DA933" s="72"/>
      <c r="DB933" s="72"/>
      <c r="DC933" s="72"/>
      <c r="DD933" s="72"/>
      <c r="DE933" s="72"/>
      <c r="DF933" s="72"/>
      <c r="DG933" s="72"/>
      <c r="DH933" s="72"/>
      <c r="DI933" s="72"/>
      <c r="DJ933" s="72"/>
      <c r="DK933" s="72"/>
      <c r="DL933" s="72"/>
      <c r="DM933" s="72"/>
      <c r="DN933" s="72"/>
      <c r="DO933" s="72"/>
      <c r="DP933" s="72"/>
      <c r="DQ933" s="72"/>
      <c r="DR933" s="72"/>
      <c r="DS933" s="72"/>
      <c r="DT933" s="72"/>
      <c r="DU933" s="72"/>
      <c r="DV933" s="72"/>
      <c r="DW933" s="72"/>
      <c r="DX933" s="72"/>
      <c r="DY933" s="72"/>
      <c r="DZ933" s="72"/>
      <c r="EA933" s="72"/>
      <c r="EB933" s="72"/>
      <c r="EC933" s="72"/>
      <c r="ED933" s="72"/>
      <c r="EE933" s="72"/>
      <c r="EF933" s="72"/>
      <c r="EG933" s="72"/>
      <c r="EH933" s="72"/>
      <c r="EI933" s="129"/>
      <c r="EJ933" s="129"/>
      <c r="EK933" s="129"/>
      <c r="EL933" s="129"/>
      <c r="EM933" s="72"/>
      <c r="EN933" s="72"/>
      <c r="EO933" s="72"/>
      <c r="EP933" s="72"/>
      <c r="EQ933" s="72"/>
      <c r="ER933" s="72"/>
      <c r="ES933" s="72"/>
      <c r="ET933" s="72"/>
    </row>
    <row r="934">
      <c r="CD934" s="72"/>
      <c r="CE934" s="72"/>
      <c r="CF934" s="72"/>
      <c r="CG934" s="72"/>
      <c r="CH934" s="72"/>
      <c r="CI934" s="72"/>
      <c r="CJ934" s="72"/>
      <c r="CK934" s="72"/>
      <c r="CL934" s="72"/>
      <c r="CM934" s="72"/>
      <c r="CN934" s="72"/>
      <c r="CO934" s="72"/>
      <c r="CP934" s="72"/>
      <c r="CQ934" s="72"/>
      <c r="CR934" s="72"/>
      <c r="CS934" s="72"/>
      <c r="CT934" s="72"/>
      <c r="CU934" s="72"/>
      <c r="CV934" s="72"/>
      <c r="CW934" s="72"/>
      <c r="CX934" s="72"/>
      <c r="CY934" s="72"/>
      <c r="CZ934" s="72"/>
      <c r="DA934" s="72"/>
      <c r="DB934" s="72"/>
      <c r="DC934" s="72"/>
      <c r="DD934" s="72"/>
      <c r="DE934" s="72"/>
      <c r="DF934" s="72"/>
      <c r="DG934" s="72"/>
      <c r="DH934" s="72"/>
      <c r="DI934" s="72"/>
      <c r="DJ934" s="72"/>
      <c r="DK934" s="72"/>
      <c r="DL934" s="72"/>
      <c r="DM934" s="72"/>
      <c r="DN934" s="72"/>
      <c r="DO934" s="72"/>
      <c r="DP934" s="72"/>
      <c r="DQ934" s="72"/>
      <c r="DR934" s="72"/>
      <c r="DS934" s="72"/>
      <c r="DT934" s="72"/>
      <c r="DU934" s="72"/>
      <c r="DV934" s="72"/>
      <c r="DW934" s="72"/>
      <c r="DX934" s="72"/>
      <c r="DY934" s="72"/>
      <c r="DZ934" s="72"/>
      <c r="EA934" s="72"/>
      <c r="EB934" s="72"/>
      <c r="EC934" s="72"/>
      <c r="ED934" s="72"/>
      <c r="EE934" s="72"/>
      <c r="EF934" s="72"/>
      <c r="EG934" s="72"/>
      <c r="EH934" s="72"/>
      <c r="EI934" s="129"/>
      <c r="EJ934" s="129"/>
      <c r="EK934" s="129"/>
      <c r="EL934" s="129"/>
      <c r="EM934" s="72"/>
      <c r="EN934" s="72"/>
      <c r="EO934" s="72"/>
      <c r="EP934" s="72"/>
      <c r="EQ934" s="72"/>
      <c r="ER934" s="72"/>
      <c r="ES934" s="72"/>
      <c r="ET934" s="72"/>
    </row>
    <row r="935">
      <c r="CD935" s="72"/>
      <c r="CE935" s="72"/>
      <c r="CF935" s="72"/>
      <c r="CG935" s="72"/>
      <c r="CH935" s="72"/>
      <c r="CI935" s="72"/>
      <c r="CJ935" s="72"/>
      <c r="CK935" s="72"/>
      <c r="CL935" s="72"/>
      <c r="CM935" s="72"/>
      <c r="CN935" s="72"/>
      <c r="CO935" s="72"/>
      <c r="CP935" s="72"/>
      <c r="CQ935" s="72"/>
      <c r="CR935" s="72"/>
      <c r="CS935" s="72"/>
      <c r="CT935" s="72"/>
      <c r="CU935" s="72"/>
      <c r="CV935" s="72"/>
      <c r="CW935" s="72"/>
      <c r="CX935" s="72"/>
      <c r="CY935" s="72"/>
      <c r="CZ935" s="72"/>
      <c r="DA935" s="72"/>
      <c r="DB935" s="72"/>
      <c r="DC935" s="72"/>
      <c r="DD935" s="72"/>
      <c r="DE935" s="72"/>
      <c r="DF935" s="72"/>
      <c r="DG935" s="72"/>
      <c r="DH935" s="72"/>
      <c r="DI935" s="72"/>
      <c r="DJ935" s="72"/>
      <c r="DK935" s="72"/>
      <c r="DL935" s="72"/>
      <c r="DM935" s="72"/>
      <c r="DN935" s="72"/>
      <c r="DO935" s="72"/>
      <c r="DP935" s="72"/>
      <c r="DQ935" s="72"/>
      <c r="DR935" s="72"/>
      <c r="DS935" s="72"/>
      <c r="DT935" s="72"/>
      <c r="DU935" s="72"/>
      <c r="DV935" s="72"/>
      <c r="DW935" s="72"/>
      <c r="DX935" s="72"/>
      <c r="DY935" s="72"/>
      <c r="DZ935" s="72"/>
      <c r="EA935" s="72"/>
      <c r="EB935" s="72"/>
      <c r="EC935" s="72"/>
      <c r="ED935" s="72"/>
      <c r="EE935" s="72"/>
      <c r="EF935" s="72"/>
      <c r="EG935" s="72"/>
      <c r="EH935" s="72"/>
      <c r="EI935" s="129"/>
      <c r="EJ935" s="129"/>
      <c r="EK935" s="129"/>
      <c r="EL935" s="129"/>
      <c r="EM935" s="72"/>
      <c r="EN935" s="72"/>
      <c r="EO935" s="72"/>
      <c r="EP935" s="72"/>
      <c r="EQ935" s="72"/>
      <c r="ER935" s="72"/>
      <c r="ES935" s="72"/>
      <c r="ET935" s="72"/>
    </row>
    <row r="936">
      <c r="CD936" s="72"/>
      <c r="CE936" s="72"/>
      <c r="CF936" s="72"/>
      <c r="CG936" s="72"/>
      <c r="CH936" s="72"/>
      <c r="CI936" s="72"/>
      <c r="CJ936" s="72"/>
      <c r="CK936" s="72"/>
      <c r="CL936" s="72"/>
      <c r="CM936" s="72"/>
      <c r="CN936" s="72"/>
      <c r="CO936" s="72"/>
      <c r="CP936" s="72"/>
      <c r="CQ936" s="72"/>
      <c r="CR936" s="72"/>
      <c r="CS936" s="72"/>
      <c r="CT936" s="72"/>
      <c r="CU936" s="72"/>
      <c r="CV936" s="72"/>
      <c r="CW936" s="72"/>
      <c r="CX936" s="72"/>
      <c r="CY936" s="72"/>
      <c r="CZ936" s="72"/>
      <c r="DA936" s="72"/>
      <c r="DB936" s="72"/>
      <c r="DC936" s="72"/>
      <c r="DD936" s="72"/>
      <c r="DE936" s="72"/>
      <c r="DF936" s="72"/>
      <c r="DG936" s="72"/>
      <c r="DH936" s="72"/>
      <c r="DI936" s="72"/>
      <c r="DJ936" s="72"/>
      <c r="DK936" s="72"/>
      <c r="DL936" s="72"/>
      <c r="DM936" s="72"/>
      <c r="DN936" s="72"/>
      <c r="DO936" s="72"/>
      <c r="DP936" s="72"/>
      <c r="DQ936" s="72"/>
      <c r="DR936" s="72"/>
      <c r="DS936" s="72"/>
      <c r="DT936" s="72"/>
      <c r="DU936" s="72"/>
      <c r="DV936" s="72"/>
      <c r="DW936" s="72"/>
      <c r="DX936" s="72"/>
      <c r="DY936" s="72"/>
      <c r="DZ936" s="72"/>
      <c r="EA936" s="72"/>
      <c r="EB936" s="72"/>
      <c r="EC936" s="72"/>
      <c r="ED936" s="72"/>
      <c r="EE936" s="72"/>
      <c r="EF936" s="72"/>
      <c r="EG936" s="72"/>
      <c r="EH936" s="72"/>
      <c r="EI936" s="129"/>
      <c r="EJ936" s="129"/>
      <c r="EK936" s="129"/>
      <c r="EL936" s="129"/>
      <c r="EM936" s="72"/>
      <c r="EN936" s="72"/>
      <c r="EO936" s="72"/>
      <c r="EP936" s="72"/>
      <c r="EQ936" s="72"/>
      <c r="ER936" s="72"/>
      <c r="ES936" s="72"/>
      <c r="ET936" s="72"/>
    </row>
    <row r="937">
      <c r="CD937" s="72"/>
      <c r="CE937" s="72"/>
      <c r="CF937" s="72"/>
      <c r="CG937" s="72"/>
      <c r="CH937" s="72"/>
      <c r="CI937" s="72"/>
      <c r="CJ937" s="72"/>
      <c r="CK937" s="72"/>
      <c r="CL937" s="72"/>
      <c r="CM937" s="72"/>
      <c r="CN937" s="72"/>
      <c r="CO937" s="72"/>
      <c r="CP937" s="72"/>
      <c r="CQ937" s="72"/>
      <c r="CR937" s="72"/>
      <c r="CS937" s="72"/>
      <c r="CT937" s="72"/>
      <c r="CU937" s="72"/>
      <c r="CV937" s="72"/>
      <c r="CW937" s="72"/>
      <c r="CX937" s="72"/>
      <c r="CY937" s="72"/>
      <c r="CZ937" s="72"/>
      <c r="DA937" s="72"/>
      <c r="DB937" s="72"/>
      <c r="DC937" s="72"/>
      <c r="DD937" s="72"/>
      <c r="DE937" s="72"/>
      <c r="DF937" s="72"/>
      <c r="DG937" s="72"/>
      <c r="DH937" s="72"/>
      <c r="DI937" s="72"/>
      <c r="DJ937" s="72"/>
      <c r="DK937" s="72"/>
      <c r="DL937" s="72"/>
      <c r="DM937" s="72"/>
      <c r="DN937" s="72"/>
      <c r="DO937" s="72"/>
      <c r="DP937" s="72"/>
      <c r="DQ937" s="72"/>
      <c r="DR937" s="72"/>
      <c r="DS937" s="72"/>
      <c r="DT937" s="72"/>
      <c r="DU937" s="72"/>
      <c r="DV937" s="72"/>
      <c r="DW937" s="72"/>
      <c r="DX937" s="72"/>
      <c r="DY937" s="72"/>
      <c r="DZ937" s="72"/>
      <c r="EA937" s="72"/>
      <c r="EB937" s="72"/>
      <c r="EC937" s="72"/>
      <c r="ED937" s="72"/>
      <c r="EE937" s="72"/>
      <c r="EF937" s="72"/>
      <c r="EG937" s="72"/>
      <c r="EH937" s="72"/>
      <c r="EI937" s="129"/>
      <c r="EJ937" s="129"/>
      <c r="EK937" s="129"/>
      <c r="EL937" s="129"/>
      <c r="EM937" s="72"/>
      <c r="EN937" s="72"/>
      <c r="EO937" s="72"/>
      <c r="EP937" s="72"/>
      <c r="EQ937" s="72"/>
      <c r="ER937" s="72"/>
      <c r="ES937" s="72"/>
      <c r="ET937" s="72"/>
    </row>
    <row r="938">
      <c r="CD938" s="72"/>
      <c r="CE938" s="72"/>
      <c r="CF938" s="72"/>
      <c r="CG938" s="72"/>
      <c r="CH938" s="72"/>
      <c r="CI938" s="72"/>
      <c r="CJ938" s="72"/>
      <c r="CK938" s="72"/>
      <c r="CL938" s="72"/>
      <c r="CM938" s="72"/>
      <c r="CN938" s="72"/>
      <c r="CO938" s="72"/>
      <c r="CP938" s="72"/>
      <c r="CQ938" s="72"/>
      <c r="CR938" s="72"/>
      <c r="CS938" s="72"/>
      <c r="CT938" s="72"/>
      <c r="CU938" s="72"/>
      <c r="CV938" s="72"/>
      <c r="CW938" s="72"/>
      <c r="CX938" s="72"/>
      <c r="CY938" s="72"/>
      <c r="CZ938" s="72"/>
      <c r="DA938" s="72"/>
      <c r="DB938" s="72"/>
      <c r="DC938" s="72"/>
      <c r="DD938" s="72"/>
      <c r="DE938" s="72"/>
      <c r="DF938" s="72"/>
      <c r="DG938" s="72"/>
      <c r="DH938" s="72"/>
      <c r="DI938" s="72"/>
      <c r="DJ938" s="72"/>
      <c r="DK938" s="72"/>
      <c r="DL938" s="72"/>
      <c r="DM938" s="72"/>
      <c r="DN938" s="72"/>
      <c r="DO938" s="72"/>
      <c r="DP938" s="72"/>
      <c r="DQ938" s="72"/>
      <c r="DR938" s="72"/>
      <c r="DS938" s="72"/>
      <c r="DT938" s="72"/>
      <c r="DU938" s="72"/>
      <c r="DV938" s="72"/>
      <c r="DW938" s="72"/>
      <c r="DX938" s="72"/>
      <c r="DY938" s="72"/>
      <c r="DZ938" s="72"/>
      <c r="EA938" s="72"/>
      <c r="EB938" s="72"/>
      <c r="EC938" s="72"/>
      <c r="ED938" s="72"/>
      <c r="EE938" s="72"/>
      <c r="EF938" s="72"/>
      <c r="EG938" s="72"/>
      <c r="EH938" s="72"/>
      <c r="EI938" s="129"/>
      <c r="EJ938" s="129"/>
      <c r="EK938" s="129"/>
      <c r="EL938" s="129"/>
      <c r="EM938" s="72"/>
      <c r="EN938" s="72"/>
      <c r="EO938" s="72"/>
      <c r="EP938" s="72"/>
      <c r="EQ938" s="72"/>
      <c r="ER938" s="72"/>
      <c r="ES938" s="72"/>
      <c r="ET938" s="72"/>
    </row>
    <row r="939">
      <c r="CD939" s="72"/>
      <c r="CE939" s="72"/>
      <c r="CF939" s="72"/>
      <c r="CG939" s="72"/>
      <c r="CH939" s="72"/>
      <c r="CI939" s="72"/>
      <c r="CJ939" s="72"/>
      <c r="CK939" s="72"/>
      <c r="CL939" s="72"/>
      <c r="CM939" s="72"/>
      <c r="CN939" s="72"/>
      <c r="CO939" s="72"/>
      <c r="CP939" s="72"/>
      <c r="CQ939" s="72"/>
      <c r="CR939" s="72"/>
      <c r="CS939" s="72"/>
      <c r="CT939" s="72"/>
      <c r="CU939" s="72"/>
      <c r="CV939" s="72"/>
      <c r="CW939" s="72"/>
      <c r="CX939" s="72"/>
      <c r="CY939" s="72"/>
      <c r="CZ939" s="72"/>
      <c r="DA939" s="72"/>
      <c r="DB939" s="72"/>
      <c r="DC939" s="72"/>
      <c r="DD939" s="72"/>
      <c r="DE939" s="72"/>
      <c r="DF939" s="72"/>
      <c r="DG939" s="72"/>
      <c r="DH939" s="72"/>
      <c r="DI939" s="72"/>
      <c r="DJ939" s="72"/>
      <c r="DK939" s="72"/>
      <c r="DL939" s="72"/>
      <c r="DM939" s="72"/>
      <c r="DN939" s="72"/>
      <c r="DO939" s="72"/>
      <c r="DP939" s="72"/>
      <c r="DQ939" s="72"/>
      <c r="DR939" s="72"/>
      <c r="DS939" s="72"/>
      <c r="DT939" s="72"/>
      <c r="DU939" s="72"/>
      <c r="DV939" s="72"/>
      <c r="DW939" s="72"/>
      <c r="DX939" s="72"/>
      <c r="DY939" s="72"/>
      <c r="DZ939" s="72"/>
      <c r="EA939" s="72"/>
      <c r="EB939" s="72"/>
      <c r="EC939" s="72"/>
      <c r="ED939" s="72"/>
      <c r="EE939" s="72"/>
      <c r="EF939" s="72"/>
      <c r="EG939" s="72"/>
      <c r="EH939" s="72"/>
      <c r="EI939" s="129"/>
      <c r="EJ939" s="129"/>
      <c r="EK939" s="129"/>
      <c r="EL939" s="129"/>
      <c r="EM939" s="72"/>
      <c r="EN939" s="72"/>
      <c r="EO939" s="72"/>
      <c r="EP939" s="72"/>
      <c r="EQ939" s="72"/>
      <c r="ER939" s="72"/>
      <c r="ES939" s="72"/>
      <c r="ET939" s="72"/>
    </row>
    <row r="940">
      <c r="CD940" s="72"/>
      <c r="CE940" s="72"/>
      <c r="CF940" s="72"/>
      <c r="CG940" s="72"/>
      <c r="CH940" s="72"/>
      <c r="CI940" s="72"/>
      <c r="CJ940" s="72"/>
      <c r="CK940" s="72"/>
      <c r="CL940" s="72"/>
      <c r="CM940" s="72"/>
      <c r="CN940" s="72"/>
      <c r="CO940" s="72"/>
      <c r="CP940" s="72"/>
      <c r="CQ940" s="72"/>
      <c r="CR940" s="72"/>
      <c r="CS940" s="72"/>
      <c r="CT940" s="72"/>
      <c r="CU940" s="72"/>
      <c r="CV940" s="72"/>
      <c r="CW940" s="72"/>
      <c r="CX940" s="72"/>
      <c r="CY940" s="72"/>
      <c r="CZ940" s="72"/>
      <c r="DA940" s="72"/>
      <c r="DB940" s="72"/>
      <c r="DC940" s="72"/>
      <c r="DD940" s="72"/>
      <c r="DE940" s="72"/>
      <c r="DF940" s="72"/>
      <c r="DG940" s="72"/>
      <c r="DH940" s="72"/>
      <c r="DI940" s="72"/>
      <c r="DJ940" s="72"/>
      <c r="DK940" s="72"/>
      <c r="DL940" s="72"/>
      <c r="DM940" s="72"/>
      <c r="DN940" s="72"/>
      <c r="DO940" s="72"/>
      <c r="DP940" s="72"/>
      <c r="DQ940" s="72"/>
      <c r="DR940" s="72"/>
      <c r="DS940" s="72"/>
      <c r="DT940" s="72"/>
      <c r="DU940" s="72"/>
      <c r="DV940" s="72"/>
      <c r="DW940" s="72"/>
      <c r="DX940" s="72"/>
      <c r="DY940" s="72"/>
      <c r="DZ940" s="72"/>
      <c r="EA940" s="72"/>
      <c r="EB940" s="72"/>
      <c r="EC940" s="72"/>
      <c r="ED940" s="72"/>
      <c r="EE940" s="72"/>
      <c r="EF940" s="72"/>
      <c r="EG940" s="72"/>
      <c r="EH940" s="72"/>
      <c r="EI940" s="129"/>
      <c r="EJ940" s="129"/>
      <c r="EK940" s="129"/>
      <c r="EL940" s="129"/>
      <c r="EM940" s="72"/>
      <c r="EN940" s="72"/>
      <c r="EO940" s="72"/>
      <c r="EP940" s="72"/>
      <c r="EQ940" s="72"/>
      <c r="ER940" s="72"/>
      <c r="ES940" s="72"/>
      <c r="ET940" s="72"/>
    </row>
    <row r="941">
      <c r="CD941" s="72"/>
      <c r="CE941" s="72"/>
      <c r="CF941" s="72"/>
      <c r="CG941" s="72"/>
      <c r="CH941" s="72"/>
      <c r="CI941" s="72"/>
      <c r="CJ941" s="72"/>
      <c r="CK941" s="72"/>
      <c r="CL941" s="72"/>
      <c r="CM941" s="72"/>
      <c r="CN941" s="72"/>
      <c r="CO941" s="72"/>
      <c r="CP941" s="72"/>
      <c r="CQ941" s="72"/>
      <c r="CR941" s="72"/>
      <c r="CS941" s="72"/>
      <c r="CT941" s="72"/>
      <c r="CU941" s="72"/>
      <c r="CV941" s="72"/>
      <c r="CW941" s="72"/>
      <c r="CX941" s="72"/>
      <c r="CY941" s="72"/>
      <c r="CZ941" s="72"/>
      <c r="DA941" s="72"/>
      <c r="DB941" s="72"/>
      <c r="DC941" s="72"/>
      <c r="DD941" s="72"/>
      <c r="DE941" s="72"/>
      <c r="DF941" s="72"/>
      <c r="DG941" s="72"/>
      <c r="DH941" s="72"/>
      <c r="DI941" s="72"/>
      <c r="DJ941" s="72"/>
      <c r="DK941" s="72"/>
      <c r="DL941" s="72"/>
      <c r="DM941" s="72"/>
      <c r="DN941" s="72"/>
      <c r="DO941" s="72"/>
      <c r="DP941" s="72"/>
      <c r="DQ941" s="72"/>
      <c r="DR941" s="72"/>
      <c r="DS941" s="72"/>
      <c r="DT941" s="72"/>
      <c r="DU941" s="72"/>
      <c r="DV941" s="72"/>
      <c r="DW941" s="72"/>
      <c r="DX941" s="72"/>
      <c r="DY941" s="72"/>
      <c r="DZ941" s="72"/>
      <c r="EA941" s="72"/>
      <c r="EB941" s="72"/>
      <c r="EC941" s="72"/>
      <c r="ED941" s="72"/>
      <c r="EE941" s="72"/>
      <c r="EF941" s="72"/>
      <c r="EG941" s="72"/>
      <c r="EH941" s="72"/>
      <c r="EI941" s="129"/>
      <c r="EJ941" s="129"/>
      <c r="EK941" s="129"/>
      <c r="EL941" s="129"/>
      <c r="EM941" s="72"/>
      <c r="EN941" s="72"/>
      <c r="EO941" s="72"/>
      <c r="EP941" s="72"/>
      <c r="EQ941" s="72"/>
      <c r="ER941" s="72"/>
      <c r="ES941" s="72"/>
      <c r="ET941" s="72"/>
    </row>
    <row r="942">
      <c r="CD942" s="72"/>
      <c r="CE942" s="72"/>
      <c r="CF942" s="72"/>
      <c r="CG942" s="72"/>
      <c r="CH942" s="72"/>
      <c r="CI942" s="72"/>
      <c r="CJ942" s="72"/>
      <c r="CK942" s="72"/>
      <c r="CL942" s="72"/>
      <c r="CM942" s="72"/>
      <c r="CN942" s="72"/>
      <c r="CO942" s="72"/>
      <c r="CP942" s="72"/>
      <c r="CQ942" s="72"/>
      <c r="CR942" s="72"/>
      <c r="CS942" s="72"/>
      <c r="CT942" s="72"/>
      <c r="CU942" s="72"/>
      <c r="CV942" s="72"/>
      <c r="CW942" s="72"/>
      <c r="CX942" s="72"/>
      <c r="CY942" s="72"/>
      <c r="CZ942" s="72"/>
      <c r="DA942" s="72"/>
      <c r="DB942" s="72"/>
      <c r="DC942" s="72"/>
      <c r="DD942" s="72"/>
      <c r="DE942" s="72"/>
      <c r="DF942" s="72"/>
      <c r="DG942" s="72"/>
      <c r="DH942" s="72"/>
      <c r="DI942" s="72"/>
      <c r="DJ942" s="72"/>
      <c r="DK942" s="72"/>
      <c r="DL942" s="72"/>
      <c r="DM942" s="72"/>
      <c r="DN942" s="72"/>
      <c r="DO942" s="72"/>
      <c r="DP942" s="72"/>
      <c r="DQ942" s="72"/>
      <c r="DR942" s="72"/>
      <c r="DS942" s="72"/>
      <c r="DT942" s="72"/>
      <c r="DU942" s="72"/>
      <c r="DV942" s="72"/>
      <c r="DW942" s="72"/>
      <c r="DX942" s="72"/>
      <c r="DY942" s="72"/>
      <c r="DZ942" s="72"/>
      <c r="EA942" s="72"/>
      <c r="EB942" s="72"/>
      <c r="EC942" s="72"/>
      <c r="ED942" s="72"/>
      <c r="EE942" s="72"/>
      <c r="EF942" s="72"/>
      <c r="EG942" s="72"/>
      <c r="EH942" s="72"/>
      <c r="EI942" s="129"/>
      <c r="EJ942" s="129"/>
      <c r="EK942" s="129"/>
      <c r="EL942" s="129"/>
      <c r="EM942" s="72"/>
      <c r="EN942" s="72"/>
      <c r="EO942" s="72"/>
      <c r="EP942" s="72"/>
      <c r="EQ942" s="72"/>
      <c r="ER942" s="72"/>
      <c r="ES942" s="72"/>
      <c r="ET942" s="72"/>
    </row>
    <row r="943">
      <c r="CD943" s="72"/>
      <c r="CE943" s="72"/>
      <c r="CF943" s="72"/>
      <c r="CG943" s="72"/>
      <c r="CH943" s="72"/>
      <c r="CI943" s="72"/>
      <c r="CJ943" s="72"/>
      <c r="CK943" s="72"/>
      <c r="CL943" s="72"/>
      <c r="CM943" s="72"/>
      <c r="CN943" s="72"/>
      <c r="CO943" s="72"/>
      <c r="CP943" s="72"/>
      <c r="CQ943" s="72"/>
      <c r="CR943" s="72"/>
      <c r="CS943" s="72"/>
      <c r="CT943" s="72"/>
      <c r="CU943" s="72"/>
      <c r="CV943" s="72"/>
      <c r="CW943" s="72"/>
      <c r="CX943" s="72"/>
      <c r="CY943" s="72"/>
      <c r="CZ943" s="72"/>
      <c r="DA943" s="72"/>
      <c r="DB943" s="72"/>
      <c r="DC943" s="72"/>
      <c r="DD943" s="72"/>
      <c r="DE943" s="72"/>
      <c r="DF943" s="72"/>
      <c r="DG943" s="72"/>
      <c r="DH943" s="72"/>
      <c r="DI943" s="72"/>
      <c r="DJ943" s="72"/>
      <c r="DK943" s="72"/>
      <c r="DL943" s="72"/>
      <c r="DM943" s="72"/>
      <c r="DN943" s="72"/>
      <c r="DO943" s="72"/>
      <c r="DP943" s="72"/>
      <c r="DQ943" s="72"/>
      <c r="DR943" s="72"/>
      <c r="DS943" s="72"/>
      <c r="DT943" s="72"/>
      <c r="DU943" s="72"/>
      <c r="DV943" s="72"/>
      <c r="DW943" s="72"/>
      <c r="DX943" s="72"/>
      <c r="DY943" s="72"/>
      <c r="DZ943" s="72"/>
      <c r="EA943" s="72"/>
      <c r="EB943" s="72"/>
      <c r="EC943" s="72"/>
      <c r="ED943" s="72"/>
      <c r="EE943" s="72"/>
      <c r="EF943" s="72"/>
      <c r="EG943" s="72"/>
      <c r="EH943" s="72"/>
      <c r="EI943" s="129"/>
      <c r="EJ943" s="129"/>
      <c r="EK943" s="129"/>
      <c r="EL943" s="129"/>
      <c r="EM943" s="72"/>
      <c r="EN943" s="72"/>
      <c r="EO943" s="72"/>
      <c r="EP943" s="72"/>
      <c r="EQ943" s="72"/>
      <c r="ER943" s="72"/>
      <c r="ES943" s="72"/>
      <c r="ET943" s="72"/>
    </row>
    <row r="944">
      <c r="CD944" s="72"/>
      <c r="CE944" s="72"/>
      <c r="CF944" s="72"/>
      <c r="CG944" s="72"/>
      <c r="CH944" s="72"/>
      <c r="CI944" s="72"/>
      <c r="CJ944" s="72"/>
      <c r="CK944" s="72"/>
      <c r="CL944" s="72"/>
      <c r="CM944" s="72"/>
      <c r="CN944" s="72"/>
      <c r="CO944" s="72"/>
      <c r="CP944" s="72"/>
      <c r="CQ944" s="72"/>
      <c r="CR944" s="72"/>
      <c r="CS944" s="72"/>
      <c r="CT944" s="72"/>
      <c r="CU944" s="72"/>
      <c r="CV944" s="72"/>
      <c r="CW944" s="72"/>
      <c r="CX944" s="72"/>
      <c r="CY944" s="72"/>
      <c r="CZ944" s="72"/>
      <c r="DA944" s="72"/>
      <c r="DB944" s="72"/>
      <c r="DC944" s="72"/>
      <c r="DD944" s="72"/>
      <c r="DE944" s="72"/>
      <c r="DF944" s="72"/>
      <c r="DG944" s="72"/>
      <c r="DH944" s="72"/>
      <c r="DI944" s="72"/>
      <c r="DJ944" s="72"/>
      <c r="DK944" s="72"/>
      <c r="DL944" s="72"/>
      <c r="DM944" s="72"/>
      <c r="DN944" s="72"/>
      <c r="DO944" s="72"/>
      <c r="DP944" s="72"/>
      <c r="DQ944" s="72"/>
      <c r="DR944" s="72"/>
      <c r="DS944" s="72"/>
      <c r="DT944" s="72"/>
      <c r="DU944" s="72"/>
      <c r="DV944" s="72"/>
      <c r="DW944" s="72"/>
      <c r="DX944" s="72"/>
      <c r="DY944" s="72"/>
      <c r="DZ944" s="72"/>
      <c r="EA944" s="72"/>
      <c r="EB944" s="72"/>
      <c r="EC944" s="72"/>
      <c r="ED944" s="72"/>
      <c r="EE944" s="72"/>
      <c r="EF944" s="72"/>
      <c r="EG944" s="72"/>
      <c r="EH944" s="72"/>
      <c r="EI944" s="129"/>
      <c r="EJ944" s="129"/>
      <c r="EK944" s="129"/>
      <c r="EL944" s="129"/>
      <c r="EM944" s="72"/>
      <c r="EN944" s="72"/>
      <c r="EO944" s="72"/>
      <c r="EP944" s="72"/>
      <c r="EQ944" s="72"/>
      <c r="ER944" s="72"/>
      <c r="ES944" s="72"/>
      <c r="ET944" s="72"/>
    </row>
    <row r="945">
      <c r="CD945" s="72"/>
      <c r="CE945" s="72"/>
      <c r="CF945" s="72"/>
      <c r="CG945" s="72"/>
      <c r="CH945" s="72"/>
      <c r="CI945" s="72"/>
      <c r="CJ945" s="72"/>
      <c r="CK945" s="72"/>
      <c r="CL945" s="72"/>
      <c r="CM945" s="72"/>
      <c r="CN945" s="72"/>
      <c r="CO945" s="72"/>
      <c r="CP945" s="72"/>
      <c r="CQ945" s="72"/>
      <c r="CR945" s="72"/>
      <c r="CS945" s="72"/>
      <c r="CT945" s="72"/>
      <c r="CU945" s="72"/>
      <c r="CV945" s="72"/>
      <c r="CW945" s="72"/>
      <c r="CX945" s="72"/>
      <c r="CY945" s="72"/>
      <c r="CZ945" s="72"/>
      <c r="DA945" s="72"/>
      <c r="DB945" s="72"/>
      <c r="DC945" s="72"/>
      <c r="DD945" s="72"/>
      <c r="DE945" s="72"/>
      <c r="DF945" s="72"/>
      <c r="DG945" s="72"/>
      <c r="DH945" s="72"/>
      <c r="DI945" s="72"/>
      <c r="DJ945" s="72"/>
      <c r="DK945" s="72"/>
      <c r="DL945" s="72"/>
      <c r="DM945" s="72"/>
      <c r="DN945" s="72"/>
      <c r="DO945" s="72"/>
      <c r="DP945" s="72"/>
      <c r="DQ945" s="72"/>
      <c r="DR945" s="72"/>
      <c r="DS945" s="72"/>
      <c r="DT945" s="72"/>
      <c r="DU945" s="72"/>
      <c r="DV945" s="72"/>
      <c r="DW945" s="72"/>
      <c r="DX945" s="72"/>
      <c r="DY945" s="72"/>
      <c r="DZ945" s="72"/>
      <c r="EA945" s="72"/>
      <c r="EB945" s="72"/>
      <c r="EC945" s="72"/>
      <c r="ED945" s="72"/>
      <c r="EE945" s="72"/>
      <c r="EF945" s="72"/>
      <c r="EG945" s="72"/>
      <c r="EH945" s="72"/>
      <c r="EI945" s="129"/>
      <c r="EJ945" s="129"/>
      <c r="EK945" s="129"/>
      <c r="EL945" s="129"/>
      <c r="EM945" s="72"/>
      <c r="EN945" s="72"/>
      <c r="EO945" s="72"/>
      <c r="EP945" s="72"/>
      <c r="EQ945" s="72"/>
      <c r="ER945" s="72"/>
      <c r="ES945" s="72"/>
      <c r="ET945" s="72"/>
    </row>
    <row r="946">
      <c r="CD946" s="72"/>
      <c r="CE946" s="72"/>
      <c r="CF946" s="72"/>
      <c r="CG946" s="72"/>
      <c r="CH946" s="72"/>
      <c r="CI946" s="72"/>
      <c r="CJ946" s="72"/>
      <c r="CK946" s="72"/>
      <c r="CL946" s="72"/>
      <c r="CM946" s="72"/>
      <c r="CN946" s="72"/>
      <c r="CO946" s="72"/>
      <c r="CP946" s="72"/>
      <c r="CQ946" s="72"/>
      <c r="CR946" s="72"/>
      <c r="CS946" s="72"/>
      <c r="CT946" s="72"/>
      <c r="CU946" s="72"/>
      <c r="CV946" s="72"/>
      <c r="CW946" s="72"/>
      <c r="CX946" s="72"/>
      <c r="CY946" s="72"/>
      <c r="CZ946" s="72"/>
      <c r="DA946" s="72"/>
      <c r="DB946" s="72"/>
      <c r="DC946" s="72"/>
      <c r="DD946" s="72"/>
      <c r="DE946" s="72"/>
      <c r="DF946" s="72"/>
      <c r="DG946" s="72"/>
      <c r="DH946" s="72"/>
      <c r="DI946" s="72"/>
      <c r="DJ946" s="72"/>
      <c r="DK946" s="72"/>
      <c r="DL946" s="72"/>
      <c r="DM946" s="72"/>
      <c r="DN946" s="72"/>
      <c r="DO946" s="72"/>
      <c r="DP946" s="72"/>
      <c r="DQ946" s="72"/>
      <c r="DR946" s="72"/>
      <c r="DS946" s="72"/>
      <c r="DT946" s="72"/>
      <c r="DU946" s="72"/>
      <c r="DV946" s="72"/>
      <c r="DW946" s="72"/>
      <c r="DX946" s="72"/>
      <c r="DY946" s="72"/>
      <c r="DZ946" s="72"/>
      <c r="EA946" s="72"/>
      <c r="EB946" s="72"/>
      <c r="EC946" s="72"/>
      <c r="ED946" s="72"/>
      <c r="EE946" s="72"/>
      <c r="EF946" s="72"/>
      <c r="EG946" s="72"/>
      <c r="EH946" s="72"/>
      <c r="EI946" s="129"/>
      <c r="EJ946" s="129"/>
      <c r="EK946" s="129"/>
      <c r="EL946" s="129"/>
      <c r="EM946" s="72"/>
      <c r="EN946" s="72"/>
      <c r="EO946" s="72"/>
      <c r="EP946" s="72"/>
      <c r="EQ946" s="72"/>
      <c r="ER946" s="72"/>
      <c r="ES946" s="72"/>
      <c r="ET946" s="72"/>
    </row>
    <row r="947">
      <c r="CD947" s="72"/>
      <c r="CE947" s="72"/>
      <c r="CF947" s="72"/>
      <c r="CG947" s="72"/>
      <c r="CH947" s="72"/>
      <c r="CI947" s="72"/>
      <c r="CJ947" s="72"/>
      <c r="CK947" s="72"/>
      <c r="CL947" s="72"/>
      <c r="CM947" s="72"/>
      <c r="CN947" s="72"/>
      <c r="CO947" s="72"/>
      <c r="CP947" s="72"/>
      <c r="CQ947" s="72"/>
      <c r="CR947" s="72"/>
      <c r="CS947" s="72"/>
      <c r="CT947" s="72"/>
      <c r="CU947" s="72"/>
      <c r="CV947" s="72"/>
      <c r="CW947" s="72"/>
      <c r="CX947" s="72"/>
      <c r="CY947" s="72"/>
      <c r="CZ947" s="72"/>
      <c r="DA947" s="72"/>
      <c r="DB947" s="72"/>
      <c r="DC947" s="72"/>
      <c r="DD947" s="72"/>
      <c r="DE947" s="72"/>
      <c r="DF947" s="72"/>
      <c r="DG947" s="72"/>
      <c r="DH947" s="72"/>
      <c r="DI947" s="72"/>
      <c r="DJ947" s="72"/>
      <c r="DK947" s="72"/>
      <c r="DL947" s="72"/>
      <c r="DM947" s="72"/>
      <c r="DN947" s="72"/>
      <c r="DO947" s="72"/>
      <c r="DP947" s="72"/>
      <c r="DQ947" s="72"/>
      <c r="DR947" s="72"/>
      <c r="DS947" s="72"/>
      <c r="DT947" s="72"/>
      <c r="DU947" s="72"/>
      <c r="DV947" s="72"/>
      <c r="DW947" s="72"/>
      <c r="DX947" s="72"/>
      <c r="DY947" s="72"/>
      <c r="DZ947" s="72"/>
      <c r="EA947" s="72"/>
      <c r="EB947" s="72"/>
      <c r="EC947" s="72"/>
      <c r="ED947" s="72"/>
      <c r="EE947" s="72"/>
      <c r="EF947" s="72"/>
      <c r="EG947" s="72"/>
      <c r="EH947" s="72"/>
      <c r="EI947" s="129"/>
      <c r="EJ947" s="129"/>
      <c r="EK947" s="129"/>
      <c r="EL947" s="129"/>
      <c r="EM947" s="72"/>
      <c r="EN947" s="72"/>
      <c r="EO947" s="72"/>
      <c r="EP947" s="72"/>
      <c r="EQ947" s="72"/>
      <c r="ER947" s="72"/>
      <c r="ES947" s="72"/>
      <c r="ET947" s="72"/>
    </row>
    <row r="948">
      <c r="CD948" s="72"/>
      <c r="CE948" s="72"/>
      <c r="CF948" s="72"/>
      <c r="CG948" s="72"/>
      <c r="CH948" s="72"/>
      <c r="CI948" s="72"/>
      <c r="CJ948" s="72"/>
      <c r="CK948" s="72"/>
      <c r="CL948" s="72"/>
      <c r="CM948" s="72"/>
      <c r="CN948" s="72"/>
      <c r="CO948" s="72"/>
      <c r="CP948" s="72"/>
      <c r="CQ948" s="72"/>
      <c r="CR948" s="72"/>
      <c r="CS948" s="72"/>
      <c r="CT948" s="72"/>
      <c r="CU948" s="72"/>
      <c r="CV948" s="72"/>
      <c r="CW948" s="72"/>
      <c r="CX948" s="72"/>
      <c r="CY948" s="72"/>
      <c r="CZ948" s="72"/>
      <c r="DA948" s="72"/>
      <c r="DB948" s="72"/>
      <c r="DC948" s="72"/>
      <c r="DD948" s="72"/>
      <c r="DE948" s="72"/>
      <c r="DF948" s="72"/>
      <c r="DG948" s="72"/>
      <c r="DH948" s="72"/>
      <c r="DI948" s="72"/>
      <c r="DJ948" s="72"/>
      <c r="DK948" s="72"/>
      <c r="DL948" s="72"/>
      <c r="DM948" s="72"/>
      <c r="DN948" s="72"/>
      <c r="DO948" s="72"/>
      <c r="DP948" s="72"/>
      <c r="DQ948" s="72"/>
      <c r="DR948" s="72"/>
      <c r="DS948" s="72"/>
      <c r="DT948" s="72"/>
      <c r="DU948" s="72"/>
      <c r="DV948" s="72"/>
      <c r="DW948" s="72"/>
      <c r="DX948" s="72"/>
      <c r="DY948" s="72"/>
      <c r="DZ948" s="72"/>
      <c r="EA948" s="72"/>
      <c r="EB948" s="72"/>
      <c r="EC948" s="72"/>
      <c r="ED948" s="72"/>
      <c r="EE948" s="72"/>
      <c r="EF948" s="72"/>
      <c r="EG948" s="72"/>
      <c r="EH948" s="72"/>
      <c r="EI948" s="129"/>
      <c r="EJ948" s="129"/>
      <c r="EK948" s="129"/>
      <c r="EL948" s="129"/>
      <c r="EM948" s="72"/>
      <c r="EN948" s="72"/>
      <c r="EO948" s="72"/>
      <c r="EP948" s="72"/>
      <c r="EQ948" s="72"/>
      <c r="ER948" s="72"/>
      <c r="ES948" s="72"/>
      <c r="ET948" s="72"/>
    </row>
    <row r="949">
      <c r="CD949" s="72"/>
      <c r="CE949" s="72"/>
      <c r="CF949" s="72"/>
      <c r="CG949" s="72"/>
      <c r="CH949" s="72"/>
      <c r="CI949" s="72"/>
      <c r="CJ949" s="72"/>
      <c r="CK949" s="72"/>
      <c r="CL949" s="72"/>
      <c r="CM949" s="72"/>
      <c r="CN949" s="72"/>
      <c r="CO949" s="72"/>
      <c r="CP949" s="72"/>
      <c r="CQ949" s="72"/>
      <c r="CR949" s="72"/>
      <c r="CS949" s="72"/>
      <c r="CT949" s="72"/>
      <c r="CU949" s="72"/>
      <c r="CV949" s="72"/>
      <c r="CW949" s="72"/>
      <c r="CX949" s="72"/>
      <c r="CY949" s="72"/>
      <c r="CZ949" s="72"/>
      <c r="DA949" s="72"/>
      <c r="DB949" s="72"/>
      <c r="DC949" s="72"/>
      <c r="DD949" s="72"/>
      <c r="DE949" s="72"/>
      <c r="DF949" s="72"/>
      <c r="DG949" s="72"/>
      <c r="DH949" s="72"/>
      <c r="DI949" s="72"/>
      <c r="DJ949" s="72"/>
      <c r="DK949" s="72"/>
      <c r="DL949" s="72"/>
      <c r="DM949" s="72"/>
      <c r="DN949" s="72"/>
      <c r="DO949" s="72"/>
      <c r="DP949" s="72"/>
      <c r="DQ949" s="72"/>
      <c r="DR949" s="72"/>
      <c r="DS949" s="72"/>
      <c r="DT949" s="72"/>
      <c r="DU949" s="72"/>
      <c r="DV949" s="72"/>
      <c r="DW949" s="72"/>
      <c r="DX949" s="72"/>
      <c r="DY949" s="72"/>
      <c r="DZ949" s="72"/>
      <c r="EA949" s="72"/>
      <c r="EB949" s="72"/>
      <c r="EC949" s="72"/>
      <c r="ED949" s="72"/>
      <c r="EE949" s="72"/>
      <c r="EF949" s="72"/>
      <c r="EG949" s="72"/>
      <c r="EH949" s="72"/>
      <c r="EI949" s="129"/>
      <c r="EJ949" s="129"/>
      <c r="EK949" s="129"/>
      <c r="EL949" s="129"/>
      <c r="EM949" s="72"/>
      <c r="EN949" s="72"/>
      <c r="EO949" s="72"/>
      <c r="EP949" s="72"/>
      <c r="EQ949" s="72"/>
      <c r="ER949" s="72"/>
      <c r="ES949" s="72"/>
      <c r="ET949" s="72"/>
    </row>
    <row r="950">
      <c r="CD950" s="72"/>
      <c r="CE950" s="72"/>
      <c r="CF950" s="72"/>
      <c r="CG950" s="72"/>
      <c r="CH950" s="72"/>
      <c r="CI950" s="72"/>
      <c r="CJ950" s="72"/>
      <c r="CK950" s="72"/>
      <c r="CL950" s="72"/>
      <c r="CM950" s="72"/>
      <c r="CN950" s="72"/>
      <c r="CO950" s="72"/>
      <c r="CP950" s="72"/>
      <c r="CQ950" s="72"/>
      <c r="CR950" s="72"/>
      <c r="CS950" s="72"/>
      <c r="CT950" s="72"/>
      <c r="CU950" s="72"/>
      <c r="CV950" s="72"/>
      <c r="CW950" s="72"/>
      <c r="CX950" s="72"/>
      <c r="CY950" s="72"/>
      <c r="CZ950" s="72"/>
      <c r="DA950" s="72"/>
      <c r="DB950" s="72"/>
      <c r="DC950" s="72"/>
      <c r="DD950" s="72"/>
      <c r="DE950" s="72"/>
      <c r="DF950" s="72"/>
      <c r="DG950" s="72"/>
      <c r="DH950" s="72"/>
      <c r="DI950" s="72"/>
      <c r="DJ950" s="72"/>
      <c r="DK950" s="72"/>
      <c r="DL950" s="72"/>
      <c r="DM950" s="72"/>
      <c r="DN950" s="72"/>
      <c r="DO950" s="72"/>
      <c r="DP950" s="72"/>
      <c r="DQ950" s="72"/>
      <c r="DR950" s="72"/>
      <c r="DS950" s="72"/>
      <c r="DT950" s="72"/>
      <c r="DU950" s="72"/>
      <c r="DV950" s="72"/>
      <c r="DW950" s="72"/>
      <c r="DX950" s="72"/>
      <c r="DY950" s="72"/>
      <c r="DZ950" s="72"/>
      <c r="EA950" s="72"/>
      <c r="EB950" s="72"/>
      <c r="EC950" s="72"/>
      <c r="ED950" s="72"/>
      <c r="EE950" s="72"/>
      <c r="EF950" s="72"/>
      <c r="EG950" s="72"/>
      <c r="EH950" s="72"/>
      <c r="EI950" s="129"/>
      <c r="EJ950" s="129"/>
      <c r="EK950" s="129"/>
      <c r="EL950" s="129"/>
      <c r="EM950" s="72"/>
      <c r="EN950" s="72"/>
      <c r="EO950" s="72"/>
      <c r="EP950" s="72"/>
      <c r="EQ950" s="72"/>
      <c r="ER950" s="72"/>
      <c r="ES950" s="72"/>
      <c r="ET950" s="72"/>
    </row>
    <row r="951">
      <c r="CD951" s="72"/>
      <c r="CE951" s="72"/>
      <c r="CF951" s="72"/>
      <c r="CG951" s="72"/>
      <c r="CH951" s="72"/>
      <c r="CI951" s="72"/>
      <c r="CJ951" s="72"/>
      <c r="CK951" s="72"/>
      <c r="CL951" s="72"/>
      <c r="CM951" s="72"/>
      <c r="CN951" s="72"/>
      <c r="CO951" s="72"/>
      <c r="CP951" s="72"/>
      <c r="CQ951" s="72"/>
      <c r="CR951" s="72"/>
      <c r="CS951" s="72"/>
      <c r="CT951" s="72"/>
      <c r="CU951" s="72"/>
      <c r="CV951" s="72"/>
      <c r="CW951" s="72"/>
      <c r="CX951" s="72"/>
      <c r="CY951" s="72"/>
      <c r="CZ951" s="72"/>
      <c r="DA951" s="72"/>
      <c r="DB951" s="72"/>
      <c r="DC951" s="72"/>
      <c r="DD951" s="72"/>
      <c r="DE951" s="72"/>
      <c r="DF951" s="72"/>
      <c r="DG951" s="72"/>
      <c r="DH951" s="72"/>
      <c r="DI951" s="72"/>
      <c r="DJ951" s="72"/>
      <c r="DK951" s="72"/>
      <c r="DL951" s="72"/>
      <c r="DM951" s="72"/>
      <c r="DN951" s="72"/>
      <c r="DO951" s="72"/>
      <c r="DP951" s="72"/>
      <c r="DQ951" s="72"/>
      <c r="DR951" s="72"/>
      <c r="DS951" s="72"/>
      <c r="DT951" s="72"/>
      <c r="DU951" s="72"/>
      <c r="DV951" s="72"/>
      <c r="DW951" s="72"/>
      <c r="DX951" s="72"/>
      <c r="DY951" s="72"/>
      <c r="DZ951" s="72"/>
      <c r="EA951" s="72"/>
      <c r="EB951" s="72"/>
      <c r="EC951" s="72"/>
      <c r="ED951" s="72"/>
      <c r="EE951" s="72"/>
      <c r="EF951" s="72"/>
      <c r="EG951" s="72"/>
      <c r="EH951" s="72"/>
      <c r="EI951" s="129"/>
      <c r="EJ951" s="129"/>
      <c r="EK951" s="129"/>
      <c r="EL951" s="129"/>
      <c r="EM951" s="72"/>
      <c r="EN951" s="72"/>
      <c r="EO951" s="72"/>
      <c r="EP951" s="72"/>
      <c r="EQ951" s="72"/>
      <c r="ER951" s="72"/>
      <c r="ES951" s="72"/>
      <c r="ET951" s="72"/>
    </row>
    <row r="952">
      <c r="CD952" s="72"/>
      <c r="CE952" s="72"/>
      <c r="CF952" s="72"/>
      <c r="CG952" s="72"/>
      <c r="CH952" s="72"/>
      <c r="CI952" s="72"/>
      <c r="CJ952" s="72"/>
      <c r="CK952" s="72"/>
      <c r="CL952" s="72"/>
      <c r="CM952" s="72"/>
      <c r="CN952" s="72"/>
      <c r="CO952" s="72"/>
      <c r="CP952" s="72"/>
      <c r="CQ952" s="72"/>
      <c r="CR952" s="72"/>
      <c r="CS952" s="72"/>
      <c r="CT952" s="72"/>
      <c r="CU952" s="72"/>
      <c r="CV952" s="72"/>
      <c r="CW952" s="72"/>
      <c r="CX952" s="72"/>
      <c r="CY952" s="72"/>
      <c r="CZ952" s="72"/>
      <c r="DA952" s="72"/>
      <c r="DB952" s="72"/>
      <c r="DC952" s="72"/>
      <c r="DD952" s="72"/>
      <c r="DE952" s="72"/>
      <c r="DF952" s="72"/>
      <c r="DG952" s="72"/>
      <c r="DH952" s="72"/>
      <c r="DI952" s="72"/>
      <c r="DJ952" s="72"/>
      <c r="DK952" s="72"/>
      <c r="DL952" s="72"/>
      <c r="DM952" s="72"/>
      <c r="DN952" s="72"/>
      <c r="DO952" s="72"/>
      <c r="DP952" s="72"/>
      <c r="DQ952" s="72"/>
      <c r="DR952" s="72"/>
      <c r="DS952" s="72"/>
      <c r="DT952" s="72"/>
      <c r="DU952" s="72"/>
      <c r="DV952" s="72"/>
      <c r="DW952" s="72"/>
      <c r="DX952" s="72"/>
      <c r="DY952" s="72"/>
      <c r="DZ952" s="72"/>
      <c r="EA952" s="72"/>
      <c r="EB952" s="72"/>
      <c r="EC952" s="72"/>
      <c r="ED952" s="72"/>
      <c r="EE952" s="72"/>
      <c r="EF952" s="72"/>
      <c r="EG952" s="72"/>
      <c r="EH952" s="72"/>
      <c r="EI952" s="129"/>
      <c r="EJ952" s="129"/>
      <c r="EK952" s="129"/>
      <c r="EL952" s="129"/>
      <c r="EM952" s="72"/>
      <c r="EN952" s="72"/>
      <c r="EO952" s="72"/>
      <c r="EP952" s="72"/>
      <c r="EQ952" s="72"/>
      <c r="ER952" s="72"/>
      <c r="ES952" s="72"/>
      <c r="ET952" s="72"/>
    </row>
    <row r="953">
      <c r="CD953" s="72"/>
      <c r="CE953" s="72"/>
      <c r="CF953" s="72"/>
      <c r="CG953" s="72"/>
      <c r="CH953" s="72"/>
      <c r="CI953" s="72"/>
      <c r="CJ953" s="72"/>
      <c r="CK953" s="72"/>
      <c r="CL953" s="72"/>
      <c r="CM953" s="72"/>
      <c r="CN953" s="72"/>
      <c r="CO953" s="72"/>
      <c r="CP953" s="72"/>
      <c r="CQ953" s="72"/>
      <c r="CR953" s="72"/>
      <c r="CS953" s="72"/>
      <c r="CT953" s="72"/>
      <c r="CU953" s="72"/>
      <c r="CV953" s="72"/>
      <c r="CW953" s="72"/>
      <c r="CX953" s="72"/>
      <c r="CY953" s="72"/>
      <c r="CZ953" s="72"/>
      <c r="DA953" s="72"/>
      <c r="DB953" s="72"/>
      <c r="DC953" s="72"/>
      <c r="DD953" s="72"/>
      <c r="DE953" s="72"/>
      <c r="DF953" s="72"/>
      <c r="DG953" s="72"/>
      <c r="DH953" s="72"/>
      <c r="DI953" s="72"/>
      <c r="DJ953" s="72"/>
      <c r="DK953" s="72"/>
      <c r="DL953" s="72"/>
      <c r="DM953" s="72"/>
      <c r="DN953" s="72"/>
      <c r="DO953" s="72"/>
      <c r="DP953" s="72"/>
      <c r="DQ953" s="72"/>
      <c r="DR953" s="72"/>
      <c r="DS953" s="72"/>
      <c r="DT953" s="72"/>
      <c r="DU953" s="72"/>
      <c r="DV953" s="72"/>
      <c r="DW953" s="72"/>
      <c r="DX953" s="72"/>
      <c r="DY953" s="72"/>
      <c r="DZ953" s="72"/>
      <c r="EA953" s="72"/>
      <c r="EB953" s="72"/>
      <c r="EC953" s="72"/>
      <c r="ED953" s="72"/>
      <c r="EE953" s="72"/>
      <c r="EF953" s="72"/>
      <c r="EG953" s="72"/>
      <c r="EH953" s="72"/>
      <c r="EI953" s="129"/>
      <c r="EJ953" s="129"/>
      <c r="EK953" s="129"/>
      <c r="EL953" s="129"/>
      <c r="EM953" s="72"/>
      <c r="EN953" s="72"/>
      <c r="EO953" s="72"/>
      <c r="EP953" s="72"/>
      <c r="EQ953" s="72"/>
      <c r="ER953" s="72"/>
      <c r="ES953" s="72"/>
      <c r="ET953" s="72"/>
    </row>
    <row r="954">
      <c r="CD954" s="72"/>
      <c r="CE954" s="72"/>
      <c r="CF954" s="72"/>
      <c r="CG954" s="72"/>
      <c r="CH954" s="72"/>
      <c r="CI954" s="72"/>
      <c r="CJ954" s="72"/>
      <c r="CK954" s="72"/>
      <c r="CL954" s="72"/>
      <c r="CM954" s="72"/>
      <c r="CN954" s="72"/>
      <c r="CO954" s="72"/>
      <c r="CP954" s="72"/>
      <c r="CQ954" s="72"/>
      <c r="CR954" s="72"/>
      <c r="CS954" s="72"/>
      <c r="CT954" s="72"/>
      <c r="CU954" s="72"/>
      <c r="CV954" s="72"/>
      <c r="CW954" s="72"/>
      <c r="CX954" s="72"/>
      <c r="CY954" s="72"/>
      <c r="CZ954" s="72"/>
      <c r="DA954" s="72"/>
      <c r="DB954" s="72"/>
      <c r="DC954" s="72"/>
      <c r="DD954" s="72"/>
      <c r="DE954" s="72"/>
      <c r="DF954" s="72"/>
      <c r="DG954" s="72"/>
      <c r="DH954" s="72"/>
      <c r="DI954" s="72"/>
      <c r="DJ954" s="72"/>
      <c r="DK954" s="72"/>
      <c r="DL954" s="72"/>
      <c r="DM954" s="72"/>
      <c r="DN954" s="72"/>
      <c r="DO954" s="72"/>
      <c r="DP954" s="72"/>
      <c r="DQ954" s="72"/>
      <c r="DR954" s="72"/>
      <c r="DS954" s="72"/>
      <c r="DT954" s="72"/>
      <c r="DU954" s="72"/>
      <c r="DV954" s="72"/>
      <c r="DW954" s="72"/>
      <c r="DX954" s="72"/>
      <c r="DY954" s="72"/>
      <c r="DZ954" s="72"/>
      <c r="EA954" s="72"/>
      <c r="EB954" s="72"/>
      <c r="EC954" s="72"/>
      <c r="ED954" s="72"/>
      <c r="EE954" s="72"/>
      <c r="EF954" s="72"/>
      <c r="EG954" s="72"/>
      <c r="EH954" s="72"/>
      <c r="EI954" s="129"/>
      <c r="EJ954" s="129"/>
      <c r="EK954" s="129"/>
      <c r="EL954" s="129"/>
      <c r="EM954" s="72"/>
      <c r="EN954" s="72"/>
      <c r="EO954" s="72"/>
      <c r="EP954" s="72"/>
      <c r="EQ954" s="72"/>
      <c r="ER954" s="72"/>
      <c r="ES954" s="72"/>
      <c r="ET954" s="72"/>
    </row>
    <row r="955">
      <c r="CD955" s="72"/>
      <c r="CE955" s="72"/>
      <c r="CF955" s="72"/>
      <c r="CG955" s="72"/>
      <c r="CH955" s="72"/>
      <c r="CI955" s="72"/>
      <c r="CJ955" s="72"/>
      <c r="CK955" s="72"/>
      <c r="CL955" s="72"/>
      <c r="CM955" s="72"/>
      <c r="CN955" s="72"/>
      <c r="CO955" s="72"/>
      <c r="CP955" s="72"/>
      <c r="CQ955" s="72"/>
      <c r="CR955" s="72"/>
      <c r="CS955" s="72"/>
      <c r="CT955" s="72"/>
      <c r="CU955" s="72"/>
      <c r="CV955" s="72"/>
      <c r="CW955" s="72"/>
      <c r="CX955" s="72"/>
      <c r="CY955" s="72"/>
      <c r="CZ955" s="72"/>
      <c r="DA955" s="72"/>
      <c r="DB955" s="72"/>
      <c r="DC955" s="72"/>
      <c r="DD955" s="72"/>
      <c r="DE955" s="72"/>
      <c r="DF955" s="72"/>
      <c r="DG955" s="72"/>
      <c r="DH955" s="72"/>
      <c r="DI955" s="72"/>
      <c r="DJ955" s="72"/>
      <c r="DK955" s="72"/>
      <c r="DL955" s="72"/>
      <c r="DM955" s="72"/>
      <c r="DN955" s="72"/>
      <c r="DO955" s="72"/>
      <c r="DP955" s="72"/>
      <c r="DQ955" s="72"/>
      <c r="DR955" s="72"/>
      <c r="DS955" s="72"/>
      <c r="DT955" s="72"/>
      <c r="DU955" s="72"/>
      <c r="DV955" s="72"/>
      <c r="DW955" s="72"/>
      <c r="DX955" s="72"/>
      <c r="DY955" s="72"/>
      <c r="DZ955" s="72"/>
      <c r="EA955" s="72"/>
      <c r="EB955" s="72"/>
      <c r="EC955" s="72"/>
      <c r="ED955" s="72"/>
      <c r="EE955" s="72"/>
      <c r="EF955" s="72"/>
      <c r="EG955" s="72"/>
      <c r="EH955" s="72"/>
      <c r="EI955" s="129"/>
      <c r="EJ955" s="129"/>
      <c r="EK955" s="129"/>
      <c r="EL955" s="129"/>
      <c r="EM955" s="72"/>
      <c r="EN955" s="72"/>
      <c r="EO955" s="72"/>
      <c r="EP955" s="72"/>
      <c r="EQ955" s="72"/>
      <c r="ER955" s="72"/>
      <c r="ES955" s="72"/>
      <c r="ET955" s="72"/>
    </row>
    <row r="956">
      <c r="CD956" s="72"/>
      <c r="CE956" s="72"/>
      <c r="CF956" s="72"/>
      <c r="CG956" s="72"/>
      <c r="CH956" s="72"/>
      <c r="CI956" s="72"/>
      <c r="CJ956" s="72"/>
      <c r="CK956" s="72"/>
      <c r="CL956" s="72"/>
      <c r="CM956" s="72"/>
      <c r="CN956" s="72"/>
      <c r="CO956" s="72"/>
      <c r="CP956" s="72"/>
      <c r="CQ956" s="72"/>
      <c r="CR956" s="72"/>
      <c r="CS956" s="72"/>
      <c r="CT956" s="72"/>
      <c r="CU956" s="72"/>
      <c r="CV956" s="72"/>
      <c r="CW956" s="72"/>
      <c r="CX956" s="72"/>
      <c r="CY956" s="72"/>
      <c r="CZ956" s="72"/>
      <c r="DA956" s="72"/>
      <c r="DB956" s="72"/>
      <c r="DC956" s="72"/>
      <c r="DD956" s="72"/>
      <c r="DE956" s="72"/>
      <c r="DF956" s="72"/>
      <c r="DG956" s="72"/>
      <c r="DH956" s="72"/>
      <c r="DI956" s="72"/>
      <c r="DJ956" s="72"/>
      <c r="DK956" s="72"/>
      <c r="DL956" s="72"/>
      <c r="DM956" s="72"/>
      <c r="DN956" s="72"/>
      <c r="DO956" s="72"/>
      <c r="DP956" s="72"/>
      <c r="DQ956" s="72"/>
      <c r="DR956" s="72"/>
      <c r="DS956" s="72"/>
      <c r="DT956" s="72"/>
      <c r="DU956" s="72"/>
      <c r="DV956" s="72"/>
      <c r="DW956" s="72"/>
      <c r="DX956" s="72"/>
      <c r="DY956" s="72"/>
      <c r="DZ956" s="72"/>
      <c r="EA956" s="72"/>
      <c r="EB956" s="72"/>
      <c r="EC956" s="72"/>
      <c r="ED956" s="72"/>
      <c r="EE956" s="72"/>
      <c r="EF956" s="72"/>
      <c r="EG956" s="72"/>
      <c r="EH956" s="72"/>
      <c r="EI956" s="129"/>
      <c r="EJ956" s="129"/>
      <c r="EK956" s="129"/>
      <c r="EL956" s="129"/>
      <c r="EM956" s="72"/>
      <c r="EN956" s="72"/>
      <c r="EO956" s="72"/>
      <c r="EP956" s="72"/>
      <c r="EQ956" s="72"/>
      <c r="ER956" s="72"/>
      <c r="ES956" s="72"/>
      <c r="ET956" s="72"/>
    </row>
    <row r="957">
      <c r="CD957" s="72"/>
      <c r="CE957" s="72"/>
      <c r="CF957" s="72"/>
      <c r="CG957" s="72"/>
      <c r="CH957" s="72"/>
      <c r="CI957" s="72"/>
      <c r="CJ957" s="72"/>
      <c r="CK957" s="72"/>
      <c r="CL957" s="72"/>
      <c r="CM957" s="72"/>
      <c r="CN957" s="72"/>
      <c r="CO957" s="72"/>
      <c r="CP957" s="72"/>
      <c r="CQ957" s="72"/>
      <c r="CR957" s="72"/>
      <c r="CS957" s="72"/>
      <c r="CT957" s="72"/>
      <c r="CU957" s="72"/>
      <c r="CV957" s="72"/>
      <c r="CW957" s="72"/>
      <c r="CX957" s="72"/>
      <c r="CY957" s="72"/>
      <c r="CZ957" s="72"/>
      <c r="DA957" s="72"/>
      <c r="DB957" s="72"/>
      <c r="DC957" s="72"/>
      <c r="DD957" s="72"/>
      <c r="DE957" s="72"/>
      <c r="DF957" s="72"/>
      <c r="DG957" s="72"/>
      <c r="DH957" s="72"/>
      <c r="DI957" s="72"/>
      <c r="DJ957" s="72"/>
      <c r="DK957" s="72"/>
      <c r="DL957" s="72"/>
      <c r="DM957" s="72"/>
      <c r="DN957" s="72"/>
      <c r="DO957" s="72"/>
      <c r="DP957" s="72"/>
      <c r="DQ957" s="72"/>
      <c r="DR957" s="72"/>
      <c r="DS957" s="72"/>
      <c r="DT957" s="72"/>
      <c r="DU957" s="72"/>
      <c r="DV957" s="72"/>
      <c r="DW957" s="72"/>
      <c r="DX957" s="72"/>
      <c r="DY957" s="72"/>
      <c r="DZ957" s="72"/>
      <c r="EA957" s="72"/>
      <c r="EB957" s="72"/>
      <c r="EC957" s="72"/>
      <c r="ED957" s="72"/>
      <c r="EE957" s="72"/>
      <c r="EF957" s="72"/>
      <c r="EG957" s="72"/>
      <c r="EH957" s="72"/>
      <c r="EI957" s="129"/>
      <c r="EJ957" s="129"/>
      <c r="EK957" s="129"/>
      <c r="EL957" s="129"/>
      <c r="EM957" s="72"/>
      <c r="EN957" s="72"/>
      <c r="EO957" s="72"/>
      <c r="EP957" s="72"/>
      <c r="EQ957" s="72"/>
      <c r="ER957" s="72"/>
      <c r="ES957" s="72"/>
      <c r="ET957" s="72"/>
    </row>
    <row r="958">
      <c r="CD958" s="72"/>
      <c r="CE958" s="72"/>
      <c r="CF958" s="72"/>
      <c r="CG958" s="72"/>
      <c r="CH958" s="72"/>
      <c r="CI958" s="72"/>
      <c r="CJ958" s="72"/>
      <c r="CK958" s="72"/>
      <c r="CL958" s="72"/>
      <c r="CM958" s="72"/>
      <c r="CN958" s="72"/>
      <c r="CO958" s="72"/>
      <c r="CP958" s="72"/>
      <c r="CQ958" s="72"/>
      <c r="CR958" s="72"/>
      <c r="CS958" s="72"/>
      <c r="CT958" s="72"/>
      <c r="CU958" s="72"/>
      <c r="CV958" s="72"/>
      <c r="CW958" s="72"/>
      <c r="CX958" s="72"/>
      <c r="CY958" s="72"/>
      <c r="CZ958" s="72"/>
      <c r="DA958" s="72"/>
      <c r="DB958" s="72"/>
      <c r="DC958" s="72"/>
      <c r="DD958" s="72"/>
      <c r="DE958" s="72"/>
      <c r="DF958" s="72"/>
      <c r="DG958" s="72"/>
      <c r="DH958" s="72"/>
      <c r="DI958" s="72"/>
      <c r="DJ958" s="72"/>
      <c r="DK958" s="72"/>
      <c r="DL958" s="72"/>
      <c r="DM958" s="72"/>
      <c r="DN958" s="72"/>
      <c r="DO958" s="72"/>
      <c r="DP958" s="72"/>
      <c r="DQ958" s="72"/>
      <c r="DR958" s="72"/>
      <c r="DS958" s="72"/>
      <c r="DT958" s="72"/>
      <c r="DU958" s="72"/>
      <c r="DV958" s="72"/>
      <c r="DW958" s="72"/>
      <c r="DX958" s="72"/>
      <c r="DY958" s="72"/>
      <c r="DZ958" s="72"/>
      <c r="EA958" s="72"/>
      <c r="EB958" s="72"/>
      <c r="EC958" s="72"/>
      <c r="ED958" s="72"/>
      <c r="EE958" s="72"/>
      <c r="EF958" s="72"/>
      <c r="EG958" s="72"/>
      <c r="EH958" s="72"/>
      <c r="EI958" s="129"/>
      <c r="EJ958" s="129"/>
      <c r="EK958" s="129"/>
      <c r="EL958" s="129"/>
      <c r="EM958" s="72"/>
      <c r="EN958" s="72"/>
      <c r="EO958" s="72"/>
      <c r="EP958" s="72"/>
      <c r="EQ958" s="72"/>
      <c r="ER958" s="72"/>
      <c r="ES958" s="72"/>
      <c r="ET958" s="72"/>
    </row>
    <row r="959">
      <c r="CD959" s="72"/>
      <c r="CE959" s="72"/>
      <c r="CF959" s="72"/>
      <c r="CG959" s="72"/>
      <c r="CH959" s="72"/>
      <c r="CI959" s="72"/>
      <c r="CJ959" s="72"/>
      <c r="CK959" s="72"/>
      <c r="CL959" s="72"/>
      <c r="CM959" s="72"/>
      <c r="CN959" s="72"/>
      <c r="CO959" s="72"/>
      <c r="CP959" s="72"/>
      <c r="CQ959" s="72"/>
      <c r="CR959" s="72"/>
      <c r="CS959" s="72"/>
      <c r="CT959" s="72"/>
      <c r="CU959" s="72"/>
      <c r="CV959" s="72"/>
      <c r="CW959" s="72"/>
      <c r="CX959" s="72"/>
      <c r="CY959" s="72"/>
      <c r="CZ959" s="72"/>
      <c r="DA959" s="72"/>
      <c r="DB959" s="72"/>
      <c r="DC959" s="72"/>
      <c r="DD959" s="72"/>
      <c r="DE959" s="72"/>
      <c r="DF959" s="72"/>
      <c r="DG959" s="72"/>
      <c r="DH959" s="72"/>
      <c r="DI959" s="72"/>
      <c r="DJ959" s="72"/>
      <c r="DK959" s="72"/>
      <c r="DL959" s="72"/>
      <c r="DM959" s="72"/>
      <c r="DN959" s="72"/>
      <c r="DO959" s="72"/>
      <c r="DP959" s="72"/>
      <c r="DQ959" s="72"/>
      <c r="DR959" s="72"/>
      <c r="DS959" s="72"/>
      <c r="DT959" s="72"/>
      <c r="DU959" s="72"/>
      <c r="DV959" s="72"/>
      <c r="DW959" s="72"/>
      <c r="DX959" s="72"/>
      <c r="DY959" s="72"/>
      <c r="DZ959" s="72"/>
      <c r="EA959" s="72"/>
      <c r="EB959" s="72"/>
      <c r="EC959" s="72"/>
      <c r="ED959" s="72"/>
      <c r="EE959" s="72"/>
      <c r="EF959" s="72"/>
      <c r="EG959" s="72"/>
      <c r="EH959" s="72"/>
      <c r="EI959" s="129"/>
      <c r="EJ959" s="129"/>
      <c r="EK959" s="129"/>
      <c r="EL959" s="129"/>
      <c r="EM959" s="72"/>
      <c r="EN959" s="72"/>
      <c r="EO959" s="72"/>
      <c r="EP959" s="72"/>
      <c r="EQ959" s="72"/>
      <c r="ER959" s="72"/>
      <c r="ES959" s="72"/>
      <c r="ET959" s="72"/>
    </row>
    <row r="960">
      <c r="CD960" s="72"/>
      <c r="CE960" s="72"/>
      <c r="CF960" s="72"/>
      <c r="CG960" s="72"/>
      <c r="CH960" s="72"/>
      <c r="CI960" s="72"/>
      <c r="CJ960" s="72"/>
      <c r="CK960" s="72"/>
      <c r="CL960" s="72"/>
      <c r="CM960" s="72"/>
      <c r="CN960" s="72"/>
      <c r="CO960" s="72"/>
      <c r="CP960" s="72"/>
      <c r="CQ960" s="72"/>
      <c r="CR960" s="72"/>
      <c r="CS960" s="72"/>
      <c r="CT960" s="72"/>
      <c r="CU960" s="72"/>
      <c r="CV960" s="72"/>
      <c r="CW960" s="72"/>
      <c r="CX960" s="72"/>
      <c r="CY960" s="72"/>
      <c r="CZ960" s="72"/>
      <c r="DA960" s="72"/>
      <c r="DB960" s="72"/>
      <c r="DC960" s="72"/>
      <c r="DD960" s="72"/>
      <c r="DE960" s="72"/>
      <c r="DF960" s="72"/>
      <c r="DG960" s="72"/>
      <c r="DH960" s="72"/>
      <c r="DI960" s="72"/>
      <c r="DJ960" s="72"/>
      <c r="DK960" s="72"/>
      <c r="DL960" s="72"/>
      <c r="DM960" s="72"/>
      <c r="DN960" s="72"/>
      <c r="DO960" s="72"/>
      <c r="DP960" s="72"/>
      <c r="DQ960" s="72"/>
      <c r="DR960" s="72"/>
      <c r="DS960" s="72"/>
      <c r="DT960" s="72"/>
      <c r="DU960" s="72"/>
      <c r="DV960" s="72"/>
      <c r="DW960" s="72"/>
      <c r="DX960" s="72"/>
      <c r="DY960" s="72"/>
      <c r="DZ960" s="72"/>
      <c r="EA960" s="72"/>
      <c r="EB960" s="72"/>
      <c r="EC960" s="72"/>
      <c r="ED960" s="72"/>
      <c r="EE960" s="72"/>
      <c r="EF960" s="72"/>
      <c r="EG960" s="72"/>
      <c r="EH960" s="72"/>
      <c r="EI960" s="129"/>
      <c r="EJ960" s="129"/>
      <c r="EK960" s="129"/>
      <c r="EL960" s="129"/>
      <c r="EM960" s="72"/>
      <c r="EN960" s="72"/>
      <c r="EO960" s="72"/>
      <c r="EP960" s="72"/>
      <c r="EQ960" s="72"/>
      <c r="ER960" s="72"/>
      <c r="ES960" s="72"/>
      <c r="ET960" s="72"/>
    </row>
    <row r="961">
      <c r="CD961" s="72"/>
      <c r="CE961" s="72"/>
      <c r="CF961" s="72"/>
      <c r="CG961" s="72"/>
      <c r="CH961" s="72"/>
      <c r="CI961" s="72"/>
      <c r="CJ961" s="72"/>
      <c r="CK961" s="72"/>
      <c r="CL961" s="72"/>
      <c r="CM961" s="72"/>
      <c r="CN961" s="72"/>
      <c r="CO961" s="72"/>
      <c r="CP961" s="72"/>
      <c r="CQ961" s="72"/>
      <c r="CR961" s="72"/>
      <c r="CS961" s="72"/>
      <c r="CT961" s="72"/>
      <c r="CU961" s="72"/>
      <c r="CV961" s="72"/>
      <c r="CW961" s="72"/>
      <c r="CX961" s="72"/>
      <c r="CY961" s="72"/>
      <c r="CZ961" s="72"/>
      <c r="DA961" s="72"/>
      <c r="DB961" s="72"/>
      <c r="DC961" s="72"/>
      <c r="DD961" s="72"/>
      <c r="DE961" s="72"/>
      <c r="DF961" s="72"/>
      <c r="DG961" s="72"/>
      <c r="DH961" s="72"/>
      <c r="DI961" s="72"/>
      <c r="DJ961" s="72"/>
      <c r="DK961" s="72"/>
      <c r="DL961" s="72"/>
      <c r="DM961" s="72"/>
      <c r="DN961" s="72"/>
      <c r="DO961" s="72"/>
      <c r="DP961" s="72"/>
      <c r="DQ961" s="72"/>
      <c r="DR961" s="72"/>
      <c r="DS961" s="72"/>
      <c r="DT961" s="72"/>
      <c r="DU961" s="72"/>
      <c r="DV961" s="72"/>
      <c r="DW961" s="72"/>
      <c r="DX961" s="72"/>
      <c r="DY961" s="72"/>
      <c r="DZ961" s="72"/>
      <c r="EA961" s="72"/>
      <c r="EB961" s="72"/>
      <c r="EC961" s="72"/>
      <c r="ED961" s="72"/>
      <c r="EE961" s="72"/>
      <c r="EF961" s="72"/>
      <c r="EG961" s="72"/>
      <c r="EH961" s="72"/>
      <c r="EI961" s="129"/>
      <c r="EJ961" s="129"/>
      <c r="EK961" s="129"/>
      <c r="EL961" s="129"/>
      <c r="EM961" s="72"/>
      <c r="EN961" s="72"/>
      <c r="EO961" s="72"/>
      <c r="EP961" s="72"/>
      <c r="EQ961" s="72"/>
      <c r="ER961" s="72"/>
      <c r="ES961" s="72"/>
      <c r="ET961" s="72"/>
    </row>
    <row r="962">
      <c r="CD962" s="72"/>
      <c r="CE962" s="72"/>
      <c r="CF962" s="72"/>
      <c r="CG962" s="72"/>
      <c r="CH962" s="72"/>
      <c r="CI962" s="72"/>
      <c r="CJ962" s="72"/>
      <c r="CK962" s="72"/>
      <c r="CL962" s="72"/>
      <c r="CM962" s="72"/>
      <c r="CN962" s="72"/>
      <c r="CO962" s="72"/>
      <c r="CP962" s="72"/>
      <c r="CQ962" s="72"/>
      <c r="CR962" s="72"/>
      <c r="CS962" s="72"/>
      <c r="CT962" s="72"/>
      <c r="CU962" s="72"/>
      <c r="CV962" s="72"/>
      <c r="CW962" s="72"/>
      <c r="CX962" s="72"/>
      <c r="CY962" s="72"/>
      <c r="CZ962" s="72"/>
      <c r="DA962" s="72"/>
      <c r="DB962" s="72"/>
      <c r="DC962" s="72"/>
      <c r="DD962" s="72"/>
      <c r="DE962" s="72"/>
      <c r="DF962" s="72"/>
      <c r="DG962" s="72"/>
      <c r="DH962" s="72"/>
      <c r="DI962" s="72"/>
      <c r="DJ962" s="72"/>
      <c r="DK962" s="72"/>
      <c r="DL962" s="72"/>
      <c r="DM962" s="72"/>
      <c r="DN962" s="72"/>
      <c r="DO962" s="72"/>
      <c r="DP962" s="72"/>
      <c r="DQ962" s="72"/>
      <c r="DR962" s="72"/>
      <c r="DS962" s="72"/>
      <c r="DT962" s="72"/>
      <c r="DU962" s="72"/>
      <c r="DV962" s="72"/>
      <c r="DW962" s="72"/>
      <c r="DX962" s="72"/>
      <c r="DY962" s="72"/>
      <c r="DZ962" s="72"/>
      <c r="EA962" s="72"/>
      <c r="EB962" s="72"/>
      <c r="EC962" s="72"/>
      <c r="ED962" s="72"/>
      <c r="EE962" s="72"/>
      <c r="EF962" s="72"/>
      <c r="EG962" s="72"/>
      <c r="EH962" s="72"/>
      <c r="EI962" s="129"/>
      <c r="EJ962" s="129"/>
      <c r="EK962" s="129"/>
      <c r="EL962" s="129"/>
      <c r="EM962" s="72"/>
      <c r="EN962" s="72"/>
      <c r="EO962" s="72"/>
      <c r="EP962" s="72"/>
      <c r="EQ962" s="72"/>
      <c r="ER962" s="72"/>
      <c r="ES962" s="72"/>
      <c r="ET962" s="72"/>
    </row>
    <row r="963">
      <c r="CD963" s="72"/>
      <c r="CE963" s="72"/>
      <c r="CF963" s="72"/>
      <c r="CG963" s="72"/>
      <c r="CH963" s="72"/>
      <c r="CI963" s="72"/>
      <c r="CJ963" s="72"/>
      <c r="CK963" s="72"/>
      <c r="CL963" s="72"/>
      <c r="CM963" s="72"/>
      <c r="CN963" s="72"/>
      <c r="CO963" s="72"/>
      <c r="CP963" s="72"/>
      <c r="CQ963" s="72"/>
      <c r="CR963" s="72"/>
      <c r="CS963" s="72"/>
      <c r="CT963" s="72"/>
      <c r="CU963" s="72"/>
      <c r="CV963" s="72"/>
      <c r="CW963" s="72"/>
      <c r="CX963" s="72"/>
      <c r="CY963" s="72"/>
      <c r="CZ963" s="72"/>
      <c r="DA963" s="72"/>
      <c r="DB963" s="72"/>
      <c r="DC963" s="72"/>
      <c r="DD963" s="72"/>
      <c r="DE963" s="72"/>
      <c r="DF963" s="72"/>
      <c r="DG963" s="72"/>
      <c r="DH963" s="72"/>
      <c r="DI963" s="72"/>
      <c r="DJ963" s="72"/>
      <c r="DK963" s="72"/>
      <c r="DL963" s="72"/>
      <c r="DM963" s="72"/>
      <c r="DN963" s="72"/>
      <c r="DO963" s="72"/>
      <c r="DP963" s="72"/>
      <c r="DQ963" s="72"/>
      <c r="DR963" s="72"/>
      <c r="DS963" s="72"/>
      <c r="DT963" s="72"/>
      <c r="DU963" s="72"/>
      <c r="DV963" s="72"/>
      <c r="DW963" s="72"/>
      <c r="DX963" s="72"/>
      <c r="DY963" s="72"/>
      <c r="DZ963" s="72"/>
      <c r="EA963" s="72"/>
      <c r="EB963" s="72"/>
      <c r="EC963" s="72"/>
      <c r="ED963" s="72"/>
      <c r="EE963" s="72"/>
      <c r="EF963" s="72"/>
      <c r="EG963" s="72"/>
      <c r="EH963" s="72"/>
      <c r="EI963" s="129"/>
      <c r="EJ963" s="129"/>
      <c r="EK963" s="129"/>
      <c r="EL963" s="129"/>
      <c r="EM963" s="72"/>
      <c r="EN963" s="72"/>
      <c r="EO963" s="72"/>
      <c r="EP963" s="72"/>
      <c r="EQ963" s="72"/>
      <c r="ER963" s="72"/>
      <c r="ES963" s="72"/>
      <c r="ET963" s="72"/>
    </row>
    <row r="964">
      <c r="CD964" s="72"/>
      <c r="CE964" s="72"/>
      <c r="CF964" s="72"/>
      <c r="CG964" s="72"/>
      <c r="CH964" s="72"/>
      <c r="CI964" s="72"/>
      <c r="CJ964" s="72"/>
      <c r="CK964" s="72"/>
      <c r="CL964" s="72"/>
      <c r="CM964" s="72"/>
      <c r="CN964" s="72"/>
      <c r="CO964" s="72"/>
      <c r="CP964" s="72"/>
      <c r="CQ964" s="72"/>
      <c r="CR964" s="72"/>
      <c r="CS964" s="72"/>
      <c r="CT964" s="72"/>
      <c r="CU964" s="72"/>
      <c r="CV964" s="72"/>
      <c r="CW964" s="72"/>
      <c r="CX964" s="72"/>
      <c r="CY964" s="72"/>
      <c r="CZ964" s="72"/>
      <c r="DA964" s="72"/>
      <c r="DB964" s="72"/>
      <c r="DC964" s="72"/>
      <c r="DD964" s="72"/>
      <c r="DE964" s="72"/>
      <c r="DF964" s="72"/>
      <c r="DG964" s="72"/>
      <c r="DH964" s="72"/>
      <c r="DI964" s="72"/>
      <c r="DJ964" s="72"/>
      <c r="DK964" s="72"/>
      <c r="DL964" s="72"/>
      <c r="DM964" s="72"/>
      <c r="DN964" s="72"/>
      <c r="DO964" s="72"/>
      <c r="DP964" s="72"/>
      <c r="DQ964" s="72"/>
      <c r="DR964" s="72"/>
      <c r="DS964" s="72"/>
      <c r="DT964" s="72"/>
      <c r="DU964" s="72"/>
      <c r="DV964" s="72"/>
      <c r="DW964" s="72"/>
      <c r="DX964" s="72"/>
      <c r="DY964" s="72"/>
      <c r="DZ964" s="72"/>
      <c r="EA964" s="72"/>
      <c r="EB964" s="72"/>
      <c r="EC964" s="72"/>
      <c r="ED964" s="72"/>
      <c r="EE964" s="72"/>
      <c r="EF964" s="72"/>
      <c r="EG964" s="72"/>
      <c r="EH964" s="72"/>
      <c r="EI964" s="129"/>
      <c r="EJ964" s="129"/>
      <c r="EK964" s="129"/>
      <c r="EL964" s="129"/>
      <c r="EM964" s="72"/>
      <c r="EN964" s="72"/>
      <c r="EO964" s="72"/>
      <c r="EP964" s="72"/>
      <c r="EQ964" s="72"/>
      <c r="ER964" s="72"/>
      <c r="ES964" s="72"/>
      <c r="ET964" s="72"/>
    </row>
    <row r="965">
      <c r="CD965" s="72"/>
      <c r="CE965" s="72"/>
      <c r="CF965" s="72"/>
      <c r="CG965" s="72"/>
      <c r="CH965" s="72"/>
      <c r="CI965" s="72"/>
      <c r="CJ965" s="72"/>
      <c r="CK965" s="72"/>
      <c r="CL965" s="72"/>
      <c r="CM965" s="72"/>
      <c r="CN965" s="72"/>
      <c r="CO965" s="72"/>
      <c r="CP965" s="72"/>
      <c r="CQ965" s="72"/>
      <c r="CR965" s="72"/>
      <c r="CS965" s="72"/>
      <c r="CT965" s="72"/>
      <c r="CU965" s="72"/>
      <c r="CV965" s="72"/>
      <c r="CW965" s="72"/>
      <c r="CX965" s="72"/>
      <c r="CY965" s="72"/>
      <c r="CZ965" s="72"/>
      <c r="DA965" s="72"/>
      <c r="DB965" s="72"/>
      <c r="DC965" s="72"/>
      <c r="DD965" s="72"/>
      <c r="DE965" s="72"/>
      <c r="DF965" s="72"/>
      <c r="DG965" s="72"/>
      <c r="DH965" s="72"/>
      <c r="DI965" s="72"/>
      <c r="DJ965" s="72"/>
      <c r="DK965" s="72"/>
      <c r="DL965" s="72"/>
      <c r="DM965" s="72"/>
      <c r="DN965" s="72"/>
      <c r="DO965" s="72"/>
      <c r="DP965" s="72"/>
      <c r="DQ965" s="72"/>
      <c r="DR965" s="72"/>
      <c r="DS965" s="72"/>
      <c r="DT965" s="72"/>
      <c r="DU965" s="72"/>
      <c r="DV965" s="72"/>
      <c r="DW965" s="72"/>
      <c r="DX965" s="72"/>
      <c r="DY965" s="72"/>
      <c r="DZ965" s="72"/>
      <c r="EA965" s="72"/>
      <c r="EB965" s="72"/>
      <c r="EC965" s="72"/>
      <c r="ED965" s="72"/>
      <c r="EE965" s="72"/>
      <c r="EF965" s="72"/>
      <c r="EG965" s="72"/>
      <c r="EH965" s="72"/>
      <c r="EI965" s="129"/>
      <c r="EJ965" s="129"/>
      <c r="EK965" s="129"/>
      <c r="EL965" s="129"/>
      <c r="EM965" s="72"/>
      <c r="EN965" s="72"/>
      <c r="EO965" s="72"/>
      <c r="EP965" s="72"/>
      <c r="EQ965" s="72"/>
      <c r="ER965" s="72"/>
      <c r="ES965" s="72"/>
      <c r="ET965" s="72"/>
    </row>
    <row r="966">
      <c r="CD966" s="72"/>
      <c r="CE966" s="72"/>
      <c r="CF966" s="72"/>
      <c r="CG966" s="72"/>
      <c r="CH966" s="72"/>
      <c r="CI966" s="72"/>
      <c r="CJ966" s="72"/>
      <c r="CK966" s="72"/>
      <c r="CL966" s="72"/>
      <c r="CM966" s="72"/>
      <c r="CN966" s="72"/>
      <c r="CO966" s="72"/>
      <c r="CP966" s="72"/>
      <c r="CQ966" s="72"/>
      <c r="CR966" s="72"/>
      <c r="CS966" s="72"/>
      <c r="CT966" s="72"/>
      <c r="CU966" s="72"/>
      <c r="CV966" s="72"/>
      <c r="CW966" s="72"/>
      <c r="CX966" s="72"/>
      <c r="CY966" s="72"/>
      <c r="CZ966" s="72"/>
      <c r="DA966" s="72"/>
      <c r="DB966" s="72"/>
      <c r="DC966" s="72"/>
      <c r="DD966" s="72"/>
      <c r="DE966" s="72"/>
      <c r="DF966" s="72"/>
      <c r="DG966" s="72"/>
      <c r="DH966" s="72"/>
      <c r="DI966" s="72"/>
      <c r="DJ966" s="72"/>
      <c r="DK966" s="72"/>
      <c r="DL966" s="72"/>
      <c r="DM966" s="72"/>
      <c r="DN966" s="72"/>
      <c r="DO966" s="72"/>
      <c r="DP966" s="72"/>
      <c r="DQ966" s="72"/>
      <c r="DR966" s="72"/>
      <c r="DS966" s="72"/>
      <c r="DT966" s="72"/>
      <c r="DU966" s="72"/>
      <c r="DV966" s="72"/>
      <c r="DW966" s="72"/>
      <c r="DX966" s="72"/>
      <c r="DY966" s="72"/>
      <c r="DZ966" s="72"/>
      <c r="EA966" s="72"/>
      <c r="EB966" s="72"/>
      <c r="EC966" s="72"/>
      <c r="ED966" s="72"/>
      <c r="EE966" s="72"/>
      <c r="EF966" s="72"/>
      <c r="EG966" s="72"/>
      <c r="EH966" s="72"/>
      <c r="EI966" s="129"/>
      <c r="EJ966" s="129"/>
      <c r="EK966" s="129"/>
      <c r="EL966" s="129"/>
      <c r="EM966" s="72"/>
      <c r="EN966" s="72"/>
      <c r="EO966" s="72"/>
      <c r="EP966" s="72"/>
      <c r="EQ966" s="72"/>
      <c r="ER966" s="72"/>
      <c r="ES966" s="72"/>
      <c r="ET966" s="72"/>
    </row>
    <row r="967">
      <c r="CD967" s="72"/>
      <c r="CE967" s="72"/>
      <c r="CF967" s="72"/>
      <c r="CG967" s="72"/>
      <c r="CH967" s="72"/>
      <c r="CI967" s="72"/>
      <c r="CJ967" s="72"/>
      <c r="CK967" s="72"/>
      <c r="CL967" s="72"/>
      <c r="CM967" s="72"/>
      <c r="CN967" s="72"/>
      <c r="CO967" s="72"/>
      <c r="CP967" s="72"/>
      <c r="CQ967" s="72"/>
      <c r="CR967" s="72"/>
      <c r="CS967" s="72"/>
      <c r="CT967" s="72"/>
      <c r="CU967" s="72"/>
      <c r="CV967" s="72"/>
      <c r="CW967" s="72"/>
      <c r="CX967" s="72"/>
      <c r="CY967" s="72"/>
      <c r="CZ967" s="72"/>
      <c r="DA967" s="72"/>
      <c r="DB967" s="72"/>
      <c r="DC967" s="72"/>
      <c r="DD967" s="72"/>
      <c r="DE967" s="72"/>
      <c r="DF967" s="72"/>
      <c r="DG967" s="72"/>
      <c r="DH967" s="72"/>
      <c r="DI967" s="72"/>
      <c r="DJ967" s="72"/>
      <c r="DK967" s="72"/>
      <c r="DL967" s="72"/>
      <c r="DM967" s="72"/>
      <c r="DN967" s="72"/>
      <c r="DO967" s="72"/>
      <c r="DP967" s="72"/>
      <c r="DQ967" s="72"/>
      <c r="DR967" s="72"/>
      <c r="DS967" s="72"/>
      <c r="DT967" s="72"/>
      <c r="DU967" s="72"/>
      <c r="DV967" s="72"/>
      <c r="DW967" s="72"/>
      <c r="DX967" s="72"/>
      <c r="DY967" s="72"/>
      <c r="DZ967" s="72"/>
      <c r="EA967" s="72"/>
      <c r="EB967" s="72"/>
      <c r="EC967" s="72"/>
      <c r="ED967" s="72"/>
      <c r="EE967" s="72"/>
      <c r="EF967" s="72"/>
      <c r="EG967" s="72"/>
      <c r="EH967" s="72"/>
      <c r="EI967" s="129"/>
      <c r="EJ967" s="129"/>
      <c r="EK967" s="129"/>
      <c r="EL967" s="129"/>
      <c r="EM967" s="72"/>
      <c r="EN967" s="72"/>
      <c r="EO967" s="72"/>
      <c r="EP967" s="72"/>
      <c r="EQ967" s="72"/>
      <c r="ER967" s="72"/>
      <c r="ES967" s="72"/>
      <c r="ET967" s="72"/>
    </row>
    <row r="968">
      <c r="CD968" s="72"/>
      <c r="CE968" s="72"/>
      <c r="CF968" s="72"/>
      <c r="CG968" s="72"/>
      <c r="CH968" s="72"/>
      <c r="CI968" s="72"/>
      <c r="CJ968" s="72"/>
      <c r="CK968" s="72"/>
      <c r="CL968" s="72"/>
      <c r="CM968" s="72"/>
      <c r="CN968" s="72"/>
      <c r="CO968" s="72"/>
      <c r="CP968" s="72"/>
      <c r="CQ968" s="72"/>
      <c r="CR968" s="72"/>
      <c r="CS968" s="72"/>
      <c r="CT968" s="72"/>
      <c r="CU968" s="72"/>
      <c r="CV968" s="72"/>
      <c r="CW968" s="72"/>
      <c r="CX968" s="72"/>
      <c r="CY968" s="72"/>
      <c r="CZ968" s="72"/>
      <c r="DA968" s="72"/>
      <c r="DB968" s="72"/>
      <c r="DC968" s="72"/>
      <c r="DD968" s="72"/>
      <c r="DE968" s="72"/>
      <c r="DF968" s="72"/>
      <c r="DG968" s="72"/>
      <c r="DH968" s="72"/>
      <c r="DI968" s="72"/>
      <c r="DJ968" s="72"/>
      <c r="DK968" s="72"/>
      <c r="DL968" s="72"/>
      <c r="DM968" s="72"/>
      <c r="DN968" s="72"/>
      <c r="DO968" s="72"/>
      <c r="DP968" s="72"/>
      <c r="DQ968" s="72"/>
      <c r="DR968" s="72"/>
      <c r="DS968" s="72"/>
      <c r="DT968" s="72"/>
      <c r="DU968" s="72"/>
      <c r="DV968" s="72"/>
      <c r="DW968" s="72"/>
      <c r="DX968" s="72"/>
      <c r="DY968" s="72"/>
      <c r="DZ968" s="72"/>
      <c r="EA968" s="72"/>
      <c r="EB968" s="72"/>
      <c r="EC968" s="72"/>
      <c r="ED968" s="72"/>
      <c r="EE968" s="72"/>
      <c r="EF968" s="72"/>
      <c r="EG968" s="72"/>
      <c r="EH968" s="72"/>
      <c r="EI968" s="129"/>
      <c r="EJ968" s="129"/>
      <c r="EK968" s="129"/>
      <c r="EL968" s="129"/>
      <c r="EM968" s="72"/>
      <c r="EN968" s="72"/>
      <c r="EO968" s="72"/>
      <c r="EP968" s="72"/>
      <c r="EQ968" s="72"/>
      <c r="ER968" s="72"/>
      <c r="ES968" s="72"/>
      <c r="ET968" s="72"/>
    </row>
    <row r="969">
      <c r="CD969" s="72"/>
      <c r="CE969" s="72"/>
      <c r="CF969" s="72"/>
      <c r="CG969" s="72"/>
      <c r="CH969" s="72"/>
      <c r="CI969" s="72"/>
      <c r="CJ969" s="72"/>
      <c r="CK969" s="72"/>
      <c r="CL969" s="72"/>
      <c r="CM969" s="72"/>
      <c r="CN969" s="72"/>
      <c r="CO969" s="72"/>
      <c r="CP969" s="72"/>
      <c r="CQ969" s="72"/>
      <c r="CR969" s="72"/>
      <c r="CS969" s="72"/>
      <c r="CT969" s="72"/>
      <c r="CU969" s="72"/>
      <c r="CV969" s="72"/>
      <c r="CW969" s="72"/>
      <c r="CX969" s="72"/>
      <c r="CY969" s="72"/>
      <c r="CZ969" s="72"/>
      <c r="DA969" s="72"/>
      <c r="DB969" s="72"/>
      <c r="DC969" s="72"/>
      <c r="DD969" s="72"/>
      <c r="DE969" s="72"/>
      <c r="DF969" s="72"/>
      <c r="DG969" s="72"/>
      <c r="DH969" s="72"/>
      <c r="DI969" s="72"/>
      <c r="DJ969" s="72"/>
      <c r="DK969" s="72"/>
      <c r="DL969" s="72"/>
      <c r="DM969" s="72"/>
      <c r="DN969" s="72"/>
      <c r="DO969" s="72"/>
      <c r="DP969" s="72"/>
      <c r="DQ969" s="72"/>
      <c r="DR969" s="72"/>
      <c r="DS969" s="72"/>
      <c r="DT969" s="72"/>
      <c r="DU969" s="72"/>
      <c r="DV969" s="72"/>
      <c r="DW969" s="72"/>
      <c r="DX969" s="72"/>
      <c r="DY969" s="72"/>
      <c r="DZ969" s="72"/>
      <c r="EA969" s="72"/>
      <c r="EB969" s="72"/>
      <c r="EC969" s="72"/>
      <c r="ED969" s="72"/>
      <c r="EE969" s="72"/>
      <c r="EF969" s="72"/>
      <c r="EG969" s="72"/>
      <c r="EH969" s="72"/>
      <c r="EI969" s="129"/>
      <c r="EJ969" s="129"/>
      <c r="EK969" s="129"/>
      <c r="EL969" s="129"/>
      <c r="EM969" s="72"/>
      <c r="EN969" s="72"/>
      <c r="EO969" s="72"/>
      <c r="EP969" s="72"/>
      <c r="EQ969" s="72"/>
      <c r="ER969" s="72"/>
      <c r="ES969" s="72"/>
      <c r="ET969" s="72"/>
    </row>
    <row r="970">
      <c r="CD970" s="72"/>
      <c r="CE970" s="72"/>
      <c r="CF970" s="72"/>
      <c r="CG970" s="72"/>
      <c r="CH970" s="72"/>
      <c r="CI970" s="72"/>
      <c r="CJ970" s="72"/>
      <c r="CK970" s="72"/>
      <c r="CL970" s="72"/>
      <c r="CM970" s="72"/>
      <c r="CN970" s="72"/>
      <c r="CO970" s="72"/>
      <c r="CP970" s="72"/>
      <c r="CQ970" s="72"/>
      <c r="CR970" s="72"/>
      <c r="CS970" s="72"/>
      <c r="CT970" s="72"/>
      <c r="CU970" s="72"/>
      <c r="CV970" s="72"/>
      <c r="CW970" s="72"/>
      <c r="CX970" s="72"/>
      <c r="CY970" s="72"/>
      <c r="CZ970" s="72"/>
      <c r="DA970" s="72"/>
      <c r="DB970" s="72"/>
      <c r="DC970" s="72"/>
      <c r="DD970" s="72"/>
      <c r="DE970" s="72"/>
      <c r="DF970" s="72"/>
      <c r="DG970" s="72"/>
      <c r="DH970" s="72"/>
      <c r="DI970" s="72"/>
      <c r="DJ970" s="72"/>
      <c r="DK970" s="72"/>
      <c r="DL970" s="72"/>
      <c r="DM970" s="72"/>
      <c r="DN970" s="72"/>
      <c r="DO970" s="72"/>
      <c r="DP970" s="72"/>
      <c r="DQ970" s="72"/>
      <c r="DR970" s="72"/>
      <c r="DS970" s="72"/>
      <c r="DT970" s="72"/>
      <c r="DU970" s="72"/>
      <c r="DV970" s="72"/>
      <c r="DW970" s="72"/>
      <c r="DX970" s="72"/>
      <c r="DY970" s="72"/>
      <c r="DZ970" s="72"/>
      <c r="EA970" s="72"/>
      <c r="EB970" s="72"/>
      <c r="EC970" s="72"/>
      <c r="ED970" s="72"/>
      <c r="EE970" s="72"/>
      <c r="EF970" s="72"/>
      <c r="EG970" s="72"/>
      <c r="EH970" s="72"/>
      <c r="EI970" s="129"/>
      <c r="EJ970" s="129"/>
      <c r="EK970" s="129"/>
      <c r="EL970" s="129"/>
      <c r="EM970" s="72"/>
      <c r="EN970" s="72"/>
      <c r="EO970" s="72"/>
      <c r="EP970" s="72"/>
      <c r="EQ970" s="72"/>
      <c r="ER970" s="72"/>
      <c r="ES970" s="72"/>
      <c r="ET970" s="72"/>
    </row>
    <row r="971">
      <c r="CD971" s="72"/>
      <c r="CE971" s="72"/>
      <c r="CF971" s="72"/>
      <c r="CG971" s="72"/>
      <c r="CH971" s="72"/>
      <c r="CI971" s="72"/>
      <c r="CJ971" s="72"/>
      <c r="CK971" s="72"/>
      <c r="CL971" s="72"/>
      <c r="CM971" s="72"/>
      <c r="CN971" s="72"/>
      <c r="CO971" s="72"/>
      <c r="CP971" s="72"/>
      <c r="CQ971" s="72"/>
      <c r="CR971" s="72"/>
      <c r="CS971" s="72"/>
      <c r="CT971" s="72"/>
      <c r="CU971" s="72"/>
      <c r="CV971" s="72"/>
      <c r="CW971" s="72"/>
      <c r="CX971" s="72"/>
      <c r="CY971" s="72"/>
      <c r="CZ971" s="72"/>
      <c r="DA971" s="72"/>
      <c r="DB971" s="72"/>
      <c r="DC971" s="72"/>
      <c r="DD971" s="72"/>
      <c r="DE971" s="72"/>
      <c r="DF971" s="72"/>
      <c r="DG971" s="72"/>
      <c r="DH971" s="72"/>
      <c r="DI971" s="72"/>
      <c r="DJ971" s="72"/>
      <c r="DK971" s="72"/>
      <c r="DL971" s="72"/>
      <c r="DM971" s="72"/>
      <c r="DN971" s="72"/>
      <c r="DO971" s="72"/>
      <c r="DP971" s="72"/>
      <c r="DQ971" s="72"/>
      <c r="DR971" s="72"/>
      <c r="DS971" s="72"/>
      <c r="DT971" s="72"/>
      <c r="DU971" s="72"/>
      <c r="DV971" s="72"/>
      <c r="DW971" s="72"/>
      <c r="DX971" s="72"/>
      <c r="DY971" s="72"/>
      <c r="DZ971" s="72"/>
      <c r="EA971" s="72"/>
      <c r="EB971" s="72"/>
      <c r="EC971" s="72"/>
      <c r="ED971" s="72"/>
      <c r="EE971" s="72"/>
      <c r="EF971" s="72"/>
      <c r="EG971" s="72"/>
      <c r="EH971" s="72"/>
      <c r="EI971" s="129"/>
      <c r="EJ971" s="129"/>
      <c r="EK971" s="129"/>
      <c r="EL971" s="129"/>
      <c r="EM971" s="72"/>
      <c r="EN971" s="72"/>
      <c r="EO971" s="72"/>
      <c r="EP971" s="72"/>
      <c r="EQ971" s="72"/>
      <c r="ER971" s="72"/>
      <c r="ES971" s="72"/>
      <c r="ET971" s="72"/>
    </row>
    <row r="972">
      <c r="CD972" s="72"/>
      <c r="CE972" s="72"/>
      <c r="CF972" s="72"/>
      <c r="CG972" s="72"/>
      <c r="CH972" s="72"/>
      <c r="CI972" s="72"/>
      <c r="CJ972" s="72"/>
      <c r="CK972" s="72"/>
      <c r="CL972" s="72"/>
      <c r="CM972" s="72"/>
      <c r="CN972" s="72"/>
      <c r="CO972" s="72"/>
      <c r="CP972" s="72"/>
      <c r="CQ972" s="72"/>
      <c r="CR972" s="72"/>
      <c r="CS972" s="72"/>
      <c r="CT972" s="72"/>
      <c r="CU972" s="72"/>
      <c r="CV972" s="72"/>
      <c r="CW972" s="72"/>
      <c r="CX972" s="72"/>
      <c r="CY972" s="72"/>
      <c r="CZ972" s="72"/>
      <c r="DA972" s="72"/>
      <c r="DB972" s="72"/>
      <c r="DC972" s="72"/>
      <c r="DD972" s="72"/>
      <c r="DE972" s="72"/>
      <c r="DF972" s="72"/>
      <c r="DG972" s="72"/>
      <c r="DH972" s="72"/>
      <c r="DI972" s="72"/>
      <c r="DJ972" s="72"/>
      <c r="DK972" s="72"/>
      <c r="DL972" s="72"/>
      <c r="DM972" s="72"/>
      <c r="DN972" s="72"/>
      <c r="DO972" s="72"/>
      <c r="DP972" s="72"/>
      <c r="DQ972" s="72"/>
      <c r="DR972" s="72"/>
      <c r="DS972" s="72"/>
      <c r="DT972" s="72"/>
      <c r="DU972" s="72"/>
      <c r="DV972" s="72"/>
      <c r="DW972" s="72"/>
      <c r="DX972" s="72"/>
      <c r="DY972" s="72"/>
      <c r="DZ972" s="72"/>
      <c r="EA972" s="72"/>
      <c r="EB972" s="72"/>
      <c r="EC972" s="72"/>
      <c r="ED972" s="72"/>
      <c r="EE972" s="72"/>
      <c r="EF972" s="72"/>
      <c r="EG972" s="72"/>
      <c r="EH972" s="72"/>
      <c r="EI972" s="129"/>
      <c r="EJ972" s="129"/>
      <c r="EK972" s="129"/>
      <c r="EL972" s="129"/>
      <c r="EM972" s="72"/>
      <c r="EN972" s="72"/>
      <c r="EO972" s="72"/>
      <c r="EP972" s="72"/>
      <c r="EQ972" s="72"/>
      <c r="ER972" s="72"/>
      <c r="ES972" s="72"/>
      <c r="ET972" s="72"/>
    </row>
    <row r="973">
      <c r="CD973" s="72"/>
      <c r="CE973" s="72"/>
      <c r="CF973" s="72"/>
      <c r="CG973" s="72"/>
      <c r="CH973" s="72"/>
      <c r="CI973" s="72"/>
      <c r="CJ973" s="72"/>
      <c r="CK973" s="72"/>
      <c r="CL973" s="72"/>
      <c r="CM973" s="72"/>
      <c r="CN973" s="72"/>
      <c r="CO973" s="72"/>
      <c r="CP973" s="72"/>
      <c r="CQ973" s="72"/>
      <c r="CR973" s="72"/>
      <c r="CS973" s="72"/>
      <c r="CT973" s="72"/>
      <c r="CU973" s="72"/>
      <c r="CV973" s="72"/>
      <c r="CW973" s="72"/>
      <c r="CX973" s="72"/>
      <c r="CY973" s="72"/>
      <c r="CZ973" s="72"/>
      <c r="DA973" s="72"/>
      <c r="DB973" s="72"/>
      <c r="DC973" s="72"/>
      <c r="DD973" s="72"/>
      <c r="DE973" s="72"/>
      <c r="DF973" s="72"/>
      <c r="DG973" s="72"/>
      <c r="DH973" s="72"/>
      <c r="DI973" s="72"/>
      <c r="DJ973" s="72"/>
      <c r="DK973" s="72"/>
      <c r="DL973" s="72"/>
      <c r="DM973" s="72"/>
      <c r="DN973" s="72"/>
      <c r="DO973" s="72"/>
      <c r="DP973" s="72"/>
      <c r="DQ973" s="72"/>
      <c r="DR973" s="72"/>
      <c r="DS973" s="72"/>
      <c r="DT973" s="72"/>
      <c r="DU973" s="72"/>
      <c r="DV973" s="72"/>
      <c r="DW973" s="72"/>
      <c r="DX973" s="72"/>
      <c r="DY973" s="72"/>
      <c r="DZ973" s="72"/>
      <c r="EA973" s="72"/>
      <c r="EB973" s="72"/>
      <c r="EC973" s="72"/>
      <c r="ED973" s="72"/>
      <c r="EE973" s="72"/>
      <c r="EF973" s="72"/>
      <c r="EG973" s="72"/>
      <c r="EH973" s="72"/>
      <c r="EI973" s="129"/>
      <c r="EJ973" s="129"/>
      <c r="EK973" s="129"/>
      <c r="EL973" s="129"/>
      <c r="EM973" s="72"/>
      <c r="EN973" s="72"/>
      <c r="EO973" s="72"/>
      <c r="EP973" s="72"/>
      <c r="EQ973" s="72"/>
      <c r="ER973" s="72"/>
      <c r="ES973" s="72"/>
      <c r="ET973" s="72"/>
    </row>
    <row r="974">
      <c r="CD974" s="72"/>
      <c r="CE974" s="72"/>
      <c r="CF974" s="72"/>
      <c r="CG974" s="72"/>
      <c r="CH974" s="72"/>
      <c r="CI974" s="72"/>
      <c r="CJ974" s="72"/>
      <c r="CK974" s="72"/>
      <c r="CL974" s="72"/>
      <c r="CM974" s="72"/>
      <c r="CN974" s="72"/>
      <c r="CO974" s="72"/>
      <c r="CP974" s="72"/>
      <c r="CQ974" s="72"/>
      <c r="CR974" s="72"/>
      <c r="CS974" s="72"/>
      <c r="CT974" s="72"/>
      <c r="CU974" s="72"/>
      <c r="CV974" s="72"/>
      <c r="CW974" s="72"/>
      <c r="CX974" s="72"/>
      <c r="CY974" s="72"/>
      <c r="CZ974" s="72"/>
      <c r="DA974" s="72"/>
      <c r="DB974" s="72"/>
      <c r="DC974" s="72"/>
      <c r="DD974" s="72"/>
      <c r="DE974" s="72"/>
      <c r="DF974" s="72"/>
      <c r="DG974" s="72"/>
      <c r="DH974" s="72"/>
      <c r="DI974" s="72"/>
      <c r="DJ974" s="72"/>
      <c r="DK974" s="72"/>
      <c r="DL974" s="72"/>
      <c r="DM974" s="72"/>
      <c r="DN974" s="72"/>
      <c r="DO974" s="72"/>
      <c r="DP974" s="72"/>
      <c r="DQ974" s="72"/>
      <c r="DR974" s="72"/>
      <c r="DS974" s="72"/>
      <c r="DT974" s="72"/>
      <c r="DU974" s="72"/>
      <c r="DV974" s="72"/>
      <c r="DW974" s="72"/>
      <c r="DX974" s="72"/>
      <c r="DY974" s="72"/>
      <c r="DZ974" s="72"/>
      <c r="EA974" s="72"/>
      <c r="EB974" s="72"/>
      <c r="EC974" s="72"/>
      <c r="ED974" s="72"/>
      <c r="EE974" s="72"/>
      <c r="EF974" s="72"/>
      <c r="EG974" s="72"/>
      <c r="EH974" s="72"/>
      <c r="EI974" s="129"/>
      <c r="EJ974" s="129"/>
      <c r="EK974" s="129"/>
      <c r="EL974" s="129"/>
      <c r="EM974" s="72"/>
      <c r="EN974" s="72"/>
      <c r="EO974" s="72"/>
      <c r="EP974" s="72"/>
      <c r="EQ974" s="72"/>
      <c r="ER974" s="72"/>
      <c r="ES974" s="72"/>
      <c r="ET974" s="72"/>
    </row>
    <row r="975">
      <c r="CD975" s="72"/>
      <c r="CE975" s="72"/>
      <c r="CF975" s="72"/>
      <c r="CG975" s="72"/>
      <c r="CH975" s="72"/>
      <c r="CI975" s="72"/>
      <c r="CJ975" s="72"/>
      <c r="CK975" s="72"/>
      <c r="CL975" s="72"/>
      <c r="CM975" s="72"/>
      <c r="CN975" s="72"/>
      <c r="CO975" s="72"/>
      <c r="CP975" s="72"/>
      <c r="CQ975" s="72"/>
      <c r="CR975" s="72"/>
      <c r="CS975" s="72"/>
      <c r="CT975" s="72"/>
      <c r="CU975" s="72"/>
      <c r="CV975" s="72"/>
      <c r="CW975" s="72"/>
      <c r="CX975" s="72"/>
      <c r="CY975" s="72"/>
      <c r="CZ975" s="72"/>
      <c r="DA975" s="72"/>
      <c r="DB975" s="72"/>
      <c r="DC975" s="72"/>
      <c r="DD975" s="72"/>
      <c r="DE975" s="72"/>
      <c r="DF975" s="72"/>
      <c r="DG975" s="72"/>
      <c r="DH975" s="72"/>
      <c r="DI975" s="72"/>
      <c r="DJ975" s="72"/>
      <c r="DK975" s="72"/>
      <c r="DL975" s="72"/>
      <c r="DM975" s="72"/>
      <c r="DN975" s="72"/>
      <c r="DO975" s="72"/>
      <c r="DP975" s="72"/>
      <c r="DQ975" s="72"/>
      <c r="DR975" s="72"/>
      <c r="DS975" s="72"/>
      <c r="DT975" s="72"/>
      <c r="DU975" s="72"/>
      <c r="DV975" s="72"/>
      <c r="DW975" s="72"/>
      <c r="DX975" s="72"/>
      <c r="DY975" s="72"/>
      <c r="DZ975" s="72"/>
      <c r="EA975" s="72"/>
      <c r="EB975" s="72"/>
      <c r="EC975" s="72"/>
      <c r="ED975" s="72"/>
      <c r="EE975" s="72"/>
      <c r="EF975" s="72"/>
      <c r="EG975" s="72"/>
      <c r="EH975" s="72"/>
      <c r="EI975" s="129"/>
      <c r="EJ975" s="129"/>
      <c r="EK975" s="129"/>
      <c r="EL975" s="129"/>
      <c r="EM975" s="72"/>
      <c r="EN975" s="72"/>
      <c r="EO975" s="72"/>
      <c r="EP975" s="72"/>
      <c r="EQ975" s="72"/>
      <c r="ER975" s="72"/>
      <c r="ES975" s="72"/>
      <c r="ET975" s="72"/>
    </row>
    <row r="976">
      <c r="CD976" s="72"/>
      <c r="CE976" s="72"/>
      <c r="CF976" s="72"/>
      <c r="CG976" s="72"/>
      <c r="CH976" s="72"/>
      <c r="CI976" s="72"/>
      <c r="CJ976" s="72"/>
      <c r="CK976" s="72"/>
      <c r="CL976" s="72"/>
      <c r="CM976" s="72"/>
      <c r="CN976" s="72"/>
      <c r="CO976" s="72"/>
      <c r="CP976" s="72"/>
      <c r="CQ976" s="72"/>
      <c r="CR976" s="72"/>
      <c r="CS976" s="72"/>
      <c r="CT976" s="72"/>
      <c r="CU976" s="72"/>
      <c r="CV976" s="72"/>
      <c r="CW976" s="72"/>
      <c r="CX976" s="72"/>
      <c r="CY976" s="72"/>
      <c r="CZ976" s="72"/>
      <c r="DA976" s="72"/>
      <c r="DB976" s="72"/>
      <c r="DC976" s="72"/>
      <c r="DD976" s="72"/>
      <c r="DE976" s="72"/>
      <c r="DF976" s="72"/>
      <c r="DG976" s="72"/>
      <c r="DH976" s="72"/>
      <c r="DI976" s="72"/>
      <c r="DJ976" s="72"/>
      <c r="DK976" s="72"/>
      <c r="DL976" s="72"/>
      <c r="DM976" s="72"/>
      <c r="DN976" s="72"/>
      <c r="DO976" s="72"/>
      <c r="DP976" s="72"/>
      <c r="DQ976" s="72"/>
      <c r="DR976" s="72"/>
      <c r="DS976" s="72"/>
      <c r="DT976" s="72"/>
      <c r="DU976" s="72"/>
      <c r="DV976" s="72"/>
      <c r="DW976" s="72"/>
      <c r="DX976" s="72"/>
      <c r="DY976" s="72"/>
      <c r="DZ976" s="72"/>
      <c r="EA976" s="72"/>
      <c r="EB976" s="72"/>
      <c r="EC976" s="72"/>
      <c r="ED976" s="72"/>
      <c r="EE976" s="72"/>
      <c r="EF976" s="72"/>
      <c r="EG976" s="72"/>
      <c r="EH976" s="72"/>
      <c r="EI976" s="129"/>
      <c r="EJ976" s="129"/>
      <c r="EK976" s="129"/>
      <c r="EL976" s="129"/>
      <c r="EM976" s="72"/>
      <c r="EN976" s="72"/>
      <c r="EO976" s="72"/>
      <c r="EP976" s="72"/>
      <c r="EQ976" s="72"/>
      <c r="ER976" s="72"/>
      <c r="ES976" s="72"/>
      <c r="ET976" s="72"/>
    </row>
    <row r="977">
      <c r="CD977" s="72"/>
      <c r="CE977" s="72"/>
      <c r="CF977" s="72"/>
      <c r="CG977" s="72"/>
      <c r="CH977" s="72"/>
      <c r="CI977" s="72"/>
      <c r="CJ977" s="72"/>
      <c r="CK977" s="72"/>
      <c r="CL977" s="72"/>
      <c r="CM977" s="72"/>
      <c r="CN977" s="72"/>
      <c r="CO977" s="72"/>
      <c r="CP977" s="72"/>
      <c r="CQ977" s="72"/>
      <c r="CR977" s="72"/>
      <c r="CS977" s="72"/>
      <c r="CT977" s="72"/>
      <c r="CU977" s="72"/>
      <c r="CV977" s="72"/>
      <c r="CW977" s="72"/>
      <c r="CX977" s="72"/>
      <c r="CY977" s="72"/>
      <c r="CZ977" s="72"/>
      <c r="DA977" s="72"/>
      <c r="DB977" s="72"/>
      <c r="DC977" s="72"/>
      <c r="DD977" s="72"/>
      <c r="DE977" s="72"/>
      <c r="DF977" s="72"/>
      <c r="DG977" s="72"/>
      <c r="DH977" s="72"/>
      <c r="DI977" s="72"/>
      <c r="DJ977" s="72"/>
      <c r="DK977" s="72"/>
      <c r="DL977" s="72"/>
      <c r="DM977" s="72"/>
      <c r="DN977" s="72"/>
      <c r="DO977" s="72"/>
      <c r="DP977" s="72"/>
      <c r="DQ977" s="72"/>
      <c r="DR977" s="72"/>
      <c r="DS977" s="72"/>
      <c r="DT977" s="72"/>
      <c r="DU977" s="72"/>
      <c r="DV977" s="72"/>
      <c r="DW977" s="72"/>
      <c r="DX977" s="72"/>
      <c r="DY977" s="72"/>
      <c r="DZ977" s="72"/>
      <c r="EA977" s="72"/>
      <c r="EB977" s="72"/>
      <c r="EC977" s="72"/>
      <c r="ED977" s="72"/>
      <c r="EE977" s="72"/>
      <c r="EF977" s="72"/>
      <c r="EG977" s="72"/>
      <c r="EH977" s="72"/>
      <c r="EI977" s="129"/>
      <c r="EJ977" s="129"/>
      <c r="EK977" s="129"/>
      <c r="EL977" s="129"/>
      <c r="EM977" s="72"/>
      <c r="EN977" s="72"/>
      <c r="EO977" s="72"/>
      <c r="EP977" s="72"/>
      <c r="EQ977" s="72"/>
      <c r="ER977" s="72"/>
      <c r="ES977" s="72"/>
      <c r="ET977" s="72"/>
    </row>
    <row r="978">
      <c r="CD978" s="72"/>
      <c r="CE978" s="72"/>
      <c r="CF978" s="72"/>
      <c r="CG978" s="72"/>
      <c r="CH978" s="72"/>
      <c r="CI978" s="72"/>
      <c r="CJ978" s="72"/>
      <c r="CK978" s="72"/>
      <c r="CL978" s="72"/>
      <c r="CM978" s="72"/>
      <c r="CN978" s="72"/>
      <c r="CO978" s="72"/>
      <c r="CP978" s="72"/>
      <c r="CQ978" s="72"/>
      <c r="CR978" s="72"/>
      <c r="CS978" s="72"/>
      <c r="CT978" s="72"/>
      <c r="CU978" s="72"/>
      <c r="CV978" s="72"/>
      <c r="CW978" s="72"/>
      <c r="CX978" s="72"/>
      <c r="CY978" s="72"/>
      <c r="CZ978" s="72"/>
      <c r="DA978" s="72"/>
      <c r="DB978" s="72"/>
      <c r="DC978" s="72"/>
      <c r="DD978" s="72"/>
      <c r="DE978" s="72"/>
      <c r="DF978" s="72"/>
      <c r="DG978" s="72"/>
      <c r="DH978" s="72"/>
      <c r="DI978" s="72"/>
      <c r="DJ978" s="72"/>
      <c r="DK978" s="72"/>
      <c r="DL978" s="72"/>
      <c r="DM978" s="72"/>
      <c r="DN978" s="72"/>
      <c r="DO978" s="72"/>
      <c r="DP978" s="72"/>
      <c r="DQ978" s="72"/>
      <c r="DR978" s="72"/>
      <c r="DS978" s="72"/>
      <c r="DT978" s="72"/>
      <c r="DU978" s="72"/>
      <c r="DV978" s="72"/>
      <c r="DW978" s="72"/>
      <c r="DX978" s="72"/>
      <c r="DY978" s="72"/>
      <c r="DZ978" s="72"/>
      <c r="EA978" s="72"/>
      <c r="EB978" s="72"/>
      <c r="EC978" s="72"/>
      <c r="ED978" s="72"/>
      <c r="EE978" s="72"/>
      <c r="EF978" s="72"/>
      <c r="EG978" s="72"/>
      <c r="EH978" s="72"/>
      <c r="EI978" s="129"/>
      <c r="EJ978" s="129"/>
      <c r="EK978" s="129"/>
      <c r="EL978" s="129"/>
      <c r="EM978" s="72"/>
      <c r="EN978" s="72"/>
      <c r="EO978" s="72"/>
      <c r="EP978" s="72"/>
      <c r="EQ978" s="72"/>
      <c r="ER978" s="72"/>
      <c r="ES978" s="72"/>
      <c r="ET978" s="72"/>
    </row>
    <row r="979">
      <c r="CD979" s="72"/>
      <c r="CE979" s="72"/>
      <c r="CF979" s="72"/>
      <c r="CG979" s="72"/>
      <c r="CH979" s="72"/>
      <c r="CI979" s="72"/>
      <c r="CJ979" s="72"/>
      <c r="CK979" s="72"/>
      <c r="CL979" s="72"/>
      <c r="CM979" s="72"/>
      <c r="CN979" s="72"/>
      <c r="CO979" s="72"/>
      <c r="CP979" s="72"/>
      <c r="CQ979" s="72"/>
      <c r="CR979" s="72"/>
      <c r="CS979" s="72"/>
      <c r="CT979" s="72"/>
      <c r="CU979" s="72"/>
      <c r="CV979" s="72"/>
      <c r="CW979" s="72"/>
      <c r="CX979" s="72"/>
      <c r="CY979" s="72"/>
      <c r="CZ979" s="72"/>
      <c r="DA979" s="72"/>
      <c r="DB979" s="72"/>
      <c r="DC979" s="72"/>
      <c r="DD979" s="72"/>
      <c r="DE979" s="72"/>
      <c r="DF979" s="72"/>
      <c r="DG979" s="72"/>
      <c r="DH979" s="72"/>
      <c r="DI979" s="72"/>
      <c r="DJ979" s="72"/>
      <c r="DK979" s="72"/>
      <c r="DL979" s="72"/>
      <c r="DM979" s="72"/>
      <c r="DN979" s="72"/>
      <c r="DO979" s="72"/>
      <c r="DP979" s="72"/>
      <c r="DQ979" s="72"/>
      <c r="DR979" s="72"/>
      <c r="DS979" s="72"/>
      <c r="DT979" s="72"/>
      <c r="DU979" s="72"/>
      <c r="DV979" s="72"/>
      <c r="DW979" s="72"/>
      <c r="DX979" s="72"/>
      <c r="DY979" s="72"/>
      <c r="DZ979" s="72"/>
      <c r="EA979" s="72"/>
      <c r="EB979" s="72"/>
      <c r="EC979" s="72"/>
      <c r="ED979" s="72"/>
      <c r="EE979" s="72"/>
      <c r="EF979" s="72"/>
      <c r="EG979" s="72"/>
      <c r="EH979" s="72"/>
      <c r="EI979" s="129"/>
      <c r="EJ979" s="129"/>
      <c r="EK979" s="129"/>
      <c r="EL979" s="129"/>
      <c r="EM979" s="72"/>
      <c r="EN979" s="72"/>
      <c r="EO979" s="72"/>
      <c r="EP979" s="72"/>
      <c r="EQ979" s="72"/>
      <c r="ER979" s="72"/>
      <c r="ES979" s="72"/>
      <c r="ET979" s="72"/>
    </row>
    <row r="980">
      <c r="CD980" s="72"/>
      <c r="CE980" s="72"/>
      <c r="CF980" s="72"/>
      <c r="CG980" s="72"/>
      <c r="CH980" s="72"/>
      <c r="CI980" s="72"/>
      <c r="CJ980" s="72"/>
      <c r="CK980" s="72"/>
      <c r="CL980" s="72"/>
      <c r="CM980" s="72"/>
      <c r="CN980" s="72"/>
      <c r="CO980" s="72"/>
      <c r="CP980" s="72"/>
      <c r="CQ980" s="72"/>
      <c r="CR980" s="72"/>
      <c r="CS980" s="72"/>
      <c r="CT980" s="72"/>
      <c r="CU980" s="72"/>
      <c r="CV980" s="72"/>
      <c r="CW980" s="72"/>
      <c r="CX980" s="72"/>
      <c r="CY980" s="72"/>
      <c r="CZ980" s="72"/>
      <c r="DA980" s="72"/>
      <c r="DB980" s="72"/>
      <c r="DC980" s="72"/>
      <c r="DD980" s="72"/>
      <c r="DE980" s="72"/>
      <c r="DF980" s="72"/>
      <c r="DG980" s="72"/>
      <c r="DH980" s="72"/>
      <c r="DI980" s="72"/>
      <c r="DJ980" s="72"/>
      <c r="DK980" s="72"/>
      <c r="DL980" s="72"/>
      <c r="DM980" s="72"/>
      <c r="DN980" s="72"/>
      <c r="DO980" s="72"/>
      <c r="DP980" s="72"/>
      <c r="DQ980" s="72"/>
      <c r="DR980" s="72"/>
      <c r="DS980" s="72"/>
      <c r="DT980" s="72"/>
      <c r="DU980" s="72"/>
      <c r="DV980" s="72"/>
      <c r="DW980" s="72"/>
      <c r="DX980" s="72"/>
      <c r="DY980" s="72"/>
      <c r="DZ980" s="72"/>
      <c r="EA980" s="72"/>
      <c r="EB980" s="72"/>
      <c r="EC980" s="72"/>
      <c r="ED980" s="72"/>
      <c r="EE980" s="72"/>
      <c r="EF980" s="72"/>
      <c r="EG980" s="72"/>
      <c r="EH980" s="72"/>
      <c r="EI980" s="129"/>
      <c r="EJ980" s="129"/>
      <c r="EK980" s="129"/>
      <c r="EL980" s="129"/>
      <c r="EM980" s="72"/>
      <c r="EN980" s="72"/>
      <c r="EO980" s="72"/>
      <c r="EP980" s="72"/>
      <c r="EQ980" s="72"/>
      <c r="ER980" s="72"/>
      <c r="ES980" s="72"/>
      <c r="ET980" s="72"/>
    </row>
    <row r="981">
      <c r="CD981" s="72"/>
      <c r="CE981" s="72"/>
      <c r="CF981" s="72"/>
      <c r="CG981" s="72"/>
      <c r="CH981" s="72"/>
      <c r="CI981" s="72"/>
      <c r="CJ981" s="72"/>
      <c r="CK981" s="72"/>
      <c r="CL981" s="72"/>
      <c r="CM981" s="72"/>
      <c r="CN981" s="72"/>
      <c r="CO981" s="72"/>
      <c r="CP981" s="72"/>
      <c r="CQ981" s="72"/>
      <c r="CR981" s="72"/>
      <c r="CS981" s="72"/>
      <c r="CT981" s="72"/>
      <c r="CU981" s="72"/>
      <c r="CV981" s="72"/>
      <c r="CW981" s="72"/>
      <c r="CX981" s="72"/>
      <c r="CY981" s="72"/>
      <c r="CZ981" s="72"/>
      <c r="DA981" s="72"/>
      <c r="DB981" s="72"/>
      <c r="DC981" s="72"/>
      <c r="DD981" s="72"/>
      <c r="DE981" s="72"/>
      <c r="DF981" s="72"/>
      <c r="DG981" s="72"/>
      <c r="DH981" s="72"/>
      <c r="DI981" s="72"/>
      <c r="DJ981" s="72"/>
      <c r="DK981" s="72"/>
      <c r="DL981" s="72"/>
      <c r="DM981" s="72"/>
      <c r="DN981" s="72"/>
      <c r="DO981" s="72"/>
      <c r="DP981" s="72"/>
      <c r="DQ981" s="72"/>
      <c r="DR981" s="72"/>
      <c r="DS981" s="72"/>
      <c r="DT981" s="72"/>
      <c r="DU981" s="72"/>
      <c r="DV981" s="72"/>
      <c r="DW981" s="72"/>
      <c r="DX981" s="72"/>
      <c r="DY981" s="72"/>
      <c r="DZ981" s="72"/>
      <c r="EA981" s="72"/>
      <c r="EB981" s="72"/>
      <c r="EC981" s="72"/>
      <c r="ED981" s="72"/>
      <c r="EE981" s="72"/>
      <c r="EF981" s="72"/>
      <c r="EG981" s="72"/>
      <c r="EH981" s="72"/>
      <c r="EI981" s="129"/>
      <c r="EJ981" s="129"/>
      <c r="EK981" s="129"/>
      <c r="EL981" s="129"/>
      <c r="EM981" s="72"/>
      <c r="EN981" s="72"/>
      <c r="EO981" s="72"/>
      <c r="EP981" s="72"/>
      <c r="EQ981" s="72"/>
      <c r="ER981" s="72"/>
      <c r="ES981" s="72"/>
      <c r="ET981" s="72"/>
    </row>
    <row r="982">
      <c r="CD982" s="72"/>
      <c r="CE982" s="72"/>
      <c r="CF982" s="72"/>
      <c r="CG982" s="72"/>
      <c r="CH982" s="72"/>
      <c r="CI982" s="72"/>
      <c r="CJ982" s="72"/>
      <c r="CK982" s="72"/>
      <c r="CL982" s="72"/>
      <c r="CM982" s="72"/>
      <c r="CN982" s="72"/>
      <c r="CO982" s="72"/>
      <c r="CP982" s="72"/>
      <c r="CQ982" s="72"/>
      <c r="CR982" s="72"/>
      <c r="CS982" s="72"/>
      <c r="CT982" s="72"/>
      <c r="CU982" s="72"/>
      <c r="CV982" s="72"/>
      <c r="CW982" s="72"/>
      <c r="CX982" s="72"/>
      <c r="CY982" s="72"/>
      <c r="CZ982" s="72"/>
      <c r="DA982" s="72"/>
      <c r="DB982" s="72"/>
      <c r="DC982" s="72"/>
      <c r="DD982" s="72"/>
      <c r="DE982" s="72"/>
      <c r="DF982" s="72"/>
      <c r="DG982" s="72"/>
      <c r="DH982" s="72"/>
      <c r="DI982" s="72"/>
      <c r="DJ982" s="72"/>
      <c r="DK982" s="72"/>
      <c r="DL982" s="72"/>
      <c r="DM982" s="72"/>
      <c r="DN982" s="72"/>
      <c r="DO982" s="72"/>
      <c r="DP982" s="72"/>
      <c r="DQ982" s="72"/>
      <c r="DR982" s="72"/>
      <c r="DS982" s="72"/>
      <c r="DT982" s="72"/>
      <c r="DU982" s="72"/>
      <c r="DV982" s="72"/>
      <c r="DW982" s="72"/>
      <c r="DX982" s="72"/>
      <c r="DY982" s="72"/>
      <c r="DZ982" s="72"/>
      <c r="EA982" s="72"/>
      <c r="EB982" s="72"/>
      <c r="EC982" s="72"/>
      <c r="ED982" s="72"/>
      <c r="EE982" s="72"/>
      <c r="EF982" s="72"/>
      <c r="EG982" s="72"/>
      <c r="EH982" s="72"/>
      <c r="EI982" s="129"/>
      <c r="EJ982" s="129"/>
      <c r="EK982" s="129"/>
      <c r="EL982" s="129"/>
      <c r="EM982" s="72"/>
      <c r="EN982" s="72"/>
      <c r="EO982" s="72"/>
      <c r="EP982" s="72"/>
      <c r="EQ982" s="72"/>
      <c r="ER982" s="72"/>
      <c r="ES982" s="72"/>
      <c r="ET982" s="72"/>
    </row>
    <row r="983">
      <c r="CD983" s="72"/>
      <c r="CE983" s="72"/>
      <c r="CF983" s="72"/>
      <c r="CG983" s="72"/>
      <c r="CH983" s="72"/>
      <c r="CI983" s="72"/>
      <c r="CJ983" s="72"/>
      <c r="CK983" s="72"/>
      <c r="CL983" s="72"/>
      <c r="CM983" s="72"/>
      <c r="CN983" s="72"/>
      <c r="CO983" s="72"/>
      <c r="CP983" s="72"/>
      <c r="CQ983" s="72"/>
      <c r="CR983" s="72"/>
      <c r="CS983" s="72"/>
      <c r="CT983" s="72"/>
      <c r="CU983" s="72"/>
      <c r="CV983" s="72"/>
      <c r="CW983" s="72"/>
      <c r="CX983" s="72"/>
      <c r="CY983" s="72"/>
      <c r="CZ983" s="72"/>
      <c r="DA983" s="72"/>
      <c r="DB983" s="72"/>
      <c r="DC983" s="72"/>
      <c r="DD983" s="72"/>
      <c r="DE983" s="72"/>
      <c r="DF983" s="72"/>
      <c r="DG983" s="72"/>
      <c r="DH983" s="72"/>
      <c r="DI983" s="72"/>
      <c r="DJ983" s="72"/>
      <c r="DK983" s="72"/>
      <c r="DL983" s="72"/>
      <c r="DM983" s="72"/>
      <c r="DN983" s="72"/>
      <c r="DO983" s="72"/>
      <c r="DP983" s="72"/>
      <c r="DQ983" s="72"/>
      <c r="DR983" s="72"/>
      <c r="DS983" s="72"/>
      <c r="DT983" s="72"/>
      <c r="DU983" s="72"/>
      <c r="DV983" s="72"/>
      <c r="DW983" s="72"/>
      <c r="DX983" s="72"/>
      <c r="DY983" s="72"/>
      <c r="DZ983" s="72"/>
      <c r="EA983" s="72"/>
      <c r="EB983" s="72"/>
      <c r="EC983" s="72"/>
      <c r="ED983" s="72"/>
      <c r="EE983" s="72"/>
      <c r="EF983" s="72"/>
      <c r="EG983" s="72"/>
      <c r="EH983" s="72"/>
      <c r="EI983" s="129"/>
      <c r="EJ983" s="129"/>
      <c r="EK983" s="129"/>
      <c r="EL983" s="129"/>
      <c r="EM983" s="72"/>
      <c r="EN983" s="72"/>
      <c r="EO983" s="72"/>
      <c r="EP983" s="72"/>
      <c r="EQ983" s="72"/>
      <c r="ER983" s="72"/>
      <c r="ES983" s="72"/>
      <c r="ET983" s="72"/>
    </row>
    <row r="984">
      <c r="CD984" s="72"/>
      <c r="CE984" s="72"/>
      <c r="CF984" s="72"/>
      <c r="CG984" s="72"/>
      <c r="CH984" s="72"/>
      <c r="CI984" s="72"/>
      <c r="CJ984" s="72"/>
      <c r="CK984" s="72"/>
      <c r="CL984" s="72"/>
      <c r="CM984" s="72"/>
      <c r="CN984" s="72"/>
      <c r="CO984" s="72"/>
      <c r="CP984" s="72"/>
      <c r="CQ984" s="72"/>
      <c r="CR984" s="72"/>
      <c r="CS984" s="72"/>
      <c r="CT984" s="72"/>
      <c r="CU984" s="72"/>
      <c r="CV984" s="72"/>
      <c r="CW984" s="72"/>
      <c r="CX984" s="72"/>
      <c r="CY984" s="72"/>
      <c r="CZ984" s="72"/>
      <c r="DA984" s="72"/>
      <c r="DB984" s="72"/>
      <c r="DC984" s="72"/>
      <c r="DD984" s="72"/>
      <c r="DE984" s="72"/>
      <c r="DF984" s="72"/>
      <c r="DG984" s="72"/>
      <c r="DH984" s="72"/>
      <c r="DI984" s="72"/>
      <c r="DJ984" s="72"/>
      <c r="DK984" s="72"/>
      <c r="DL984" s="72"/>
      <c r="DM984" s="72"/>
      <c r="DN984" s="72"/>
      <c r="DO984" s="72"/>
      <c r="DP984" s="72"/>
      <c r="DQ984" s="72"/>
      <c r="DR984" s="72"/>
      <c r="DS984" s="72"/>
      <c r="DT984" s="72"/>
      <c r="DU984" s="72"/>
      <c r="DV984" s="72"/>
      <c r="DW984" s="72"/>
      <c r="DX984" s="72"/>
      <c r="DY984" s="72"/>
      <c r="DZ984" s="72"/>
      <c r="EA984" s="72"/>
      <c r="EB984" s="72"/>
      <c r="EC984" s="72"/>
      <c r="ED984" s="72"/>
      <c r="EE984" s="72"/>
      <c r="EF984" s="72"/>
      <c r="EG984" s="72"/>
      <c r="EH984" s="72"/>
      <c r="EI984" s="129"/>
      <c r="EJ984" s="129"/>
      <c r="EK984" s="129"/>
      <c r="EL984" s="129"/>
      <c r="EM984" s="72"/>
      <c r="EN984" s="72"/>
      <c r="EO984" s="72"/>
      <c r="EP984" s="72"/>
      <c r="EQ984" s="72"/>
      <c r="ER984" s="72"/>
      <c r="ES984" s="72"/>
      <c r="ET984" s="72"/>
    </row>
    <row r="985">
      <c r="CD985" s="72"/>
      <c r="CE985" s="72"/>
      <c r="CF985" s="72"/>
      <c r="CG985" s="72"/>
      <c r="CH985" s="72"/>
      <c r="CI985" s="72"/>
      <c r="CJ985" s="72"/>
      <c r="CK985" s="72"/>
      <c r="CL985" s="72"/>
      <c r="CM985" s="72"/>
      <c r="CN985" s="72"/>
      <c r="CO985" s="72"/>
      <c r="CP985" s="72"/>
      <c r="CQ985" s="72"/>
      <c r="CR985" s="72"/>
      <c r="CS985" s="72"/>
      <c r="CT985" s="72"/>
      <c r="CU985" s="72"/>
      <c r="CV985" s="72"/>
      <c r="CW985" s="72"/>
      <c r="CX985" s="72"/>
      <c r="CY985" s="72"/>
      <c r="CZ985" s="72"/>
      <c r="DA985" s="72"/>
      <c r="DB985" s="72"/>
      <c r="DC985" s="72"/>
      <c r="DD985" s="72"/>
      <c r="DE985" s="72"/>
      <c r="DF985" s="72"/>
      <c r="DG985" s="72"/>
      <c r="DH985" s="72"/>
      <c r="DI985" s="72"/>
      <c r="DJ985" s="72"/>
      <c r="DK985" s="72"/>
      <c r="DL985" s="72"/>
      <c r="DM985" s="72"/>
      <c r="DN985" s="72"/>
      <c r="DO985" s="72"/>
      <c r="DP985" s="72"/>
      <c r="DQ985" s="72"/>
      <c r="DR985" s="72"/>
      <c r="DS985" s="72"/>
      <c r="DT985" s="72"/>
      <c r="DU985" s="72"/>
      <c r="DV985" s="72"/>
      <c r="DW985" s="72"/>
      <c r="DX985" s="72"/>
      <c r="DY985" s="72"/>
      <c r="DZ985" s="72"/>
      <c r="EA985" s="72"/>
      <c r="EB985" s="72"/>
      <c r="EC985" s="72"/>
      <c r="ED985" s="72"/>
      <c r="EE985" s="72"/>
      <c r="EF985" s="72"/>
      <c r="EG985" s="72"/>
      <c r="EH985" s="72"/>
      <c r="EI985" s="129"/>
      <c r="EJ985" s="129"/>
      <c r="EK985" s="129"/>
      <c r="EL985" s="129"/>
      <c r="EM985" s="72"/>
      <c r="EN985" s="72"/>
      <c r="EO985" s="72"/>
      <c r="EP985" s="72"/>
      <c r="EQ985" s="72"/>
      <c r="ER985" s="72"/>
      <c r="ES985" s="72"/>
      <c r="ET985" s="72"/>
    </row>
    <row r="986">
      <c r="CD986" s="72"/>
      <c r="CE986" s="72"/>
      <c r="CF986" s="72"/>
      <c r="CG986" s="72"/>
      <c r="CH986" s="72"/>
      <c r="CI986" s="72"/>
      <c r="CJ986" s="72"/>
      <c r="CK986" s="72"/>
      <c r="CL986" s="72"/>
      <c r="CM986" s="72"/>
      <c r="CN986" s="72"/>
      <c r="CO986" s="72"/>
      <c r="CP986" s="72"/>
      <c r="CQ986" s="72"/>
      <c r="CR986" s="72"/>
      <c r="CS986" s="72"/>
      <c r="CT986" s="72"/>
      <c r="CU986" s="72"/>
      <c r="CV986" s="72"/>
      <c r="CW986" s="72"/>
      <c r="CX986" s="72"/>
      <c r="CY986" s="72"/>
      <c r="CZ986" s="72"/>
      <c r="DA986" s="72"/>
      <c r="DB986" s="72"/>
      <c r="DC986" s="72"/>
      <c r="DD986" s="72"/>
      <c r="DE986" s="72"/>
      <c r="DF986" s="72"/>
      <c r="DG986" s="72"/>
      <c r="DH986" s="72"/>
      <c r="DI986" s="72"/>
      <c r="DJ986" s="72"/>
      <c r="DK986" s="72"/>
      <c r="DL986" s="72"/>
      <c r="DM986" s="72"/>
      <c r="DN986" s="72"/>
      <c r="DO986" s="72"/>
      <c r="DP986" s="72"/>
      <c r="DQ986" s="72"/>
      <c r="DR986" s="72"/>
      <c r="DS986" s="72"/>
      <c r="DT986" s="72"/>
      <c r="DU986" s="72"/>
      <c r="DV986" s="72"/>
      <c r="DW986" s="72"/>
      <c r="DX986" s="72"/>
      <c r="DY986" s="72"/>
      <c r="DZ986" s="72"/>
      <c r="EA986" s="72"/>
      <c r="EB986" s="72"/>
      <c r="EC986" s="72"/>
      <c r="ED986" s="72"/>
      <c r="EE986" s="72"/>
      <c r="EF986" s="72"/>
      <c r="EG986" s="72"/>
      <c r="EH986" s="72"/>
      <c r="EI986" s="129"/>
      <c r="EJ986" s="129"/>
      <c r="EK986" s="129"/>
      <c r="EL986" s="129"/>
      <c r="EM986" s="72"/>
      <c r="EN986" s="72"/>
      <c r="EO986" s="72"/>
      <c r="EP986" s="72"/>
      <c r="EQ986" s="72"/>
      <c r="ER986" s="72"/>
      <c r="ES986" s="72"/>
      <c r="ET986" s="72"/>
    </row>
    <row r="987">
      <c r="CD987" s="72"/>
      <c r="CE987" s="72"/>
      <c r="CF987" s="72"/>
      <c r="CG987" s="72"/>
      <c r="CH987" s="72"/>
      <c r="CI987" s="72"/>
      <c r="CJ987" s="72"/>
      <c r="CK987" s="72"/>
      <c r="CL987" s="72"/>
      <c r="CM987" s="72"/>
      <c r="CN987" s="72"/>
      <c r="CO987" s="72"/>
      <c r="CP987" s="72"/>
      <c r="CQ987" s="72"/>
      <c r="CR987" s="72"/>
      <c r="CS987" s="72"/>
      <c r="CT987" s="72"/>
      <c r="CU987" s="72"/>
      <c r="CV987" s="72"/>
      <c r="CW987" s="72"/>
      <c r="CX987" s="72"/>
      <c r="CY987" s="72"/>
      <c r="CZ987" s="72"/>
      <c r="DA987" s="72"/>
      <c r="DB987" s="72"/>
      <c r="DC987" s="72"/>
      <c r="DD987" s="72"/>
      <c r="DE987" s="72"/>
      <c r="DF987" s="72"/>
      <c r="DG987" s="72"/>
      <c r="DH987" s="72"/>
      <c r="DI987" s="72"/>
      <c r="DJ987" s="72"/>
      <c r="DK987" s="72"/>
      <c r="DL987" s="72"/>
      <c r="DM987" s="72"/>
      <c r="DN987" s="72"/>
      <c r="DO987" s="72"/>
      <c r="DP987" s="72"/>
      <c r="DQ987" s="72"/>
      <c r="DR987" s="72"/>
      <c r="DS987" s="72"/>
      <c r="DT987" s="72"/>
      <c r="DU987" s="72"/>
      <c r="DV987" s="72"/>
      <c r="DW987" s="72"/>
      <c r="DX987" s="72"/>
      <c r="DY987" s="72"/>
      <c r="DZ987" s="72"/>
      <c r="EA987" s="72"/>
      <c r="EB987" s="72"/>
      <c r="EC987" s="72"/>
      <c r="ED987" s="72"/>
      <c r="EE987" s="72"/>
      <c r="EF987" s="72"/>
      <c r="EG987" s="72"/>
      <c r="EH987" s="72"/>
      <c r="EI987" s="129"/>
      <c r="EJ987" s="129"/>
      <c r="EK987" s="129"/>
      <c r="EL987" s="129"/>
      <c r="EM987" s="72"/>
      <c r="EN987" s="72"/>
      <c r="EO987" s="72"/>
      <c r="EP987" s="72"/>
      <c r="EQ987" s="72"/>
      <c r="ER987" s="72"/>
      <c r="ES987" s="72"/>
      <c r="ET987" s="72"/>
    </row>
    <row r="988">
      <c r="CD988" s="72"/>
      <c r="CE988" s="72"/>
      <c r="CF988" s="72"/>
      <c r="CG988" s="72"/>
      <c r="CH988" s="72"/>
      <c r="CI988" s="72"/>
      <c r="CJ988" s="72"/>
      <c r="CK988" s="72"/>
      <c r="CL988" s="72"/>
      <c r="CM988" s="72"/>
      <c r="CN988" s="72"/>
      <c r="CO988" s="72"/>
      <c r="CP988" s="72"/>
      <c r="CQ988" s="72"/>
      <c r="CR988" s="72"/>
      <c r="CS988" s="72"/>
      <c r="CT988" s="72"/>
      <c r="CU988" s="72"/>
      <c r="CV988" s="72"/>
      <c r="CW988" s="72"/>
      <c r="CX988" s="72"/>
      <c r="CY988" s="72"/>
      <c r="CZ988" s="72"/>
      <c r="DA988" s="72"/>
      <c r="DB988" s="72"/>
      <c r="DC988" s="72"/>
      <c r="DD988" s="72"/>
      <c r="DE988" s="72"/>
      <c r="DF988" s="72"/>
      <c r="DG988" s="72"/>
      <c r="DH988" s="72"/>
      <c r="DI988" s="72"/>
      <c r="DJ988" s="72"/>
      <c r="DK988" s="72"/>
      <c r="DL988" s="72"/>
      <c r="DM988" s="72"/>
      <c r="DN988" s="72"/>
      <c r="DO988" s="72"/>
      <c r="DP988" s="72"/>
      <c r="DQ988" s="72"/>
      <c r="DR988" s="72"/>
      <c r="DS988" s="72"/>
      <c r="DT988" s="72"/>
      <c r="DU988" s="72"/>
      <c r="DV988" s="72"/>
      <c r="DW988" s="72"/>
      <c r="DX988" s="72"/>
      <c r="DY988" s="72"/>
      <c r="DZ988" s="72"/>
      <c r="EA988" s="72"/>
      <c r="EB988" s="72"/>
      <c r="EC988" s="72"/>
      <c r="ED988" s="72"/>
      <c r="EE988" s="72"/>
      <c r="EF988" s="72"/>
      <c r="EG988" s="72"/>
      <c r="EH988" s="72"/>
      <c r="EI988" s="129"/>
      <c r="EJ988" s="129"/>
      <c r="EK988" s="129"/>
      <c r="EL988" s="129"/>
      <c r="EM988" s="72"/>
      <c r="EN988" s="72"/>
      <c r="EO988" s="72"/>
      <c r="EP988" s="72"/>
      <c r="EQ988" s="72"/>
      <c r="ER988" s="72"/>
      <c r="ES988" s="72"/>
      <c r="ET988" s="72"/>
    </row>
    <row r="989">
      <c r="CD989" s="72"/>
      <c r="CE989" s="72"/>
      <c r="CF989" s="72"/>
      <c r="CG989" s="72"/>
      <c r="CH989" s="72"/>
      <c r="CI989" s="72"/>
      <c r="CJ989" s="72"/>
      <c r="CK989" s="72"/>
      <c r="CL989" s="72"/>
      <c r="CM989" s="72"/>
      <c r="CN989" s="72"/>
      <c r="CO989" s="72"/>
      <c r="CP989" s="72"/>
      <c r="CQ989" s="72"/>
      <c r="CR989" s="72"/>
      <c r="CS989" s="72"/>
      <c r="CT989" s="72"/>
      <c r="CU989" s="72"/>
      <c r="CV989" s="72"/>
      <c r="CW989" s="72"/>
      <c r="CX989" s="72"/>
      <c r="CY989" s="72"/>
      <c r="CZ989" s="72"/>
      <c r="DA989" s="72"/>
      <c r="DB989" s="72"/>
      <c r="DC989" s="72"/>
      <c r="DD989" s="72"/>
      <c r="DE989" s="72"/>
      <c r="DF989" s="72"/>
      <c r="DG989" s="72"/>
      <c r="DH989" s="72"/>
      <c r="DI989" s="72"/>
      <c r="DJ989" s="72"/>
      <c r="DK989" s="72"/>
      <c r="DL989" s="72"/>
      <c r="DM989" s="72"/>
      <c r="DN989" s="72"/>
      <c r="DO989" s="72"/>
      <c r="DP989" s="72"/>
      <c r="DQ989" s="72"/>
      <c r="DR989" s="72"/>
      <c r="DS989" s="72"/>
      <c r="DT989" s="72"/>
      <c r="DU989" s="72"/>
      <c r="DV989" s="72"/>
      <c r="DW989" s="72"/>
      <c r="DX989" s="72"/>
      <c r="DY989" s="72"/>
      <c r="DZ989" s="72"/>
      <c r="EA989" s="72"/>
      <c r="EB989" s="72"/>
      <c r="EC989" s="72"/>
      <c r="ED989" s="72"/>
      <c r="EE989" s="72"/>
      <c r="EF989" s="72"/>
      <c r="EG989" s="72"/>
      <c r="EH989" s="72"/>
      <c r="EI989" s="129"/>
      <c r="EJ989" s="129"/>
      <c r="EK989" s="129"/>
      <c r="EL989" s="129"/>
      <c r="EM989" s="72"/>
      <c r="EN989" s="72"/>
      <c r="EO989" s="72"/>
      <c r="EP989" s="72"/>
      <c r="EQ989" s="72"/>
      <c r="ER989" s="72"/>
      <c r="ES989" s="72"/>
      <c r="ET989" s="72"/>
    </row>
    <row r="990">
      <c r="CD990" s="72"/>
      <c r="CE990" s="72"/>
      <c r="CF990" s="72"/>
      <c r="CG990" s="72"/>
      <c r="CH990" s="72"/>
      <c r="CI990" s="72"/>
      <c r="CJ990" s="72"/>
      <c r="CK990" s="72"/>
      <c r="CL990" s="72"/>
      <c r="CM990" s="72"/>
      <c r="CN990" s="72"/>
      <c r="CO990" s="72"/>
      <c r="CP990" s="72"/>
      <c r="CQ990" s="72"/>
      <c r="CR990" s="72"/>
      <c r="CS990" s="72"/>
      <c r="CT990" s="72"/>
      <c r="CU990" s="72"/>
      <c r="CV990" s="72"/>
      <c r="CW990" s="72"/>
      <c r="CX990" s="72"/>
      <c r="CY990" s="72"/>
      <c r="CZ990" s="72"/>
      <c r="DA990" s="72"/>
      <c r="DB990" s="72"/>
      <c r="DC990" s="72"/>
      <c r="DD990" s="72"/>
      <c r="DE990" s="72"/>
      <c r="DF990" s="72"/>
      <c r="DG990" s="72"/>
      <c r="DH990" s="72"/>
      <c r="DI990" s="72"/>
      <c r="DJ990" s="72"/>
      <c r="DK990" s="72"/>
      <c r="DL990" s="72"/>
      <c r="DM990" s="72"/>
      <c r="DN990" s="72"/>
      <c r="DO990" s="72"/>
      <c r="DP990" s="72"/>
      <c r="DQ990" s="72"/>
      <c r="DR990" s="72"/>
      <c r="DS990" s="72"/>
      <c r="DT990" s="72"/>
      <c r="DU990" s="72"/>
      <c r="DV990" s="72"/>
      <c r="DW990" s="72"/>
      <c r="DX990" s="72"/>
      <c r="DY990" s="72"/>
      <c r="DZ990" s="72"/>
      <c r="EA990" s="72"/>
      <c r="EB990" s="72"/>
      <c r="EC990" s="72"/>
      <c r="ED990" s="72"/>
      <c r="EE990" s="72"/>
      <c r="EF990" s="72"/>
      <c r="EG990" s="72"/>
      <c r="EH990" s="72"/>
      <c r="EI990" s="129"/>
      <c r="EJ990" s="129"/>
      <c r="EK990" s="129"/>
      <c r="EL990" s="129"/>
      <c r="EM990" s="72"/>
      <c r="EN990" s="72"/>
      <c r="EO990" s="72"/>
      <c r="EP990" s="72"/>
      <c r="EQ990" s="72"/>
      <c r="ER990" s="72"/>
      <c r="ES990" s="72"/>
      <c r="ET990" s="72"/>
    </row>
    <row r="991">
      <c r="CD991" s="72"/>
      <c r="CE991" s="72"/>
      <c r="CF991" s="72"/>
      <c r="CG991" s="72"/>
      <c r="CH991" s="72"/>
      <c r="CI991" s="72"/>
      <c r="CJ991" s="72"/>
      <c r="CK991" s="72"/>
      <c r="CL991" s="72"/>
      <c r="CM991" s="72"/>
      <c r="CN991" s="72"/>
      <c r="CO991" s="72"/>
      <c r="CP991" s="72"/>
      <c r="CQ991" s="72"/>
      <c r="CR991" s="72"/>
      <c r="CS991" s="72"/>
      <c r="CT991" s="72"/>
      <c r="CU991" s="72"/>
      <c r="CV991" s="72"/>
      <c r="CW991" s="72"/>
      <c r="CX991" s="72"/>
      <c r="CY991" s="72"/>
      <c r="CZ991" s="72"/>
      <c r="DA991" s="72"/>
      <c r="DB991" s="72"/>
      <c r="DC991" s="72"/>
      <c r="DD991" s="72"/>
      <c r="DE991" s="72"/>
      <c r="DF991" s="72"/>
      <c r="DG991" s="72"/>
      <c r="DH991" s="72"/>
      <c r="DI991" s="72"/>
      <c r="DJ991" s="72"/>
      <c r="DK991" s="72"/>
      <c r="DL991" s="72"/>
      <c r="DM991" s="72"/>
      <c r="DN991" s="72"/>
      <c r="DO991" s="72"/>
      <c r="DP991" s="72"/>
      <c r="DQ991" s="72"/>
      <c r="DR991" s="72"/>
      <c r="DS991" s="72"/>
      <c r="DT991" s="72"/>
      <c r="DU991" s="72"/>
      <c r="DV991" s="72"/>
      <c r="DW991" s="72"/>
      <c r="DX991" s="72"/>
      <c r="DY991" s="72"/>
      <c r="DZ991" s="72"/>
      <c r="EA991" s="72"/>
      <c r="EB991" s="72"/>
      <c r="EC991" s="72"/>
      <c r="ED991" s="72"/>
      <c r="EE991" s="72"/>
      <c r="EF991" s="72"/>
      <c r="EG991" s="72"/>
      <c r="EH991" s="72"/>
      <c r="EI991" s="129"/>
      <c r="EJ991" s="129"/>
      <c r="EK991" s="129"/>
      <c r="EL991" s="129"/>
      <c r="EM991" s="72"/>
      <c r="EN991" s="72"/>
      <c r="EO991" s="72"/>
      <c r="EP991" s="72"/>
      <c r="EQ991" s="72"/>
      <c r="ER991" s="72"/>
      <c r="ES991" s="72"/>
      <c r="ET991" s="72"/>
    </row>
    <row r="992">
      <c r="CD992" s="72"/>
      <c r="CE992" s="72"/>
      <c r="CF992" s="72"/>
      <c r="CG992" s="72"/>
      <c r="CH992" s="72"/>
      <c r="CI992" s="72"/>
      <c r="CJ992" s="72"/>
      <c r="CK992" s="72"/>
      <c r="CL992" s="72"/>
      <c r="CM992" s="72"/>
      <c r="CN992" s="72"/>
      <c r="CO992" s="72"/>
      <c r="CP992" s="72"/>
      <c r="CQ992" s="72"/>
      <c r="CR992" s="72"/>
      <c r="CS992" s="72"/>
      <c r="CT992" s="72"/>
      <c r="CU992" s="72"/>
      <c r="CV992" s="72"/>
      <c r="CW992" s="72"/>
      <c r="CX992" s="72"/>
      <c r="CY992" s="72"/>
      <c r="CZ992" s="72"/>
      <c r="DA992" s="72"/>
      <c r="DB992" s="72"/>
      <c r="DC992" s="72"/>
      <c r="DD992" s="72"/>
      <c r="DE992" s="72"/>
      <c r="DF992" s="72"/>
      <c r="DG992" s="72"/>
      <c r="DH992" s="72"/>
      <c r="DI992" s="72"/>
      <c r="DJ992" s="72"/>
      <c r="DK992" s="72"/>
      <c r="DL992" s="72"/>
      <c r="DM992" s="72"/>
      <c r="DN992" s="72"/>
      <c r="DO992" s="72"/>
      <c r="DP992" s="72"/>
      <c r="DQ992" s="72"/>
      <c r="DR992" s="72"/>
      <c r="DS992" s="72"/>
      <c r="DT992" s="72"/>
      <c r="DU992" s="72"/>
      <c r="DV992" s="72"/>
      <c r="DW992" s="72"/>
      <c r="DX992" s="72"/>
      <c r="DY992" s="72"/>
      <c r="DZ992" s="72"/>
      <c r="EA992" s="72"/>
      <c r="EB992" s="72"/>
      <c r="EC992" s="72"/>
      <c r="ED992" s="72"/>
      <c r="EE992" s="72"/>
      <c r="EF992" s="72"/>
      <c r="EG992" s="72"/>
      <c r="EH992" s="72"/>
      <c r="EI992" s="129"/>
      <c r="EJ992" s="129"/>
      <c r="EK992" s="129"/>
      <c r="EL992" s="129"/>
      <c r="EM992" s="72"/>
      <c r="EN992" s="72"/>
      <c r="EO992" s="72"/>
      <c r="EP992" s="72"/>
      <c r="EQ992" s="72"/>
      <c r="ER992" s="72"/>
      <c r="ES992" s="72"/>
      <c r="ET992" s="72"/>
    </row>
    <row r="993">
      <c r="CD993" s="72"/>
      <c r="CE993" s="72"/>
      <c r="CF993" s="72"/>
      <c r="CG993" s="72"/>
      <c r="CH993" s="72"/>
      <c r="CI993" s="72"/>
      <c r="CJ993" s="72"/>
      <c r="CK993" s="72"/>
      <c r="CL993" s="72"/>
      <c r="CM993" s="72"/>
      <c r="CN993" s="72"/>
      <c r="CO993" s="72"/>
      <c r="CP993" s="72"/>
      <c r="CQ993" s="72"/>
      <c r="CR993" s="72"/>
      <c r="CS993" s="72"/>
      <c r="CT993" s="72"/>
      <c r="CU993" s="72"/>
      <c r="CV993" s="72"/>
      <c r="CW993" s="72"/>
      <c r="CX993" s="72"/>
      <c r="CY993" s="72"/>
      <c r="CZ993" s="72"/>
      <c r="DA993" s="72"/>
      <c r="DB993" s="72"/>
      <c r="DC993" s="72"/>
      <c r="DD993" s="72"/>
      <c r="DE993" s="72"/>
      <c r="DF993" s="72"/>
      <c r="DG993" s="72"/>
      <c r="DH993" s="72"/>
      <c r="DI993" s="72"/>
      <c r="DJ993" s="72"/>
      <c r="DK993" s="72"/>
      <c r="DL993" s="72"/>
      <c r="DM993" s="72"/>
      <c r="DN993" s="72"/>
      <c r="DO993" s="72"/>
      <c r="DP993" s="72"/>
      <c r="DQ993" s="72"/>
      <c r="DR993" s="72"/>
      <c r="DS993" s="72"/>
      <c r="DT993" s="72"/>
      <c r="DU993" s="72"/>
      <c r="DV993" s="72"/>
      <c r="DW993" s="72"/>
      <c r="DX993" s="72"/>
      <c r="DY993" s="72"/>
      <c r="DZ993" s="72"/>
      <c r="EA993" s="72"/>
      <c r="EB993" s="72"/>
      <c r="EC993" s="72"/>
      <c r="ED993" s="72"/>
      <c r="EE993" s="72"/>
      <c r="EF993" s="72"/>
      <c r="EG993" s="72"/>
      <c r="EH993" s="72"/>
      <c r="EI993" s="129"/>
      <c r="EJ993" s="129"/>
      <c r="EK993" s="129"/>
      <c r="EL993" s="129"/>
      <c r="EM993" s="72"/>
      <c r="EN993" s="72"/>
      <c r="EO993" s="72"/>
      <c r="EP993" s="72"/>
      <c r="EQ993" s="72"/>
      <c r="ER993" s="72"/>
      <c r="ES993" s="72"/>
      <c r="ET993" s="72"/>
    </row>
    <row r="994">
      <c r="CD994" s="72"/>
      <c r="CE994" s="72"/>
      <c r="CF994" s="72"/>
      <c r="CG994" s="72"/>
      <c r="CH994" s="72"/>
      <c r="CI994" s="72"/>
      <c r="CJ994" s="72"/>
      <c r="CK994" s="72"/>
      <c r="CL994" s="72"/>
      <c r="CM994" s="72"/>
      <c r="CN994" s="72"/>
      <c r="CO994" s="72"/>
      <c r="CP994" s="72"/>
      <c r="CQ994" s="72"/>
      <c r="CR994" s="72"/>
      <c r="CS994" s="72"/>
      <c r="CT994" s="72"/>
      <c r="CU994" s="72"/>
      <c r="CV994" s="72"/>
      <c r="CW994" s="72"/>
      <c r="CX994" s="72"/>
      <c r="CY994" s="72"/>
      <c r="CZ994" s="72"/>
      <c r="DA994" s="72"/>
      <c r="DB994" s="72"/>
      <c r="DC994" s="72"/>
      <c r="DD994" s="72"/>
      <c r="DE994" s="72"/>
      <c r="DF994" s="72"/>
      <c r="DG994" s="72"/>
      <c r="DH994" s="72"/>
      <c r="DI994" s="72"/>
      <c r="DJ994" s="72"/>
      <c r="DK994" s="72"/>
      <c r="DL994" s="72"/>
      <c r="DM994" s="72"/>
      <c r="DN994" s="72"/>
      <c r="DO994" s="72"/>
      <c r="DP994" s="72"/>
      <c r="DQ994" s="72"/>
      <c r="DR994" s="72"/>
      <c r="DS994" s="72"/>
      <c r="DT994" s="72"/>
      <c r="DU994" s="72"/>
      <c r="DV994" s="72"/>
      <c r="DW994" s="72"/>
      <c r="DX994" s="72"/>
      <c r="DY994" s="72"/>
      <c r="DZ994" s="72"/>
      <c r="EA994" s="72"/>
      <c r="EB994" s="72"/>
      <c r="EC994" s="72"/>
      <c r="ED994" s="72"/>
      <c r="EE994" s="72"/>
      <c r="EF994" s="72"/>
      <c r="EG994" s="72"/>
      <c r="EH994" s="72"/>
      <c r="EI994" s="129"/>
      <c r="EJ994" s="129"/>
      <c r="EK994" s="129"/>
      <c r="EL994" s="129"/>
      <c r="EM994" s="72"/>
      <c r="EN994" s="72"/>
      <c r="EO994" s="72"/>
      <c r="EP994" s="72"/>
      <c r="EQ994" s="72"/>
      <c r="ER994" s="72"/>
      <c r="ES994" s="72"/>
      <c r="ET994" s="72"/>
    </row>
    <row r="995">
      <c r="CD995" s="72"/>
      <c r="CE995" s="72"/>
      <c r="CF995" s="72"/>
      <c r="CG995" s="72"/>
      <c r="CH995" s="72"/>
      <c r="CI995" s="72"/>
      <c r="CJ995" s="72"/>
      <c r="CK995" s="72"/>
      <c r="CL995" s="72"/>
      <c r="CM995" s="72"/>
      <c r="CN995" s="72"/>
      <c r="CO995" s="72"/>
      <c r="CP995" s="72"/>
      <c r="CQ995" s="72"/>
      <c r="CR995" s="72"/>
      <c r="CS995" s="72"/>
      <c r="CT995" s="72"/>
      <c r="CU995" s="72"/>
      <c r="CV995" s="72"/>
      <c r="CW995" s="72"/>
      <c r="CX995" s="72"/>
      <c r="CY995" s="72"/>
      <c r="CZ995" s="72"/>
      <c r="DA995" s="72"/>
      <c r="DB995" s="72"/>
      <c r="DC995" s="72"/>
      <c r="DD995" s="72"/>
      <c r="DE995" s="72"/>
      <c r="DF995" s="72"/>
      <c r="DG995" s="72"/>
      <c r="DH995" s="72"/>
      <c r="DI995" s="72"/>
      <c r="DJ995" s="72"/>
      <c r="DK995" s="72"/>
      <c r="DL995" s="72"/>
      <c r="DM995" s="72"/>
      <c r="DN995" s="72"/>
      <c r="DO995" s="72"/>
      <c r="DP995" s="72"/>
      <c r="DQ995" s="72"/>
      <c r="DR995" s="72"/>
      <c r="DS995" s="72"/>
      <c r="DT995" s="72"/>
      <c r="DU995" s="72"/>
      <c r="DV995" s="72"/>
      <c r="DW995" s="72"/>
      <c r="DX995" s="72"/>
      <c r="DY995" s="72"/>
      <c r="DZ995" s="72"/>
      <c r="EA995" s="72"/>
      <c r="EB995" s="72"/>
      <c r="EC995" s="72"/>
      <c r="ED995" s="72"/>
      <c r="EE995" s="72"/>
      <c r="EF995" s="72"/>
      <c r="EG995" s="72"/>
      <c r="EH995" s="72"/>
      <c r="EI995" s="129"/>
      <c r="EJ995" s="129"/>
      <c r="EK995" s="129"/>
      <c r="EL995" s="129"/>
      <c r="EM995" s="72"/>
      <c r="EN995" s="72"/>
      <c r="EO995" s="72"/>
      <c r="EP995" s="72"/>
      <c r="EQ995" s="72"/>
      <c r="ER995" s="72"/>
      <c r="ES995" s="72"/>
      <c r="ET995" s="72"/>
    </row>
    <row r="996">
      <c r="CD996" s="72"/>
      <c r="CE996" s="72"/>
      <c r="CF996" s="72"/>
      <c r="CG996" s="72"/>
      <c r="CH996" s="72"/>
      <c r="CI996" s="72"/>
      <c r="CJ996" s="72"/>
      <c r="CK996" s="72"/>
      <c r="CL996" s="72"/>
      <c r="CM996" s="72"/>
      <c r="CN996" s="72"/>
      <c r="CO996" s="72"/>
      <c r="CP996" s="72"/>
      <c r="CQ996" s="72"/>
      <c r="CR996" s="72"/>
      <c r="CS996" s="72"/>
      <c r="CT996" s="72"/>
      <c r="CU996" s="72"/>
      <c r="CV996" s="72"/>
      <c r="CW996" s="72"/>
      <c r="CX996" s="72"/>
      <c r="CY996" s="72"/>
      <c r="CZ996" s="72"/>
      <c r="DA996" s="72"/>
      <c r="DB996" s="72"/>
      <c r="DC996" s="72"/>
      <c r="DD996" s="72"/>
      <c r="DE996" s="72"/>
      <c r="DF996" s="72"/>
      <c r="DG996" s="72"/>
      <c r="DH996" s="72"/>
      <c r="DI996" s="72"/>
      <c r="DJ996" s="72"/>
      <c r="DK996" s="72"/>
      <c r="DL996" s="72"/>
      <c r="DM996" s="72"/>
      <c r="DN996" s="72"/>
      <c r="DO996" s="72"/>
      <c r="DP996" s="72"/>
      <c r="DQ996" s="72"/>
      <c r="DR996" s="72"/>
      <c r="DS996" s="72"/>
      <c r="DT996" s="72"/>
      <c r="DU996" s="72"/>
      <c r="DV996" s="72"/>
      <c r="DW996" s="72"/>
      <c r="DX996" s="72"/>
      <c r="DY996" s="72"/>
      <c r="DZ996" s="72"/>
      <c r="EA996" s="72"/>
      <c r="EB996" s="72"/>
      <c r="EC996" s="72"/>
      <c r="ED996" s="72"/>
      <c r="EE996" s="72"/>
      <c r="EF996" s="72"/>
      <c r="EG996" s="72"/>
      <c r="EH996" s="72"/>
      <c r="EI996" s="129"/>
      <c r="EJ996" s="129"/>
      <c r="EK996" s="129"/>
      <c r="EL996" s="129"/>
      <c r="EM996" s="72"/>
      <c r="EN996" s="72"/>
      <c r="EO996" s="72"/>
      <c r="EP996" s="72"/>
      <c r="EQ996" s="72"/>
      <c r="ER996" s="72"/>
      <c r="ES996" s="72"/>
      <c r="ET996" s="72"/>
    </row>
    <row r="997">
      <c r="CD997" s="72"/>
      <c r="CE997" s="72"/>
      <c r="CF997" s="72"/>
      <c r="CG997" s="72"/>
      <c r="CH997" s="72"/>
      <c r="CI997" s="72"/>
      <c r="CJ997" s="72"/>
      <c r="CK997" s="72"/>
      <c r="CL997" s="72"/>
      <c r="CM997" s="72"/>
      <c r="CN997" s="72"/>
      <c r="CO997" s="72"/>
      <c r="CP997" s="72"/>
      <c r="CQ997" s="72"/>
      <c r="CR997" s="72"/>
      <c r="CS997" s="72"/>
      <c r="CT997" s="72"/>
      <c r="CU997" s="72"/>
      <c r="CV997" s="72"/>
      <c r="CW997" s="72"/>
      <c r="CX997" s="72"/>
      <c r="CY997" s="72"/>
      <c r="CZ997" s="72"/>
      <c r="DA997" s="72"/>
      <c r="DB997" s="72"/>
      <c r="DC997" s="72"/>
      <c r="DD997" s="72"/>
      <c r="DE997" s="72"/>
      <c r="DF997" s="72"/>
      <c r="DG997" s="72"/>
      <c r="DH997" s="72"/>
      <c r="DI997" s="72"/>
      <c r="DJ997" s="72"/>
      <c r="DK997" s="72"/>
      <c r="DL997" s="72"/>
      <c r="DM997" s="72"/>
      <c r="DN997" s="72"/>
      <c r="DO997" s="72"/>
      <c r="DP997" s="72"/>
      <c r="DQ997" s="72"/>
      <c r="DR997" s="72"/>
      <c r="DS997" s="72"/>
      <c r="DT997" s="72"/>
      <c r="DU997" s="72"/>
      <c r="DV997" s="72"/>
      <c r="DW997" s="72"/>
      <c r="DX997" s="72"/>
      <c r="DY997" s="72"/>
      <c r="DZ997" s="72"/>
      <c r="EA997" s="72"/>
      <c r="EB997" s="72"/>
      <c r="EC997" s="72"/>
      <c r="ED997" s="72"/>
      <c r="EE997" s="72"/>
      <c r="EF997" s="72"/>
      <c r="EG997" s="72"/>
      <c r="EH997" s="72"/>
      <c r="EI997" s="129"/>
      <c r="EJ997" s="129"/>
      <c r="EK997" s="129"/>
      <c r="EL997" s="129"/>
      <c r="EM997" s="72"/>
      <c r="EN997" s="72"/>
      <c r="EO997" s="72"/>
      <c r="EP997" s="72"/>
      <c r="EQ997" s="72"/>
      <c r="ER997" s="72"/>
      <c r="ES997" s="72"/>
      <c r="ET997" s="72"/>
    </row>
    <row r="998">
      <c r="CD998" s="72"/>
      <c r="CE998" s="72"/>
      <c r="CF998" s="72"/>
      <c r="CG998" s="72"/>
      <c r="CH998" s="72"/>
      <c r="CI998" s="72"/>
      <c r="CJ998" s="72"/>
      <c r="CK998" s="72"/>
      <c r="CL998" s="72"/>
      <c r="CM998" s="72"/>
      <c r="CN998" s="72"/>
      <c r="CO998" s="72"/>
      <c r="CP998" s="72"/>
      <c r="CQ998" s="72"/>
      <c r="CR998" s="72"/>
      <c r="CS998" s="72"/>
      <c r="CT998" s="72"/>
      <c r="CU998" s="72"/>
      <c r="CV998" s="72"/>
      <c r="CW998" s="72"/>
      <c r="CX998" s="72"/>
      <c r="CY998" s="72"/>
      <c r="CZ998" s="72"/>
      <c r="DA998" s="72"/>
      <c r="DB998" s="72"/>
      <c r="DC998" s="72"/>
      <c r="DD998" s="72"/>
      <c r="DE998" s="72"/>
      <c r="DF998" s="72"/>
      <c r="DG998" s="72"/>
      <c r="DH998" s="72"/>
      <c r="DI998" s="72"/>
      <c r="DJ998" s="72"/>
      <c r="DK998" s="72"/>
      <c r="DL998" s="72"/>
      <c r="DM998" s="72"/>
      <c r="DN998" s="72"/>
      <c r="DO998" s="72"/>
      <c r="DP998" s="72"/>
      <c r="DQ998" s="72"/>
      <c r="DR998" s="72"/>
      <c r="DS998" s="72"/>
      <c r="DT998" s="72"/>
      <c r="DU998" s="72"/>
      <c r="DV998" s="72"/>
      <c r="DW998" s="72"/>
      <c r="DX998" s="72"/>
      <c r="DY998" s="72"/>
      <c r="DZ998" s="72"/>
      <c r="EA998" s="72"/>
      <c r="EB998" s="72"/>
      <c r="EC998" s="72"/>
      <c r="ED998" s="72"/>
      <c r="EE998" s="72"/>
      <c r="EF998" s="72"/>
      <c r="EG998" s="72"/>
      <c r="EH998" s="72"/>
      <c r="EI998" s="129"/>
      <c r="EJ998" s="129"/>
      <c r="EK998" s="129"/>
      <c r="EL998" s="129"/>
      <c r="EM998" s="72"/>
      <c r="EN998" s="72"/>
      <c r="EO998" s="72"/>
      <c r="EP998" s="72"/>
      <c r="EQ998" s="72"/>
      <c r="ER998" s="72"/>
      <c r="ES998" s="72"/>
      <c r="ET998" s="72"/>
    </row>
    <row r="999">
      <c r="CD999" s="72"/>
      <c r="CE999" s="72"/>
      <c r="CF999" s="72"/>
      <c r="CG999" s="72"/>
      <c r="CH999" s="72"/>
      <c r="CI999" s="72"/>
      <c r="CJ999" s="72"/>
      <c r="CK999" s="72"/>
      <c r="CL999" s="72"/>
      <c r="CM999" s="72"/>
      <c r="CN999" s="72"/>
      <c r="CO999" s="72"/>
      <c r="CP999" s="72"/>
      <c r="CQ999" s="72"/>
      <c r="CR999" s="72"/>
      <c r="CS999" s="72"/>
      <c r="CT999" s="72"/>
      <c r="CU999" s="72"/>
      <c r="CV999" s="72"/>
      <c r="CW999" s="72"/>
      <c r="CX999" s="72"/>
      <c r="CY999" s="72"/>
      <c r="CZ999" s="72"/>
      <c r="DA999" s="72"/>
      <c r="DB999" s="72"/>
      <c r="DC999" s="72"/>
      <c r="DD999" s="72"/>
      <c r="DE999" s="72"/>
      <c r="DF999" s="72"/>
      <c r="DG999" s="72"/>
      <c r="DH999" s="72"/>
      <c r="DI999" s="72"/>
      <c r="DJ999" s="72"/>
      <c r="DK999" s="72"/>
      <c r="DL999" s="72"/>
      <c r="DM999" s="72"/>
      <c r="DN999" s="72"/>
      <c r="DO999" s="72"/>
      <c r="DP999" s="72"/>
      <c r="DQ999" s="72"/>
      <c r="DR999" s="72"/>
      <c r="DS999" s="72"/>
      <c r="DT999" s="72"/>
      <c r="DU999" s="72"/>
      <c r="DV999" s="72"/>
      <c r="DW999" s="72"/>
      <c r="DX999" s="72"/>
      <c r="DY999" s="72"/>
      <c r="DZ999" s="72"/>
      <c r="EA999" s="72"/>
      <c r="EB999" s="72"/>
      <c r="EC999" s="72"/>
      <c r="ED999" s="72"/>
      <c r="EE999" s="72"/>
      <c r="EF999" s="72"/>
      <c r="EG999" s="72"/>
      <c r="EH999" s="72"/>
      <c r="EI999" s="129"/>
      <c r="EJ999" s="129"/>
      <c r="EK999" s="129"/>
      <c r="EL999" s="129"/>
      <c r="EM999" s="72"/>
      <c r="EN999" s="72"/>
      <c r="EO999" s="72"/>
      <c r="EP999" s="72"/>
      <c r="EQ999" s="72"/>
      <c r="ER999" s="72"/>
      <c r="ES999" s="72"/>
      <c r="ET999" s="72"/>
    </row>
    <row r="1000">
      <c r="CD1000" s="72"/>
      <c r="CE1000" s="72"/>
      <c r="CF1000" s="72"/>
      <c r="CG1000" s="72"/>
      <c r="CH1000" s="72"/>
      <c r="CI1000" s="72"/>
      <c r="CJ1000" s="72"/>
      <c r="CK1000" s="72"/>
      <c r="CL1000" s="72"/>
      <c r="CM1000" s="72"/>
      <c r="CN1000" s="72"/>
      <c r="CO1000" s="72"/>
      <c r="CP1000" s="72"/>
      <c r="CQ1000" s="72"/>
      <c r="CR1000" s="72"/>
      <c r="CS1000" s="72"/>
      <c r="CT1000" s="72"/>
      <c r="CU1000" s="72"/>
      <c r="CV1000" s="72"/>
      <c r="CW1000" s="72"/>
      <c r="CX1000" s="72"/>
      <c r="CY1000" s="72"/>
      <c r="CZ1000" s="72"/>
      <c r="DA1000" s="72"/>
      <c r="DB1000" s="72"/>
      <c r="DC1000" s="72"/>
      <c r="DD1000" s="72"/>
      <c r="DE1000" s="72"/>
      <c r="DF1000" s="72"/>
      <c r="DG1000" s="72"/>
      <c r="DH1000" s="72"/>
      <c r="DI1000" s="72"/>
      <c r="DJ1000" s="72"/>
      <c r="DK1000" s="72"/>
      <c r="DL1000" s="72"/>
      <c r="DM1000" s="72"/>
      <c r="DN1000" s="72"/>
      <c r="DO1000" s="72"/>
      <c r="DP1000" s="72"/>
      <c r="DQ1000" s="72"/>
      <c r="DR1000" s="72"/>
      <c r="DS1000" s="72"/>
      <c r="DT1000" s="72"/>
      <c r="DU1000" s="72"/>
      <c r="DV1000" s="72"/>
      <c r="DW1000" s="72"/>
      <c r="DX1000" s="72"/>
      <c r="DY1000" s="72"/>
      <c r="DZ1000" s="72"/>
      <c r="EA1000" s="72"/>
      <c r="EB1000" s="72"/>
      <c r="EC1000" s="72"/>
      <c r="ED1000" s="72"/>
      <c r="EE1000" s="72"/>
      <c r="EF1000" s="72"/>
      <c r="EG1000" s="72"/>
      <c r="EH1000" s="72"/>
      <c r="EI1000" s="129"/>
      <c r="EJ1000" s="129"/>
      <c r="EK1000" s="129"/>
      <c r="EL1000" s="129"/>
      <c r="EM1000" s="72"/>
      <c r="EN1000" s="72"/>
      <c r="EO1000" s="72"/>
      <c r="EP1000" s="72"/>
      <c r="EQ1000" s="72"/>
      <c r="ER1000" s="72"/>
      <c r="ES1000" s="72"/>
      <c r="ET1000" s="72"/>
    </row>
    <row r="1001">
      <c r="CD1001" s="72"/>
      <c r="CE1001" s="72"/>
      <c r="CF1001" s="72"/>
      <c r="CG1001" s="72"/>
      <c r="CH1001" s="72"/>
      <c r="CI1001" s="72"/>
      <c r="CJ1001" s="72"/>
      <c r="CK1001" s="72"/>
      <c r="CL1001" s="72"/>
      <c r="CM1001" s="72"/>
      <c r="CN1001" s="72"/>
      <c r="CO1001" s="72"/>
      <c r="CP1001" s="72"/>
      <c r="CQ1001" s="72"/>
      <c r="CR1001" s="72"/>
      <c r="CS1001" s="72"/>
      <c r="CT1001" s="72"/>
      <c r="CU1001" s="72"/>
      <c r="CV1001" s="72"/>
      <c r="CW1001" s="72"/>
      <c r="CX1001" s="72"/>
      <c r="CY1001" s="72"/>
      <c r="CZ1001" s="72"/>
      <c r="DA1001" s="72"/>
      <c r="DB1001" s="72"/>
      <c r="DC1001" s="72"/>
      <c r="DD1001" s="72"/>
      <c r="DE1001" s="72"/>
      <c r="DF1001" s="72"/>
      <c r="DG1001" s="72"/>
      <c r="DH1001" s="72"/>
      <c r="DI1001" s="72"/>
      <c r="DJ1001" s="72"/>
      <c r="DK1001" s="72"/>
      <c r="DL1001" s="72"/>
      <c r="DM1001" s="72"/>
      <c r="DN1001" s="72"/>
      <c r="DO1001" s="72"/>
      <c r="DP1001" s="72"/>
      <c r="DQ1001" s="72"/>
      <c r="DR1001" s="72"/>
      <c r="DS1001" s="72"/>
      <c r="DT1001" s="72"/>
      <c r="DU1001" s="72"/>
      <c r="DV1001" s="72"/>
      <c r="DW1001" s="72"/>
      <c r="DX1001" s="72"/>
      <c r="DY1001" s="72"/>
      <c r="DZ1001" s="72"/>
      <c r="EA1001" s="72"/>
      <c r="EB1001" s="72"/>
      <c r="EC1001" s="72"/>
      <c r="ED1001" s="72"/>
      <c r="EE1001" s="72"/>
      <c r="EF1001" s="72"/>
      <c r="EG1001" s="72"/>
      <c r="EH1001" s="72"/>
      <c r="EI1001" s="129"/>
      <c r="EJ1001" s="129"/>
      <c r="EK1001" s="129"/>
      <c r="EL1001" s="129"/>
      <c r="EM1001" s="72"/>
      <c r="EN1001" s="72"/>
      <c r="EO1001" s="72"/>
      <c r="EP1001" s="72"/>
      <c r="EQ1001" s="72"/>
      <c r="ER1001" s="72"/>
      <c r="ES1001" s="72"/>
      <c r="ET1001" s="72"/>
    </row>
    <row r="1002">
      <c r="CD1002" s="72"/>
      <c r="CE1002" s="72"/>
      <c r="CF1002" s="72"/>
      <c r="CG1002" s="72"/>
      <c r="CH1002" s="72"/>
      <c r="CI1002" s="72"/>
      <c r="CJ1002" s="72"/>
      <c r="CK1002" s="72"/>
      <c r="CL1002" s="72"/>
      <c r="CM1002" s="72"/>
      <c r="CN1002" s="72"/>
      <c r="CO1002" s="72"/>
      <c r="CP1002" s="72"/>
      <c r="CQ1002" s="72"/>
      <c r="CR1002" s="72"/>
      <c r="CS1002" s="72"/>
      <c r="CT1002" s="72"/>
      <c r="CU1002" s="72"/>
      <c r="CV1002" s="72"/>
      <c r="CW1002" s="72"/>
      <c r="CX1002" s="72"/>
      <c r="CY1002" s="72"/>
      <c r="CZ1002" s="72"/>
      <c r="DA1002" s="72"/>
      <c r="DB1002" s="72"/>
      <c r="DC1002" s="72"/>
      <c r="DD1002" s="72"/>
      <c r="DE1002" s="72"/>
      <c r="DF1002" s="72"/>
      <c r="DG1002" s="72"/>
      <c r="DH1002" s="72"/>
      <c r="DI1002" s="72"/>
      <c r="DJ1002" s="72"/>
      <c r="DK1002" s="72"/>
      <c r="DL1002" s="72"/>
      <c r="DM1002" s="72"/>
      <c r="DN1002" s="72"/>
      <c r="DO1002" s="72"/>
      <c r="DP1002" s="72"/>
      <c r="DQ1002" s="72"/>
      <c r="DR1002" s="72"/>
      <c r="DS1002" s="72"/>
      <c r="DT1002" s="72"/>
      <c r="DU1002" s="72"/>
      <c r="DV1002" s="72"/>
      <c r="DW1002" s="72"/>
      <c r="DX1002" s="72"/>
      <c r="DY1002" s="72"/>
      <c r="DZ1002" s="72"/>
      <c r="EA1002" s="72"/>
      <c r="EB1002" s="72"/>
      <c r="EC1002" s="72"/>
      <c r="ED1002" s="72"/>
      <c r="EE1002" s="72"/>
      <c r="EF1002" s="72"/>
      <c r="EG1002" s="72"/>
      <c r="EH1002" s="72"/>
      <c r="EI1002" s="129"/>
      <c r="EJ1002" s="129"/>
      <c r="EK1002" s="129"/>
      <c r="EL1002" s="129"/>
      <c r="EM1002" s="72"/>
      <c r="EN1002" s="72"/>
      <c r="EO1002" s="72"/>
      <c r="EP1002" s="72"/>
      <c r="EQ1002" s="72"/>
      <c r="ER1002" s="72"/>
      <c r="ES1002" s="72"/>
      <c r="ET1002" s="72"/>
    </row>
    <row r="1003">
      <c r="CD1003" s="72"/>
      <c r="CE1003" s="72"/>
      <c r="CF1003" s="72"/>
      <c r="CG1003" s="72"/>
      <c r="CH1003" s="72"/>
      <c r="CI1003" s="72"/>
      <c r="CJ1003" s="72"/>
      <c r="CK1003" s="72"/>
      <c r="CL1003" s="72"/>
      <c r="CM1003" s="72"/>
      <c r="CN1003" s="72"/>
      <c r="CO1003" s="72"/>
      <c r="CP1003" s="72"/>
      <c r="CQ1003" s="72"/>
      <c r="CR1003" s="72"/>
      <c r="CS1003" s="72"/>
      <c r="CT1003" s="72"/>
      <c r="CU1003" s="72"/>
      <c r="CV1003" s="72"/>
      <c r="CW1003" s="72"/>
      <c r="CX1003" s="72"/>
      <c r="CY1003" s="72"/>
      <c r="CZ1003" s="72"/>
      <c r="DA1003" s="72"/>
      <c r="DB1003" s="72"/>
      <c r="DC1003" s="72"/>
      <c r="DD1003" s="72"/>
      <c r="DE1003" s="72"/>
      <c r="DF1003" s="72"/>
      <c r="DG1003" s="72"/>
      <c r="DH1003" s="72"/>
      <c r="DI1003" s="72"/>
      <c r="DJ1003" s="72"/>
      <c r="DK1003" s="72"/>
      <c r="DL1003" s="72"/>
      <c r="DM1003" s="72"/>
      <c r="DN1003" s="72"/>
      <c r="DO1003" s="72"/>
      <c r="DP1003" s="72"/>
      <c r="DQ1003" s="72"/>
      <c r="DR1003" s="72"/>
      <c r="DS1003" s="72"/>
      <c r="DT1003" s="72"/>
      <c r="DU1003" s="72"/>
      <c r="DV1003" s="72"/>
      <c r="DW1003" s="72"/>
      <c r="DX1003" s="72"/>
      <c r="DY1003" s="72"/>
      <c r="DZ1003" s="72"/>
      <c r="EA1003" s="72"/>
      <c r="EB1003" s="72"/>
      <c r="EC1003" s="72"/>
      <c r="ED1003" s="72"/>
      <c r="EE1003" s="72"/>
      <c r="EF1003" s="72"/>
      <c r="EG1003" s="72"/>
      <c r="EH1003" s="72"/>
      <c r="EI1003" s="129"/>
      <c r="EJ1003" s="129"/>
      <c r="EK1003" s="129"/>
      <c r="EL1003" s="129"/>
      <c r="EM1003" s="72"/>
      <c r="EN1003" s="72"/>
      <c r="EO1003" s="72"/>
      <c r="EP1003" s="72"/>
      <c r="EQ1003" s="72"/>
      <c r="ER1003" s="72"/>
      <c r="ES1003" s="72"/>
      <c r="ET1003" s="72"/>
    </row>
  </sheetData>
  <mergeCells count="22">
    <mergeCell ref="CA2:CA4"/>
    <mergeCell ref="CB2:CB4"/>
    <mergeCell ref="CD2:DH2"/>
    <mergeCell ref="DI2:DI4"/>
    <mergeCell ref="DJ2:DJ4"/>
    <mergeCell ref="DL2:ER2"/>
    <mergeCell ref="ES2:ES4"/>
    <mergeCell ref="ET2:ET4"/>
    <mergeCell ref="A3:A4"/>
    <mergeCell ref="B3:B4"/>
    <mergeCell ref="A104:B104"/>
    <mergeCell ref="A106:B106"/>
    <mergeCell ref="A107:B107"/>
    <mergeCell ref="A108:B108"/>
    <mergeCell ref="A109:B109"/>
    <mergeCell ref="C2:T2"/>
    <mergeCell ref="U2:U4"/>
    <mergeCell ref="V2:V4"/>
    <mergeCell ref="X2:AW2"/>
    <mergeCell ref="AX2:AX4"/>
    <mergeCell ref="AY2:AY4"/>
    <mergeCell ref="BA2:BZ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38"/>
    <col customWidth="1" min="3" max="83" width="6.25"/>
    <col customWidth="1" min="84" max="84" width="10.5"/>
    <col customWidth="1" min="86" max="136" width="6.25"/>
    <col customWidth="1" min="137" max="137" width="10.63"/>
    <col customWidth="1" min="138" max="190" width="6.25"/>
    <col customWidth="1" min="191" max="191" width="7.88"/>
    <col customWidth="1" min="192" max="240" width="6.25"/>
    <col customWidth="1" min="241" max="241" width="7.75"/>
    <col customWidth="1" min="242" max="289" width="6.25"/>
    <col customWidth="1" min="290" max="290" width="9.5"/>
    <col customWidth="1" min="291" max="309" width="6.25"/>
  </cols>
  <sheetData>
    <row r="1">
      <c r="GK1" s="72"/>
      <c r="GL1" s="72"/>
      <c r="GM1" s="72"/>
      <c r="GN1" s="72"/>
      <c r="GO1" s="72"/>
      <c r="GP1" s="72"/>
      <c r="GQ1" s="72"/>
      <c r="GR1" s="72"/>
      <c r="GS1" s="72"/>
      <c r="GT1" s="72"/>
      <c r="GU1" s="72"/>
      <c r="GV1" s="72"/>
      <c r="GW1" s="72"/>
      <c r="GX1" s="72"/>
      <c r="GY1" s="72"/>
      <c r="GZ1" s="72"/>
      <c r="HA1" s="72"/>
      <c r="HB1" s="129"/>
      <c r="HC1" s="129"/>
      <c r="HD1" s="72"/>
      <c r="HE1" s="72"/>
      <c r="HF1" s="72"/>
      <c r="HG1" s="72"/>
      <c r="HH1" s="72"/>
      <c r="HI1" s="72"/>
      <c r="HJ1" s="72"/>
      <c r="HK1" s="72"/>
      <c r="HL1" s="72"/>
      <c r="HM1" s="72"/>
      <c r="HN1" s="72"/>
      <c r="HO1" s="72"/>
      <c r="HP1" s="72"/>
      <c r="HQ1" s="72"/>
      <c r="HR1" s="72"/>
      <c r="HS1" s="72"/>
      <c r="HT1" s="72"/>
      <c r="HU1" s="72"/>
      <c r="HV1" s="72"/>
      <c r="HW1" s="72"/>
      <c r="HX1" s="72"/>
      <c r="HY1" s="72"/>
      <c r="HZ1" s="72"/>
      <c r="IA1" s="72"/>
      <c r="IB1" s="72"/>
      <c r="IC1" s="72"/>
      <c r="ID1" s="72"/>
      <c r="IE1" s="72"/>
      <c r="IF1" s="72"/>
      <c r="IG1" s="72"/>
      <c r="IH1" s="72"/>
      <c r="II1" s="129"/>
      <c r="IJ1" s="72"/>
      <c r="IK1" s="72"/>
      <c r="IL1" s="72"/>
      <c r="IM1" s="72"/>
      <c r="IN1" s="72"/>
      <c r="IO1" s="72"/>
      <c r="IP1" s="72"/>
      <c r="IQ1" s="72"/>
      <c r="IR1" s="72"/>
      <c r="IS1" s="72"/>
      <c r="IT1" s="72"/>
      <c r="IU1" s="72"/>
      <c r="IV1" s="72"/>
      <c r="IW1" s="72"/>
      <c r="IX1" s="72"/>
      <c r="IY1" s="72"/>
      <c r="IZ1" s="72"/>
      <c r="JA1" s="72"/>
      <c r="JB1" s="72"/>
      <c r="JC1" s="72"/>
      <c r="JD1" s="72"/>
      <c r="JE1" s="72"/>
      <c r="JF1" s="72"/>
      <c r="JG1" s="72"/>
      <c r="JH1" s="72"/>
      <c r="JI1" s="72"/>
      <c r="JJ1" s="72"/>
      <c r="JK1" s="72"/>
      <c r="JL1" s="72"/>
      <c r="JM1" s="72"/>
      <c r="JN1" s="72"/>
      <c r="JO1" s="72"/>
      <c r="JP1" s="72"/>
      <c r="JQ1" s="72"/>
      <c r="JR1" s="72"/>
      <c r="JS1" s="72"/>
      <c r="JT1" s="72"/>
      <c r="JU1" s="72"/>
      <c r="JV1" s="72"/>
      <c r="JW1" s="72"/>
      <c r="JX1" s="72"/>
      <c r="JY1" s="72"/>
      <c r="JZ1" s="72"/>
      <c r="KA1" s="72"/>
      <c r="KB1" s="72"/>
      <c r="KC1" s="72"/>
      <c r="KD1" s="72"/>
      <c r="KE1" s="72"/>
      <c r="KF1" s="72"/>
      <c r="KG1" s="72"/>
      <c r="KH1" s="72"/>
      <c r="KI1" s="72"/>
      <c r="KJ1" s="72"/>
      <c r="KK1" s="72"/>
      <c r="KL1" s="72"/>
      <c r="KM1" s="72"/>
      <c r="KN1" s="72"/>
      <c r="KO1" s="72"/>
      <c r="KP1" s="72"/>
      <c r="KQ1" s="72"/>
      <c r="KR1" s="72"/>
      <c r="KS1" s="72"/>
      <c r="KT1" s="72"/>
      <c r="KU1" s="72"/>
      <c r="KV1" s="72"/>
      <c r="KW1" s="72"/>
    </row>
    <row r="2">
      <c r="A2" s="130"/>
      <c r="B2" s="131"/>
      <c r="C2" s="138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  <c r="BC2" s="293"/>
      <c r="BD2" s="293"/>
      <c r="BE2" s="293"/>
      <c r="BF2" s="293"/>
      <c r="BG2" s="293"/>
      <c r="BH2" s="293"/>
      <c r="BI2" s="293"/>
      <c r="BJ2" s="293"/>
      <c r="BK2" s="293"/>
      <c r="BL2" s="293"/>
      <c r="BM2" s="293"/>
      <c r="BN2" s="293"/>
      <c r="BO2" s="293"/>
      <c r="BP2" s="293"/>
      <c r="BQ2" s="293"/>
      <c r="BR2" s="293"/>
      <c r="BS2" s="293"/>
      <c r="BT2" s="293"/>
      <c r="BU2" s="293"/>
      <c r="BV2" s="293"/>
      <c r="BW2" s="293"/>
      <c r="BX2" s="293"/>
      <c r="BY2" s="293"/>
      <c r="BZ2" s="293"/>
      <c r="CA2" s="293"/>
      <c r="CB2" s="293"/>
      <c r="CC2" s="293"/>
      <c r="CD2" s="293"/>
      <c r="CE2" s="135"/>
      <c r="CF2" s="136"/>
      <c r="CH2" s="132" t="s">
        <v>276</v>
      </c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4"/>
      <c r="EE2" s="294"/>
      <c r="EF2" s="135"/>
      <c r="EG2" s="136"/>
      <c r="EH2" s="137"/>
      <c r="EI2" s="138"/>
      <c r="EJ2" s="133"/>
      <c r="EK2" s="133"/>
      <c r="EL2" s="133"/>
      <c r="EM2" s="133"/>
      <c r="EN2" s="133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4"/>
      <c r="GH2" s="135"/>
      <c r="GI2" s="136"/>
      <c r="GJ2" s="137"/>
      <c r="GK2" s="139"/>
      <c r="GL2" s="133"/>
      <c r="GM2" s="133"/>
      <c r="GN2" s="133"/>
      <c r="GO2" s="133"/>
      <c r="GP2" s="133"/>
      <c r="GQ2" s="133"/>
      <c r="GR2" s="133"/>
      <c r="GS2" s="133"/>
      <c r="GT2" s="133"/>
      <c r="GU2" s="133"/>
      <c r="GV2" s="133"/>
      <c r="GW2" s="133"/>
      <c r="GX2" s="133"/>
      <c r="GY2" s="133"/>
      <c r="GZ2" s="133"/>
      <c r="HA2" s="133"/>
      <c r="HB2" s="133"/>
      <c r="HC2" s="133"/>
      <c r="HD2" s="133"/>
      <c r="HE2" s="133"/>
      <c r="HF2" s="133"/>
      <c r="HG2" s="133"/>
      <c r="HH2" s="133"/>
      <c r="HI2" s="133"/>
      <c r="HJ2" s="133"/>
      <c r="HK2" s="133"/>
      <c r="HL2" s="133"/>
      <c r="HM2" s="133"/>
      <c r="HN2" s="133"/>
      <c r="HO2" s="133"/>
      <c r="HP2" s="133"/>
      <c r="HQ2" s="133"/>
      <c r="HR2" s="133"/>
      <c r="HS2" s="133"/>
      <c r="HT2" s="133"/>
      <c r="HU2" s="133"/>
      <c r="HV2" s="133"/>
      <c r="HW2" s="133"/>
      <c r="HX2" s="133"/>
      <c r="HY2" s="133"/>
      <c r="HZ2" s="133"/>
      <c r="IA2" s="133"/>
      <c r="IB2" s="133"/>
      <c r="IC2" s="133"/>
      <c r="ID2" s="133"/>
      <c r="IE2" s="134"/>
      <c r="IF2" s="140"/>
      <c r="IG2" s="141"/>
      <c r="IH2" s="72"/>
      <c r="II2" s="142"/>
      <c r="IJ2" s="133"/>
      <c r="IK2" s="133"/>
      <c r="IL2" s="133"/>
      <c r="IM2" s="133"/>
      <c r="IN2" s="133"/>
      <c r="IO2" s="133"/>
      <c r="IP2" s="133"/>
      <c r="IQ2" s="133"/>
      <c r="IR2" s="133"/>
      <c r="IS2" s="133"/>
      <c r="IT2" s="133"/>
      <c r="IU2" s="133"/>
      <c r="IV2" s="133"/>
      <c r="IW2" s="133"/>
      <c r="IX2" s="133"/>
      <c r="IY2" s="133"/>
      <c r="IZ2" s="133"/>
      <c r="JA2" s="133"/>
      <c r="JB2" s="133"/>
      <c r="JC2" s="133"/>
      <c r="JD2" s="133"/>
      <c r="JE2" s="133"/>
      <c r="JF2" s="134"/>
      <c r="JG2" s="295"/>
      <c r="JH2" s="295"/>
      <c r="JI2" s="295"/>
      <c r="JJ2" s="295"/>
      <c r="JK2" s="295"/>
      <c r="JL2" s="295"/>
      <c r="JM2" s="295"/>
      <c r="JN2" s="295"/>
      <c r="JO2" s="295"/>
      <c r="JP2" s="295"/>
      <c r="JQ2" s="295"/>
      <c r="JR2" s="295"/>
      <c r="JS2" s="295"/>
      <c r="JT2" s="295"/>
      <c r="JU2" s="295"/>
      <c r="JV2" s="295"/>
      <c r="JW2" s="295"/>
      <c r="JX2" s="295"/>
      <c r="JY2" s="295"/>
      <c r="JZ2" s="295"/>
      <c r="KA2" s="295"/>
      <c r="KB2" s="295"/>
      <c r="KC2" s="135"/>
      <c r="KD2" s="136"/>
      <c r="KE2" s="137"/>
      <c r="KF2" s="137"/>
      <c r="KG2" s="137"/>
      <c r="KH2" s="137"/>
      <c r="KI2" s="137"/>
      <c r="KJ2" s="137"/>
      <c r="KK2" s="137"/>
      <c r="KL2" s="137"/>
      <c r="KM2" s="137"/>
      <c r="KN2" s="137"/>
      <c r="KO2" s="137"/>
      <c r="KP2" s="137"/>
      <c r="KQ2" s="137"/>
      <c r="KR2" s="137"/>
      <c r="KS2" s="137"/>
      <c r="KT2" s="137"/>
      <c r="KU2" s="137"/>
      <c r="KV2" s="137"/>
      <c r="KW2" s="137"/>
    </row>
    <row r="3" ht="33.75" customHeight="1">
      <c r="A3" s="296" t="s">
        <v>47</v>
      </c>
      <c r="B3" s="297" t="s">
        <v>48</v>
      </c>
      <c r="C3" s="159" t="s">
        <v>286</v>
      </c>
      <c r="D3" s="159" t="s">
        <v>287</v>
      </c>
      <c r="E3" s="159" t="s">
        <v>288</v>
      </c>
      <c r="F3" s="159" t="s">
        <v>289</v>
      </c>
      <c r="G3" s="159" t="s">
        <v>290</v>
      </c>
      <c r="H3" s="159" t="s">
        <v>291</v>
      </c>
      <c r="I3" s="159" t="s">
        <v>292</v>
      </c>
      <c r="J3" s="159" t="s">
        <v>293</v>
      </c>
      <c r="K3" s="159" t="s">
        <v>294</v>
      </c>
      <c r="L3" s="159" t="s">
        <v>295</v>
      </c>
      <c r="M3" s="159" t="s">
        <v>296</v>
      </c>
      <c r="N3" s="298" t="s">
        <v>297</v>
      </c>
      <c r="O3" s="298" t="s">
        <v>298</v>
      </c>
      <c r="P3" s="298" t="s">
        <v>299</v>
      </c>
      <c r="Q3" s="298" t="s">
        <v>300</v>
      </c>
      <c r="R3" s="298" t="s">
        <v>301</v>
      </c>
      <c r="S3" s="298" t="s">
        <v>302</v>
      </c>
      <c r="T3" s="298" t="s">
        <v>303</v>
      </c>
      <c r="U3" s="298" t="s">
        <v>304</v>
      </c>
      <c r="V3" s="298" t="s">
        <v>305</v>
      </c>
      <c r="W3" s="298" t="s">
        <v>306</v>
      </c>
      <c r="X3" s="298" t="s">
        <v>307</v>
      </c>
      <c r="Y3" s="298" t="s">
        <v>308</v>
      </c>
      <c r="Z3" s="298" t="s">
        <v>309</v>
      </c>
      <c r="AA3" s="298" t="s">
        <v>310</v>
      </c>
      <c r="AB3" s="298" t="s">
        <v>311</v>
      </c>
      <c r="AC3" s="298" t="s">
        <v>312</v>
      </c>
      <c r="AD3" s="298" t="s">
        <v>313</v>
      </c>
      <c r="AE3" s="298" t="s">
        <v>314</v>
      </c>
      <c r="AF3" s="298" t="s">
        <v>315</v>
      </c>
      <c r="AG3" s="298" t="s">
        <v>316</v>
      </c>
      <c r="AH3" s="298" t="s">
        <v>317</v>
      </c>
      <c r="AI3" s="298" t="s">
        <v>318</v>
      </c>
      <c r="AJ3" s="298" t="s">
        <v>319</v>
      </c>
      <c r="AK3" s="298" t="s">
        <v>320</v>
      </c>
      <c r="AL3" s="298" t="s">
        <v>321</v>
      </c>
      <c r="AM3" s="298" t="s">
        <v>322</v>
      </c>
      <c r="AN3" s="298" t="s">
        <v>323</v>
      </c>
      <c r="AO3" s="298" t="s">
        <v>324</v>
      </c>
      <c r="AP3" s="298" t="s">
        <v>325</v>
      </c>
      <c r="AQ3" s="298" t="s">
        <v>326</v>
      </c>
      <c r="AR3" s="298" t="s">
        <v>327</v>
      </c>
      <c r="AS3" s="298" t="s">
        <v>328</v>
      </c>
      <c r="AT3" s="298" t="s">
        <v>329</v>
      </c>
      <c r="AU3" s="298" t="s">
        <v>330</v>
      </c>
      <c r="AV3" s="298" t="s">
        <v>331</v>
      </c>
      <c r="AW3" s="298" t="s">
        <v>332</v>
      </c>
      <c r="AX3" s="298" t="s">
        <v>333</v>
      </c>
      <c r="AY3" s="298" t="s">
        <v>334</v>
      </c>
      <c r="AZ3" s="298" t="s">
        <v>335</v>
      </c>
      <c r="BA3" s="298" t="s">
        <v>336</v>
      </c>
      <c r="BB3" s="298" t="s">
        <v>337</v>
      </c>
      <c r="BC3" s="298" t="s">
        <v>338</v>
      </c>
      <c r="BD3" s="298" t="s">
        <v>339</v>
      </c>
      <c r="BE3" s="298" t="s">
        <v>340</v>
      </c>
      <c r="BF3" s="298" t="s">
        <v>341</v>
      </c>
      <c r="BG3" s="298" t="s">
        <v>342</v>
      </c>
      <c r="BH3" s="298" t="s">
        <v>343</v>
      </c>
      <c r="BI3" s="298" t="s">
        <v>344</v>
      </c>
      <c r="BJ3" s="298" t="s">
        <v>345</v>
      </c>
      <c r="BK3" s="298" t="s">
        <v>346</v>
      </c>
      <c r="BL3" s="298" t="s">
        <v>347</v>
      </c>
      <c r="BM3" s="298" t="s">
        <v>348</v>
      </c>
      <c r="BN3" s="298" t="s">
        <v>349</v>
      </c>
      <c r="BO3" s="298" t="s">
        <v>350</v>
      </c>
      <c r="BP3" s="298" t="s">
        <v>351</v>
      </c>
      <c r="BQ3" s="298" t="s">
        <v>352</v>
      </c>
      <c r="BR3" s="298" t="s">
        <v>353</v>
      </c>
      <c r="BS3" s="298" t="s">
        <v>354</v>
      </c>
      <c r="BT3" s="298" t="s">
        <v>355</v>
      </c>
      <c r="BU3" s="298" t="s">
        <v>356</v>
      </c>
      <c r="BV3" s="298" t="s">
        <v>357</v>
      </c>
      <c r="BW3" s="298" t="s">
        <v>358</v>
      </c>
      <c r="BX3" s="298" t="s">
        <v>359</v>
      </c>
      <c r="BY3" s="298" t="s">
        <v>360</v>
      </c>
      <c r="BZ3" s="298" t="s">
        <v>361</v>
      </c>
      <c r="CA3" s="298" t="s">
        <v>362</v>
      </c>
      <c r="CB3" s="298" t="s">
        <v>363</v>
      </c>
      <c r="CC3" s="298" t="s">
        <v>364</v>
      </c>
      <c r="CD3" s="298" t="s">
        <v>365</v>
      </c>
      <c r="CE3" s="147"/>
      <c r="CF3" s="148"/>
      <c r="CH3" s="159" t="s">
        <v>366</v>
      </c>
      <c r="CI3" s="159" t="s">
        <v>367</v>
      </c>
      <c r="CJ3" s="159" t="s">
        <v>368</v>
      </c>
      <c r="CK3" s="159" t="s">
        <v>369</v>
      </c>
      <c r="CL3" s="159" t="s">
        <v>360</v>
      </c>
      <c r="CM3" s="159" t="s">
        <v>370</v>
      </c>
      <c r="CN3" s="159" t="s">
        <v>371</v>
      </c>
      <c r="CO3" s="159" t="s">
        <v>372</v>
      </c>
      <c r="CP3" s="159" t="s">
        <v>373</v>
      </c>
      <c r="CQ3" s="159" t="s">
        <v>374</v>
      </c>
      <c r="CR3" s="159" t="s">
        <v>375</v>
      </c>
      <c r="CS3" s="159" t="s">
        <v>376</v>
      </c>
      <c r="CT3" s="159" t="s">
        <v>377</v>
      </c>
      <c r="CU3" s="159" t="s">
        <v>378</v>
      </c>
      <c r="CV3" s="159" t="s">
        <v>379</v>
      </c>
      <c r="CW3" s="159" t="s">
        <v>380</v>
      </c>
      <c r="CX3" s="159" t="s">
        <v>381</v>
      </c>
      <c r="CY3" s="159" t="s">
        <v>382</v>
      </c>
      <c r="CZ3" s="159" t="s">
        <v>383</v>
      </c>
      <c r="DA3" s="159" t="s">
        <v>384</v>
      </c>
      <c r="DB3" s="159" t="s">
        <v>385</v>
      </c>
      <c r="DC3" s="159" t="s">
        <v>386</v>
      </c>
      <c r="DD3" s="159" t="s">
        <v>387</v>
      </c>
      <c r="DE3" s="159" t="s">
        <v>388</v>
      </c>
      <c r="DF3" s="159" t="s">
        <v>389</v>
      </c>
      <c r="DG3" s="159" t="s">
        <v>390</v>
      </c>
      <c r="DH3" s="159" t="s">
        <v>391</v>
      </c>
      <c r="DI3" s="159" t="s">
        <v>392</v>
      </c>
      <c r="DJ3" s="159" t="s">
        <v>393</v>
      </c>
      <c r="DK3" s="159" t="s">
        <v>394</v>
      </c>
      <c r="DL3" s="159" t="s">
        <v>395</v>
      </c>
      <c r="DM3" s="159" t="s">
        <v>396</v>
      </c>
      <c r="DN3" s="159" t="s">
        <v>397</v>
      </c>
      <c r="DO3" s="299" t="s">
        <v>398</v>
      </c>
      <c r="DP3" s="159" t="s">
        <v>399</v>
      </c>
      <c r="DQ3" s="159" t="s">
        <v>400</v>
      </c>
      <c r="DR3" s="159" t="s">
        <v>398</v>
      </c>
      <c r="DS3" s="159" t="s">
        <v>401</v>
      </c>
      <c r="DT3" s="299" t="s">
        <v>402</v>
      </c>
      <c r="DU3" s="299" t="s">
        <v>403</v>
      </c>
      <c r="DV3" s="299" t="s">
        <v>404</v>
      </c>
      <c r="DW3" s="299" t="s">
        <v>405</v>
      </c>
      <c r="DX3" s="299" t="s">
        <v>406</v>
      </c>
      <c r="DY3" s="299" t="s">
        <v>406</v>
      </c>
      <c r="DZ3" s="299" t="s">
        <v>407</v>
      </c>
      <c r="EA3" s="299" t="s">
        <v>408</v>
      </c>
      <c r="EB3" s="299" t="s">
        <v>409</v>
      </c>
      <c r="EC3" s="159" t="s">
        <v>410</v>
      </c>
      <c r="ED3" s="159" t="s">
        <v>411</v>
      </c>
      <c r="EE3" s="300" t="s">
        <v>412</v>
      </c>
      <c r="EF3" s="147"/>
      <c r="EG3" s="148"/>
      <c r="EH3" s="137"/>
      <c r="EI3" s="301" t="s">
        <v>365</v>
      </c>
      <c r="EJ3" s="302" t="s">
        <v>413</v>
      </c>
      <c r="EK3" s="302" t="s">
        <v>414</v>
      </c>
      <c r="EL3" s="302" t="s">
        <v>415</v>
      </c>
      <c r="EM3" s="302" t="s">
        <v>416</v>
      </c>
      <c r="EN3" s="302" t="s">
        <v>417</v>
      </c>
      <c r="EO3" s="302" t="s">
        <v>418</v>
      </c>
      <c r="EP3" s="303" t="s">
        <v>419</v>
      </c>
      <c r="EQ3" s="303" t="s">
        <v>420</v>
      </c>
      <c r="ER3" s="303" t="s">
        <v>421</v>
      </c>
      <c r="ES3" s="303" t="s">
        <v>420</v>
      </c>
      <c r="ET3" s="303" t="s">
        <v>421</v>
      </c>
      <c r="EU3" s="303" t="s">
        <v>422</v>
      </c>
      <c r="EV3" s="303" t="s">
        <v>423</v>
      </c>
      <c r="EW3" s="303" t="s">
        <v>424</v>
      </c>
      <c r="EX3" s="303" t="s">
        <v>425</v>
      </c>
      <c r="EY3" s="303" t="s">
        <v>426</v>
      </c>
      <c r="EZ3" s="303" t="s">
        <v>427</v>
      </c>
      <c r="FA3" s="303" t="s">
        <v>428</v>
      </c>
      <c r="FB3" s="303" t="s">
        <v>429</v>
      </c>
      <c r="FC3" s="303" t="s">
        <v>430</v>
      </c>
      <c r="FD3" s="303" t="s">
        <v>312</v>
      </c>
      <c r="FE3" s="303" t="s">
        <v>431</v>
      </c>
      <c r="FF3" s="303" t="s">
        <v>432</v>
      </c>
      <c r="FG3" s="303" t="s">
        <v>433</v>
      </c>
      <c r="FH3" s="303" t="s">
        <v>434</v>
      </c>
      <c r="FI3" s="303" t="s">
        <v>435</v>
      </c>
      <c r="FJ3" s="303" t="s">
        <v>436</v>
      </c>
      <c r="FK3" s="303" t="s">
        <v>437</v>
      </c>
      <c r="FL3" s="303" t="s">
        <v>438</v>
      </c>
      <c r="FM3" s="303" t="s">
        <v>439</v>
      </c>
      <c r="FN3" s="303" t="s">
        <v>440</v>
      </c>
      <c r="FO3" s="303" t="s">
        <v>441</v>
      </c>
      <c r="FP3" s="299" t="s">
        <v>442</v>
      </c>
      <c r="FQ3" s="299" t="s">
        <v>443</v>
      </c>
      <c r="FR3" s="299" t="s">
        <v>444</v>
      </c>
      <c r="FS3" s="299" t="s">
        <v>445</v>
      </c>
      <c r="FT3" s="299" t="s">
        <v>446</v>
      </c>
      <c r="FU3" s="299" t="s">
        <v>447</v>
      </c>
      <c r="FV3" s="299" t="s">
        <v>448</v>
      </c>
      <c r="FW3" s="299" t="s">
        <v>449</v>
      </c>
      <c r="FX3" s="299" t="s">
        <v>450</v>
      </c>
      <c r="FY3" s="299" t="s">
        <v>451</v>
      </c>
      <c r="FZ3" s="299" t="s">
        <v>452</v>
      </c>
      <c r="GA3" s="299" t="s">
        <v>453</v>
      </c>
      <c r="GB3" s="299" t="s">
        <v>454</v>
      </c>
      <c r="GC3" s="299" t="s">
        <v>455</v>
      </c>
      <c r="GD3" s="299" t="s">
        <v>456</v>
      </c>
      <c r="GE3" s="299" t="s">
        <v>456</v>
      </c>
      <c r="GF3" s="299" t="s">
        <v>457</v>
      </c>
      <c r="GG3" s="299" t="s">
        <v>458</v>
      </c>
      <c r="GH3" s="147"/>
      <c r="GI3" s="148"/>
      <c r="GJ3" s="137"/>
      <c r="GK3" s="304" t="s">
        <v>459</v>
      </c>
      <c r="GL3" s="304" t="s">
        <v>460</v>
      </c>
      <c r="GM3" s="304" t="s">
        <v>323</v>
      </c>
      <c r="GN3" s="304" t="s">
        <v>461</v>
      </c>
      <c r="GO3" s="304" t="s">
        <v>462</v>
      </c>
      <c r="GP3" s="304" t="s">
        <v>463</v>
      </c>
      <c r="GQ3" s="304" t="s">
        <v>464</v>
      </c>
      <c r="GR3" s="304" t="s">
        <v>465</v>
      </c>
      <c r="GS3" s="304" t="s">
        <v>466</v>
      </c>
      <c r="GT3" s="304" t="s">
        <v>467</v>
      </c>
      <c r="GU3" s="304" t="s">
        <v>468</v>
      </c>
      <c r="GV3" s="304" t="s">
        <v>469</v>
      </c>
      <c r="GW3" s="304" t="s">
        <v>470</v>
      </c>
      <c r="GX3" s="304" t="s">
        <v>471</v>
      </c>
      <c r="GY3" s="304" t="s">
        <v>472</v>
      </c>
      <c r="GZ3" s="304" t="s">
        <v>473</v>
      </c>
      <c r="HA3" s="304" t="s">
        <v>474</v>
      </c>
      <c r="HB3" s="304" t="s">
        <v>343</v>
      </c>
      <c r="HC3" s="304" t="s">
        <v>475</v>
      </c>
      <c r="HD3" s="304" t="s">
        <v>476</v>
      </c>
      <c r="HE3" s="304" t="s">
        <v>477</v>
      </c>
      <c r="HF3" s="304" t="s">
        <v>356</v>
      </c>
      <c r="HG3" s="304" t="s">
        <v>478</v>
      </c>
      <c r="HH3" s="304" t="s">
        <v>479</v>
      </c>
      <c r="HI3" s="304" t="s">
        <v>480</v>
      </c>
      <c r="HJ3" s="304" t="s">
        <v>481</v>
      </c>
      <c r="HK3" s="304" t="s">
        <v>332</v>
      </c>
      <c r="HL3" s="304" t="s">
        <v>482</v>
      </c>
      <c r="HM3" s="304" t="s">
        <v>483</v>
      </c>
      <c r="HN3" s="304" t="s">
        <v>484</v>
      </c>
      <c r="HO3" s="304" t="s">
        <v>370</v>
      </c>
      <c r="HP3" s="304" t="s">
        <v>370</v>
      </c>
      <c r="HQ3" s="304" t="s">
        <v>485</v>
      </c>
      <c r="HR3" s="304" t="s">
        <v>486</v>
      </c>
      <c r="HS3" s="156" t="s">
        <v>487</v>
      </c>
      <c r="HT3" s="304" t="s">
        <v>488</v>
      </c>
      <c r="HU3" s="304" t="s">
        <v>489</v>
      </c>
      <c r="HV3" s="304" t="s">
        <v>490</v>
      </c>
      <c r="HW3" s="304" t="s">
        <v>491</v>
      </c>
      <c r="HX3" s="304" t="s">
        <v>492</v>
      </c>
      <c r="HY3" s="304" t="s">
        <v>493</v>
      </c>
      <c r="HZ3" s="304" t="s">
        <v>494</v>
      </c>
      <c r="IA3" s="304" t="s">
        <v>495</v>
      </c>
      <c r="IB3" s="304" t="s">
        <v>496</v>
      </c>
      <c r="IC3" s="74" t="s">
        <v>497</v>
      </c>
      <c r="ID3" s="156" t="s">
        <v>498</v>
      </c>
      <c r="IE3" s="156" t="s">
        <v>499</v>
      </c>
      <c r="IF3" s="147"/>
      <c r="IG3" s="148"/>
      <c r="IH3" s="72"/>
      <c r="II3" s="158" t="s">
        <v>390</v>
      </c>
      <c r="IJ3" s="158" t="s">
        <v>500</v>
      </c>
      <c r="IK3" s="159" t="s">
        <v>501</v>
      </c>
      <c r="IL3" s="159" t="s">
        <v>502</v>
      </c>
      <c r="IM3" s="159" t="s">
        <v>503</v>
      </c>
      <c r="IN3" s="159" t="s">
        <v>504</v>
      </c>
      <c r="IO3" s="159" t="s">
        <v>505</v>
      </c>
      <c r="IP3" s="159" t="s">
        <v>506</v>
      </c>
      <c r="IQ3" s="159" t="s">
        <v>507</v>
      </c>
      <c r="IR3" s="159" t="s">
        <v>508</v>
      </c>
      <c r="IS3" s="159" t="s">
        <v>509</v>
      </c>
      <c r="IT3" s="159" t="s">
        <v>510</v>
      </c>
      <c r="IU3" s="159" t="s">
        <v>511</v>
      </c>
      <c r="IV3" s="159" t="s">
        <v>512</v>
      </c>
      <c r="IW3" s="159" t="s">
        <v>513</v>
      </c>
      <c r="IX3" s="159" t="s">
        <v>514</v>
      </c>
      <c r="IY3" s="159" t="s">
        <v>515</v>
      </c>
      <c r="IZ3" s="159" t="s">
        <v>516</v>
      </c>
      <c r="JA3" s="159" t="s">
        <v>517</v>
      </c>
      <c r="JB3" s="159" t="s">
        <v>518</v>
      </c>
      <c r="JC3" s="159" t="s">
        <v>519</v>
      </c>
      <c r="JD3" s="159" t="s">
        <v>520</v>
      </c>
      <c r="JE3" s="159" t="s">
        <v>521</v>
      </c>
      <c r="JF3" s="159" t="s">
        <v>522</v>
      </c>
      <c r="JG3" s="298" t="s">
        <v>523</v>
      </c>
      <c r="JH3" s="298" t="s">
        <v>524</v>
      </c>
      <c r="JI3" s="298" t="s">
        <v>525</v>
      </c>
      <c r="JJ3" s="298" t="s">
        <v>526</v>
      </c>
      <c r="JK3" s="298" t="s">
        <v>527</v>
      </c>
      <c r="JL3" s="298" t="s">
        <v>528</v>
      </c>
      <c r="JM3" s="298" t="s">
        <v>529</v>
      </c>
      <c r="JN3" s="298" t="s">
        <v>513</v>
      </c>
      <c r="JO3" s="298" t="s">
        <v>530</v>
      </c>
      <c r="JP3" s="298" t="s">
        <v>531</v>
      </c>
      <c r="JQ3" s="298" t="s">
        <v>532</v>
      </c>
      <c r="JR3" s="298" t="s">
        <v>533</v>
      </c>
      <c r="JS3" s="298" t="s">
        <v>534</v>
      </c>
      <c r="JT3" s="298" t="s">
        <v>535</v>
      </c>
      <c r="JU3" s="298" t="s">
        <v>536</v>
      </c>
      <c r="JV3" s="298" t="s">
        <v>537</v>
      </c>
      <c r="JW3" s="153" t="s">
        <v>538</v>
      </c>
      <c r="JX3" s="298" t="s">
        <v>539</v>
      </c>
      <c r="JY3" s="298" t="s">
        <v>540</v>
      </c>
      <c r="JZ3" s="298" t="s">
        <v>541</v>
      </c>
      <c r="KA3" s="153" t="s">
        <v>542</v>
      </c>
      <c r="KB3" s="298"/>
      <c r="KC3" s="147"/>
      <c r="KD3" s="148"/>
      <c r="KE3" s="137"/>
      <c r="KF3" s="137"/>
      <c r="KG3" s="137"/>
      <c r="KH3" s="137"/>
      <c r="KI3" s="137"/>
      <c r="KJ3" s="137"/>
      <c r="KK3" s="137"/>
      <c r="KL3" s="137"/>
      <c r="KM3" s="137"/>
      <c r="KN3" s="137"/>
      <c r="KO3" s="137"/>
      <c r="KP3" s="137"/>
      <c r="KQ3" s="137"/>
      <c r="KR3" s="137"/>
      <c r="KS3" s="137"/>
      <c r="KT3" s="137"/>
      <c r="KU3" s="137"/>
      <c r="KV3" s="137"/>
      <c r="KW3" s="137"/>
    </row>
    <row r="4">
      <c r="A4" s="160"/>
      <c r="B4" s="160"/>
      <c r="C4" s="161">
        <v>45658.0</v>
      </c>
      <c r="D4" s="161">
        <v>45659.0</v>
      </c>
      <c r="E4" s="161">
        <v>45659.0</v>
      </c>
      <c r="F4" s="161">
        <v>45660.0</v>
      </c>
      <c r="G4" s="161">
        <v>45660.0</v>
      </c>
      <c r="H4" s="161">
        <v>45661.0</v>
      </c>
      <c r="I4" s="161">
        <v>45661.0</v>
      </c>
      <c r="J4" s="161">
        <v>45662.0</v>
      </c>
      <c r="K4" s="161">
        <v>45663.0</v>
      </c>
      <c r="L4" s="161">
        <v>45663.0</v>
      </c>
      <c r="M4" s="161">
        <v>45663.0</v>
      </c>
      <c r="N4" s="162">
        <v>45663.0</v>
      </c>
      <c r="O4" s="162">
        <v>45663.0</v>
      </c>
      <c r="P4" s="162">
        <v>45664.0</v>
      </c>
      <c r="Q4" s="162">
        <v>45664.0</v>
      </c>
      <c r="R4" s="162">
        <v>45664.0</v>
      </c>
      <c r="S4" s="162">
        <v>45664.0</v>
      </c>
      <c r="T4" s="162">
        <v>45665.0</v>
      </c>
      <c r="U4" s="162">
        <v>45666.0</v>
      </c>
      <c r="V4" s="162">
        <v>45666.0</v>
      </c>
      <c r="W4" s="162">
        <v>45667.0</v>
      </c>
      <c r="X4" s="162">
        <v>45667.0</v>
      </c>
      <c r="Y4" s="162">
        <v>45668.0</v>
      </c>
      <c r="Z4" s="162">
        <v>45668.0</v>
      </c>
      <c r="AA4" s="162">
        <v>45668.0</v>
      </c>
      <c r="AB4" s="162">
        <v>45669.0</v>
      </c>
      <c r="AC4" s="162">
        <v>45670.0</v>
      </c>
      <c r="AD4" s="162">
        <v>45671.0</v>
      </c>
      <c r="AE4" s="162">
        <v>45672.0</v>
      </c>
      <c r="AF4" s="162">
        <v>45672.0</v>
      </c>
      <c r="AG4" s="162">
        <v>45672.0</v>
      </c>
      <c r="AH4" s="162">
        <v>45672.0</v>
      </c>
      <c r="AI4" s="162">
        <v>45672.0</v>
      </c>
      <c r="AJ4" s="162">
        <v>45672.0</v>
      </c>
      <c r="AK4" s="162">
        <v>45672.0</v>
      </c>
      <c r="AL4" s="162">
        <v>45673.0</v>
      </c>
      <c r="AM4" s="162">
        <v>45673.0</v>
      </c>
      <c r="AN4" s="162">
        <v>45674.0</v>
      </c>
      <c r="AO4" s="162">
        <v>45675.0</v>
      </c>
      <c r="AP4" s="162">
        <v>45676.0</v>
      </c>
      <c r="AQ4" s="162">
        <v>45677.0</v>
      </c>
      <c r="AR4" s="162">
        <v>45678.0</v>
      </c>
      <c r="AS4" s="162">
        <v>45678.0</v>
      </c>
      <c r="AT4" s="162">
        <v>45679.0</v>
      </c>
      <c r="AU4" s="162">
        <v>45679.0</v>
      </c>
      <c r="AV4" s="162">
        <v>45679.0</v>
      </c>
      <c r="AW4" s="162">
        <v>45680.0</v>
      </c>
      <c r="AX4" s="162">
        <v>45680.0</v>
      </c>
      <c r="AY4" s="162">
        <v>45681.0</v>
      </c>
      <c r="AZ4" s="162">
        <v>45681.0</v>
      </c>
      <c r="BA4" s="162">
        <v>45681.0</v>
      </c>
      <c r="BB4" s="162">
        <v>45681.0</v>
      </c>
      <c r="BC4" s="162">
        <v>45681.0</v>
      </c>
      <c r="BD4" s="162">
        <v>45682.0</v>
      </c>
      <c r="BE4" s="162">
        <v>45683.0</v>
      </c>
      <c r="BF4" s="162">
        <v>45683.0</v>
      </c>
      <c r="BG4" s="162">
        <v>45683.0</v>
      </c>
      <c r="BH4" s="162">
        <v>45684.0</v>
      </c>
      <c r="BI4" s="162">
        <v>45684.0</v>
      </c>
      <c r="BJ4" s="162">
        <v>45684.0</v>
      </c>
      <c r="BK4" s="162">
        <v>45684.0</v>
      </c>
      <c r="BL4" s="162">
        <v>45684.0</v>
      </c>
      <c r="BM4" s="162">
        <v>45684.0</v>
      </c>
      <c r="BN4" s="162">
        <v>45684.0</v>
      </c>
      <c r="BO4" s="162">
        <v>45685.0</v>
      </c>
      <c r="BP4" s="162">
        <v>45685.0</v>
      </c>
      <c r="BQ4" s="162">
        <v>45685.0</v>
      </c>
      <c r="BR4" s="162">
        <v>45685.0</v>
      </c>
      <c r="BS4" s="162">
        <v>45685.0</v>
      </c>
      <c r="BT4" s="162">
        <v>45686.0</v>
      </c>
      <c r="BU4" s="162">
        <v>45686.0</v>
      </c>
      <c r="BV4" s="162">
        <v>45687.0</v>
      </c>
      <c r="BW4" s="162">
        <v>45687.0</v>
      </c>
      <c r="BX4" s="162">
        <v>45687.0</v>
      </c>
      <c r="BY4" s="162">
        <v>45687.0</v>
      </c>
      <c r="BZ4" s="162">
        <v>45688.0</v>
      </c>
      <c r="CA4" s="162">
        <v>45688.0</v>
      </c>
      <c r="CB4" s="162">
        <v>45688.0</v>
      </c>
      <c r="CC4" s="162">
        <v>45688.0</v>
      </c>
      <c r="CD4" s="162">
        <v>45688.0</v>
      </c>
      <c r="CE4" s="84"/>
      <c r="CF4" s="86"/>
      <c r="CH4" s="161">
        <v>45689.0</v>
      </c>
      <c r="CI4" s="161">
        <v>45689.0</v>
      </c>
      <c r="CJ4" s="161">
        <v>45690.0</v>
      </c>
      <c r="CK4" s="161">
        <v>45690.0</v>
      </c>
      <c r="CL4" s="161">
        <v>45690.0</v>
      </c>
      <c r="CM4" s="161">
        <v>45690.0</v>
      </c>
      <c r="CN4" s="161">
        <v>45690.0</v>
      </c>
      <c r="CO4" s="161">
        <v>45692.0</v>
      </c>
      <c r="CP4" s="161">
        <v>45692.0</v>
      </c>
      <c r="CQ4" s="161">
        <v>45693.0</v>
      </c>
      <c r="CR4" s="161">
        <v>45693.0</v>
      </c>
      <c r="CS4" s="161">
        <v>45695.0</v>
      </c>
      <c r="CT4" s="161">
        <v>45695.0</v>
      </c>
      <c r="CU4" s="161">
        <v>45695.0</v>
      </c>
      <c r="CV4" s="161">
        <v>45696.0</v>
      </c>
      <c r="CW4" s="161">
        <v>45697.0</v>
      </c>
      <c r="CX4" s="161">
        <v>45698.0</v>
      </c>
      <c r="CY4" s="161">
        <v>45698.0</v>
      </c>
      <c r="CZ4" s="161">
        <v>45699.0</v>
      </c>
      <c r="DA4" s="161">
        <v>45700.0</v>
      </c>
      <c r="DB4" s="161">
        <v>45701.0</v>
      </c>
      <c r="DC4" s="161">
        <v>45702.0</v>
      </c>
      <c r="DD4" s="161">
        <v>45703.0</v>
      </c>
      <c r="DE4" s="161">
        <v>45703.0</v>
      </c>
      <c r="DF4" s="161">
        <v>45703.0</v>
      </c>
      <c r="DG4" s="161">
        <v>45703.0</v>
      </c>
      <c r="DH4" s="161">
        <v>45703.0</v>
      </c>
      <c r="DI4" s="161">
        <v>45703.0</v>
      </c>
      <c r="DJ4" s="161">
        <v>45704.0</v>
      </c>
      <c r="DK4" s="161">
        <v>45705.0</v>
      </c>
      <c r="DL4" s="161">
        <v>45705.0</v>
      </c>
      <c r="DM4" s="161">
        <v>45706.0</v>
      </c>
      <c r="DN4" s="161">
        <v>45707.0</v>
      </c>
      <c r="DO4" s="161">
        <v>45707.0</v>
      </c>
      <c r="DP4" s="161">
        <v>45708.0</v>
      </c>
      <c r="DQ4" s="161">
        <v>45709.0</v>
      </c>
      <c r="DR4" s="161">
        <v>45709.0</v>
      </c>
      <c r="DS4" s="161">
        <v>45710.0</v>
      </c>
      <c r="DT4" s="161">
        <v>45711.0</v>
      </c>
      <c r="DU4" s="161">
        <v>45711.0</v>
      </c>
      <c r="DV4" s="161">
        <v>45711.0</v>
      </c>
      <c r="DW4" s="161">
        <v>45711.0</v>
      </c>
      <c r="DX4" s="161">
        <v>45712.0</v>
      </c>
      <c r="DY4" s="161">
        <v>45713.0</v>
      </c>
      <c r="DZ4" s="161">
        <v>45713.0</v>
      </c>
      <c r="EA4" s="161">
        <v>45713.0</v>
      </c>
      <c r="EB4" s="161">
        <v>45713.0</v>
      </c>
      <c r="EC4" s="161">
        <v>45714.0</v>
      </c>
      <c r="ED4" s="161">
        <v>45715.0</v>
      </c>
      <c r="EE4" s="305">
        <v>45716.0</v>
      </c>
      <c r="EF4" s="84"/>
      <c r="EG4" s="86"/>
      <c r="EH4" s="137"/>
      <c r="EI4" s="306">
        <v>46082.0</v>
      </c>
      <c r="EJ4" s="307">
        <v>46082.0</v>
      </c>
      <c r="EK4" s="307">
        <v>46082.0</v>
      </c>
      <c r="EL4" s="307">
        <v>46082.0</v>
      </c>
      <c r="EM4" s="307">
        <v>46083.0</v>
      </c>
      <c r="EN4" s="308">
        <v>46085.0</v>
      </c>
      <c r="EO4" s="307">
        <v>46086.0</v>
      </c>
      <c r="EP4" s="309">
        <v>46086.0</v>
      </c>
      <c r="EQ4" s="309">
        <v>46087.0</v>
      </c>
      <c r="ER4" s="309">
        <v>46087.0</v>
      </c>
      <c r="ES4" s="309">
        <v>46087.0</v>
      </c>
      <c r="ET4" s="309">
        <v>46087.0</v>
      </c>
      <c r="EU4" s="309">
        <v>46089.0</v>
      </c>
      <c r="EV4" s="309">
        <v>46090.0</v>
      </c>
      <c r="EW4" s="309">
        <v>46090.0</v>
      </c>
      <c r="EX4" s="309">
        <v>46092.0</v>
      </c>
      <c r="EY4" s="309">
        <v>46093.0</v>
      </c>
      <c r="EZ4" s="309">
        <v>46094.0</v>
      </c>
      <c r="FA4" s="309">
        <v>46094.0</v>
      </c>
      <c r="FB4" s="309">
        <v>46095.0</v>
      </c>
      <c r="FC4" s="309">
        <v>46096.0</v>
      </c>
      <c r="FD4" s="309">
        <v>46096.0</v>
      </c>
      <c r="FE4" s="309">
        <v>46096.0</v>
      </c>
      <c r="FF4" s="309">
        <v>46096.0</v>
      </c>
      <c r="FG4" s="309">
        <v>46097.0</v>
      </c>
      <c r="FH4" s="309">
        <v>46097.0</v>
      </c>
      <c r="FI4" s="309">
        <v>46097.0</v>
      </c>
      <c r="FJ4" s="309">
        <v>46098.0</v>
      </c>
      <c r="FK4" s="309">
        <v>46099.0</v>
      </c>
      <c r="FL4" s="309">
        <v>46099.0</v>
      </c>
      <c r="FM4" s="309">
        <v>46100.0</v>
      </c>
      <c r="FN4" s="309">
        <v>46101.0</v>
      </c>
      <c r="FO4" s="309">
        <v>46101.0</v>
      </c>
      <c r="FP4" s="309">
        <v>46102.0</v>
      </c>
      <c r="FQ4" s="309">
        <v>46103.0</v>
      </c>
      <c r="FR4" s="309">
        <v>46104.0</v>
      </c>
      <c r="FS4" s="309">
        <v>46105.0</v>
      </c>
      <c r="FT4" s="309">
        <v>46106.0</v>
      </c>
      <c r="FU4" s="309">
        <v>46107.0</v>
      </c>
      <c r="FV4" s="309">
        <v>46107.0</v>
      </c>
      <c r="FW4" s="309">
        <v>46107.0</v>
      </c>
      <c r="FX4" s="309">
        <v>46108.0</v>
      </c>
      <c r="FY4" s="309">
        <v>46109.0</v>
      </c>
      <c r="FZ4" s="166">
        <v>46111.0</v>
      </c>
      <c r="GA4" s="166">
        <v>46111.0</v>
      </c>
      <c r="GB4" s="166">
        <v>46111.0</v>
      </c>
      <c r="GC4" s="166">
        <v>46111.0</v>
      </c>
      <c r="GD4" s="166">
        <v>46112.0</v>
      </c>
      <c r="GE4" s="166">
        <v>46112.0</v>
      </c>
      <c r="GF4" s="166">
        <v>46112.0</v>
      </c>
      <c r="GG4" s="166">
        <v>46112.0</v>
      </c>
      <c r="GH4" s="84"/>
      <c r="GI4" s="86"/>
      <c r="GJ4" s="137"/>
      <c r="GK4" s="165">
        <v>45748.0</v>
      </c>
      <c r="GL4" s="165">
        <v>45748.0</v>
      </c>
      <c r="GM4" s="165">
        <v>45751.0</v>
      </c>
      <c r="GN4" s="165">
        <v>45751.0</v>
      </c>
      <c r="GO4" s="165">
        <v>45751.0</v>
      </c>
      <c r="GP4" s="165">
        <v>45751.0</v>
      </c>
      <c r="GQ4" s="165">
        <v>45751.0</v>
      </c>
      <c r="GR4" s="165">
        <v>45752.0</v>
      </c>
      <c r="GS4" s="165">
        <v>45752.0</v>
      </c>
      <c r="GT4" s="165">
        <v>45753.0</v>
      </c>
      <c r="GU4" s="165">
        <v>45753.0</v>
      </c>
      <c r="GV4" s="165">
        <v>45754.0</v>
      </c>
      <c r="GW4" s="165">
        <v>45756.0</v>
      </c>
      <c r="GX4" s="165">
        <v>45756.0</v>
      </c>
      <c r="GY4" s="165">
        <v>45758.0</v>
      </c>
      <c r="GZ4" s="165">
        <v>45758.0</v>
      </c>
      <c r="HA4" s="165">
        <v>45758.0</v>
      </c>
      <c r="HB4" s="165">
        <v>45759.0</v>
      </c>
      <c r="HC4" s="165">
        <v>45759.0</v>
      </c>
      <c r="HD4" s="165">
        <v>45759.0</v>
      </c>
      <c r="HE4" s="165">
        <v>45760.0</v>
      </c>
      <c r="HF4" s="165">
        <v>45760.0</v>
      </c>
      <c r="HG4" s="165">
        <v>45761.0</v>
      </c>
      <c r="HH4" s="165">
        <v>45762.0</v>
      </c>
      <c r="HI4" s="165">
        <v>45762.0</v>
      </c>
      <c r="HJ4" s="165">
        <v>45763.0</v>
      </c>
      <c r="HK4" s="165">
        <v>45763.0</v>
      </c>
      <c r="HL4" s="165">
        <v>45764.0</v>
      </c>
      <c r="HM4" s="165">
        <v>45764.0</v>
      </c>
      <c r="HN4" s="165">
        <v>45766.0</v>
      </c>
      <c r="HO4" s="165">
        <v>45768.0</v>
      </c>
      <c r="HP4" s="165">
        <v>45768.0</v>
      </c>
      <c r="HQ4" s="165">
        <v>45768.0</v>
      </c>
      <c r="HR4" s="165">
        <v>45769.0</v>
      </c>
      <c r="HS4" s="165">
        <v>45769.0</v>
      </c>
      <c r="HT4" s="165">
        <v>45770.0</v>
      </c>
      <c r="HU4" s="165">
        <v>45770.0</v>
      </c>
      <c r="HV4" s="165">
        <v>45771.0</v>
      </c>
      <c r="HW4" s="165">
        <v>45772.0</v>
      </c>
      <c r="HX4" s="165">
        <v>45772.0</v>
      </c>
      <c r="HY4" s="165">
        <v>45773.0</v>
      </c>
      <c r="HZ4" s="165">
        <v>45774.0</v>
      </c>
      <c r="IA4" s="165">
        <v>45774.0</v>
      </c>
      <c r="IB4" s="165">
        <v>45775.0</v>
      </c>
      <c r="IC4" s="165">
        <v>45776.0</v>
      </c>
      <c r="ID4" s="165">
        <v>45777.0</v>
      </c>
      <c r="IE4" s="165">
        <v>45777.0</v>
      </c>
      <c r="IF4" s="84"/>
      <c r="IG4" s="86"/>
      <c r="IH4" s="72"/>
      <c r="II4" s="161">
        <v>45778.0</v>
      </c>
      <c r="IJ4" s="161">
        <v>45780.0</v>
      </c>
      <c r="IK4" s="161">
        <v>45780.0</v>
      </c>
      <c r="IL4" s="161">
        <v>45782.0</v>
      </c>
      <c r="IM4" s="161">
        <v>45782.0</v>
      </c>
      <c r="IN4" s="161">
        <v>45782.0</v>
      </c>
      <c r="IO4" s="161">
        <v>45782.0</v>
      </c>
      <c r="IP4" s="161">
        <v>45782.0</v>
      </c>
      <c r="IQ4" s="161">
        <v>45783.0</v>
      </c>
      <c r="IR4" s="161">
        <v>45783.0</v>
      </c>
      <c r="IS4" s="161">
        <v>45783.0</v>
      </c>
      <c r="IT4" s="161">
        <v>45784.0</v>
      </c>
      <c r="IU4" s="161">
        <v>45784.0</v>
      </c>
      <c r="IV4" s="161">
        <v>45785.0</v>
      </c>
      <c r="IW4" s="161">
        <v>45786.0</v>
      </c>
      <c r="IX4" s="161">
        <v>45786.0</v>
      </c>
      <c r="IY4" s="161">
        <v>45786.0</v>
      </c>
      <c r="IZ4" s="161">
        <v>45787.0</v>
      </c>
      <c r="JA4" s="161">
        <v>45789.0</v>
      </c>
      <c r="JB4" s="161">
        <v>45789.0</v>
      </c>
      <c r="JC4" s="161">
        <v>45789.0</v>
      </c>
      <c r="JD4" s="161">
        <v>45790.0</v>
      </c>
      <c r="JE4" s="161">
        <v>45790.0</v>
      </c>
      <c r="JF4" s="161">
        <v>45790.0</v>
      </c>
      <c r="JG4" s="162">
        <v>45792.0</v>
      </c>
      <c r="JH4" s="162">
        <v>45792.0</v>
      </c>
      <c r="JI4" s="162">
        <v>45793.0</v>
      </c>
      <c r="JJ4" s="162">
        <v>45793.0</v>
      </c>
      <c r="JK4" s="162">
        <v>45794.0</v>
      </c>
      <c r="JL4" s="162">
        <v>45794.0</v>
      </c>
      <c r="JM4" s="162">
        <v>45794.0</v>
      </c>
      <c r="JN4" s="162">
        <v>45794.0</v>
      </c>
      <c r="JO4" s="162">
        <v>45794.0</v>
      </c>
      <c r="JP4" s="162">
        <v>45794.0</v>
      </c>
      <c r="JQ4" s="162">
        <v>45795.0</v>
      </c>
      <c r="JR4" s="162">
        <v>45796.0</v>
      </c>
      <c r="JS4" s="162">
        <v>45798.0</v>
      </c>
      <c r="JT4" s="162">
        <v>45798.0</v>
      </c>
      <c r="JU4" s="162">
        <v>45799.0</v>
      </c>
      <c r="JV4" s="162">
        <v>45799.0</v>
      </c>
      <c r="JW4" s="162">
        <v>45799.0</v>
      </c>
      <c r="JX4" s="162">
        <v>45800.0</v>
      </c>
      <c r="JY4" s="162">
        <v>45801.0</v>
      </c>
      <c r="JZ4" s="162">
        <v>45801.0</v>
      </c>
      <c r="KA4" s="162">
        <v>45802.0</v>
      </c>
      <c r="KB4" s="162"/>
      <c r="KC4" s="84"/>
      <c r="KD4" s="86"/>
      <c r="KE4" s="137"/>
      <c r="KF4" s="137"/>
      <c r="KG4" s="137"/>
      <c r="KH4" s="137"/>
      <c r="KI4" s="137"/>
      <c r="KJ4" s="137"/>
      <c r="KK4" s="137"/>
      <c r="KL4" s="137"/>
      <c r="KM4" s="137"/>
      <c r="KN4" s="137"/>
      <c r="KO4" s="137"/>
      <c r="KP4" s="137"/>
      <c r="KQ4" s="137"/>
      <c r="KR4" s="137"/>
      <c r="KS4" s="137"/>
      <c r="KT4" s="137"/>
      <c r="KU4" s="137"/>
      <c r="KV4" s="137"/>
      <c r="KW4" s="137"/>
    </row>
    <row r="5" hidden="1">
      <c r="A5" s="167" t="s">
        <v>49</v>
      </c>
      <c r="B5" s="168">
        <v>329.0</v>
      </c>
      <c r="C5" s="169"/>
      <c r="D5" s="170"/>
      <c r="E5" s="170"/>
      <c r="F5" s="170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310"/>
      <c r="CE5" s="172"/>
      <c r="CF5" s="173"/>
      <c r="CH5" s="169"/>
      <c r="CI5" s="170"/>
      <c r="CJ5" s="170"/>
      <c r="CK5" s="170"/>
      <c r="CL5" s="171"/>
      <c r="CM5" s="171"/>
      <c r="CN5" s="171"/>
      <c r="CO5" s="171"/>
      <c r="CP5" s="171"/>
      <c r="CQ5" s="171"/>
      <c r="CR5" s="171"/>
      <c r="CS5" s="171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/>
      <c r="DO5" s="171"/>
      <c r="DP5" s="171"/>
      <c r="DQ5" s="171"/>
      <c r="DR5" s="171"/>
      <c r="DS5" s="171"/>
      <c r="DT5" s="171"/>
      <c r="DU5" s="171"/>
      <c r="DV5" s="171"/>
      <c r="DW5" s="171"/>
      <c r="DX5" s="171"/>
      <c r="DY5" s="171"/>
      <c r="DZ5" s="171"/>
      <c r="EA5" s="171"/>
      <c r="EB5" s="171"/>
      <c r="EC5" s="171"/>
      <c r="ED5" s="186"/>
      <c r="EE5" s="311"/>
      <c r="EF5" s="178"/>
      <c r="EG5" s="173"/>
      <c r="EH5" s="174"/>
      <c r="EI5" s="175"/>
      <c r="EJ5" s="100"/>
      <c r="EK5" s="100"/>
      <c r="EL5" s="100"/>
      <c r="EM5" s="100"/>
      <c r="EN5" s="100"/>
      <c r="EO5" s="100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170"/>
      <c r="FQ5" s="170"/>
      <c r="FR5" s="170"/>
      <c r="FS5" s="170"/>
      <c r="FT5" s="170"/>
      <c r="FU5" s="170"/>
      <c r="FV5" s="170"/>
      <c r="FW5" s="170"/>
      <c r="FX5" s="170"/>
      <c r="FY5" s="170"/>
      <c r="FZ5" s="170"/>
      <c r="GA5" s="170"/>
      <c r="GB5" s="170"/>
      <c r="GC5" s="170"/>
      <c r="GD5" s="170"/>
      <c r="GE5" s="170"/>
      <c r="GF5" s="170"/>
      <c r="GG5" s="170"/>
      <c r="GH5" s="178"/>
      <c r="GI5" s="173"/>
      <c r="GJ5" s="174"/>
      <c r="GK5" s="179"/>
      <c r="GL5" s="180"/>
      <c r="GM5" s="180"/>
      <c r="GN5" s="180"/>
      <c r="GO5" s="180"/>
      <c r="GP5" s="180"/>
      <c r="GQ5" s="180"/>
      <c r="GR5" s="180"/>
      <c r="GS5" s="180"/>
      <c r="GT5" s="180"/>
      <c r="GU5" s="180"/>
      <c r="GV5" s="180"/>
      <c r="GW5" s="180"/>
      <c r="GX5" s="180"/>
      <c r="GY5" s="180"/>
      <c r="GZ5" s="180"/>
      <c r="HA5" s="180"/>
      <c r="HB5" s="313"/>
      <c r="HC5" s="313"/>
      <c r="HD5" s="180"/>
      <c r="HE5" s="180"/>
      <c r="HF5" s="180"/>
      <c r="HG5" s="180"/>
      <c r="HH5" s="180"/>
      <c r="HI5" s="180"/>
      <c r="HJ5" s="180"/>
      <c r="HK5" s="180"/>
      <c r="HL5" s="180"/>
      <c r="HM5" s="180"/>
      <c r="HN5" s="180"/>
      <c r="HO5" s="180"/>
      <c r="HP5" s="180"/>
      <c r="HQ5" s="180"/>
      <c r="HR5" s="180"/>
      <c r="HS5" s="180"/>
      <c r="HT5" s="180"/>
      <c r="HU5" s="180"/>
      <c r="HV5" s="180"/>
      <c r="HW5" s="180"/>
      <c r="HX5" s="180"/>
      <c r="HY5" s="180"/>
      <c r="HZ5" s="180"/>
      <c r="IA5" s="180"/>
      <c r="IB5" s="180"/>
      <c r="IC5" s="180"/>
      <c r="ID5" s="180"/>
      <c r="IE5" s="180"/>
      <c r="IF5" s="181"/>
      <c r="IG5" s="182"/>
      <c r="IH5" s="183"/>
      <c r="II5" s="314"/>
      <c r="IJ5" s="170"/>
      <c r="IK5" s="170"/>
      <c r="IL5" s="184"/>
      <c r="IM5" s="184"/>
      <c r="IN5" s="184"/>
      <c r="IO5" s="184"/>
      <c r="IP5" s="184"/>
      <c r="IQ5" s="184"/>
      <c r="IR5" s="184"/>
      <c r="IS5" s="184"/>
      <c r="IT5" s="184"/>
      <c r="IU5" s="184"/>
      <c r="IV5" s="184"/>
      <c r="IW5" s="184"/>
      <c r="IX5" s="184"/>
      <c r="IY5" s="184"/>
      <c r="IZ5" s="184"/>
      <c r="JA5" s="184"/>
      <c r="JB5" s="184"/>
      <c r="JC5" s="184"/>
      <c r="JD5" s="184"/>
      <c r="JE5" s="184"/>
      <c r="JF5" s="186"/>
      <c r="JG5" s="310"/>
      <c r="JH5" s="310"/>
      <c r="JI5" s="310"/>
      <c r="JJ5" s="310"/>
      <c r="JK5" s="310"/>
      <c r="JL5" s="310"/>
      <c r="JM5" s="310"/>
      <c r="JN5" s="310"/>
      <c r="JO5" s="310"/>
      <c r="JP5" s="310"/>
      <c r="JQ5" s="310"/>
      <c r="JR5" s="310"/>
      <c r="JS5" s="310"/>
      <c r="JT5" s="310"/>
      <c r="JU5" s="310"/>
      <c r="JV5" s="310"/>
      <c r="JW5" s="310"/>
      <c r="JX5" s="310"/>
      <c r="JY5" s="310"/>
      <c r="JZ5" s="310"/>
      <c r="KA5" s="310"/>
      <c r="KB5" s="310"/>
      <c r="KC5" s="172"/>
      <c r="KD5" s="173"/>
      <c r="KE5" s="174"/>
      <c r="KF5" s="174"/>
      <c r="KG5" s="174"/>
      <c r="KH5" s="174"/>
      <c r="KI5" s="174"/>
      <c r="KJ5" s="174"/>
      <c r="KK5" s="174"/>
      <c r="KL5" s="174"/>
      <c r="KM5" s="174"/>
      <c r="KN5" s="174"/>
      <c r="KO5" s="174"/>
      <c r="KP5" s="174"/>
      <c r="KQ5" s="174"/>
      <c r="KR5" s="174"/>
      <c r="KS5" s="174"/>
      <c r="KT5" s="174"/>
      <c r="KU5" s="174"/>
      <c r="KV5" s="174"/>
      <c r="KW5" s="174"/>
    </row>
    <row r="6" hidden="1">
      <c r="A6" s="101" t="s">
        <v>50</v>
      </c>
      <c r="B6" s="187">
        <v>329.0</v>
      </c>
      <c r="C6" s="89"/>
      <c r="D6" s="188"/>
      <c r="E6" s="188"/>
      <c r="F6" s="188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310"/>
      <c r="CE6" s="172"/>
      <c r="CF6" s="173"/>
      <c r="CH6" s="89"/>
      <c r="CI6" s="188"/>
      <c r="CJ6" s="188"/>
      <c r="CK6" s="188"/>
      <c r="CL6" s="171"/>
      <c r="CM6" s="171"/>
      <c r="CN6" s="171"/>
      <c r="CO6" s="171"/>
      <c r="CP6" s="171"/>
      <c r="CQ6" s="171"/>
      <c r="CR6" s="171"/>
      <c r="CS6" s="171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1"/>
      <c r="DP6" s="171"/>
      <c r="DQ6" s="171"/>
      <c r="DR6" s="171"/>
      <c r="DS6" s="171"/>
      <c r="DT6" s="171"/>
      <c r="DU6" s="171"/>
      <c r="DV6" s="171"/>
      <c r="DW6" s="171"/>
      <c r="DX6" s="171"/>
      <c r="DY6" s="171"/>
      <c r="DZ6" s="171"/>
      <c r="EA6" s="171"/>
      <c r="EB6" s="171"/>
      <c r="EC6" s="171"/>
      <c r="ED6" s="186"/>
      <c r="EE6" s="311"/>
      <c r="EF6" s="178"/>
      <c r="EG6" s="173"/>
      <c r="EH6" s="174"/>
      <c r="EI6" s="109"/>
      <c r="EJ6" s="189"/>
      <c r="EK6" s="189"/>
      <c r="EL6" s="189"/>
      <c r="EM6" s="189"/>
      <c r="EN6" s="189"/>
      <c r="EO6" s="189"/>
      <c r="EP6" s="315"/>
      <c r="EQ6" s="315"/>
      <c r="ER6" s="315"/>
      <c r="ES6" s="315"/>
      <c r="ET6" s="315"/>
      <c r="EU6" s="315"/>
      <c r="EV6" s="315"/>
      <c r="EW6" s="315"/>
      <c r="EX6" s="315"/>
      <c r="EY6" s="315"/>
      <c r="EZ6" s="315"/>
      <c r="FA6" s="315"/>
      <c r="FB6" s="315"/>
      <c r="FC6" s="315"/>
      <c r="FD6" s="315"/>
      <c r="FE6" s="315"/>
      <c r="FF6" s="315"/>
      <c r="FG6" s="315"/>
      <c r="FH6" s="315"/>
      <c r="FI6" s="315"/>
      <c r="FJ6" s="315"/>
      <c r="FK6" s="315"/>
      <c r="FL6" s="315"/>
      <c r="FM6" s="315"/>
      <c r="FN6" s="315"/>
      <c r="FO6" s="315"/>
      <c r="FP6" s="188"/>
      <c r="FQ6" s="188"/>
      <c r="FR6" s="188"/>
      <c r="FS6" s="188"/>
      <c r="FT6" s="188"/>
      <c r="FU6" s="188"/>
      <c r="FV6" s="188"/>
      <c r="FW6" s="188"/>
      <c r="FX6" s="188"/>
      <c r="FY6" s="188"/>
      <c r="FZ6" s="188"/>
      <c r="GA6" s="188"/>
      <c r="GB6" s="188"/>
      <c r="GC6" s="188"/>
      <c r="GD6" s="188"/>
      <c r="GE6" s="188"/>
      <c r="GF6" s="188"/>
      <c r="GG6" s="188"/>
      <c r="GH6" s="178"/>
      <c r="GI6" s="173"/>
      <c r="GJ6" s="174"/>
      <c r="GK6" s="191"/>
      <c r="GL6" s="181"/>
      <c r="GM6" s="181"/>
      <c r="GN6" s="181"/>
      <c r="GO6" s="181"/>
      <c r="GP6" s="181"/>
      <c r="GQ6" s="181"/>
      <c r="GR6" s="181"/>
      <c r="GS6" s="181"/>
      <c r="GT6" s="181"/>
      <c r="GU6" s="181"/>
      <c r="GV6" s="181"/>
      <c r="GW6" s="181"/>
      <c r="GX6" s="181"/>
      <c r="GY6" s="181"/>
      <c r="GZ6" s="181"/>
      <c r="HA6" s="181"/>
      <c r="HB6" s="316"/>
      <c r="HC6" s="316"/>
      <c r="HD6" s="181"/>
      <c r="HE6" s="181"/>
      <c r="HF6" s="181"/>
      <c r="HG6" s="181"/>
      <c r="HH6" s="181"/>
      <c r="HI6" s="181"/>
      <c r="HJ6" s="181"/>
      <c r="HK6" s="181"/>
      <c r="HL6" s="181"/>
      <c r="HM6" s="181"/>
      <c r="HN6" s="181"/>
      <c r="HO6" s="181"/>
      <c r="HP6" s="181"/>
      <c r="HQ6" s="181"/>
      <c r="HR6" s="181"/>
      <c r="HS6" s="181"/>
      <c r="HT6" s="181"/>
      <c r="HU6" s="181"/>
      <c r="HV6" s="181"/>
      <c r="HW6" s="181"/>
      <c r="HX6" s="181"/>
      <c r="HY6" s="181"/>
      <c r="HZ6" s="181"/>
      <c r="IA6" s="181"/>
      <c r="IB6" s="181"/>
      <c r="IC6" s="181"/>
      <c r="ID6" s="181"/>
      <c r="IE6" s="181"/>
      <c r="IF6" s="181"/>
      <c r="IG6" s="182"/>
      <c r="IH6" s="183"/>
      <c r="II6" s="317"/>
      <c r="IJ6" s="188"/>
      <c r="IK6" s="188"/>
      <c r="IL6" s="192"/>
      <c r="IM6" s="192"/>
      <c r="IN6" s="192"/>
      <c r="IO6" s="192"/>
      <c r="IP6" s="192"/>
      <c r="IQ6" s="192"/>
      <c r="IR6" s="192"/>
      <c r="IS6" s="192"/>
      <c r="IT6" s="192"/>
      <c r="IU6" s="192"/>
      <c r="IV6" s="192"/>
      <c r="IW6" s="192"/>
      <c r="IX6" s="192"/>
      <c r="IY6" s="192"/>
      <c r="IZ6" s="192"/>
      <c r="JA6" s="192"/>
      <c r="JB6" s="192"/>
      <c r="JC6" s="192"/>
      <c r="JD6" s="192"/>
      <c r="JE6" s="192"/>
      <c r="JF6" s="186"/>
      <c r="JG6" s="310"/>
      <c r="JH6" s="310"/>
      <c r="JI6" s="310"/>
      <c r="JJ6" s="310"/>
      <c r="JK6" s="310"/>
      <c r="JL6" s="310"/>
      <c r="JM6" s="310"/>
      <c r="JN6" s="310"/>
      <c r="JO6" s="310"/>
      <c r="JP6" s="310"/>
      <c r="JQ6" s="310"/>
      <c r="JR6" s="310"/>
      <c r="JS6" s="310"/>
      <c r="JT6" s="310"/>
      <c r="JU6" s="310"/>
      <c r="JV6" s="310"/>
      <c r="JW6" s="310"/>
      <c r="JX6" s="310"/>
      <c r="JY6" s="310"/>
      <c r="JZ6" s="310"/>
      <c r="KA6" s="310"/>
      <c r="KB6" s="310"/>
      <c r="KC6" s="172"/>
      <c r="KD6" s="173"/>
      <c r="KE6" s="174"/>
      <c r="KF6" s="174"/>
      <c r="KG6" s="174"/>
      <c r="KH6" s="174"/>
      <c r="KI6" s="174"/>
      <c r="KJ6" s="174"/>
      <c r="KK6" s="174"/>
      <c r="KL6" s="174"/>
      <c r="KM6" s="174"/>
      <c r="KN6" s="174"/>
      <c r="KO6" s="174"/>
      <c r="KP6" s="174"/>
      <c r="KQ6" s="174"/>
      <c r="KR6" s="174"/>
      <c r="KS6" s="174"/>
      <c r="KT6" s="174"/>
      <c r="KU6" s="174"/>
      <c r="KV6" s="174"/>
      <c r="KW6" s="174"/>
    </row>
    <row r="7" hidden="1">
      <c r="A7" s="101" t="s">
        <v>51</v>
      </c>
      <c r="B7" s="187">
        <v>329.0</v>
      </c>
      <c r="C7" s="89"/>
      <c r="D7" s="188"/>
      <c r="E7" s="188"/>
      <c r="F7" s="188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310"/>
      <c r="CE7" s="172"/>
      <c r="CF7" s="173"/>
      <c r="CH7" s="89"/>
      <c r="CI7" s="188"/>
      <c r="CJ7" s="188"/>
      <c r="CK7" s="188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1"/>
      <c r="DP7" s="171"/>
      <c r="DQ7" s="171"/>
      <c r="DR7" s="171"/>
      <c r="DS7" s="171"/>
      <c r="DT7" s="171"/>
      <c r="DU7" s="171"/>
      <c r="DV7" s="171"/>
      <c r="DW7" s="171"/>
      <c r="DX7" s="171"/>
      <c r="DY7" s="171"/>
      <c r="DZ7" s="171"/>
      <c r="EA7" s="171"/>
      <c r="EB7" s="171"/>
      <c r="EC7" s="171"/>
      <c r="ED7" s="186"/>
      <c r="EE7" s="311"/>
      <c r="EF7" s="178"/>
      <c r="EG7" s="173"/>
      <c r="EH7" s="174"/>
      <c r="EI7" s="109"/>
      <c r="EJ7" s="189"/>
      <c r="EK7" s="189"/>
      <c r="EL7" s="189"/>
      <c r="EM7" s="189"/>
      <c r="EN7" s="189"/>
      <c r="EO7" s="189"/>
      <c r="EP7" s="315"/>
      <c r="EQ7" s="315"/>
      <c r="ER7" s="315"/>
      <c r="ES7" s="315"/>
      <c r="ET7" s="315"/>
      <c r="EU7" s="315"/>
      <c r="EV7" s="315"/>
      <c r="EW7" s="315"/>
      <c r="EX7" s="315"/>
      <c r="EY7" s="315"/>
      <c r="EZ7" s="315"/>
      <c r="FA7" s="315"/>
      <c r="FB7" s="315"/>
      <c r="FC7" s="315"/>
      <c r="FD7" s="315"/>
      <c r="FE7" s="315"/>
      <c r="FF7" s="315"/>
      <c r="FG7" s="315"/>
      <c r="FH7" s="315"/>
      <c r="FI7" s="315"/>
      <c r="FJ7" s="315"/>
      <c r="FK7" s="315"/>
      <c r="FL7" s="315"/>
      <c r="FM7" s="315"/>
      <c r="FN7" s="315"/>
      <c r="FO7" s="315"/>
      <c r="FP7" s="188"/>
      <c r="FQ7" s="188"/>
      <c r="FR7" s="188"/>
      <c r="FS7" s="188"/>
      <c r="FT7" s="188"/>
      <c r="FU7" s="188"/>
      <c r="FV7" s="188"/>
      <c r="FW7" s="188"/>
      <c r="FX7" s="188"/>
      <c r="FY7" s="188"/>
      <c r="FZ7" s="188"/>
      <c r="GA7" s="188"/>
      <c r="GB7" s="188"/>
      <c r="GC7" s="188"/>
      <c r="GD7" s="188"/>
      <c r="GE7" s="188"/>
      <c r="GF7" s="188"/>
      <c r="GG7" s="188"/>
      <c r="GH7" s="178"/>
      <c r="GI7" s="173"/>
      <c r="GJ7" s="174"/>
      <c r="GK7" s="191"/>
      <c r="GL7" s="181"/>
      <c r="GM7" s="181"/>
      <c r="GN7" s="181"/>
      <c r="GO7" s="181"/>
      <c r="GP7" s="181"/>
      <c r="GQ7" s="181"/>
      <c r="GR7" s="181"/>
      <c r="GS7" s="181"/>
      <c r="GT7" s="181"/>
      <c r="GU7" s="181"/>
      <c r="GV7" s="181"/>
      <c r="GW7" s="181"/>
      <c r="GX7" s="181"/>
      <c r="GY7" s="181"/>
      <c r="GZ7" s="181"/>
      <c r="HA7" s="181"/>
      <c r="HB7" s="316"/>
      <c r="HC7" s="316"/>
      <c r="HD7" s="181"/>
      <c r="HE7" s="181"/>
      <c r="HF7" s="181"/>
      <c r="HG7" s="181"/>
      <c r="HH7" s="181"/>
      <c r="HI7" s="181"/>
      <c r="HJ7" s="181"/>
      <c r="HK7" s="181"/>
      <c r="HL7" s="181"/>
      <c r="HM7" s="181"/>
      <c r="HN7" s="181"/>
      <c r="HO7" s="181"/>
      <c r="HP7" s="181"/>
      <c r="HQ7" s="181"/>
      <c r="HR7" s="181"/>
      <c r="HS7" s="181"/>
      <c r="HT7" s="181"/>
      <c r="HU7" s="181"/>
      <c r="HV7" s="181"/>
      <c r="HW7" s="181"/>
      <c r="HX7" s="181"/>
      <c r="HY7" s="181"/>
      <c r="HZ7" s="181"/>
      <c r="IA7" s="181"/>
      <c r="IB7" s="181"/>
      <c r="IC7" s="181"/>
      <c r="ID7" s="181"/>
      <c r="IE7" s="181"/>
      <c r="IF7" s="181"/>
      <c r="IG7" s="182"/>
      <c r="IH7" s="183"/>
      <c r="II7" s="317"/>
      <c r="IJ7" s="188"/>
      <c r="IK7" s="188"/>
      <c r="IL7" s="192"/>
      <c r="IM7" s="192"/>
      <c r="IN7" s="192"/>
      <c r="IO7" s="192"/>
      <c r="IP7" s="192"/>
      <c r="IQ7" s="192"/>
      <c r="IR7" s="192"/>
      <c r="IS7" s="192"/>
      <c r="IT7" s="192"/>
      <c r="IU7" s="192"/>
      <c r="IV7" s="192"/>
      <c r="IW7" s="192"/>
      <c r="IX7" s="192"/>
      <c r="IY7" s="192"/>
      <c r="IZ7" s="192"/>
      <c r="JA7" s="192"/>
      <c r="JB7" s="192"/>
      <c r="JC7" s="192"/>
      <c r="JD7" s="192"/>
      <c r="JE7" s="192"/>
      <c r="JF7" s="186"/>
      <c r="JG7" s="310"/>
      <c r="JH7" s="310"/>
      <c r="JI7" s="310"/>
      <c r="JJ7" s="310"/>
      <c r="JK7" s="310"/>
      <c r="JL7" s="310"/>
      <c r="JM7" s="310"/>
      <c r="JN7" s="310"/>
      <c r="JO7" s="310"/>
      <c r="JP7" s="310"/>
      <c r="JQ7" s="310"/>
      <c r="JR7" s="310"/>
      <c r="JS7" s="310"/>
      <c r="JT7" s="310"/>
      <c r="JU7" s="310"/>
      <c r="JV7" s="310"/>
      <c r="JW7" s="310"/>
      <c r="JX7" s="310"/>
      <c r="JY7" s="310"/>
      <c r="JZ7" s="310"/>
      <c r="KA7" s="310"/>
      <c r="KB7" s="310"/>
      <c r="KC7" s="172"/>
      <c r="KD7" s="173"/>
      <c r="KE7" s="174"/>
      <c r="KF7" s="174"/>
      <c r="KG7" s="174"/>
      <c r="KH7" s="174"/>
      <c r="KI7" s="174"/>
      <c r="KJ7" s="174"/>
      <c r="KK7" s="174"/>
      <c r="KL7" s="174"/>
      <c r="KM7" s="174"/>
      <c r="KN7" s="174"/>
      <c r="KO7" s="174"/>
      <c r="KP7" s="174"/>
      <c r="KQ7" s="174"/>
      <c r="KR7" s="174"/>
      <c r="KS7" s="174"/>
      <c r="KT7" s="174"/>
      <c r="KU7" s="174"/>
      <c r="KV7" s="174"/>
      <c r="KW7" s="174"/>
    </row>
    <row r="8">
      <c r="A8" s="101" t="s">
        <v>52</v>
      </c>
      <c r="B8" s="93">
        <v>329.0</v>
      </c>
      <c r="C8" s="210">
        <v>1.0</v>
      </c>
      <c r="D8" s="188"/>
      <c r="E8" s="188"/>
      <c r="F8" s="194">
        <v>1.0</v>
      </c>
      <c r="G8" s="171"/>
      <c r="H8" s="171"/>
      <c r="I8" s="195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96">
        <v>1.0</v>
      </c>
      <c r="AC8" s="171"/>
      <c r="AD8" s="171"/>
      <c r="AE8" s="171"/>
      <c r="AF8" s="171"/>
      <c r="AG8" s="171"/>
      <c r="AH8" s="196">
        <v>1.0</v>
      </c>
      <c r="AI8" s="171"/>
      <c r="AJ8" s="171"/>
      <c r="AK8" s="171"/>
      <c r="AL8" s="171"/>
      <c r="AM8" s="171"/>
      <c r="AN8" s="171"/>
      <c r="AO8" s="171"/>
      <c r="AP8" s="196">
        <v>2.0</v>
      </c>
      <c r="AQ8" s="196">
        <v>1.0</v>
      </c>
      <c r="AR8" s="171"/>
      <c r="AS8" s="171"/>
      <c r="AT8" s="171"/>
      <c r="AU8" s="171"/>
      <c r="AV8" s="171"/>
      <c r="AW8" s="171"/>
      <c r="AX8" s="196">
        <v>1.0</v>
      </c>
      <c r="AY8" s="196">
        <v>1.0</v>
      </c>
      <c r="AZ8" s="171"/>
      <c r="BA8" s="171"/>
      <c r="BB8" s="171"/>
      <c r="BC8" s="171"/>
      <c r="BD8" s="171"/>
      <c r="BE8" s="171"/>
      <c r="BF8" s="171"/>
      <c r="BG8" s="196">
        <v>1.0</v>
      </c>
      <c r="BH8" s="171"/>
      <c r="BI8" s="171"/>
      <c r="BJ8" s="171"/>
      <c r="BK8" s="171"/>
      <c r="BL8" s="196">
        <v>1.0</v>
      </c>
      <c r="BM8" s="171"/>
      <c r="BN8" s="196">
        <v>1.0</v>
      </c>
      <c r="BO8" s="171"/>
      <c r="BP8" s="171"/>
      <c r="BQ8" s="171"/>
      <c r="BR8" s="171"/>
      <c r="BS8" s="171"/>
      <c r="BT8" s="171"/>
      <c r="BU8" s="196">
        <v>1.0</v>
      </c>
      <c r="BV8" s="171"/>
      <c r="BW8" s="171"/>
      <c r="BX8" s="171"/>
      <c r="BY8" s="171"/>
      <c r="BZ8" s="171"/>
      <c r="CA8" s="171"/>
      <c r="CB8" s="171"/>
      <c r="CC8" s="171"/>
      <c r="CD8" s="310"/>
      <c r="CE8" s="172">
        <f t="shared" ref="CE8:CE97" si="1">sum(C8:CD8)</f>
        <v>13</v>
      </c>
      <c r="CF8" s="173">
        <f t="shared" ref="CF8:CF97" si="2">CE8*B8</f>
        <v>4277</v>
      </c>
      <c r="CH8" s="89"/>
      <c r="CI8" s="188"/>
      <c r="CJ8" s="188"/>
      <c r="CK8" s="188"/>
      <c r="CL8" s="171"/>
      <c r="CM8" s="171"/>
      <c r="CN8" s="195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96">
        <v>1.0</v>
      </c>
      <c r="DG8" s="196">
        <v>1.0</v>
      </c>
      <c r="DH8" s="196">
        <v>1.0</v>
      </c>
      <c r="DI8" s="171"/>
      <c r="DJ8" s="171"/>
      <c r="DK8" s="196">
        <v>1.0</v>
      </c>
      <c r="DL8" s="171"/>
      <c r="DM8" s="171"/>
      <c r="DN8" s="196">
        <v>1.0</v>
      </c>
      <c r="DO8" s="171"/>
      <c r="DP8" s="171"/>
      <c r="DQ8" s="171"/>
      <c r="DR8" s="171"/>
      <c r="DS8" s="171"/>
      <c r="DT8" s="196">
        <v>1.0</v>
      </c>
      <c r="DU8" s="171"/>
      <c r="DV8" s="171"/>
      <c r="DW8" s="171"/>
      <c r="DX8" s="171"/>
      <c r="DY8" s="171"/>
      <c r="DZ8" s="196">
        <v>1.0</v>
      </c>
      <c r="EA8" s="196">
        <v>1.0</v>
      </c>
      <c r="EB8" s="171"/>
      <c r="EC8" s="171"/>
      <c r="ED8" s="196">
        <v>1.0</v>
      </c>
      <c r="EE8" s="95"/>
      <c r="EF8" s="178">
        <f t="shared" ref="EF8:EF27" si="3">sum(CH8:ED8)</f>
        <v>9</v>
      </c>
      <c r="EG8" s="173">
        <f t="shared" ref="EG8:EG97" si="4">EF8*B8</f>
        <v>2961</v>
      </c>
      <c r="EH8" s="174"/>
      <c r="EI8" s="104"/>
      <c r="EJ8" s="108"/>
      <c r="EK8" s="108"/>
      <c r="EL8" s="108"/>
      <c r="EM8" s="318">
        <v>1.0</v>
      </c>
      <c r="EN8" s="108"/>
      <c r="EO8" s="108"/>
      <c r="EP8" s="319"/>
      <c r="EQ8" s="319"/>
      <c r="ER8" s="319"/>
      <c r="ES8" s="319"/>
      <c r="ET8" s="319"/>
      <c r="EU8" s="319"/>
      <c r="EV8" s="319"/>
      <c r="EW8" s="319"/>
      <c r="EX8" s="319"/>
      <c r="EY8" s="319"/>
      <c r="EZ8" s="319"/>
      <c r="FA8" s="319"/>
      <c r="FB8" s="319"/>
      <c r="FC8" s="319"/>
      <c r="FD8" s="319"/>
      <c r="FE8" s="319"/>
      <c r="FF8" s="319"/>
      <c r="FG8" s="319"/>
      <c r="FH8" s="319"/>
      <c r="FI8" s="319"/>
      <c r="FJ8" s="319"/>
      <c r="FK8" s="319"/>
      <c r="FL8" s="319"/>
      <c r="FM8" s="319"/>
      <c r="FN8" s="319"/>
      <c r="FO8" s="319"/>
      <c r="FP8" s="188"/>
      <c r="FQ8" s="188"/>
      <c r="FR8" s="194">
        <v>1.0</v>
      </c>
      <c r="FS8" s="194"/>
      <c r="FT8" s="194"/>
      <c r="FU8" s="194"/>
      <c r="FV8" s="194"/>
      <c r="FW8" s="194"/>
      <c r="FX8" s="194">
        <v>1.0</v>
      </c>
      <c r="FY8" s="188"/>
      <c r="FZ8" s="194">
        <v>1.0</v>
      </c>
      <c r="GA8" s="188"/>
      <c r="GB8" s="188"/>
      <c r="GC8" s="188"/>
      <c r="GD8" s="188"/>
      <c r="GE8" s="188"/>
      <c r="GF8" s="188"/>
      <c r="GG8" s="188"/>
      <c r="GH8" s="200">
        <f t="shared" ref="GH8:GH101" si="5">sum(EI8:GG8)</f>
        <v>4</v>
      </c>
      <c r="GI8" s="173">
        <f>GH8*B8</f>
        <v>1316</v>
      </c>
      <c r="GJ8" s="174"/>
      <c r="GK8" s="191"/>
      <c r="GL8" s="181"/>
      <c r="GM8" s="181"/>
      <c r="GN8" s="181"/>
      <c r="GO8" s="181"/>
      <c r="GP8" s="181"/>
      <c r="GQ8" s="181"/>
      <c r="GR8" s="181"/>
      <c r="GS8" s="181"/>
      <c r="GT8" s="181"/>
      <c r="GU8" s="181"/>
      <c r="GV8" s="181"/>
      <c r="GW8" s="181"/>
      <c r="GX8" s="181"/>
      <c r="GY8" s="181"/>
      <c r="GZ8" s="181"/>
      <c r="HA8" s="181"/>
      <c r="HB8" s="316"/>
      <c r="HC8" s="316"/>
      <c r="HD8" s="181"/>
      <c r="HE8" s="181"/>
      <c r="HF8" s="181"/>
      <c r="HG8" s="320">
        <v>1.0</v>
      </c>
      <c r="HH8" s="181"/>
      <c r="HI8" s="181"/>
      <c r="HJ8" s="181"/>
      <c r="HK8" s="181"/>
      <c r="HL8" s="181"/>
      <c r="HM8" s="320">
        <v>1.0</v>
      </c>
      <c r="HN8" s="181"/>
      <c r="HO8" s="181"/>
      <c r="HP8" s="181"/>
      <c r="HQ8" s="320">
        <v>1.0</v>
      </c>
      <c r="HR8" s="181"/>
      <c r="HS8" s="181"/>
      <c r="HT8" s="320">
        <v>1.0</v>
      </c>
      <c r="HU8" s="181"/>
      <c r="HV8" s="181"/>
      <c r="HW8" s="181"/>
      <c r="HX8" s="181"/>
      <c r="HY8" s="181"/>
      <c r="HZ8" s="320">
        <v>1.0</v>
      </c>
      <c r="IA8" s="181"/>
      <c r="IB8" s="181"/>
      <c r="IC8" s="181"/>
      <c r="ID8" s="181"/>
      <c r="IE8" s="181"/>
      <c r="IF8" s="201"/>
      <c r="IG8" s="173"/>
      <c r="IH8" s="174"/>
      <c r="II8" s="317"/>
      <c r="IJ8" s="188"/>
      <c r="IK8" s="188"/>
      <c r="IL8" s="188"/>
      <c r="IM8" s="188"/>
      <c r="IN8" s="188"/>
      <c r="IO8" s="321">
        <v>1.0</v>
      </c>
      <c r="IP8" s="188"/>
      <c r="IQ8" s="188"/>
      <c r="IR8" s="188"/>
      <c r="IS8" s="188"/>
      <c r="IT8" s="188"/>
      <c r="IU8" s="188"/>
      <c r="IV8" s="188"/>
      <c r="IW8" s="188"/>
      <c r="IX8" s="188"/>
      <c r="IY8" s="188"/>
      <c r="IZ8" s="188"/>
      <c r="JA8" s="188"/>
      <c r="JB8" s="188"/>
      <c r="JC8" s="188"/>
      <c r="JD8" s="188"/>
      <c r="JE8" s="188"/>
      <c r="JF8" s="188"/>
      <c r="JG8" s="188"/>
      <c r="JH8" s="188"/>
      <c r="JI8" s="188"/>
      <c r="JJ8" s="188"/>
      <c r="JK8" s="188"/>
      <c r="JL8" s="188"/>
      <c r="JM8" s="188"/>
      <c r="JN8" s="188"/>
      <c r="JO8" s="188"/>
      <c r="JP8" s="188"/>
      <c r="JQ8" s="188"/>
      <c r="JR8" s="194">
        <v>1.0</v>
      </c>
      <c r="JS8" s="188"/>
      <c r="JT8" s="188"/>
      <c r="JU8" s="188"/>
      <c r="JV8" s="188"/>
      <c r="JW8" s="188"/>
      <c r="JX8" s="194">
        <v>2.0</v>
      </c>
      <c r="JY8" s="194"/>
      <c r="JZ8" s="188"/>
      <c r="KA8" s="188"/>
      <c r="KB8" s="188"/>
      <c r="KC8" s="172"/>
      <c r="KD8" s="173"/>
      <c r="KE8" s="174"/>
      <c r="KF8" s="174"/>
      <c r="KG8" s="174"/>
      <c r="KH8" s="174"/>
      <c r="KI8" s="174"/>
      <c r="KJ8" s="174"/>
      <c r="KK8" s="174"/>
      <c r="KL8" s="174"/>
      <c r="KM8" s="174"/>
      <c r="KN8" s="174"/>
      <c r="KO8" s="174"/>
      <c r="KP8" s="174"/>
      <c r="KQ8" s="174"/>
      <c r="KR8" s="174"/>
      <c r="KS8" s="174"/>
      <c r="KT8" s="174"/>
      <c r="KU8" s="174"/>
      <c r="KV8" s="174"/>
      <c r="KW8" s="174"/>
    </row>
    <row r="9" hidden="1">
      <c r="A9" s="101" t="s">
        <v>53</v>
      </c>
      <c r="B9" s="93">
        <v>329.0</v>
      </c>
      <c r="C9" s="89"/>
      <c r="D9" s="188"/>
      <c r="E9" s="188"/>
      <c r="F9" s="188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1"/>
      <c r="CD9" s="310"/>
      <c r="CE9" s="172">
        <f t="shared" si="1"/>
        <v>0</v>
      </c>
      <c r="CF9" s="173">
        <f t="shared" si="2"/>
        <v>0</v>
      </c>
      <c r="CH9" s="89"/>
      <c r="CI9" s="188"/>
      <c r="CJ9" s="188"/>
      <c r="CK9" s="188"/>
      <c r="CL9" s="171"/>
      <c r="CM9" s="171"/>
      <c r="CN9" s="171"/>
      <c r="CO9" s="171"/>
      <c r="CP9" s="171"/>
      <c r="CQ9" s="171"/>
      <c r="CR9" s="171"/>
      <c r="CS9" s="171"/>
      <c r="CT9" s="171"/>
      <c r="CU9" s="171"/>
      <c r="CV9" s="171"/>
      <c r="CW9" s="171"/>
      <c r="CX9" s="171"/>
      <c r="CY9" s="171"/>
      <c r="CZ9" s="171"/>
      <c r="DA9" s="171"/>
      <c r="DB9" s="171"/>
      <c r="DC9" s="171"/>
      <c r="DD9" s="171"/>
      <c r="DE9" s="171"/>
      <c r="DF9" s="171"/>
      <c r="DG9" s="171"/>
      <c r="DH9" s="171"/>
      <c r="DI9" s="171"/>
      <c r="DJ9" s="171"/>
      <c r="DK9" s="171"/>
      <c r="DL9" s="171"/>
      <c r="DM9" s="171"/>
      <c r="DN9" s="171"/>
      <c r="DO9" s="171"/>
      <c r="DP9" s="171"/>
      <c r="DQ9" s="171"/>
      <c r="DR9" s="171"/>
      <c r="DS9" s="171"/>
      <c r="DT9" s="171"/>
      <c r="DU9" s="171"/>
      <c r="DV9" s="171"/>
      <c r="DW9" s="171"/>
      <c r="DX9" s="171"/>
      <c r="DY9" s="171"/>
      <c r="DZ9" s="171"/>
      <c r="EA9" s="171"/>
      <c r="EB9" s="171"/>
      <c r="EC9" s="171"/>
      <c r="ED9" s="171"/>
      <c r="EE9" s="95"/>
      <c r="EF9" s="178">
        <f t="shared" si="3"/>
        <v>0</v>
      </c>
      <c r="EG9" s="173">
        <f t="shared" si="4"/>
        <v>0</v>
      </c>
      <c r="EH9" s="174"/>
      <c r="EI9" s="104"/>
      <c r="EJ9" s="108"/>
      <c r="EK9" s="108"/>
      <c r="EL9" s="108"/>
      <c r="EM9" s="108"/>
      <c r="EN9" s="108"/>
      <c r="EO9" s="108"/>
      <c r="EP9" s="319"/>
      <c r="EQ9" s="319"/>
      <c r="ER9" s="319"/>
      <c r="ES9" s="319"/>
      <c r="ET9" s="319"/>
      <c r="EU9" s="319"/>
      <c r="EV9" s="319"/>
      <c r="EW9" s="319"/>
      <c r="EX9" s="319"/>
      <c r="EY9" s="319"/>
      <c r="EZ9" s="319"/>
      <c r="FA9" s="319"/>
      <c r="FB9" s="319"/>
      <c r="FC9" s="319"/>
      <c r="FD9" s="319"/>
      <c r="FE9" s="319"/>
      <c r="FF9" s="319"/>
      <c r="FG9" s="319"/>
      <c r="FH9" s="319"/>
      <c r="FI9" s="319"/>
      <c r="FJ9" s="319"/>
      <c r="FK9" s="319"/>
      <c r="FL9" s="319"/>
      <c r="FM9" s="319"/>
      <c r="FN9" s="319"/>
      <c r="FO9" s="319"/>
      <c r="FP9" s="188"/>
      <c r="FQ9" s="188"/>
      <c r="FR9" s="188"/>
      <c r="FS9" s="188"/>
      <c r="FT9" s="188"/>
      <c r="FU9" s="188"/>
      <c r="FV9" s="188"/>
      <c r="FW9" s="188"/>
      <c r="FX9" s="188"/>
      <c r="FY9" s="188"/>
      <c r="FZ9" s="188"/>
      <c r="GA9" s="188"/>
      <c r="GB9" s="188"/>
      <c r="GC9" s="188"/>
      <c r="GD9" s="188"/>
      <c r="GE9" s="188"/>
      <c r="GF9" s="188"/>
      <c r="GG9" s="188"/>
      <c r="GH9" s="200">
        <f t="shared" si="5"/>
        <v>0</v>
      </c>
      <c r="GI9" s="173">
        <f>GH9*EA9</f>
        <v>0</v>
      </c>
      <c r="GJ9" s="174"/>
      <c r="GK9" s="191"/>
      <c r="GL9" s="181"/>
      <c r="GM9" s="181"/>
      <c r="GN9" s="181"/>
      <c r="GO9" s="181"/>
      <c r="GP9" s="181"/>
      <c r="GQ9" s="181"/>
      <c r="GR9" s="181"/>
      <c r="GS9" s="181"/>
      <c r="GT9" s="181"/>
      <c r="GU9" s="181"/>
      <c r="GV9" s="181"/>
      <c r="GW9" s="181"/>
      <c r="GX9" s="181"/>
      <c r="GY9" s="181"/>
      <c r="GZ9" s="181"/>
      <c r="HA9" s="181"/>
      <c r="HB9" s="316"/>
      <c r="HC9" s="316"/>
      <c r="HD9" s="181"/>
      <c r="HE9" s="181"/>
      <c r="HF9" s="181"/>
      <c r="HG9" s="181"/>
      <c r="HH9" s="181"/>
      <c r="HI9" s="181"/>
      <c r="HJ9" s="181"/>
      <c r="HK9" s="181"/>
      <c r="HL9" s="181"/>
      <c r="HM9" s="181"/>
      <c r="HN9" s="181"/>
      <c r="HO9" s="181"/>
      <c r="HP9" s="181"/>
      <c r="HQ9" s="181"/>
      <c r="HR9" s="181"/>
      <c r="HS9" s="181"/>
      <c r="HT9" s="181"/>
      <c r="HU9" s="181"/>
      <c r="HV9" s="181"/>
      <c r="HW9" s="181"/>
      <c r="HX9" s="181"/>
      <c r="HY9" s="181"/>
      <c r="HZ9" s="181"/>
      <c r="IA9" s="181"/>
      <c r="IB9" s="181"/>
      <c r="IC9" s="181"/>
      <c r="ID9" s="181"/>
      <c r="IE9" s="181"/>
      <c r="IF9" s="201"/>
      <c r="IG9" s="173"/>
      <c r="IH9" s="174"/>
      <c r="II9" s="317"/>
      <c r="IJ9" s="188"/>
      <c r="IK9" s="188"/>
      <c r="IL9" s="188"/>
      <c r="IM9" s="188"/>
      <c r="IN9" s="188"/>
      <c r="IO9" s="188"/>
      <c r="IP9" s="188"/>
      <c r="IQ9" s="188"/>
      <c r="IR9" s="188"/>
      <c r="IS9" s="188"/>
      <c r="IT9" s="188"/>
      <c r="IU9" s="188"/>
      <c r="IV9" s="188"/>
      <c r="IW9" s="188"/>
      <c r="IX9" s="188"/>
      <c r="IY9" s="188"/>
      <c r="IZ9" s="188"/>
      <c r="JA9" s="188"/>
      <c r="JB9" s="188"/>
      <c r="JC9" s="188"/>
      <c r="JD9" s="188"/>
      <c r="JE9" s="188"/>
      <c r="JF9" s="188"/>
      <c r="JG9" s="188"/>
      <c r="JH9" s="188"/>
      <c r="JI9" s="188"/>
      <c r="JJ9" s="188"/>
      <c r="JK9" s="188"/>
      <c r="JL9" s="188"/>
      <c r="JM9" s="188"/>
      <c r="JN9" s="188"/>
      <c r="JO9" s="188"/>
      <c r="JP9" s="188"/>
      <c r="JQ9" s="188"/>
      <c r="JR9" s="188"/>
      <c r="JS9" s="188"/>
      <c r="JT9" s="188"/>
      <c r="JU9" s="188"/>
      <c r="JV9" s="188"/>
      <c r="JW9" s="188"/>
      <c r="JX9" s="188"/>
      <c r="JY9" s="188"/>
      <c r="JZ9" s="188"/>
      <c r="KA9" s="188"/>
      <c r="KB9" s="188"/>
      <c r="KC9" s="172"/>
      <c r="KD9" s="173"/>
      <c r="KE9" s="174"/>
      <c r="KF9" s="174"/>
      <c r="KG9" s="174"/>
      <c r="KH9" s="174"/>
      <c r="KI9" s="174"/>
      <c r="KJ9" s="174"/>
      <c r="KK9" s="174"/>
      <c r="KL9" s="174"/>
      <c r="KM9" s="174"/>
      <c r="KN9" s="174"/>
      <c r="KO9" s="174"/>
      <c r="KP9" s="174"/>
      <c r="KQ9" s="174"/>
      <c r="KR9" s="174"/>
      <c r="KS9" s="174"/>
      <c r="KT9" s="174"/>
      <c r="KU9" s="174"/>
      <c r="KV9" s="174"/>
      <c r="KW9" s="174"/>
    </row>
    <row r="10">
      <c r="A10" s="101" t="s">
        <v>54</v>
      </c>
      <c r="B10" s="93">
        <v>329.0</v>
      </c>
      <c r="C10" s="210">
        <v>1.0</v>
      </c>
      <c r="D10" s="188"/>
      <c r="E10" s="188"/>
      <c r="F10" s="188"/>
      <c r="G10" s="171"/>
      <c r="H10" s="171"/>
      <c r="I10" s="195"/>
      <c r="J10" s="171"/>
      <c r="K10" s="171"/>
      <c r="L10" s="195"/>
      <c r="M10" s="204">
        <v>1.0</v>
      </c>
      <c r="N10" s="195"/>
      <c r="O10" s="195"/>
      <c r="P10" s="204">
        <v>2.0</v>
      </c>
      <c r="Q10" s="195"/>
      <c r="R10" s="195"/>
      <c r="S10" s="195"/>
      <c r="T10" s="195"/>
      <c r="U10" s="204">
        <v>1.0</v>
      </c>
      <c r="V10" s="195"/>
      <c r="W10" s="195"/>
      <c r="X10" s="195"/>
      <c r="Y10" s="195"/>
      <c r="Z10" s="195"/>
      <c r="AA10" s="204">
        <v>1.0</v>
      </c>
      <c r="AB10" s="195"/>
      <c r="AC10" s="204">
        <v>1.0</v>
      </c>
      <c r="AD10" s="204">
        <v>1.0</v>
      </c>
      <c r="AE10" s="204">
        <v>1.0</v>
      </c>
      <c r="AF10" s="195"/>
      <c r="AG10" s="204">
        <v>1.0</v>
      </c>
      <c r="AH10" s="204">
        <v>1.0</v>
      </c>
      <c r="AI10" s="204">
        <v>1.0</v>
      </c>
      <c r="AJ10" s="204">
        <v>1.0</v>
      </c>
      <c r="AK10" s="195"/>
      <c r="AL10" s="204">
        <v>1.0</v>
      </c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204">
        <v>1.0</v>
      </c>
      <c r="BL10" s="195"/>
      <c r="BM10" s="195"/>
      <c r="BN10" s="195"/>
      <c r="BO10" s="195"/>
      <c r="BP10" s="204">
        <v>1.0</v>
      </c>
      <c r="BQ10" s="195"/>
      <c r="BR10" s="204">
        <v>1.0</v>
      </c>
      <c r="BS10" s="204">
        <v>1.0</v>
      </c>
      <c r="BT10" s="195"/>
      <c r="BU10" s="195"/>
      <c r="BV10" s="195"/>
      <c r="BW10" s="195"/>
      <c r="BX10" s="195"/>
      <c r="BY10" s="195"/>
      <c r="BZ10" s="204">
        <v>4.0</v>
      </c>
      <c r="CA10" s="195"/>
      <c r="CB10" s="195"/>
      <c r="CC10" s="195"/>
      <c r="CD10" s="310"/>
      <c r="CE10" s="172">
        <f t="shared" si="1"/>
        <v>22</v>
      </c>
      <c r="CF10" s="173">
        <f t="shared" si="2"/>
        <v>7238</v>
      </c>
      <c r="CH10" s="89"/>
      <c r="CI10" s="194">
        <v>1.0</v>
      </c>
      <c r="CJ10" s="194">
        <v>1.0</v>
      </c>
      <c r="CK10" s="188"/>
      <c r="CL10" s="171"/>
      <c r="CM10" s="171"/>
      <c r="CN10" s="195"/>
      <c r="CO10" s="171"/>
      <c r="CP10" s="171"/>
      <c r="CQ10" s="195"/>
      <c r="CR10" s="195"/>
      <c r="CS10" s="195"/>
      <c r="CT10" s="195"/>
      <c r="CU10" s="195"/>
      <c r="CV10" s="195"/>
      <c r="CW10" s="195"/>
      <c r="CX10" s="195"/>
      <c r="CY10" s="195"/>
      <c r="CZ10" s="195"/>
      <c r="DA10" s="195"/>
      <c r="DB10" s="195"/>
      <c r="DC10" s="195"/>
      <c r="DD10" s="195"/>
      <c r="DE10" s="195"/>
      <c r="DF10" s="195"/>
      <c r="DG10" s="195"/>
      <c r="DH10" s="195"/>
      <c r="DI10" s="204">
        <v>1.0</v>
      </c>
      <c r="DJ10" s="195"/>
      <c r="DK10" s="204">
        <v>1.0</v>
      </c>
      <c r="DL10" s="195"/>
      <c r="DM10" s="195"/>
      <c r="DN10" s="195"/>
      <c r="DO10" s="195"/>
      <c r="DP10" s="195"/>
      <c r="DQ10" s="195"/>
      <c r="DR10" s="195"/>
      <c r="DS10" s="195"/>
      <c r="DT10" s="195"/>
      <c r="DU10" s="195"/>
      <c r="DV10" s="195"/>
      <c r="DW10" s="195"/>
      <c r="DX10" s="195"/>
      <c r="DY10" s="195"/>
      <c r="DZ10" s="195"/>
      <c r="EA10" s="195"/>
      <c r="EB10" s="195"/>
      <c r="EC10" s="195"/>
      <c r="ED10" s="171"/>
      <c r="EE10" s="95"/>
      <c r="EF10" s="178">
        <f t="shared" si="3"/>
        <v>4</v>
      </c>
      <c r="EG10" s="173">
        <f t="shared" si="4"/>
        <v>1316</v>
      </c>
      <c r="EH10" s="174"/>
      <c r="EI10" s="104"/>
      <c r="EJ10" s="108"/>
      <c r="EK10" s="108"/>
      <c r="EL10" s="108"/>
      <c r="EM10" s="108"/>
      <c r="EN10" s="108"/>
      <c r="EO10" s="108"/>
      <c r="EP10" s="322">
        <v>1.0</v>
      </c>
      <c r="EQ10" s="322">
        <v>1.0</v>
      </c>
      <c r="ER10" s="319"/>
      <c r="ES10" s="319"/>
      <c r="ET10" s="319"/>
      <c r="EU10" s="319"/>
      <c r="EV10" s="319"/>
      <c r="EW10" s="319"/>
      <c r="EX10" s="319"/>
      <c r="EY10" s="319"/>
      <c r="EZ10" s="319"/>
      <c r="FA10" s="319"/>
      <c r="FB10" s="319"/>
      <c r="FC10" s="319"/>
      <c r="FD10" s="322">
        <v>1.0</v>
      </c>
      <c r="FE10" s="319"/>
      <c r="FF10" s="319"/>
      <c r="FG10" s="319"/>
      <c r="FH10" s="319"/>
      <c r="FI10" s="322">
        <v>1.0</v>
      </c>
      <c r="FJ10" s="322"/>
      <c r="FK10" s="319"/>
      <c r="FL10" s="319"/>
      <c r="FM10" s="319"/>
      <c r="FN10" s="319"/>
      <c r="FO10" s="319"/>
      <c r="FP10" s="194">
        <v>1.0</v>
      </c>
      <c r="FQ10" s="188"/>
      <c r="FR10" s="188"/>
      <c r="FS10" s="188"/>
      <c r="FT10" s="188"/>
      <c r="FU10" s="188"/>
      <c r="FV10" s="188"/>
      <c r="FW10" s="188"/>
      <c r="FX10" s="188"/>
      <c r="FY10" s="188"/>
      <c r="FZ10" s="188"/>
      <c r="GA10" s="188"/>
      <c r="GB10" s="188"/>
      <c r="GC10" s="188"/>
      <c r="GD10" s="188"/>
      <c r="GE10" s="188"/>
      <c r="GF10" s="188"/>
      <c r="GG10" s="188"/>
      <c r="GH10" s="200">
        <f t="shared" si="5"/>
        <v>5</v>
      </c>
      <c r="GI10" s="173">
        <f t="shared" ref="GI10:GI100" si="6">GH10*B10</f>
        <v>1645</v>
      </c>
      <c r="GJ10" s="174"/>
      <c r="GK10" s="191"/>
      <c r="GL10" s="181"/>
      <c r="GM10" s="181"/>
      <c r="GN10" s="181"/>
      <c r="GO10" s="181"/>
      <c r="GP10" s="181"/>
      <c r="GQ10" s="181"/>
      <c r="GR10" s="181"/>
      <c r="GS10" s="181"/>
      <c r="GT10" s="181"/>
      <c r="GU10" s="320">
        <v>1.0</v>
      </c>
      <c r="GV10" s="181"/>
      <c r="GW10" s="181"/>
      <c r="GX10" s="181"/>
      <c r="GY10" s="181"/>
      <c r="GZ10" s="181"/>
      <c r="HA10" s="181"/>
      <c r="HB10" s="316"/>
      <c r="HC10" s="316"/>
      <c r="HD10" s="181"/>
      <c r="HE10" s="181"/>
      <c r="HF10" s="181"/>
      <c r="HG10" s="181"/>
      <c r="HH10" s="320">
        <v>1.0</v>
      </c>
      <c r="HI10" s="181"/>
      <c r="HJ10" s="181"/>
      <c r="HK10" s="181"/>
      <c r="HL10" s="181"/>
      <c r="HM10" s="320">
        <v>1.0</v>
      </c>
      <c r="HN10" s="181"/>
      <c r="HO10" s="181"/>
      <c r="HP10" s="181"/>
      <c r="HQ10" s="181"/>
      <c r="HR10" s="181"/>
      <c r="HS10" s="181"/>
      <c r="HT10" s="320">
        <v>1.0</v>
      </c>
      <c r="HU10" s="181"/>
      <c r="HV10" s="181"/>
      <c r="HW10" s="181"/>
      <c r="HX10" s="181"/>
      <c r="HY10" s="181"/>
      <c r="HZ10" s="181"/>
      <c r="IA10" s="181"/>
      <c r="IB10" s="181"/>
      <c r="IC10" s="181"/>
      <c r="ID10" s="181"/>
      <c r="IE10" s="181"/>
      <c r="IF10" s="201"/>
      <c r="IG10" s="173"/>
      <c r="IH10" s="174"/>
      <c r="II10" s="323">
        <v>1.0</v>
      </c>
      <c r="IJ10" s="188"/>
      <c r="IK10" s="188"/>
      <c r="IL10" s="188"/>
      <c r="IM10" s="188"/>
      <c r="IN10" s="188"/>
      <c r="IO10" s="188"/>
      <c r="IP10" s="188"/>
      <c r="IQ10" s="188"/>
      <c r="IR10" s="188"/>
      <c r="IS10" s="188"/>
      <c r="IT10" s="188"/>
      <c r="IU10" s="188"/>
      <c r="IV10" s="188"/>
      <c r="IW10" s="188"/>
      <c r="IX10" s="188"/>
      <c r="IY10" s="321">
        <v>1.0</v>
      </c>
      <c r="IZ10" s="188"/>
      <c r="JA10" s="321">
        <v>1.0</v>
      </c>
      <c r="JB10" s="188"/>
      <c r="JC10" s="188"/>
      <c r="JD10" s="188"/>
      <c r="JE10" s="188"/>
      <c r="JF10" s="188"/>
      <c r="JG10" s="188"/>
      <c r="JH10" s="321">
        <v>1.0</v>
      </c>
      <c r="JI10" s="188"/>
      <c r="JJ10" s="321">
        <v>2.0</v>
      </c>
      <c r="JK10" s="188"/>
      <c r="JL10" s="194">
        <v>1.0</v>
      </c>
      <c r="JM10" s="188"/>
      <c r="JN10" s="188"/>
      <c r="JO10" s="194">
        <v>1.0</v>
      </c>
      <c r="JP10" s="188"/>
      <c r="JQ10" s="188"/>
      <c r="JR10" s="188"/>
      <c r="JS10" s="188"/>
      <c r="JT10" s="188"/>
      <c r="JU10" s="188"/>
      <c r="JV10" s="188"/>
      <c r="JW10" s="194">
        <v>1.0</v>
      </c>
      <c r="JX10" s="188"/>
      <c r="JY10" s="188"/>
      <c r="JZ10" s="194">
        <v>1.0</v>
      </c>
      <c r="KA10" s="188"/>
      <c r="KB10" s="188"/>
      <c r="KC10" s="172"/>
      <c r="KD10" s="173"/>
      <c r="KE10" s="174"/>
      <c r="KF10" s="174"/>
      <c r="KG10" s="174"/>
      <c r="KH10" s="174"/>
      <c r="KI10" s="174"/>
      <c r="KJ10" s="174"/>
      <c r="KK10" s="174"/>
      <c r="KL10" s="174"/>
      <c r="KM10" s="174"/>
      <c r="KN10" s="174"/>
      <c r="KO10" s="174"/>
      <c r="KP10" s="174"/>
      <c r="KQ10" s="174"/>
      <c r="KR10" s="174"/>
      <c r="KS10" s="174"/>
      <c r="KT10" s="174"/>
      <c r="KU10" s="174"/>
      <c r="KV10" s="174"/>
      <c r="KW10" s="174"/>
    </row>
    <row r="11">
      <c r="A11" s="101" t="s">
        <v>55</v>
      </c>
      <c r="B11" s="93">
        <v>329.0</v>
      </c>
      <c r="C11" s="210">
        <v>1.0</v>
      </c>
      <c r="D11" s="188"/>
      <c r="E11" s="188"/>
      <c r="F11" s="188"/>
      <c r="G11" s="171"/>
      <c r="H11" s="171"/>
      <c r="I11" s="195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310"/>
      <c r="CE11" s="172">
        <f t="shared" si="1"/>
        <v>1</v>
      </c>
      <c r="CF11" s="173">
        <f t="shared" si="2"/>
        <v>329</v>
      </c>
      <c r="CH11" s="89"/>
      <c r="CI11" s="188"/>
      <c r="CJ11" s="188"/>
      <c r="CK11" s="188"/>
      <c r="CL11" s="171"/>
      <c r="CM11" s="171"/>
      <c r="CN11" s="195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1"/>
      <c r="DP11" s="171"/>
      <c r="DQ11" s="171"/>
      <c r="DR11" s="171"/>
      <c r="DS11" s="196">
        <v>1.0</v>
      </c>
      <c r="DT11" s="171"/>
      <c r="DU11" s="171"/>
      <c r="DV11" s="171"/>
      <c r="DW11" s="171"/>
      <c r="DX11" s="171"/>
      <c r="DY11" s="171"/>
      <c r="DZ11" s="171"/>
      <c r="EA11" s="171"/>
      <c r="EB11" s="171"/>
      <c r="EC11" s="171"/>
      <c r="ED11" s="171"/>
      <c r="EE11" s="95"/>
      <c r="EF11" s="178">
        <f t="shared" si="3"/>
        <v>1</v>
      </c>
      <c r="EG11" s="173">
        <f t="shared" si="4"/>
        <v>329</v>
      </c>
      <c r="EH11" s="174"/>
      <c r="EI11" s="104"/>
      <c r="EJ11" s="108"/>
      <c r="EK11" s="108"/>
      <c r="EL11" s="108"/>
      <c r="EM11" s="108"/>
      <c r="EN11" s="108"/>
      <c r="EO11" s="108"/>
      <c r="EP11" s="319"/>
      <c r="EQ11" s="319"/>
      <c r="ER11" s="322">
        <v>1.0</v>
      </c>
      <c r="ES11" s="322">
        <v>1.0</v>
      </c>
      <c r="ET11" s="322">
        <v>1.0</v>
      </c>
      <c r="EU11" s="322">
        <v>1.0</v>
      </c>
      <c r="EV11" s="319"/>
      <c r="EW11" s="319"/>
      <c r="EX11" s="319"/>
      <c r="EY11" s="319"/>
      <c r="EZ11" s="319"/>
      <c r="FA11" s="319"/>
      <c r="FB11" s="319"/>
      <c r="FC11" s="319"/>
      <c r="FD11" s="319"/>
      <c r="FE11" s="319"/>
      <c r="FF11" s="319"/>
      <c r="FG11" s="319"/>
      <c r="FH11" s="319"/>
      <c r="FI11" s="319"/>
      <c r="FJ11" s="319"/>
      <c r="FK11" s="319"/>
      <c r="FL11" s="319"/>
      <c r="FM11" s="319"/>
      <c r="FN11" s="319"/>
      <c r="FO11" s="319"/>
      <c r="FP11" s="194"/>
      <c r="FQ11" s="194"/>
      <c r="FR11" s="194"/>
      <c r="FS11" s="194"/>
      <c r="FT11" s="194">
        <v>2.0</v>
      </c>
      <c r="FU11" s="194"/>
      <c r="FV11" s="194">
        <v>1.0</v>
      </c>
      <c r="FW11" s="194"/>
      <c r="FX11" s="194">
        <v>1.0</v>
      </c>
      <c r="FY11" s="194"/>
      <c r="FZ11" s="194"/>
      <c r="GA11" s="194"/>
      <c r="GB11" s="194"/>
      <c r="GC11" s="194"/>
      <c r="GD11" s="194"/>
      <c r="GE11" s="194"/>
      <c r="GF11" s="194"/>
      <c r="GG11" s="188"/>
      <c r="GH11" s="200">
        <f t="shared" si="5"/>
        <v>8</v>
      </c>
      <c r="GI11" s="173">
        <f t="shared" si="6"/>
        <v>2632</v>
      </c>
      <c r="GJ11" s="174"/>
      <c r="GK11" s="191"/>
      <c r="GL11" s="206"/>
      <c r="GM11" s="181"/>
      <c r="GN11" s="181"/>
      <c r="GO11" s="181"/>
      <c r="GP11" s="320">
        <v>1.0</v>
      </c>
      <c r="GQ11" s="181"/>
      <c r="GR11" s="181"/>
      <c r="GS11" s="181"/>
      <c r="GT11" s="181"/>
      <c r="GU11" s="181"/>
      <c r="GV11" s="320">
        <v>1.0</v>
      </c>
      <c r="GW11" s="181"/>
      <c r="GX11" s="181"/>
      <c r="GY11" s="181"/>
      <c r="GZ11" s="181"/>
      <c r="HA11" s="181"/>
      <c r="HB11" s="316"/>
      <c r="HC11" s="316"/>
      <c r="HD11" s="181"/>
      <c r="HE11" s="181"/>
      <c r="HF11" s="181"/>
      <c r="HG11" s="181"/>
      <c r="HH11" s="181"/>
      <c r="HI11" s="181"/>
      <c r="HJ11" s="181"/>
      <c r="HK11" s="320">
        <v>1.0</v>
      </c>
      <c r="HL11" s="181"/>
      <c r="HM11" s="181"/>
      <c r="HN11" s="181"/>
      <c r="HO11" s="181"/>
      <c r="HP11" s="181"/>
      <c r="HQ11" s="181"/>
      <c r="HR11" s="181"/>
      <c r="HS11" s="181"/>
      <c r="HT11" s="181"/>
      <c r="HU11" s="181"/>
      <c r="HV11" s="181"/>
      <c r="HW11" s="181"/>
      <c r="HX11" s="181"/>
      <c r="HY11" s="181"/>
      <c r="HZ11" s="320">
        <v>1.0</v>
      </c>
      <c r="IA11" s="181"/>
      <c r="IB11" s="181"/>
      <c r="IC11" s="181"/>
      <c r="ID11" s="181"/>
      <c r="IE11" s="181"/>
      <c r="IF11" s="201"/>
      <c r="IG11" s="173"/>
      <c r="IH11" s="174"/>
      <c r="II11" s="317"/>
      <c r="IJ11" s="188"/>
      <c r="IK11" s="188"/>
      <c r="IL11" s="188"/>
      <c r="IM11" s="188"/>
      <c r="IN11" s="188"/>
      <c r="IO11" s="188"/>
      <c r="IP11" s="188"/>
      <c r="IQ11" s="188"/>
      <c r="IR11" s="188"/>
      <c r="IS11" s="188"/>
      <c r="IT11" s="188"/>
      <c r="IU11" s="188"/>
      <c r="IV11" s="188"/>
      <c r="IW11" s="188"/>
      <c r="IX11" s="188"/>
      <c r="IY11" s="188"/>
      <c r="IZ11" s="188"/>
      <c r="JA11" s="188"/>
      <c r="JB11" s="188"/>
      <c r="JC11" s="188"/>
      <c r="JD11" s="188"/>
      <c r="JE11" s="188"/>
      <c r="JF11" s="188"/>
      <c r="JG11" s="188"/>
      <c r="JH11" s="188"/>
      <c r="JI11" s="188"/>
      <c r="JJ11" s="188"/>
      <c r="JK11" s="188"/>
      <c r="JL11" s="188"/>
      <c r="JM11" s="194">
        <v>2.0</v>
      </c>
      <c r="JN11" s="188"/>
      <c r="JO11" s="188"/>
      <c r="JP11" s="188"/>
      <c r="JQ11" s="188"/>
      <c r="JR11" s="188"/>
      <c r="JS11" s="188"/>
      <c r="JT11" s="188"/>
      <c r="JU11" s="194">
        <v>1.0</v>
      </c>
      <c r="JV11" s="188"/>
      <c r="JW11" s="188"/>
      <c r="JX11" s="188"/>
      <c r="JY11" s="188"/>
      <c r="JZ11" s="188"/>
      <c r="KA11" s="188"/>
      <c r="KB11" s="188"/>
      <c r="KC11" s="172"/>
      <c r="KD11" s="173"/>
      <c r="KE11" s="174"/>
      <c r="KF11" s="174"/>
      <c r="KG11" s="174"/>
      <c r="KH11" s="174"/>
      <c r="KI11" s="174"/>
      <c r="KJ11" s="174"/>
      <c r="KK11" s="174"/>
      <c r="KL11" s="174"/>
      <c r="KM11" s="174"/>
      <c r="KN11" s="174"/>
      <c r="KO11" s="174"/>
      <c r="KP11" s="174"/>
      <c r="KQ11" s="174"/>
      <c r="KR11" s="174"/>
      <c r="KS11" s="174"/>
      <c r="KT11" s="174"/>
      <c r="KU11" s="174"/>
      <c r="KV11" s="174"/>
      <c r="KW11" s="174"/>
    </row>
    <row r="12">
      <c r="A12" s="101" t="s">
        <v>56</v>
      </c>
      <c r="B12" s="93">
        <v>329.0</v>
      </c>
      <c r="C12" s="210">
        <v>1.0</v>
      </c>
      <c r="D12" s="188"/>
      <c r="E12" s="188"/>
      <c r="F12" s="188"/>
      <c r="G12" s="171"/>
      <c r="H12" s="171"/>
      <c r="I12" s="204">
        <v>1.0</v>
      </c>
      <c r="J12" s="171"/>
      <c r="K12" s="171"/>
      <c r="L12" s="171"/>
      <c r="M12" s="171"/>
      <c r="N12" s="171"/>
      <c r="O12" s="196">
        <v>1.0</v>
      </c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96">
        <v>1.0</v>
      </c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96">
        <v>1.0</v>
      </c>
      <c r="AU12" s="171"/>
      <c r="AV12" s="171"/>
      <c r="AW12" s="171"/>
      <c r="AX12" s="171"/>
      <c r="AY12" s="196">
        <v>1.0</v>
      </c>
      <c r="AZ12" s="171"/>
      <c r="BA12" s="171"/>
      <c r="BB12" s="171"/>
      <c r="BC12" s="171"/>
      <c r="BD12" s="171"/>
      <c r="BE12" s="171"/>
      <c r="BF12" s="171"/>
      <c r="BG12" s="171"/>
      <c r="BH12" s="171"/>
      <c r="BI12" s="196">
        <v>1.0</v>
      </c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96">
        <v>1.0</v>
      </c>
      <c r="BU12" s="171"/>
      <c r="BV12" s="171"/>
      <c r="BW12" s="196">
        <v>1.0</v>
      </c>
      <c r="BX12" s="196">
        <v>1.0</v>
      </c>
      <c r="BY12" s="171"/>
      <c r="BZ12" s="171"/>
      <c r="CA12" s="171"/>
      <c r="CB12" s="171"/>
      <c r="CC12" s="196">
        <v>1.0</v>
      </c>
      <c r="CD12" s="310"/>
      <c r="CE12" s="172">
        <f t="shared" si="1"/>
        <v>11</v>
      </c>
      <c r="CF12" s="173">
        <f t="shared" si="2"/>
        <v>3619</v>
      </c>
      <c r="CH12" s="89"/>
      <c r="CI12" s="194">
        <v>1.0</v>
      </c>
      <c r="CJ12" s="188"/>
      <c r="CK12" s="194">
        <v>1.0</v>
      </c>
      <c r="CL12" s="196">
        <v>1.0</v>
      </c>
      <c r="CM12" s="171"/>
      <c r="CN12" s="195"/>
      <c r="CO12" s="171"/>
      <c r="CP12" s="196">
        <v>1.0</v>
      </c>
      <c r="CQ12" s="196">
        <v>1.0</v>
      </c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1"/>
      <c r="DQ12" s="171"/>
      <c r="DR12" s="171"/>
      <c r="DS12" s="171"/>
      <c r="DT12" s="171"/>
      <c r="DU12" s="171"/>
      <c r="DV12" s="171"/>
      <c r="DW12" s="171"/>
      <c r="DX12" s="171"/>
      <c r="DY12" s="171"/>
      <c r="DZ12" s="196">
        <v>1.0</v>
      </c>
      <c r="EA12" s="171"/>
      <c r="EB12" s="171"/>
      <c r="EC12" s="196">
        <v>1.0</v>
      </c>
      <c r="ED12" s="171"/>
      <c r="EE12" s="95"/>
      <c r="EF12" s="178">
        <f t="shared" si="3"/>
        <v>7</v>
      </c>
      <c r="EG12" s="173">
        <f t="shared" si="4"/>
        <v>2303</v>
      </c>
      <c r="EH12" s="174"/>
      <c r="EI12" s="104"/>
      <c r="EJ12" s="108"/>
      <c r="EK12" s="108"/>
      <c r="EL12" s="108"/>
      <c r="EM12" s="108"/>
      <c r="EN12" s="108"/>
      <c r="EO12" s="108"/>
      <c r="EP12" s="319"/>
      <c r="EQ12" s="319"/>
      <c r="ER12" s="322">
        <v>1.0</v>
      </c>
      <c r="ES12" s="319"/>
      <c r="ET12" s="322">
        <v>1.0</v>
      </c>
      <c r="EU12" s="319"/>
      <c r="EV12" s="319"/>
      <c r="EW12" s="319"/>
      <c r="EX12" s="319"/>
      <c r="EY12" s="319"/>
      <c r="EZ12" s="319"/>
      <c r="FA12" s="319"/>
      <c r="FB12" s="319"/>
      <c r="FC12" s="319"/>
      <c r="FD12" s="319"/>
      <c r="FE12" s="319"/>
      <c r="FF12" s="319"/>
      <c r="FG12" s="319"/>
      <c r="FH12" s="319"/>
      <c r="FI12" s="319"/>
      <c r="FJ12" s="319"/>
      <c r="FK12" s="319"/>
      <c r="FL12" s="322">
        <v>2.0</v>
      </c>
      <c r="FM12" s="322"/>
      <c r="FN12" s="319"/>
      <c r="FO12" s="319"/>
      <c r="FP12" s="194"/>
      <c r="FQ12" s="194"/>
      <c r="FR12" s="194"/>
      <c r="FS12" s="194"/>
      <c r="FT12" s="194"/>
      <c r="FU12" s="194"/>
      <c r="FV12" s="194"/>
      <c r="FW12" s="194"/>
      <c r="FX12" s="194">
        <v>1.0</v>
      </c>
      <c r="FY12" s="194"/>
      <c r="FZ12" s="194"/>
      <c r="GA12" s="194"/>
      <c r="GB12" s="194"/>
      <c r="GC12" s="194">
        <v>1.0</v>
      </c>
      <c r="GD12" s="194"/>
      <c r="GE12" s="194"/>
      <c r="GF12" s="194"/>
      <c r="GG12" s="188"/>
      <c r="GH12" s="200">
        <f t="shared" si="5"/>
        <v>6</v>
      </c>
      <c r="GI12" s="173">
        <f t="shared" si="6"/>
        <v>1974</v>
      </c>
      <c r="GJ12" s="174"/>
      <c r="GK12" s="191"/>
      <c r="GL12" s="181"/>
      <c r="GM12" s="181"/>
      <c r="GN12" s="181"/>
      <c r="GO12" s="181"/>
      <c r="GP12" s="320">
        <v>1.0</v>
      </c>
      <c r="GQ12" s="320">
        <v>1.0</v>
      </c>
      <c r="GR12" s="181"/>
      <c r="GS12" s="320">
        <v>1.0</v>
      </c>
      <c r="GT12" s="181"/>
      <c r="GU12" s="181"/>
      <c r="GV12" s="181"/>
      <c r="GW12" s="181"/>
      <c r="GX12" s="181"/>
      <c r="GY12" s="181"/>
      <c r="GZ12" s="181"/>
      <c r="HA12" s="181"/>
      <c r="HB12" s="316"/>
      <c r="HC12" s="316"/>
      <c r="HD12" s="181"/>
      <c r="HE12" s="181"/>
      <c r="HF12" s="181"/>
      <c r="HG12" s="181"/>
      <c r="HH12" s="181"/>
      <c r="HI12" s="181"/>
      <c r="HJ12" s="181"/>
      <c r="HK12" s="181"/>
      <c r="HL12" s="181"/>
      <c r="HM12" s="181"/>
      <c r="HN12" s="181"/>
      <c r="HO12" s="181"/>
      <c r="HP12" s="181"/>
      <c r="HQ12" s="181"/>
      <c r="HR12" s="320">
        <v>1.0</v>
      </c>
      <c r="HS12" s="320"/>
      <c r="HT12" s="181"/>
      <c r="HU12" s="320">
        <v>2.0</v>
      </c>
      <c r="HV12" s="181"/>
      <c r="HW12" s="181"/>
      <c r="HX12" s="181"/>
      <c r="HY12" s="181"/>
      <c r="HZ12" s="181"/>
      <c r="IA12" s="181"/>
      <c r="IB12" s="181"/>
      <c r="IC12" s="181"/>
      <c r="ID12" s="181"/>
      <c r="IE12" s="181"/>
      <c r="IF12" s="201"/>
      <c r="IG12" s="173"/>
      <c r="IH12" s="174"/>
      <c r="II12" s="323">
        <v>1.0</v>
      </c>
      <c r="IJ12" s="188"/>
      <c r="IK12" s="188"/>
      <c r="IL12" s="188"/>
      <c r="IM12" s="188"/>
      <c r="IN12" s="188"/>
      <c r="IO12" s="188"/>
      <c r="IP12" s="188"/>
      <c r="IQ12" s="188"/>
      <c r="IR12" s="321">
        <v>1.0</v>
      </c>
      <c r="IS12" s="188"/>
      <c r="IT12" s="188"/>
      <c r="IU12" s="321">
        <v>1.0</v>
      </c>
      <c r="IV12" s="188"/>
      <c r="IW12" s="321">
        <v>1.0</v>
      </c>
      <c r="IX12" s="188"/>
      <c r="IY12" s="188"/>
      <c r="IZ12" s="188"/>
      <c r="JA12" s="188"/>
      <c r="JB12" s="188"/>
      <c r="JC12" s="321">
        <v>1.0</v>
      </c>
      <c r="JD12" s="188"/>
      <c r="JE12" s="188"/>
      <c r="JF12" s="188"/>
      <c r="JG12" s="321">
        <v>1.0</v>
      </c>
      <c r="JH12" s="188"/>
      <c r="JI12" s="188"/>
      <c r="JJ12" s="188"/>
      <c r="JK12" s="188"/>
      <c r="JL12" s="188"/>
      <c r="JM12" s="188"/>
      <c r="JN12" s="194">
        <v>1.0</v>
      </c>
      <c r="JO12" s="194">
        <v>1.0</v>
      </c>
      <c r="JP12" s="188"/>
      <c r="JQ12" s="188"/>
      <c r="JR12" s="188"/>
      <c r="JS12" s="188"/>
      <c r="JT12" s="188"/>
      <c r="JU12" s="188"/>
      <c r="JV12" s="188"/>
      <c r="JW12" s="188"/>
      <c r="JX12" s="188"/>
      <c r="JY12" s="188"/>
      <c r="JZ12" s="188"/>
      <c r="KA12" s="188"/>
      <c r="KB12" s="188"/>
      <c r="KC12" s="172"/>
      <c r="KD12" s="173"/>
      <c r="KE12" s="174"/>
      <c r="KF12" s="174"/>
      <c r="KG12" s="174"/>
      <c r="KH12" s="174"/>
      <c r="KI12" s="174"/>
      <c r="KJ12" s="174"/>
      <c r="KK12" s="174"/>
      <c r="KL12" s="174"/>
      <c r="KM12" s="174"/>
      <c r="KN12" s="174"/>
      <c r="KO12" s="174"/>
      <c r="KP12" s="174"/>
      <c r="KQ12" s="174"/>
      <c r="KR12" s="174"/>
      <c r="KS12" s="174"/>
      <c r="KT12" s="174"/>
      <c r="KU12" s="174"/>
      <c r="KV12" s="174"/>
      <c r="KW12" s="174"/>
    </row>
    <row r="13">
      <c r="A13" s="101" t="s">
        <v>57</v>
      </c>
      <c r="B13" s="93">
        <v>329.0</v>
      </c>
      <c r="C13" s="89"/>
      <c r="D13" s="188"/>
      <c r="E13" s="188"/>
      <c r="F13" s="188"/>
      <c r="G13" s="196">
        <v>1.0</v>
      </c>
      <c r="H13" s="171"/>
      <c r="I13" s="195"/>
      <c r="J13" s="171"/>
      <c r="K13" s="195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96">
        <v>1.0</v>
      </c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96">
        <v>1.0</v>
      </c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310"/>
      <c r="CE13" s="172">
        <f t="shared" si="1"/>
        <v>3</v>
      </c>
      <c r="CF13" s="173">
        <f t="shared" si="2"/>
        <v>987</v>
      </c>
      <c r="CH13" s="89"/>
      <c r="CI13" s="188"/>
      <c r="CJ13" s="188"/>
      <c r="CK13" s="188"/>
      <c r="CL13" s="171"/>
      <c r="CM13" s="171"/>
      <c r="CN13" s="195"/>
      <c r="CO13" s="171"/>
      <c r="CP13" s="195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1"/>
      <c r="DP13" s="171"/>
      <c r="DQ13" s="171"/>
      <c r="DR13" s="171"/>
      <c r="DS13" s="171"/>
      <c r="DT13" s="171"/>
      <c r="DU13" s="171"/>
      <c r="DV13" s="171"/>
      <c r="DW13" s="171"/>
      <c r="DX13" s="171"/>
      <c r="DY13" s="171"/>
      <c r="DZ13" s="171"/>
      <c r="EA13" s="171"/>
      <c r="EB13" s="171"/>
      <c r="EC13" s="171"/>
      <c r="ED13" s="171"/>
      <c r="EE13" s="95"/>
      <c r="EF13" s="178">
        <f t="shared" si="3"/>
        <v>0</v>
      </c>
      <c r="EG13" s="173">
        <f t="shared" si="4"/>
        <v>0</v>
      </c>
      <c r="EH13" s="174"/>
      <c r="EI13" s="104"/>
      <c r="EJ13" s="108"/>
      <c r="EK13" s="108"/>
      <c r="EL13" s="108"/>
      <c r="EM13" s="108"/>
      <c r="EN13" s="108"/>
      <c r="EO13" s="108"/>
      <c r="EP13" s="319"/>
      <c r="EQ13" s="319"/>
      <c r="ER13" s="319"/>
      <c r="ES13" s="319"/>
      <c r="ET13" s="319"/>
      <c r="EU13" s="319"/>
      <c r="EV13" s="319"/>
      <c r="EW13" s="319"/>
      <c r="EX13" s="319"/>
      <c r="EY13" s="319"/>
      <c r="EZ13" s="322">
        <v>1.0</v>
      </c>
      <c r="FA13" s="319"/>
      <c r="FB13" s="319"/>
      <c r="FC13" s="319"/>
      <c r="FD13" s="319"/>
      <c r="FE13" s="319"/>
      <c r="FF13" s="319"/>
      <c r="FG13" s="319"/>
      <c r="FH13" s="319"/>
      <c r="FI13" s="319"/>
      <c r="FJ13" s="319"/>
      <c r="FK13" s="319"/>
      <c r="FL13" s="319"/>
      <c r="FM13" s="319"/>
      <c r="FN13" s="319"/>
      <c r="FO13" s="319"/>
      <c r="FP13" s="188"/>
      <c r="FQ13" s="188"/>
      <c r="FR13" s="188"/>
      <c r="FS13" s="188"/>
      <c r="FT13" s="188"/>
      <c r="FU13" s="188"/>
      <c r="FV13" s="194">
        <v>1.0</v>
      </c>
      <c r="FW13" s="188"/>
      <c r="FX13" s="188"/>
      <c r="FY13" s="188"/>
      <c r="FZ13" s="188"/>
      <c r="GA13" s="188"/>
      <c r="GB13" s="188"/>
      <c r="GC13" s="188"/>
      <c r="GD13" s="188"/>
      <c r="GE13" s="188"/>
      <c r="GF13" s="188"/>
      <c r="GG13" s="188"/>
      <c r="GH13" s="200">
        <f t="shared" si="5"/>
        <v>2</v>
      </c>
      <c r="GI13" s="173">
        <f t="shared" si="6"/>
        <v>658</v>
      </c>
      <c r="GJ13" s="174"/>
      <c r="GK13" s="191"/>
      <c r="GL13" s="181"/>
      <c r="GM13" s="181"/>
      <c r="GN13" s="181"/>
      <c r="GO13" s="181"/>
      <c r="GP13" s="181"/>
      <c r="GQ13" s="181"/>
      <c r="GR13" s="181"/>
      <c r="GS13" s="181"/>
      <c r="GT13" s="320">
        <v>1.0</v>
      </c>
      <c r="GU13" s="181"/>
      <c r="GV13" s="181"/>
      <c r="GW13" s="181"/>
      <c r="GX13" s="181"/>
      <c r="GY13" s="181"/>
      <c r="GZ13" s="181"/>
      <c r="HA13" s="181"/>
      <c r="HB13" s="316"/>
      <c r="HC13" s="316"/>
      <c r="HD13" s="181"/>
      <c r="HE13" s="181"/>
      <c r="HF13" s="181"/>
      <c r="HG13" s="181"/>
      <c r="HH13" s="181"/>
      <c r="HI13" s="181"/>
      <c r="HJ13" s="181"/>
      <c r="HK13" s="181"/>
      <c r="HL13" s="181"/>
      <c r="HM13" s="181"/>
      <c r="HN13" s="181"/>
      <c r="HO13" s="181"/>
      <c r="HP13" s="181"/>
      <c r="HQ13" s="181"/>
      <c r="HR13" s="181"/>
      <c r="HS13" s="181"/>
      <c r="HT13" s="181"/>
      <c r="HU13" s="181"/>
      <c r="HV13" s="181"/>
      <c r="HW13" s="181"/>
      <c r="HX13" s="181"/>
      <c r="HY13" s="181"/>
      <c r="HZ13" s="181"/>
      <c r="IA13" s="181"/>
      <c r="IB13" s="181"/>
      <c r="IC13" s="181"/>
      <c r="ID13" s="181"/>
      <c r="IE13" s="181"/>
      <c r="IF13" s="201"/>
      <c r="IG13" s="173"/>
      <c r="IH13" s="174"/>
      <c r="II13" s="323"/>
      <c r="IJ13" s="188"/>
      <c r="IK13" s="188"/>
      <c r="IL13" s="188"/>
      <c r="IM13" s="188"/>
      <c r="IN13" s="188"/>
      <c r="IO13" s="188"/>
      <c r="IP13" s="188"/>
      <c r="IQ13" s="188"/>
      <c r="IR13" s="188"/>
      <c r="IS13" s="188"/>
      <c r="IT13" s="188"/>
      <c r="IU13" s="188"/>
      <c r="IV13" s="188"/>
      <c r="IW13" s="188"/>
      <c r="IX13" s="188"/>
      <c r="IY13" s="188"/>
      <c r="IZ13" s="188"/>
      <c r="JA13" s="188"/>
      <c r="JB13" s="188"/>
      <c r="JC13" s="188"/>
      <c r="JD13" s="188"/>
      <c r="JE13" s="188"/>
      <c r="JF13" s="188"/>
      <c r="JG13" s="188"/>
      <c r="JH13" s="188"/>
      <c r="JI13" s="188"/>
      <c r="JJ13" s="188"/>
      <c r="JK13" s="188"/>
      <c r="JL13" s="188"/>
      <c r="JM13" s="188"/>
      <c r="JN13" s="188"/>
      <c r="JO13" s="188"/>
      <c r="JP13" s="188"/>
      <c r="JQ13" s="188"/>
      <c r="JR13" s="188"/>
      <c r="JS13" s="188"/>
      <c r="JT13" s="188"/>
      <c r="JU13" s="188"/>
      <c r="JV13" s="188"/>
      <c r="JW13" s="188"/>
      <c r="JX13" s="188"/>
      <c r="JY13" s="188"/>
      <c r="JZ13" s="188"/>
      <c r="KA13" s="188"/>
      <c r="KB13" s="188"/>
      <c r="KC13" s="172"/>
      <c r="KD13" s="173"/>
      <c r="KE13" s="174"/>
      <c r="KF13" s="174"/>
      <c r="KG13" s="174"/>
      <c r="KH13" s="174"/>
      <c r="KI13" s="174"/>
      <c r="KJ13" s="174"/>
      <c r="KK13" s="174"/>
      <c r="KL13" s="174"/>
      <c r="KM13" s="174"/>
      <c r="KN13" s="174"/>
      <c r="KO13" s="174"/>
      <c r="KP13" s="174"/>
      <c r="KQ13" s="174"/>
      <c r="KR13" s="174"/>
      <c r="KS13" s="174"/>
      <c r="KT13" s="174"/>
      <c r="KU13" s="174"/>
      <c r="KV13" s="174"/>
      <c r="KW13" s="174"/>
    </row>
    <row r="14">
      <c r="A14" s="101" t="s">
        <v>58</v>
      </c>
      <c r="B14" s="93">
        <v>329.0</v>
      </c>
      <c r="C14" s="89"/>
      <c r="D14" s="188"/>
      <c r="E14" s="188"/>
      <c r="F14" s="188"/>
      <c r="G14" s="196">
        <v>2.0</v>
      </c>
      <c r="H14" s="171"/>
      <c r="I14" s="195"/>
      <c r="J14" s="171"/>
      <c r="K14" s="171"/>
      <c r="L14" s="171"/>
      <c r="M14" s="171"/>
      <c r="N14" s="171"/>
      <c r="O14" s="171"/>
      <c r="P14" s="171"/>
      <c r="Q14" s="196">
        <v>1.0</v>
      </c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96">
        <v>1.0</v>
      </c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310"/>
      <c r="CE14" s="172">
        <f t="shared" si="1"/>
        <v>4</v>
      </c>
      <c r="CF14" s="173">
        <f t="shared" si="2"/>
        <v>1316</v>
      </c>
      <c r="CH14" s="89"/>
      <c r="CI14" s="188"/>
      <c r="CJ14" s="188"/>
      <c r="CK14" s="188"/>
      <c r="CL14" s="171"/>
      <c r="CM14" s="171"/>
      <c r="CN14" s="195"/>
      <c r="CO14" s="171"/>
      <c r="CP14" s="171"/>
      <c r="CQ14" s="171"/>
      <c r="CR14" s="171"/>
      <c r="CS14" s="171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96">
        <v>2.0</v>
      </c>
      <c r="DK14" s="171"/>
      <c r="DL14" s="171"/>
      <c r="DM14" s="171"/>
      <c r="DN14" s="171"/>
      <c r="DO14" s="171"/>
      <c r="DP14" s="171"/>
      <c r="DQ14" s="171"/>
      <c r="DR14" s="171"/>
      <c r="DS14" s="171"/>
      <c r="DT14" s="171"/>
      <c r="DU14" s="171"/>
      <c r="DV14" s="171"/>
      <c r="DW14" s="196">
        <v>1.0</v>
      </c>
      <c r="DX14" s="196"/>
      <c r="DY14" s="196"/>
      <c r="DZ14" s="196"/>
      <c r="EA14" s="196"/>
      <c r="EB14" s="196"/>
      <c r="EC14" s="171"/>
      <c r="ED14" s="171"/>
      <c r="EE14" s="95"/>
      <c r="EF14" s="178">
        <f t="shared" si="3"/>
        <v>3</v>
      </c>
      <c r="EG14" s="173">
        <f t="shared" si="4"/>
        <v>987</v>
      </c>
      <c r="EH14" s="174"/>
      <c r="EI14" s="104"/>
      <c r="EJ14" s="108"/>
      <c r="EK14" s="108"/>
      <c r="EL14" s="108"/>
      <c r="EM14" s="108"/>
      <c r="EN14" s="108"/>
      <c r="EO14" s="108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194"/>
      <c r="FQ14" s="194"/>
      <c r="FR14" s="194"/>
      <c r="FS14" s="194"/>
      <c r="FT14" s="194"/>
      <c r="FU14" s="194"/>
      <c r="FV14" s="194"/>
      <c r="FW14" s="194"/>
      <c r="FX14" s="194"/>
      <c r="FY14" s="194"/>
      <c r="FZ14" s="194"/>
      <c r="GA14" s="194"/>
      <c r="GB14" s="194"/>
      <c r="GC14" s="194"/>
      <c r="GD14" s="194"/>
      <c r="GE14" s="194"/>
      <c r="GF14" s="194"/>
      <c r="GG14" s="188"/>
      <c r="GH14" s="200">
        <f t="shared" si="5"/>
        <v>0</v>
      </c>
      <c r="GI14" s="173">
        <f t="shared" si="6"/>
        <v>0</v>
      </c>
      <c r="GJ14" s="174"/>
      <c r="GK14" s="191"/>
      <c r="GL14" s="181"/>
      <c r="GM14" s="181"/>
      <c r="GN14" s="181"/>
      <c r="GO14" s="181"/>
      <c r="GP14" s="181"/>
      <c r="GQ14" s="181"/>
      <c r="GR14" s="181"/>
      <c r="GS14" s="181"/>
      <c r="GT14" s="181"/>
      <c r="GU14" s="181"/>
      <c r="GV14" s="181"/>
      <c r="GW14" s="181"/>
      <c r="GX14" s="181"/>
      <c r="GY14" s="181"/>
      <c r="GZ14" s="181"/>
      <c r="HA14" s="181"/>
      <c r="HB14" s="316"/>
      <c r="HC14" s="316"/>
      <c r="HD14" s="181"/>
      <c r="HE14" s="181"/>
      <c r="HF14" s="181"/>
      <c r="HG14" s="181"/>
      <c r="HH14" s="320">
        <v>1.0</v>
      </c>
      <c r="HI14" s="181"/>
      <c r="HJ14" s="181"/>
      <c r="HK14" s="181"/>
      <c r="HL14" s="181"/>
      <c r="HM14" s="181"/>
      <c r="HN14" s="181"/>
      <c r="HO14" s="181"/>
      <c r="HP14" s="181"/>
      <c r="HQ14" s="181"/>
      <c r="HR14" s="181"/>
      <c r="HS14" s="181"/>
      <c r="HT14" s="181"/>
      <c r="HU14" s="181"/>
      <c r="HV14" s="181"/>
      <c r="HW14" s="181"/>
      <c r="HX14" s="181"/>
      <c r="HY14" s="181"/>
      <c r="HZ14" s="181"/>
      <c r="IA14" s="181"/>
      <c r="IB14" s="181"/>
      <c r="IC14" s="181"/>
      <c r="ID14" s="181"/>
      <c r="IE14" s="181"/>
      <c r="IF14" s="201"/>
      <c r="IG14" s="173"/>
      <c r="IH14" s="174"/>
      <c r="II14" s="323">
        <v>1.0</v>
      </c>
      <c r="IJ14" s="188"/>
      <c r="IK14" s="188"/>
      <c r="IL14" s="188"/>
      <c r="IM14" s="188"/>
      <c r="IN14" s="321">
        <v>1.0</v>
      </c>
      <c r="IO14" s="188"/>
      <c r="IP14" s="188"/>
      <c r="IQ14" s="188"/>
      <c r="IR14" s="188"/>
      <c r="IS14" s="188"/>
      <c r="IT14" s="188"/>
      <c r="IU14" s="188"/>
      <c r="IV14" s="188"/>
      <c r="IW14" s="188"/>
      <c r="IX14" s="321">
        <v>1.0</v>
      </c>
      <c r="IY14" s="188"/>
      <c r="IZ14" s="188"/>
      <c r="JA14" s="188"/>
      <c r="JB14" s="188"/>
      <c r="JC14" s="188"/>
      <c r="JD14" s="188"/>
      <c r="JE14" s="188"/>
      <c r="JF14" s="188"/>
      <c r="JG14" s="188"/>
      <c r="JH14" s="188"/>
      <c r="JI14" s="188"/>
      <c r="JJ14" s="188"/>
      <c r="JK14" s="188"/>
      <c r="JL14" s="188"/>
      <c r="JM14" s="188"/>
      <c r="JN14" s="188"/>
      <c r="JO14" s="188"/>
      <c r="JP14" s="188"/>
      <c r="JQ14" s="188"/>
      <c r="JR14" s="188"/>
      <c r="JS14" s="188"/>
      <c r="JT14" s="188"/>
      <c r="JU14" s="188"/>
      <c r="JV14" s="188"/>
      <c r="JW14" s="188"/>
      <c r="JX14" s="188"/>
      <c r="JY14" s="188"/>
      <c r="JZ14" s="188"/>
      <c r="KA14" s="188"/>
      <c r="KB14" s="188"/>
      <c r="KC14" s="172"/>
      <c r="KD14" s="173"/>
      <c r="KE14" s="174"/>
      <c r="KF14" s="174"/>
      <c r="KG14" s="174"/>
      <c r="KH14" s="174"/>
      <c r="KI14" s="174"/>
      <c r="KJ14" s="174"/>
      <c r="KK14" s="174"/>
      <c r="KL14" s="174"/>
      <c r="KM14" s="174"/>
      <c r="KN14" s="174"/>
      <c r="KO14" s="174"/>
      <c r="KP14" s="174"/>
      <c r="KQ14" s="174"/>
      <c r="KR14" s="174"/>
      <c r="KS14" s="174"/>
      <c r="KT14" s="174"/>
      <c r="KU14" s="174"/>
      <c r="KV14" s="174"/>
      <c r="KW14" s="174"/>
    </row>
    <row r="15">
      <c r="A15" s="101" t="s">
        <v>59</v>
      </c>
      <c r="B15" s="93">
        <v>219.0</v>
      </c>
      <c r="C15" s="89"/>
      <c r="D15" s="188"/>
      <c r="E15" s="188"/>
      <c r="F15" s="188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96">
        <v>1.0</v>
      </c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1"/>
      <c r="BK15" s="171"/>
      <c r="BL15" s="171"/>
      <c r="BM15" s="171"/>
      <c r="BN15" s="171"/>
      <c r="BO15" s="171"/>
      <c r="BP15" s="171"/>
      <c r="BQ15" s="171"/>
      <c r="BR15" s="171"/>
      <c r="BS15" s="171"/>
      <c r="BT15" s="171"/>
      <c r="BU15" s="171"/>
      <c r="BV15" s="171"/>
      <c r="BW15" s="171"/>
      <c r="BX15" s="171"/>
      <c r="BY15" s="171"/>
      <c r="BZ15" s="171"/>
      <c r="CA15" s="171"/>
      <c r="CB15" s="171"/>
      <c r="CC15" s="171"/>
      <c r="CD15" s="310"/>
      <c r="CE15" s="172">
        <f t="shared" si="1"/>
        <v>1</v>
      </c>
      <c r="CF15" s="173">
        <f t="shared" si="2"/>
        <v>219</v>
      </c>
      <c r="CH15" s="89"/>
      <c r="CI15" s="188"/>
      <c r="CJ15" s="188"/>
      <c r="CK15" s="188"/>
      <c r="CL15" s="171"/>
      <c r="CM15" s="171"/>
      <c r="CN15" s="171"/>
      <c r="CO15" s="171"/>
      <c r="CP15" s="171"/>
      <c r="CQ15" s="171"/>
      <c r="CR15" s="196">
        <v>1.0</v>
      </c>
      <c r="CS15" s="171"/>
      <c r="CT15" s="196">
        <v>1.0</v>
      </c>
      <c r="CU15" s="171"/>
      <c r="CV15" s="171"/>
      <c r="CW15" s="196">
        <v>1.0</v>
      </c>
      <c r="CX15" s="171"/>
      <c r="CY15" s="171"/>
      <c r="CZ15" s="171"/>
      <c r="DA15" s="171"/>
      <c r="DB15" s="171"/>
      <c r="DC15" s="171"/>
      <c r="DD15" s="171"/>
      <c r="DE15" s="171"/>
      <c r="DF15" s="171"/>
      <c r="DG15" s="171"/>
      <c r="DH15" s="171"/>
      <c r="DI15" s="171"/>
      <c r="DJ15" s="171"/>
      <c r="DK15" s="171"/>
      <c r="DL15" s="171"/>
      <c r="DM15" s="171"/>
      <c r="DN15" s="171"/>
      <c r="DO15" s="171"/>
      <c r="DP15" s="171"/>
      <c r="DQ15" s="171"/>
      <c r="DR15" s="171"/>
      <c r="DS15" s="171"/>
      <c r="DT15" s="171"/>
      <c r="DU15" s="171"/>
      <c r="DV15" s="171"/>
      <c r="DW15" s="171"/>
      <c r="DX15" s="171"/>
      <c r="DY15" s="171"/>
      <c r="DZ15" s="171"/>
      <c r="EA15" s="171"/>
      <c r="EB15" s="171"/>
      <c r="EC15" s="171"/>
      <c r="ED15" s="171"/>
      <c r="EE15" s="95"/>
      <c r="EF15" s="178">
        <f t="shared" si="3"/>
        <v>3</v>
      </c>
      <c r="EG15" s="173">
        <f t="shared" si="4"/>
        <v>657</v>
      </c>
      <c r="EH15" s="174"/>
      <c r="EI15" s="104"/>
      <c r="EJ15" s="108"/>
      <c r="EK15" s="108"/>
      <c r="EL15" s="318">
        <v>2.0</v>
      </c>
      <c r="EM15" s="108"/>
      <c r="EN15" s="108"/>
      <c r="EO15" s="108"/>
      <c r="EP15" s="319"/>
      <c r="EQ15" s="319"/>
      <c r="ER15" s="319"/>
      <c r="ES15" s="319"/>
      <c r="ET15" s="319"/>
      <c r="EU15" s="319"/>
      <c r="EV15" s="319"/>
      <c r="EW15" s="322">
        <v>1.0</v>
      </c>
      <c r="EX15" s="319"/>
      <c r="EY15" s="319"/>
      <c r="EZ15" s="322">
        <v>1.0</v>
      </c>
      <c r="FA15" s="319"/>
      <c r="FB15" s="319"/>
      <c r="FC15" s="319"/>
      <c r="FD15" s="319"/>
      <c r="FE15" s="319"/>
      <c r="FF15" s="319"/>
      <c r="FG15" s="319"/>
      <c r="FH15" s="319"/>
      <c r="FI15" s="319"/>
      <c r="FJ15" s="319"/>
      <c r="FK15" s="319"/>
      <c r="FL15" s="319"/>
      <c r="FM15" s="319"/>
      <c r="FN15" s="319"/>
      <c r="FO15" s="319"/>
      <c r="FP15" s="188"/>
      <c r="FQ15" s="188"/>
      <c r="FR15" s="188"/>
      <c r="FS15" s="188"/>
      <c r="FT15" s="188"/>
      <c r="FU15" s="188"/>
      <c r="FV15" s="188"/>
      <c r="FW15" s="188"/>
      <c r="FX15" s="188"/>
      <c r="FY15" s="188"/>
      <c r="FZ15" s="188"/>
      <c r="GA15" s="188"/>
      <c r="GB15" s="188"/>
      <c r="GC15" s="188"/>
      <c r="GD15" s="188"/>
      <c r="GE15" s="188"/>
      <c r="GF15" s="188"/>
      <c r="GG15" s="188"/>
      <c r="GH15" s="200">
        <f t="shared" si="5"/>
        <v>4</v>
      </c>
      <c r="GI15" s="173">
        <f t="shared" si="6"/>
        <v>876</v>
      </c>
      <c r="GJ15" s="174"/>
      <c r="GK15" s="191"/>
      <c r="GL15" s="181"/>
      <c r="GM15" s="181"/>
      <c r="GN15" s="181"/>
      <c r="GO15" s="181"/>
      <c r="GP15" s="181"/>
      <c r="GQ15" s="181"/>
      <c r="GR15" s="181"/>
      <c r="GS15" s="181"/>
      <c r="GT15" s="181"/>
      <c r="GU15" s="181"/>
      <c r="GV15" s="181"/>
      <c r="GW15" s="181"/>
      <c r="GX15" s="181"/>
      <c r="GY15" s="181"/>
      <c r="GZ15" s="181"/>
      <c r="HA15" s="181"/>
      <c r="HB15" s="316"/>
      <c r="HC15" s="316"/>
      <c r="HD15" s="181"/>
      <c r="HE15" s="181"/>
      <c r="HF15" s="181"/>
      <c r="HG15" s="181"/>
      <c r="HH15" s="181"/>
      <c r="HI15" s="181"/>
      <c r="HJ15" s="181"/>
      <c r="HK15" s="181"/>
      <c r="HL15" s="181"/>
      <c r="HM15" s="181"/>
      <c r="HN15" s="181"/>
      <c r="HO15" s="181"/>
      <c r="HP15" s="181"/>
      <c r="HQ15" s="181"/>
      <c r="HR15" s="181"/>
      <c r="HS15" s="181"/>
      <c r="HT15" s="181"/>
      <c r="HU15" s="181"/>
      <c r="HV15" s="181"/>
      <c r="HW15" s="181"/>
      <c r="HX15" s="181"/>
      <c r="HY15" s="181"/>
      <c r="HZ15" s="181"/>
      <c r="IA15" s="181"/>
      <c r="IB15" s="181"/>
      <c r="IC15" s="181"/>
      <c r="ID15" s="181"/>
      <c r="IE15" s="181"/>
      <c r="IF15" s="201"/>
      <c r="IG15" s="173"/>
      <c r="IH15" s="174"/>
      <c r="II15" s="323"/>
      <c r="IJ15" s="188"/>
      <c r="IK15" s="188"/>
      <c r="IL15" s="188"/>
      <c r="IM15" s="188"/>
      <c r="IN15" s="188"/>
      <c r="IO15" s="188"/>
      <c r="IP15" s="188"/>
      <c r="IQ15" s="188"/>
      <c r="IR15" s="188"/>
      <c r="IS15" s="188"/>
      <c r="IT15" s="188"/>
      <c r="IU15" s="188"/>
      <c r="IV15" s="188"/>
      <c r="IW15" s="188"/>
      <c r="IX15" s="188"/>
      <c r="IY15" s="188"/>
      <c r="IZ15" s="321">
        <v>1.0</v>
      </c>
      <c r="JA15" s="188"/>
      <c r="JB15" s="188"/>
      <c r="JC15" s="188"/>
      <c r="JD15" s="188"/>
      <c r="JE15" s="188"/>
      <c r="JF15" s="188"/>
      <c r="JG15" s="188"/>
      <c r="JH15" s="188"/>
      <c r="JI15" s="188"/>
      <c r="JJ15" s="188"/>
      <c r="JK15" s="188"/>
      <c r="JL15" s="188"/>
      <c r="JM15" s="188"/>
      <c r="JN15" s="188"/>
      <c r="JO15" s="188"/>
      <c r="JP15" s="188"/>
      <c r="JQ15" s="188"/>
      <c r="JR15" s="188"/>
      <c r="JS15" s="188"/>
      <c r="JT15" s="188"/>
      <c r="JU15" s="188"/>
      <c r="JV15" s="188"/>
      <c r="JW15" s="188"/>
      <c r="JX15" s="188"/>
      <c r="JY15" s="194">
        <v>1.0</v>
      </c>
      <c r="JZ15" s="188"/>
      <c r="KA15" s="188"/>
      <c r="KB15" s="188"/>
      <c r="KC15" s="172"/>
      <c r="KD15" s="173"/>
      <c r="KE15" s="174"/>
      <c r="KF15" s="174"/>
      <c r="KG15" s="174"/>
      <c r="KH15" s="174"/>
      <c r="KI15" s="174"/>
      <c r="KJ15" s="174"/>
      <c r="KK15" s="174"/>
      <c r="KL15" s="174"/>
      <c r="KM15" s="174"/>
      <c r="KN15" s="174"/>
      <c r="KO15" s="174"/>
      <c r="KP15" s="174"/>
      <c r="KQ15" s="174"/>
      <c r="KR15" s="174"/>
      <c r="KS15" s="174"/>
      <c r="KT15" s="174"/>
      <c r="KU15" s="174"/>
      <c r="KV15" s="174"/>
      <c r="KW15" s="174"/>
    </row>
    <row r="16" hidden="1">
      <c r="A16" s="101" t="s">
        <v>60</v>
      </c>
      <c r="B16" s="99"/>
      <c r="C16" s="89"/>
      <c r="D16" s="188"/>
      <c r="E16" s="188"/>
      <c r="F16" s="188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  <c r="BA16" s="171"/>
      <c r="BB16" s="171"/>
      <c r="BC16" s="171"/>
      <c r="BD16" s="171"/>
      <c r="BE16" s="171"/>
      <c r="BF16" s="171"/>
      <c r="BG16" s="171"/>
      <c r="BH16" s="171"/>
      <c r="BI16" s="171"/>
      <c r="BJ16" s="171"/>
      <c r="BK16" s="171"/>
      <c r="BL16" s="171"/>
      <c r="BM16" s="171"/>
      <c r="BN16" s="171"/>
      <c r="BO16" s="171"/>
      <c r="BP16" s="171"/>
      <c r="BQ16" s="171"/>
      <c r="BR16" s="171"/>
      <c r="BS16" s="171"/>
      <c r="BT16" s="171"/>
      <c r="BU16" s="171"/>
      <c r="BV16" s="171"/>
      <c r="BW16" s="171"/>
      <c r="BX16" s="171"/>
      <c r="BY16" s="171"/>
      <c r="BZ16" s="171"/>
      <c r="CA16" s="171"/>
      <c r="CB16" s="171"/>
      <c r="CC16" s="171"/>
      <c r="CD16" s="310"/>
      <c r="CE16" s="172">
        <f t="shared" si="1"/>
        <v>0</v>
      </c>
      <c r="CF16" s="173">
        <f t="shared" si="2"/>
        <v>0</v>
      </c>
      <c r="CH16" s="89"/>
      <c r="CI16" s="188"/>
      <c r="CJ16" s="188"/>
      <c r="CK16" s="188"/>
      <c r="CL16" s="171"/>
      <c r="CM16" s="171"/>
      <c r="CN16" s="171"/>
      <c r="CO16" s="171"/>
      <c r="CP16" s="171"/>
      <c r="CQ16" s="171"/>
      <c r="CR16" s="171"/>
      <c r="CS16" s="171"/>
      <c r="CT16" s="171"/>
      <c r="CU16" s="171"/>
      <c r="CV16" s="171"/>
      <c r="CW16" s="171"/>
      <c r="CX16" s="171"/>
      <c r="CY16" s="171"/>
      <c r="CZ16" s="171"/>
      <c r="DA16" s="171"/>
      <c r="DB16" s="171"/>
      <c r="DC16" s="171"/>
      <c r="DD16" s="171"/>
      <c r="DE16" s="171"/>
      <c r="DF16" s="171"/>
      <c r="DG16" s="171"/>
      <c r="DH16" s="171"/>
      <c r="DI16" s="171"/>
      <c r="DJ16" s="171"/>
      <c r="DK16" s="171"/>
      <c r="DL16" s="171"/>
      <c r="DM16" s="171"/>
      <c r="DN16" s="171"/>
      <c r="DO16" s="171"/>
      <c r="DP16" s="171"/>
      <c r="DQ16" s="171"/>
      <c r="DR16" s="171"/>
      <c r="DS16" s="171"/>
      <c r="DT16" s="171"/>
      <c r="DU16" s="171"/>
      <c r="DV16" s="171"/>
      <c r="DW16" s="171"/>
      <c r="DX16" s="171"/>
      <c r="DY16" s="171"/>
      <c r="DZ16" s="171"/>
      <c r="EA16" s="171"/>
      <c r="EB16" s="171"/>
      <c r="EC16" s="171"/>
      <c r="ED16" s="171"/>
      <c r="EE16" s="95"/>
      <c r="EF16" s="178">
        <f t="shared" si="3"/>
        <v>0</v>
      </c>
      <c r="EG16" s="173">
        <f t="shared" si="4"/>
        <v>0</v>
      </c>
      <c r="EH16" s="174"/>
      <c r="EI16" s="104"/>
      <c r="EJ16" s="108"/>
      <c r="EK16" s="108"/>
      <c r="EL16" s="108"/>
      <c r="EM16" s="108"/>
      <c r="EN16" s="108"/>
      <c r="EO16" s="108"/>
      <c r="EP16" s="319"/>
      <c r="EQ16" s="319"/>
      <c r="ER16" s="319"/>
      <c r="ES16" s="319"/>
      <c r="ET16" s="319"/>
      <c r="EU16" s="319"/>
      <c r="EV16" s="319"/>
      <c r="EW16" s="319"/>
      <c r="EX16" s="319"/>
      <c r="EY16" s="319"/>
      <c r="EZ16" s="319"/>
      <c r="FA16" s="319"/>
      <c r="FB16" s="319"/>
      <c r="FC16" s="319"/>
      <c r="FD16" s="319"/>
      <c r="FE16" s="319"/>
      <c r="FF16" s="319"/>
      <c r="FG16" s="319"/>
      <c r="FH16" s="319"/>
      <c r="FI16" s="319"/>
      <c r="FJ16" s="319"/>
      <c r="FK16" s="319"/>
      <c r="FL16" s="319"/>
      <c r="FM16" s="319"/>
      <c r="FN16" s="319"/>
      <c r="FO16" s="319"/>
      <c r="FP16" s="188"/>
      <c r="FQ16" s="188"/>
      <c r="FR16" s="188"/>
      <c r="FS16" s="188"/>
      <c r="FT16" s="188"/>
      <c r="FU16" s="188"/>
      <c r="FV16" s="188"/>
      <c r="FW16" s="188"/>
      <c r="FX16" s="188"/>
      <c r="FY16" s="188"/>
      <c r="FZ16" s="188"/>
      <c r="GA16" s="188"/>
      <c r="GB16" s="188"/>
      <c r="GC16" s="188"/>
      <c r="GD16" s="188"/>
      <c r="GE16" s="188"/>
      <c r="GF16" s="188"/>
      <c r="GG16" s="188"/>
      <c r="GH16" s="200">
        <f t="shared" si="5"/>
        <v>0</v>
      </c>
      <c r="GI16" s="173">
        <f t="shared" si="6"/>
        <v>0</v>
      </c>
      <c r="GJ16" s="174"/>
      <c r="GK16" s="191"/>
      <c r="GL16" s="181"/>
      <c r="GM16" s="181"/>
      <c r="GN16" s="181"/>
      <c r="GO16" s="181"/>
      <c r="GP16" s="181"/>
      <c r="GQ16" s="181"/>
      <c r="GR16" s="181"/>
      <c r="GS16" s="181"/>
      <c r="GT16" s="181"/>
      <c r="GU16" s="181"/>
      <c r="GV16" s="181"/>
      <c r="GW16" s="181"/>
      <c r="GX16" s="181"/>
      <c r="GY16" s="181"/>
      <c r="GZ16" s="181"/>
      <c r="HA16" s="181"/>
      <c r="HB16" s="316"/>
      <c r="HC16" s="316"/>
      <c r="HD16" s="181"/>
      <c r="HE16" s="181"/>
      <c r="HF16" s="181"/>
      <c r="HG16" s="181"/>
      <c r="HH16" s="181"/>
      <c r="HI16" s="181"/>
      <c r="HJ16" s="181"/>
      <c r="HK16" s="181"/>
      <c r="HL16" s="181"/>
      <c r="HM16" s="181"/>
      <c r="HN16" s="181"/>
      <c r="HO16" s="181"/>
      <c r="HP16" s="181"/>
      <c r="HQ16" s="181"/>
      <c r="HR16" s="181"/>
      <c r="HS16" s="181"/>
      <c r="HT16" s="181"/>
      <c r="HU16" s="181"/>
      <c r="HV16" s="181"/>
      <c r="HW16" s="181"/>
      <c r="HX16" s="181"/>
      <c r="HY16" s="181"/>
      <c r="HZ16" s="181"/>
      <c r="IA16" s="181"/>
      <c r="IB16" s="181"/>
      <c r="IC16" s="181"/>
      <c r="ID16" s="181"/>
      <c r="IE16" s="181"/>
      <c r="IF16" s="201"/>
      <c r="IG16" s="173"/>
      <c r="IH16" s="174"/>
      <c r="II16" s="317"/>
      <c r="IJ16" s="188"/>
      <c r="IK16" s="188"/>
      <c r="IL16" s="188"/>
      <c r="IM16" s="188"/>
      <c r="IN16" s="188"/>
      <c r="IO16" s="188"/>
      <c r="IP16" s="188"/>
      <c r="IQ16" s="188"/>
      <c r="IR16" s="188"/>
      <c r="IS16" s="188"/>
      <c r="IT16" s="188"/>
      <c r="IU16" s="188"/>
      <c r="IV16" s="188"/>
      <c r="IW16" s="188"/>
      <c r="IX16" s="188"/>
      <c r="IY16" s="188"/>
      <c r="IZ16" s="188"/>
      <c r="JA16" s="188"/>
      <c r="JB16" s="188"/>
      <c r="JC16" s="188"/>
      <c r="JD16" s="188"/>
      <c r="JE16" s="188"/>
      <c r="JF16" s="188"/>
      <c r="JG16" s="188"/>
      <c r="JH16" s="188"/>
      <c r="JI16" s="188"/>
      <c r="JJ16" s="188"/>
      <c r="JK16" s="188"/>
      <c r="JL16" s="188"/>
      <c r="JM16" s="188"/>
      <c r="JN16" s="188"/>
      <c r="JO16" s="188"/>
      <c r="JP16" s="188"/>
      <c r="JQ16" s="188"/>
      <c r="JR16" s="188"/>
      <c r="JS16" s="188"/>
      <c r="JT16" s="188"/>
      <c r="JU16" s="188"/>
      <c r="JV16" s="188"/>
      <c r="JW16" s="188"/>
      <c r="JX16" s="188"/>
      <c r="JY16" s="188"/>
      <c r="JZ16" s="188"/>
      <c r="KA16" s="188"/>
      <c r="KB16" s="188"/>
      <c r="KC16" s="172"/>
      <c r="KD16" s="173"/>
      <c r="KE16" s="174"/>
      <c r="KF16" s="174"/>
      <c r="KG16" s="174"/>
      <c r="KH16" s="174"/>
      <c r="KI16" s="174"/>
      <c r="KJ16" s="174"/>
      <c r="KK16" s="174"/>
      <c r="KL16" s="174"/>
      <c r="KM16" s="174"/>
      <c r="KN16" s="174"/>
      <c r="KO16" s="174"/>
      <c r="KP16" s="174"/>
      <c r="KQ16" s="174"/>
      <c r="KR16" s="174"/>
      <c r="KS16" s="174"/>
      <c r="KT16" s="174"/>
      <c r="KU16" s="174"/>
      <c r="KV16" s="174"/>
      <c r="KW16" s="174"/>
    </row>
    <row r="17" hidden="1">
      <c r="A17" s="101" t="s">
        <v>61</v>
      </c>
      <c r="B17" s="99"/>
      <c r="C17" s="89"/>
      <c r="D17" s="188"/>
      <c r="E17" s="188"/>
      <c r="F17" s="188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310"/>
      <c r="CE17" s="172">
        <f t="shared" si="1"/>
        <v>0</v>
      </c>
      <c r="CF17" s="173">
        <f t="shared" si="2"/>
        <v>0</v>
      </c>
      <c r="CH17" s="89"/>
      <c r="CI17" s="188"/>
      <c r="CJ17" s="188"/>
      <c r="CK17" s="188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71"/>
      <c r="DQ17" s="171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95"/>
      <c r="EF17" s="178">
        <f t="shared" si="3"/>
        <v>0</v>
      </c>
      <c r="EG17" s="173">
        <f t="shared" si="4"/>
        <v>0</v>
      </c>
      <c r="EH17" s="174"/>
      <c r="EI17" s="104"/>
      <c r="EJ17" s="108"/>
      <c r="EK17" s="108"/>
      <c r="EL17" s="108"/>
      <c r="EM17" s="108"/>
      <c r="EN17" s="108"/>
      <c r="EO17" s="108"/>
      <c r="EP17" s="319"/>
      <c r="EQ17" s="319"/>
      <c r="ER17" s="319"/>
      <c r="ES17" s="319"/>
      <c r="ET17" s="319"/>
      <c r="EU17" s="319"/>
      <c r="EV17" s="319"/>
      <c r="EW17" s="319"/>
      <c r="EX17" s="319"/>
      <c r="EY17" s="319"/>
      <c r="EZ17" s="319"/>
      <c r="FA17" s="319"/>
      <c r="FB17" s="319"/>
      <c r="FC17" s="319"/>
      <c r="FD17" s="319"/>
      <c r="FE17" s="319"/>
      <c r="FF17" s="319"/>
      <c r="FG17" s="319"/>
      <c r="FH17" s="319"/>
      <c r="FI17" s="319"/>
      <c r="FJ17" s="319"/>
      <c r="FK17" s="319"/>
      <c r="FL17" s="319"/>
      <c r="FM17" s="319"/>
      <c r="FN17" s="319"/>
      <c r="FO17" s="319"/>
      <c r="FP17" s="188"/>
      <c r="FQ17" s="188"/>
      <c r="FR17" s="188"/>
      <c r="FS17" s="188"/>
      <c r="FT17" s="188"/>
      <c r="FU17" s="188"/>
      <c r="FV17" s="188"/>
      <c r="FW17" s="188"/>
      <c r="FX17" s="188"/>
      <c r="FY17" s="188"/>
      <c r="FZ17" s="188"/>
      <c r="GA17" s="188"/>
      <c r="GB17" s="188"/>
      <c r="GC17" s="188"/>
      <c r="GD17" s="188"/>
      <c r="GE17" s="188"/>
      <c r="GF17" s="188"/>
      <c r="GG17" s="188"/>
      <c r="GH17" s="200">
        <f t="shared" si="5"/>
        <v>0</v>
      </c>
      <c r="GI17" s="173">
        <f t="shared" si="6"/>
        <v>0</v>
      </c>
      <c r="GJ17" s="174"/>
      <c r="GK17" s="191"/>
      <c r="GL17" s="181"/>
      <c r="GM17" s="181"/>
      <c r="GN17" s="181"/>
      <c r="GO17" s="181"/>
      <c r="GP17" s="181"/>
      <c r="GQ17" s="181"/>
      <c r="GR17" s="181"/>
      <c r="GS17" s="181"/>
      <c r="GT17" s="181"/>
      <c r="GU17" s="181"/>
      <c r="GV17" s="181"/>
      <c r="GW17" s="181"/>
      <c r="GX17" s="181"/>
      <c r="GY17" s="181"/>
      <c r="GZ17" s="181"/>
      <c r="HA17" s="181"/>
      <c r="HB17" s="316"/>
      <c r="HC17" s="316"/>
      <c r="HD17" s="181"/>
      <c r="HE17" s="181"/>
      <c r="HF17" s="181"/>
      <c r="HG17" s="181"/>
      <c r="HH17" s="181"/>
      <c r="HI17" s="181"/>
      <c r="HJ17" s="181"/>
      <c r="HK17" s="181"/>
      <c r="HL17" s="181"/>
      <c r="HM17" s="181"/>
      <c r="HN17" s="181"/>
      <c r="HO17" s="181"/>
      <c r="HP17" s="181"/>
      <c r="HQ17" s="181"/>
      <c r="HR17" s="181"/>
      <c r="HS17" s="181"/>
      <c r="HT17" s="181"/>
      <c r="HU17" s="181"/>
      <c r="HV17" s="181"/>
      <c r="HW17" s="181"/>
      <c r="HX17" s="181"/>
      <c r="HY17" s="181"/>
      <c r="HZ17" s="181"/>
      <c r="IA17" s="181"/>
      <c r="IB17" s="181"/>
      <c r="IC17" s="181"/>
      <c r="ID17" s="181"/>
      <c r="IE17" s="181"/>
      <c r="IF17" s="201"/>
      <c r="IG17" s="173"/>
      <c r="IH17" s="174"/>
      <c r="II17" s="317"/>
      <c r="IJ17" s="188"/>
      <c r="IK17" s="188"/>
      <c r="IL17" s="188"/>
      <c r="IM17" s="188"/>
      <c r="IN17" s="188"/>
      <c r="IO17" s="188"/>
      <c r="IP17" s="188"/>
      <c r="IQ17" s="188"/>
      <c r="IR17" s="188"/>
      <c r="IS17" s="188"/>
      <c r="IT17" s="188"/>
      <c r="IU17" s="188"/>
      <c r="IV17" s="188"/>
      <c r="IW17" s="188"/>
      <c r="IX17" s="188"/>
      <c r="IY17" s="188"/>
      <c r="IZ17" s="188"/>
      <c r="JA17" s="188"/>
      <c r="JB17" s="188"/>
      <c r="JC17" s="188"/>
      <c r="JD17" s="188"/>
      <c r="JE17" s="188"/>
      <c r="JF17" s="188"/>
      <c r="JG17" s="188"/>
      <c r="JH17" s="188"/>
      <c r="JI17" s="188"/>
      <c r="JJ17" s="188"/>
      <c r="JK17" s="188"/>
      <c r="JL17" s="188"/>
      <c r="JM17" s="188"/>
      <c r="JN17" s="188"/>
      <c r="JO17" s="188"/>
      <c r="JP17" s="188"/>
      <c r="JQ17" s="188"/>
      <c r="JR17" s="188"/>
      <c r="JS17" s="188"/>
      <c r="JT17" s="188"/>
      <c r="JU17" s="188"/>
      <c r="JV17" s="188"/>
      <c r="JW17" s="188"/>
      <c r="JX17" s="188"/>
      <c r="JY17" s="188"/>
      <c r="JZ17" s="188"/>
      <c r="KA17" s="188"/>
      <c r="KB17" s="188"/>
      <c r="KC17" s="172"/>
      <c r="KD17" s="173"/>
      <c r="KE17" s="174"/>
      <c r="KF17" s="174"/>
      <c r="KG17" s="174"/>
      <c r="KH17" s="174"/>
      <c r="KI17" s="174"/>
      <c r="KJ17" s="174"/>
      <c r="KK17" s="174"/>
      <c r="KL17" s="174"/>
      <c r="KM17" s="174"/>
      <c r="KN17" s="174"/>
      <c r="KO17" s="174"/>
      <c r="KP17" s="174"/>
      <c r="KQ17" s="174"/>
      <c r="KR17" s="174"/>
      <c r="KS17" s="174"/>
      <c r="KT17" s="174"/>
      <c r="KU17" s="174"/>
      <c r="KV17" s="174"/>
      <c r="KW17" s="174"/>
    </row>
    <row r="18">
      <c r="A18" s="109"/>
      <c r="B18" s="99"/>
      <c r="C18" s="89"/>
      <c r="D18" s="188"/>
      <c r="E18" s="188"/>
      <c r="F18" s="188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310"/>
      <c r="CE18" s="172">
        <f t="shared" si="1"/>
        <v>0</v>
      </c>
      <c r="CF18" s="173">
        <f t="shared" si="2"/>
        <v>0</v>
      </c>
      <c r="CH18" s="89"/>
      <c r="CI18" s="188"/>
      <c r="CJ18" s="188"/>
      <c r="CK18" s="188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  <c r="ED18" s="171"/>
      <c r="EE18" s="95"/>
      <c r="EF18" s="178">
        <f t="shared" si="3"/>
        <v>0</v>
      </c>
      <c r="EG18" s="173">
        <f t="shared" si="4"/>
        <v>0</v>
      </c>
      <c r="EH18" s="174"/>
      <c r="EI18" s="104"/>
      <c r="EJ18" s="108"/>
      <c r="EK18" s="108"/>
      <c r="EL18" s="108"/>
      <c r="EM18" s="108"/>
      <c r="EN18" s="108"/>
      <c r="EO18" s="108"/>
      <c r="EP18" s="319"/>
      <c r="EQ18" s="319"/>
      <c r="ER18" s="319"/>
      <c r="ES18" s="319"/>
      <c r="ET18" s="319"/>
      <c r="EU18" s="319"/>
      <c r="EV18" s="319"/>
      <c r="EW18" s="319"/>
      <c r="EX18" s="319"/>
      <c r="EY18" s="319"/>
      <c r="EZ18" s="319"/>
      <c r="FA18" s="319"/>
      <c r="FB18" s="319"/>
      <c r="FC18" s="319"/>
      <c r="FD18" s="319"/>
      <c r="FE18" s="319"/>
      <c r="FF18" s="319"/>
      <c r="FG18" s="319"/>
      <c r="FH18" s="319"/>
      <c r="FI18" s="319"/>
      <c r="FJ18" s="319"/>
      <c r="FK18" s="319"/>
      <c r="FL18" s="319"/>
      <c r="FM18" s="319"/>
      <c r="FN18" s="319"/>
      <c r="FO18" s="319"/>
      <c r="FP18" s="188"/>
      <c r="FQ18" s="188"/>
      <c r="FR18" s="188"/>
      <c r="FS18" s="188"/>
      <c r="FT18" s="188"/>
      <c r="FU18" s="188"/>
      <c r="FV18" s="188"/>
      <c r="FW18" s="188"/>
      <c r="FX18" s="188"/>
      <c r="FY18" s="188"/>
      <c r="FZ18" s="188"/>
      <c r="GA18" s="188"/>
      <c r="GB18" s="188"/>
      <c r="GC18" s="188"/>
      <c r="GD18" s="188"/>
      <c r="GE18" s="188"/>
      <c r="GF18" s="188"/>
      <c r="GG18" s="188"/>
      <c r="GH18" s="200">
        <f t="shared" si="5"/>
        <v>0</v>
      </c>
      <c r="GI18" s="173">
        <f t="shared" si="6"/>
        <v>0</v>
      </c>
      <c r="GJ18" s="174"/>
      <c r="GK18" s="191"/>
      <c r="GL18" s="181"/>
      <c r="GM18" s="181"/>
      <c r="GN18" s="181"/>
      <c r="GO18" s="181"/>
      <c r="GP18" s="181"/>
      <c r="GQ18" s="181"/>
      <c r="GR18" s="181"/>
      <c r="GS18" s="181"/>
      <c r="GT18" s="181"/>
      <c r="GU18" s="181"/>
      <c r="GV18" s="181"/>
      <c r="GW18" s="181"/>
      <c r="GX18" s="181"/>
      <c r="GY18" s="181"/>
      <c r="GZ18" s="181"/>
      <c r="HA18" s="181"/>
      <c r="HB18" s="316"/>
      <c r="HC18" s="316"/>
      <c r="HD18" s="181"/>
      <c r="HE18" s="181"/>
      <c r="HF18" s="181"/>
      <c r="HG18" s="181"/>
      <c r="HH18" s="181"/>
      <c r="HI18" s="181"/>
      <c r="HJ18" s="181"/>
      <c r="HK18" s="181"/>
      <c r="HL18" s="181"/>
      <c r="HM18" s="181"/>
      <c r="HN18" s="181"/>
      <c r="HO18" s="181"/>
      <c r="HP18" s="181"/>
      <c r="HQ18" s="181"/>
      <c r="HR18" s="181"/>
      <c r="HS18" s="181"/>
      <c r="HT18" s="181"/>
      <c r="HU18" s="181"/>
      <c r="HV18" s="181"/>
      <c r="HW18" s="181"/>
      <c r="HX18" s="181"/>
      <c r="HY18" s="181"/>
      <c r="HZ18" s="181"/>
      <c r="IA18" s="181"/>
      <c r="IB18" s="181"/>
      <c r="IC18" s="181"/>
      <c r="ID18" s="181"/>
      <c r="IE18" s="181"/>
      <c r="IF18" s="201"/>
      <c r="IG18" s="173"/>
      <c r="IH18" s="174"/>
      <c r="II18" s="317"/>
      <c r="IJ18" s="188"/>
      <c r="IK18" s="188"/>
      <c r="IL18" s="188"/>
      <c r="IM18" s="188"/>
      <c r="IN18" s="188"/>
      <c r="IO18" s="188"/>
      <c r="IP18" s="188"/>
      <c r="IQ18" s="188"/>
      <c r="IR18" s="188"/>
      <c r="IS18" s="188"/>
      <c r="IT18" s="188"/>
      <c r="IU18" s="188"/>
      <c r="IV18" s="188"/>
      <c r="IW18" s="188"/>
      <c r="IX18" s="188"/>
      <c r="IY18" s="188"/>
      <c r="IZ18" s="188"/>
      <c r="JA18" s="188"/>
      <c r="JB18" s="188"/>
      <c r="JC18" s="188"/>
      <c r="JD18" s="188"/>
      <c r="JE18" s="188"/>
      <c r="JF18" s="188"/>
      <c r="JG18" s="188"/>
      <c r="JH18" s="188"/>
      <c r="JI18" s="188"/>
      <c r="JJ18" s="188"/>
      <c r="JK18" s="188"/>
      <c r="JL18" s="188"/>
      <c r="JM18" s="188"/>
      <c r="JN18" s="188"/>
      <c r="JO18" s="188"/>
      <c r="JP18" s="188"/>
      <c r="JQ18" s="188"/>
      <c r="JR18" s="188"/>
      <c r="JS18" s="188"/>
      <c r="JT18" s="188"/>
      <c r="JU18" s="188"/>
      <c r="JV18" s="188"/>
      <c r="JW18" s="188"/>
      <c r="JX18" s="188"/>
      <c r="JY18" s="188"/>
      <c r="JZ18" s="188"/>
      <c r="KA18" s="188"/>
      <c r="KB18" s="188"/>
      <c r="KC18" s="172"/>
      <c r="KD18" s="173"/>
      <c r="KE18" s="174"/>
      <c r="KF18" s="174"/>
      <c r="KG18" s="174"/>
      <c r="KH18" s="174"/>
      <c r="KI18" s="174"/>
      <c r="KJ18" s="174"/>
      <c r="KK18" s="174"/>
      <c r="KL18" s="174"/>
      <c r="KM18" s="174"/>
      <c r="KN18" s="174"/>
      <c r="KO18" s="174"/>
      <c r="KP18" s="174"/>
      <c r="KQ18" s="174"/>
      <c r="KR18" s="174"/>
      <c r="KS18" s="174"/>
      <c r="KT18" s="174"/>
      <c r="KU18" s="174"/>
      <c r="KV18" s="174"/>
      <c r="KW18" s="174"/>
    </row>
    <row r="19">
      <c r="A19" s="101" t="s">
        <v>62</v>
      </c>
      <c r="B19" s="93">
        <v>239.0</v>
      </c>
      <c r="C19" s="89"/>
      <c r="D19" s="188"/>
      <c r="E19" s="188"/>
      <c r="F19" s="188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96">
        <v>1.0</v>
      </c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310"/>
      <c r="CE19" s="172">
        <f t="shared" si="1"/>
        <v>1</v>
      </c>
      <c r="CF19" s="173">
        <f t="shared" si="2"/>
        <v>239</v>
      </c>
      <c r="CH19" s="89"/>
      <c r="CI19" s="188"/>
      <c r="CJ19" s="188"/>
      <c r="CK19" s="188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1"/>
      <c r="EC19" s="171"/>
      <c r="ED19" s="171"/>
      <c r="EE19" s="95"/>
      <c r="EF19" s="178">
        <f t="shared" si="3"/>
        <v>0</v>
      </c>
      <c r="EG19" s="173">
        <f t="shared" si="4"/>
        <v>0</v>
      </c>
      <c r="EH19" s="174"/>
      <c r="EI19" s="104"/>
      <c r="EJ19" s="108"/>
      <c r="EK19" s="108"/>
      <c r="EL19" s="108"/>
      <c r="EM19" s="108"/>
      <c r="EN19" s="108"/>
      <c r="EO19" s="108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319"/>
      <c r="FJ19" s="319"/>
      <c r="FK19" s="319"/>
      <c r="FL19" s="319"/>
      <c r="FM19" s="319"/>
      <c r="FN19" s="319"/>
      <c r="FO19" s="319"/>
      <c r="FP19" s="194"/>
      <c r="FQ19" s="194"/>
      <c r="FR19" s="194"/>
      <c r="FS19" s="194"/>
      <c r="FT19" s="194"/>
      <c r="FU19" s="194"/>
      <c r="FV19" s="194"/>
      <c r="FW19" s="194"/>
      <c r="FX19" s="194"/>
      <c r="FY19" s="194"/>
      <c r="FZ19" s="194"/>
      <c r="GA19" s="194"/>
      <c r="GB19" s="194"/>
      <c r="GC19" s="194"/>
      <c r="GD19" s="194"/>
      <c r="GE19" s="194"/>
      <c r="GF19" s="194"/>
      <c r="GG19" s="188"/>
      <c r="GH19" s="200">
        <f t="shared" si="5"/>
        <v>0</v>
      </c>
      <c r="GI19" s="173">
        <f t="shared" si="6"/>
        <v>0</v>
      </c>
      <c r="GJ19" s="174"/>
      <c r="GK19" s="191"/>
      <c r="GL19" s="181"/>
      <c r="GM19" s="181"/>
      <c r="GN19" s="181"/>
      <c r="GO19" s="181"/>
      <c r="GP19" s="181"/>
      <c r="GQ19" s="181"/>
      <c r="GR19" s="181"/>
      <c r="GS19" s="181"/>
      <c r="GT19" s="181"/>
      <c r="GU19" s="181"/>
      <c r="GV19" s="181"/>
      <c r="GW19" s="181"/>
      <c r="GX19" s="181"/>
      <c r="GY19" s="181"/>
      <c r="GZ19" s="181"/>
      <c r="HA19" s="181"/>
      <c r="HB19" s="316"/>
      <c r="HC19" s="316"/>
      <c r="HD19" s="181"/>
      <c r="HE19" s="181"/>
      <c r="HF19" s="181"/>
      <c r="HG19" s="181"/>
      <c r="HH19" s="181"/>
      <c r="HI19" s="181"/>
      <c r="HJ19" s="181"/>
      <c r="HK19" s="181"/>
      <c r="HL19" s="181"/>
      <c r="HM19" s="181"/>
      <c r="HN19" s="181"/>
      <c r="HO19" s="181"/>
      <c r="HP19" s="181"/>
      <c r="HQ19" s="181"/>
      <c r="HR19" s="181"/>
      <c r="HS19" s="181"/>
      <c r="HT19" s="181"/>
      <c r="HU19" s="181"/>
      <c r="HV19" s="181"/>
      <c r="HW19" s="181"/>
      <c r="HX19" s="181"/>
      <c r="HY19" s="181"/>
      <c r="HZ19" s="181"/>
      <c r="IA19" s="181"/>
      <c r="IB19" s="181"/>
      <c r="IC19" s="181"/>
      <c r="ID19" s="181"/>
      <c r="IE19" s="181"/>
      <c r="IF19" s="201"/>
      <c r="IG19" s="173"/>
      <c r="IH19" s="174"/>
      <c r="II19" s="317"/>
      <c r="IJ19" s="188"/>
      <c r="IK19" s="188"/>
      <c r="IL19" s="188"/>
      <c r="IM19" s="188"/>
      <c r="IN19" s="188"/>
      <c r="IO19" s="188"/>
      <c r="IP19" s="188"/>
      <c r="IQ19" s="188"/>
      <c r="IR19" s="188"/>
      <c r="IS19" s="188"/>
      <c r="IT19" s="188"/>
      <c r="IU19" s="188"/>
      <c r="IV19" s="188"/>
      <c r="IW19" s="188"/>
      <c r="IX19" s="188"/>
      <c r="IY19" s="188"/>
      <c r="IZ19" s="188"/>
      <c r="JA19" s="188"/>
      <c r="JB19" s="188"/>
      <c r="JC19" s="188"/>
      <c r="JD19" s="188"/>
      <c r="JE19" s="188"/>
      <c r="JF19" s="188"/>
      <c r="JG19" s="188"/>
      <c r="JH19" s="188"/>
      <c r="JI19" s="188"/>
      <c r="JJ19" s="188"/>
      <c r="JK19" s="188"/>
      <c r="JL19" s="188"/>
      <c r="JM19" s="188"/>
      <c r="JN19" s="188"/>
      <c r="JO19" s="188"/>
      <c r="JP19" s="188"/>
      <c r="JQ19" s="188"/>
      <c r="JR19" s="188"/>
      <c r="JS19" s="188"/>
      <c r="JT19" s="188"/>
      <c r="JU19" s="188"/>
      <c r="JV19" s="188"/>
      <c r="JW19" s="188"/>
      <c r="JX19" s="188"/>
      <c r="JY19" s="188"/>
      <c r="JZ19" s="188"/>
      <c r="KA19" s="188"/>
      <c r="KB19" s="188"/>
      <c r="KC19" s="172"/>
      <c r="KD19" s="173"/>
      <c r="KE19" s="174"/>
      <c r="KF19" s="174"/>
      <c r="KG19" s="174"/>
      <c r="KH19" s="174"/>
      <c r="KI19" s="174"/>
      <c r="KJ19" s="174"/>
      <c r="KK19" s="174"/>
      <c r="KL19" s="174"/>
      <c r="KM19" s="174"/>
      <c r="KN19" s="174"/>
      <c r="KO19" s="174"/>
      <c r="KP19" s="174"/>
      <c r="KQ19" s="174"/>
      <c r="KR19" s="174"/>
      <c r="KS19" s="174"/>
      <c r="KT19" s="174"/>
      <c r="KU19" s="174"/>
      <c r="KV19" s="174"/>
      <c r="KW19" s="174"/>
    </row>
    <row r="20">
      <c r="A20" s="101" t="s">
        <v>63</v>
      </c>
      <c r="B20" s="93">
        <v>239.0</v>
      </c>
      <c r="C20" s="89"/>
      <c r="D20" s="188"/>
      <c r="E20" s="188"/>
      <c r="F20" s="188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310"/>
      <c r="CE20" s="172">
        <f t="shared" si="1"/>
        <v>0</v>
      </c>
      <c r="CF20" s="173">
        <f t="shared" si="2"/>
        <v>0</v>
      </c>
      <c r="CH20" s="89"/>
      <c r="CI20" s="188"/>
      <c r="CJ20" s="188"/>
      <c r="CK20" s="188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95"/>
      <c r="EF20" s="178">
        <f t="shared" si="3"/>
        <v>0</v>
      </c>
      <c r="EG20" s="173">
        <f t="shared" si="4"/>
        <v>0</v>
      </c>
      <c r="EH20" s="174"/>
      <c r="EI20" s="104"/>
      <c r="EJ20" s="108"/>
      <c r="EK20" s="108"/>
      <c r="EL20" s="108"/>
      <c r="EM20" s="108"/>
      <c r="EN20" s="108"/>
      <c r="EO20" s="108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88"/>
      <c r="GH20" s="200">
        <f t="shared" si="5"/>
        <v>0</v>
      </c>
      <c r="GI20" s="173">
        <f t="shared" si="6"/>
        <v>0</v>
      </c>
      <c r="GJ20" s="174"/>
      <c r="GK20" s="191"/>
      <c r="GL20" s="181"/>
      <c r="GM20" s="181"/>
      <c r="GN20" s="181"/>
      <c r="GO20" s="181"/>
      <c r="GP20" s="181"/>
      <c r="GQ20" s="181"/>
      <c r="GR20" s="181"/>
      <c r="GS20" s="181"/>
      <c r="GT20" s="181"/>
      <c r="GU20" s="181"/>
      <c r="GV20" s="181"/>
      <c r="GW20" s="181"/>
      <c r="GX20" s="181"/>
      <c r="GY20" s="181"/>
      <c r="GZ20" s="181"/>
      <c r="HA20" s="181"/>
      <c r="HB20" s="316"/>
      <c r="HC20" s="316"/>
      <c r="HD20" s="181"/>
      <c r="HE20" s="181"/>
      <c r="HF20" s="181"/>
      <c r="HG20" s="181"/>
      <c r="HH20" s="181"/>
      <c r="HI20" s="181"/>
      <c r="HJ20" s="181"/>
      <c r="HK20" s="181"/>
      <c r="HL20" s="181"/>
      <c r="HM20" s="181"/>
      <c r="HN20" s="181"/>
      <c r="HO20" s="181"/>
      <c r="HP20" s="181"/>
      <c r="HQ20" s="181"/>
      <c r="HR20" s="181"/>
      <c r="HS20" s="181"/>
      <c r="HT20" s="181"/>
      <c r="HU20" s="181"/>
      <c r="HV20" s="181"/>
      <c r="HW20" s="181"/>
      <c r="HX20" s="181"/>
      <c r="HY20" s="181"/>
      <c r="HZ20" s="181"/>
      <c r="IA20" s="181"/>
      <c r="IB20" s="181"/>
      <c r="IC20" s="181"/>
      <c r="ID20" s="181"/>
      <c r="IE20" s="181"/>
      <c r="IF20" s="201"/>
      <c r="IG20" s="173"/>
      <c r="IH20" s="174"/>
      <c r="II20" s="317"/>
      <c r="IJ20" s="188"/>
      <c r="IK20" s="188"/>
      <c r="IL20" s="188"/>
      <c r="IM20" s="188"/>
      <c r="IN20" s="188"/>
      <c r="IO20" s="188"/>
      <c r="IP20" s="188"/>
      <c r="IQ20" s="188"/>
      <c r="IR20" s="188"/>
      <c r="IS20" s="188"/>
      <c r="IT20" s="188"/>
      <c r="IU20" s="188"/>
      <c r="IV20" s="188"/>
      <c r="IW20" s="188"/>
      <c r="IX20" s="188"/>
      <c r="IY20" s="188"/>
      <c r="IZ20" s="188"/>
      <c r="JA20" s="188"/>
      <c r="JB20" s="188"/>
      <c r="JC20" s="188"/>
      <c r="JD20" s="188"/>
      <c r="JE20" s="188"/>
      <c r="JF20" s="188"/>
      <c r="JG20" s="188"/>
      <c r="JH20" s="188"/>
      <c r="JI20" s="188"/>
      <c r="JJ20" s="188"/>
      <c r="JK20" s="188"/>
      <c r="JL20" s="188"/>
      <c r="JM20" s="188"/>
      <c r="JN20" s="188"/>
      <c r="JO20" s="188"/>
      <c r="JP20" s="188"/>
      <c r="JQ20" s="188"/>
      <c r="JR20" s="188"/>
      <c r="JS20" s="188"/>
      <c r="JT20" s="188"/>
      <c r="JU20" s="188"/>
      <c r="JV20" s="188"/>
      <c r="JW20" s="188"/>
      <c r="JX20" s="188"/>
      <c r="JY20" s="188"/>
      <c r="JZ20" s="188"/>
      <c r="KA20" s="188"/>
      <c r="KB20" s="188"/>
      <c r="KC20" s="172"/>
      <c r="KD20" s="173"/>
      <c r="KE20" s="174"/>
      <c r="KF20" s="174"/>
      <c r="KG20" s="174"/>
      <c r="KH20" s="174"/>
      <c r="KI20" s="174"/>
      <c r="KJ20" s="174"/>
      <c r="KK20" s="174"/>
      <c r="KL20" s="174"/>
      <c r="KM20" s="174"/>
      <c r="KN20" s="174"/>
      <c r="KO20" s="174"/>
      <c r="KP20" s="174"/>
      <c r="KQ20" s="174"/>
      <c r="KR20" s="174"/>
      <c r="KS20" s="174"/>
      <c r="KT20" s="174"/>
      <c r="KU20" s="174"/>
      <c r="KV20" s="174"/>
      <c r="KW20" s="174"/>
    </row>
    <row r="21">
      <c r="A21" s="101" t="s">
        <v>64</v>
      </c>
      <c r="B21" s="93">
        <v>239.0</v>
      </c>
      <c r="C21" s="89"/>
      <c r="D21" s="188"/>
      <c r="E21" s="188"/>
      <c r="F21" s="188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310"/>
      <c r="CE21" s="172">
        <f t="shared" si="1"/>
        <v>0</v>
      </c>
      <c r="CF21" s="173">
        <f t="shared" si="2"/>
        <v>0</v>
      </c>
      <c r="CH21" s="89"/>
      <c r="CI21" s="188"/>
      <c r="CJ21" s="188"/>
      <c r="CK21" s="188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96">
        <v>3.0</v>
      </c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1"/>
      <c r="EC21" s="171"/>
      <c r="ED21" s="171"/>
      <c r="EE21" s="95"/>
      <c r="EF21" s="178">
        <f t="shared" si="3"/>
        <v>3</v>
      </c>
      <c r="EG21" s="173">
        <f t="shared" si="4"/>
        <v>717</v>
      </c>
      <c r="EH21" s="174"/>
      <c r="EI21" s="104"/>
      <c r="EJ21" s="108"/>
      <c r="EK21" s="108"/>
      <c r="EL21" s="108"/>
      <c r="EM21" s="108"/>
      <c r="EN21" s="108"/>
      <c r="EO21" s="108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>
        <v>1.0</v>
      </c>
      <c r="GD21" s="194"/>
      <c r="GE21" s="194"/>
      <c r="GF21" s="194"/>
      <c r="GG21" s="188"/>
      <c r="GH21" s="200">
        <f t="shared" si="5"/>
        <v>1</v>
      </c>
      <c r="GI21" s="173">
        <f t="shared" si="6"/>
        <v>239</v>
      </c>
      <c r="GJ21" s="174"/>
      <c r="GK21" s="191"/>
      <c r="GL21" s="181"/>
      <c r="GM21" s="181"/>
      <c r="GN21" s="181"/>
      <c r="GO21" s="181"/>
      <c r="GP21" s="181"/>
      <c r="GQ21" s="181"/>
      <c r="GR21" s="181"/>
      <c r="GS21" s="181"/>
      <c r="GT21" s="181"/>
      <c r="GU21" s="181"/>
      <c r="GV21" s="181"/>
      <c r="GW21" s="181"/>
      <c r="GX21" s="181"/>
      <c r="GY21" s="181"/>
      <c r="GZ21" s="181"/>
      <c r="HA21" s="181"/>
      <c r="HB21" s="316"/>
      <c r="HC21" s="316"/>
      <c r="HD21" s="181"/>
      <c r="HE21" s="181"/>
      <c r="HF21" s="181"/>
      <c r="HG21" s="181"/>
      <c r="HH21" s="181"/>
      <c r="HI21" s="181"/>
      <c r="HJ21" s="181"/>
      <c r="HK21" s="181"/>
      <c r="HL21" s="181"/>
      <c r="HM21" s="181"/>
      <c r="HN21" s="181"/>
      <c r="HO21" s="181"/>
      <c r="HP21" s="181"/>
      <c r="HQ21" s="181"/>
      <c r="HR21" s="181"/>
      <c r="HS21" s="181"/>
      <c r="HT21" s="181"/>
      <c r="HU21" s="181"/>
      <c r="HV21" s="181"/>
      <c r="HW21" s="181"/>
      <c r="HX21" s="181"/>
      <c r="HY21" s="181"/>
      <c r="HZ21" s="181"/>
      <c r="IA21" s="181"/>
      <c r="IB21" s="181"/>
      <c r="IC21" s="181"/>
      <c r="ID21" s="181"/>
      <c r="IE21" s="181"/>
      <c r="IF21" s="201"/>
      <c r="IG21" s="173"/>
      <c r="IH21" s="174"/>
      <c r="II21" s="317"/>
      <c r="IJ21" s="188"/>
      <c r="IK21" s="188"/>
      <c r="IL21" s="188"/>
      <c r="IM21" s="188"/>
      <c r="IN21" s="188"/>
      <c r="IO21" s="188"/>
      <c r="IP21" s="188"/>
      <c r="IQ21" s="188"/>
      <c r="IR21" s="188"/>
      <c r="IS21" s="188"/>
      <c r="IT21" s="188"/>
      <c r="IU21" s="188"/>
      <c r="IV21" s="188"/>
      <c r="IW21" s="188"/>
      <c r="IX21" s="188"/>
      <c r="IY21" s="188"/>
      <c r="IZ21" s="188"/>
      <c r="JA21" s="188"/>
      <c r="JB21" s="188"/>
      <c r="JC21" s="188"/>
      <c r="JD21" s="188"/>
      <c r="JE21" s="188"/>
      <c r="JF21" s="188"/>
      <c r="JG21" s="188"/>
      <c r="JH21" s="188"/>
      <c r="JI21" s="188"/>
      <c r="JJ21" s="188"/>
      <c r="JK21" s="188"/>
      <c r="JL21" s="188"/>
      <c r="JM21" s="188"/>
      <c r="JN21" s="188"/>
      <c r="JO21" s="188"/>
      <c r="JP21" s="188"/>
      <c r="JQ21" s="188"/>
      <c r="JR21" s="188"/>
      <c r="JS21" s="188"/>
      <c r="JT21" s="188"/>
      <c r="JU21" s="188"/>
      <c r="JV21" s="188"/>
      <c r="JW21" s="188"/>
      <c r="JX21" s="188"/>
      <c r="JY21" s="188"/>
      <c r="JZ21" s="188"/>
      <c r="KA21" s="188"/>
      <c r="KB21" s="188"/>
      <c r="KC21" s="172"/>
      <c r="KD21" s="173"/>
      <c r="KE21" s="174"/>
      <c r="KF21" s="174"/>
      <c r="KG21" s="174"/>
      <c r="KH21" s="174"/>
      <c r="KI21" s="174"/>
      <c r="KJ21" s="174"/>
      <c r="KK21" s="174"/>
      <c r="KL21" s="174"/>
      <c r="KM21" s="174"/>
      <c r="KN21" s="174"/>
      <c r="KO21" s="174"/>
      <c r="KP21" s="174"/>
      <c r="KQ21" s="174"/>
      <c r="KR21" s="174"/>
      <c r="KS21" s="174"/>
      <c r="KT21" s="174"/>
      <c r="KU21" s="174"/>
      <c r="KV21" s="174"/>
      <c r="KW21" s="174"/>
    </row>
    <row r="22">
      <c r="A22" s="101" t="s">
        <v>65</v>
      </c>
      <c r="B22" s="93">
        <v>219.0</v>
      </c>
      <c r="C22" s="89"/>
      <c r="D22" s="188"/>
      <c r="E22" s="188"/>
      <c r="F22" s="188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96">
        <v>1.0</v>
      </c>
      <c r="AV22" s="196">
        <v>1.0</v>
      </c>
      <c r="AW22" s="171"/>
      <c r="AX22" s="171"/>
      <c r="AY22" s="171"/>
      <c r="AZ22" s="196">
        <v>1.0</v>
      </c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310"/>
      <c r="CE22" s="172">
        <f t="shared" si="1"/>
        <v>3</v>
      </c>
      <c r="CF22" s="173">
        <f t="shared" si="2"/>
        <v>657</v>
      </c>
      <c r="CH22" s="89"/>
      <c r="CI22" s="188"/>
      <c r="CJ22" s="188"/>
      <c r="CK22" s="188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1"/>
      <c r="EC22" s="171"/>
      <c r="ED22" s="171"/>
      <c r="EE22" s="95"/>
      <c r="EF22" s="178">
        <f t="shared" si="3"/>
        <v>0</v>
      </c>
      <c r="EG22" s="173">
        <f t="shared" si="4"/>
        <v>0</v>
      </c>
      <c r="EH22" s="174"/>
      <c r="EI22" s="104"/>
      <c r="EJ22" s="108"/>
      <c r="EK22" s="108"/>
      <c r="EL22" s="108"/>
      <c r="EM22" s="108"/>
      <c r="EN22" s="108"/>
      <c r="EO22" s="108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188"/>
      <c r="FQ22" s="188"/>
      <c r="FR22" s="188"/>
      <c r="FS22" s="188"/>
      <c r="FT22" s="188"/>
      <c r="FU22" s="188"/>
      <c r="FV22" s="188"/>
      <c r="FW22" s="188"/>
      <c r="FX22" s="188"/>
      <c r="FY22" s="188"/>
      <c r="FZ22" s="188"/>
      <c r="GA22" s="188"/>
      <c r="GB22" s="188"/>
      <c r="GC22" s="188"/>
      <c r="GD22" s="188"/>
      <c r="GE22" s="188"/>
      <c r="GF22" s="188"/>
      <c r="GG22" s="188"/>
      <c r="GH22" s="200">
        <f t="shared" si="5"/>
        <v>0</v>
      </c>
      <c r="GI22" s="173">
        <f t="shared" si="6"/>
        <v>0</v>
      </c>
      <c r="GJ22" s="174"/>
      <c r="GK22" s="191"/>
      <c r="GL22" s="181"/>
      <c r="GM22" s="181"/>
      <c r="GN22" s="181"/>
      <c r="GO22" s="181"/>
      <c r="GP22" s="181"/>
      <c r="GQ22" s="181"/>
      <c r="GR22" s="181"/>
      <c r="GS22" s="181"/>
      <c r="GT22" s="181"/>
      <c r="GU22" s="181"/>
      <c r="GV22" s="181"/>
      <c r="GW22" s="181"/>
      <c r="GX22" s="181"/>
      <c r="GY22" s="181"/>
      <c r="GZ22" s="181"/>
      <c r="HA22" s="181"/>
      <c r="HB22" s="316"/>
      <c r="HC22" s="316"/>
      <c r="HD22" s="181"/>
      <c r="HE22" s="181"/>
      <c r="HF22" s="181"/>
      <c r="HG22" s="181"/>
      <c r="HH22" s="181"/>
      <c r="HI22" s="181"/>
      <c r="HJ22" s="181"/>
      <c r="HK22" s="181"/>
      <c r="HL22" s="181"/>
      <c r="HM22" s="181"/>
      <c r="HN22" s="181"/>
      <c r="HO22" s="181"/>
      <c r="HP22" s="181"/>
      <c r="HQ22" s="181"/>
      <c r="HR22" s="181"/>
      <c r="HS22" s="181"/>
      <c r="HT22" s="181"/>
      <c r="HU22" s="181"/>
      <c r="HV22" s="181"/>
      <c r="HW22" s="181"/>
      <c r="HX22" s="181"/>
      <c r="HY22" s="181"/>
      <c r="HZ22" s="181"/>
      <c r="IA22" s="181"/>
      <c r="IB22" s="181"/>
      <c r="IC22" s="181"/>
      <c r="ID22" s="181"/>
      <c r="IE22" s="181"/>
      <c r="IF22" s="201"/>
      <c r="IG22" s="173"/>
      <c r="IH22" s="174"/>
      <c r="II22" s="317"/>
      <c r="IJ22" s="188"/>
      <c r="IK22" s="188"/>
      <c r="IL22" s="188"/>
      <c r="IM22" s="188"/>
      <c r="IN22" s="188"/>
      <c r="IO22" s="188"/>
      <c r="IP22" s="188"/>
      <c r="IQ22" s="188"/>
      <c r="IR22" s="188"/>
      <c r="IS22" s="188"/>
      <c r="IT22" s="188"/>
      <c r="IU22" s="188"/>
      <c r="IV22" s="188"/>
      <c r="IW22" s="188"/>
      <c r="IX22" s="188"/>
      <c r="IY22" s="188"/>
      <c r="IZ22" s="188"/>
      <c r="JA22" s="188"/>
      <c r="JB22" s="188"/>
      <c r="JC22" s="188"/>
      <c r="JD22" s="188"/>
      <c r="JE22" s="188"/>
      <c r="JF22" s="188"/>
      <c r="JG22" s="188"/>
      <c r="JH22" s="188"/>
      <c r="JI22" s="188"/>
      <c r="JJ22" s="188"/>
      <c r="JK22" s="188"/>
      <c r="JL22" s="188"/>
      <c r="JM22" s="188"/>
      <c r="JN22" s="188"/>
      <c r="JO22" s="188"/>
      <c r="JP22" s="188"/>
      <c r="JQ22" s="188"/>
      <c r="JR22" s="188"/>
      <c r="JS22" s="188"/>
      <c r="JT22" s="188"/>
      <c r="JU22" s="188"/>
      <c r="JV22" s="188"/>
      <c r="JW22" s="188"/>
      <c r="JX22" s="188"/>
      <c r="JY22" s="188"/>
      <c r="JZ22" s="188"/>
      <c r="KA22" s="188"/>
      <c r="KB22" s="188"/>
      <c r="KC22" s="172"/>
      <c r="KD22" s="173"/>
      <c r="KE22" s="174"/>
      <c r="KF22" s="174"/>
      <c r="KG22" s="174"/>
      <c r="KH22" s="174"/>
      <c r="KI22" s="174"/>
      <c r="KJ22" s="174"/>
      <c r="KK22" s="174"/>
      <c r="KL22" s="174"/>
      <c r="KM22" s="174"/>
      <c r="KN22" s="174"/>
      <c r="KO22" s="174"/>
      <c r="KP22" s="174"/>
      <c r="KQ22" s="174"/>
      <c r="KR22" s="174"/>
      <c r="KS22" s="174"/>
      <c r="KT22" s="174"/>
      <c r="KU22" s="174"/>
      <c r="KV22" s="174"/>
      <c r="KW22" s="174"/>
    </row>
    <row r="23">
      <c r="A23" s="101" t="s">
        <v>66</v>
      </c>
      <c r="B23" s="93">
        <v>219.0</v>
      </c>
      <c r="C23" s="89"/>
      <c r="D23" s="188"/>
      <c r="E23" s="188"/>
      <c r="F23" s="188"/>
      <c r="G23" s="171"/>
      <c r="H23" s="196" t="s">
        <v>543</v>
      </c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96">
        <v>1.0</v>
      </c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310"/>
      <c r="CE23" s="172">
        <f t="shared" si="1"/>
        <v>1</v>
      </c>
      <c r="CF23" s="173">
        <f t="shared" si="2"/>
        <v>219</v>
      </c>
      <c r="CH23" s="89"/>
      <c r="CI23" s="188"/>
      <c r="CJ23" s="188"/>
      <c r="CK23" s="188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95"/>
      <c r="EF23" s="178">
        <f t="shared" si="3"/>
        <v>0</v>
      </c>
      <c r="EG23" s="173">
        <f t="shared" si="4"/>
        <v>0</v>
      </c>
      <c r="EH23" s="174"/>
      <c r="EI23" s="104"/>
      <c r="EJ23" s="108"/>
      <c r="EK23" s="108"/>
      <c r="EL23" s="108"/>
      <c r="EM23" s="108"/>
      <c r="EN23" s="108"/>
      <c r="EO23" s="108"/>
      <c r="EP23" s="319"/>
      <c r="EQ23" s="319"/>
      <c r="ER23" s="319"/>
      <c r="ES23" s="319"/>
      <c r="ET23" s="319"/>
      <c r="EU23" s="319"/>
      <c r="EV23" s="319"/>
      <c r="EW23" s="319"/>
      <c r="EX23" s="319"/>
      <c r="EY23" s="319"/>
      <c r="EZ23" s="319"/>
      <c r="FA23" s="319"/>
      <c r="FB23" s="319"/>
      <c r="FC23" s="319"/>
      <c r="FD23" s="319"/>
      <c r="FE23" s="319"/>
      <c r="FF23" s="319"/>
      <c r="FG23" s="319"/>
      <c r="FH23" s="319"/>
      <c r="FI23" s="319"/>
      <c r="FJ23" s="319"/>
      <c r="FK23" s="319"/>
      <c r="FL23" s="319"/>
      <c r="FM23" s="319"/>
      <c r="FN23" s="319"/>
      <c r="FO23" s="319"/>
      <c r="FP23" s="188"/>
      <c r="FQ23" s="188"/>
      <c r="FR23" s="188"/>
      <c r="FS23" s="188"/>
      <c r="FT23" s="188"/>
      <c r="FU23" s="188"/>
      <c r="FV23" s="188"/>
      <c r="FW23" s="188"/>
      <c r="FX23" s="188"/>
      <c r="FY23" s="188"/>
      <c r="FZ23" s="188"/>
      <c r="GA23" s="188"/>
      <c r="GB23" s="188"/>
      <c r="GC23" s="188"/>
      <c r="GD23" s="188"/>
      <c r="GE23" s="188"/>
      <c r="GF23" s="188"/>
      <c r="GG23" s="188"/>
      <c r="GH23" s="200">
        <f t="shared" si="5"/>
        <v>0</v>
      </c>
      <c r="GI23" s="173">
        <f t="shared" si="6"/>
        <v>0</v>
      </c>
      <c r="GJ23" s="174"/>
      <c r="GK23" s="191"/>
      <c r="GL23" s="181"/>
      <c r="GM23" s="181"/>
      <c r="GN23" s="181"/>
      <c r="GO23" s="181"/>
      <c r="GP23" s="181"/>
      <c r="GQ23" s="181"/>
      <c r="GR23" s="181"/>
      <c r="GS23" s="181"/>
      <c r="GT23" s="181"/>
      <c r="GU23" s="181"/>
      <c r="GV23" s="181"/>
      <c r="GW23" s="181"/>
      <c r="GX23" s="181"/>
      <c r="GY23" s="181"/>
      <c r="GZ23" s="181"/>
      <c r="HA23" s="181"/>
      <c r="HB23" s="316"/>
      <c r="HC23" s="316"/>
      <c r="HD23" s="181"/>
      <c r="HE23" s="181"/>
      <c r="HF23" s="181"/>
      <c r="HG23" s="181"/>
      <c r="HH23" s="181"/>
      <c r="HI23" s="181"/>
      <c r="HJ23" s="181"/>
      <c r="HK23" s="181"/>
      <c r="HL23" s="181"/>
      <c r="HM23" s="181"/>
      <c r="HN23" s="181"/>
      <c r="HO23" s="181"/>
      <c r="HP23" s="181"/>
      <c r="HQ23" s="181"/>
      <c r="HR23" s="181"/>
      <c r="HS23" s="181"/>
      <c r="HT23" s="181"/>
      <c r="HU23" s="181"/>
      <c r="HV23" s="181"/>
      <c r="HW23" s="181"/>
      <c r="HX23" s="181"/>
      <c r="HY23" s="181"/>
      <c r="HZ23" s="181"/>
      <c r="IA23" s="181"/>
      <c r="IB23" s="181"/>
      <c r="IC23" s="181"/>
      <c r="ID23" s="181"/>
      <c r="IE23" s="181"/>
      <c r="IF23" s="201"/>
      <c r="IG23" s="173"/>
      <c r="IH23" s="174"/>
      <c r="II23" s="317"/>
      <c r="IJ23" s="188"/>
      <c r="IK23" s="188"/>
      <c r="IL23" s="188"/>
      <c r="IM23" s="188"/>
      <c r="IN23" s="188"/>
      <c r="IO23" s="188"/>
      <c r="IP23" s="188"/>
      <c r="IQ23" s="321">
        <v>1.0</v>
      </c>
      <c r="IR23" s="188"/>
      <c r="IS23" s="188"/>
      <c r="IT23" s="188"/>
      <c r="IU23" s="188"/>
      <c r="IV23" s="188"/>
      <c r="IW23" s="188"/>
      <c r="IX23" s="188"/>
      <c r="IY23" s="188"/>
      <c r="IZ23" s="188"/>
      <c r="JA23" s="188"/>
      <c r="JB23" s="188"/>
      <c r="JC23" s="188"/>
      <c r="JD23" s="188"/>
      <c r="JE23" s="188"/>
      <c r="JF23" s="188"/>
      <c r="JG23" s="188"/>
      <c r="JH23" s="188"/>
      <c r="JI23" s="188"/>
      <c r="JJ23" s="188"/>
      <c r="JK23" s="188"/>
      <c r="JL23" s="188"/>
      <c r="JM23" s="188"/>
      <c r="JN23" s="188"/>
      <c r="JO23" s="188"/>
      <c r="JP23" s="188"/>
      <c r="JQ23" s="188"/>
      <c r="JR23" s="188"/>
      <c r="JS23" s="188"/>
      <c r="JT23" s="188"/>
      <c r="JU23" s="188"/>
      <c r="JV23" s="188"/>
      <c r="JW23" s="188"/>
      <c r="JX23" s="188"/>
      <c r="JY23" s="188"/>
      <c r="JZ23" s="188"/>
      <c r="KA23" s="188"/>
      <c r="KB23" s="188"/>
      <c r="KC23" s="172"/>
      <c r="KD23" s="173"/>
      <c r="KE23" s="174"/>
      <c r="KF23" s="174"/>
      <c r="KG23" s="174"/>
      <c r="KH23" s="174"/>
      <c r="KI23" s="174"/>
      <c r="KJ23" s="174"/>
      <c r="KK23" s="174"/>
      <c r="KL23" s="174"/>
      <c r="KM23" s="174"/>
      <c r="KN23" s="174"/>
      <c r="KO23" s="174"/>
      <c r="KP23" s="174"/>
      <c r="KQ23" s="174"/>
      <c r="KR23" s="174"/>
      <c r="KS23" s="174"/>
      <c r="KT23" s="174"/>
      <c r="KU23" s="174"/>
      <c r="KV23" s="174"/>
      <c r="KW23" s="174"/>
    </row>
    <row r="24">
      <c r="A24" s="101" t="s">
        <v>67</v>
      </c>
      <c r="B24" s="93">
        <v>219.0</v>
      </c>
      <c r="C24" s="89"/>
      <c r="D24" s="188"/>
      <c r="E24" s="188"/>
      <c r="F24" s="188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310"/>
      <c r="CE24" s="172">
        <f t="shared" si="1"/>
        <v>0</v>
      </c>
      <c r="CF24" s="173">
        <f t="shared" si="2"/>
        <v>0</v>
      </c>
      <c r="CH24" s="89"/>
      <c r="CI24" s="188"/>
      <c r="CJ24" s="188"/>
      <c r="CK24" s="188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95"/>
      <c r="EF24" s="178">
        <f t="shared" si="3"/>
        <v>0</v>
      </c>
      <c r="EG24" s="173">
        <f t="shared" si="4"/>
        <v>0</v>
      </c>
      <c r="EH24" s="174"/>
      <c r="EI24" s="104"/>
      <c r="EJ24" s="108"/>
      <c r="EK24" s="108"/>
      <c r="EL24" s="108"/>
      <c r="EM24" s="108"/>
      <c r="EN24" s="108"/>
      <c r="EO24" s="108"/>
      <c r="EP24" s="319"/>
      <c r="EQ24" s="319"/>
      <c r="ER24" s="319"/>
      <c r="ES24" s="319"/>
      <c r="ET24" s="319"/>
      <c r="EU24" s="319"/>
      <c r="EV24" s="319"/>
      <c r="EW24" s="319"/>
      <c r="EX24" s="319"/>
      <c r="EY24" s="319"/>
      <c r="EZ24" s="319"/>
      <c r="FA24" s="319"/>
      <c r="FB24" s="319"/>
      <c r="FC24" s="319"/>
      <c r="FD24" s="319"/>
      <c r="FE24" s="319"/>
      <c r="FF24" s="319"/>
      <c r="FG24" s="319"/>
      <c r="FH24" s="319"/>
      <c r="FI24" s="319"/>
      <c r="FJ24" s="319"/>
      <c r="FK24" s="319"/>
      <c r="FL24" s="319"/>
      <c r="FM24" s="319"/>
      <c r="FN24" s="319"/>
      <c r="FO24" s="319"/>
      <c r="FP24" s="188"/>
      <c r="FQ24" s="188"/>
      <c r="FR24" s="188"/>
      <c r="FS24" s="188"/>
      <c r="FT24" s="188"/>
      <c r="FU24" s="188"/>
      <c r="FV24" s="188"/>
      <c r="FW24" s="188"/>
      <c r="FX24" s="188"/>
      <c r="FY24" s="188"/>
      <c r="FZ24" s="188"/>
      <c r="GA24" s="188"/>
      <c r="GB24" s="188"/>
      <c r="GC24" s="188"/>
      <c r="GD24" s="188"/>
      <c r="GE24" s="188"/>
      <c r="GF24" s="188"/>
      <c r="GG24" s="188"/>
      <c r="GH24" s="200">
        <f t="shared" si="5"/>
        <v>0</v>
      </c>
      <c r="GI24" s="173">
        <f t="shared" si="6"/>
        <v>0</v>
      </c>
      <c r="GJ24" s="174"/>
      <c r="GK24" s="191"/>
      <c r="GL24" s="181"/>
      <c r="GM24" s="181"/>
      <c r="GN24" s="181"/>
      <c r="GO24" s="181"/>
      <c r="GP24" s="181"/>
      <c r="GQ24" s="181"/>
      <c r="GR24" s="181"/>
      <c r="GS24" s="181"/>
      <c r="GT24" s="181"/>
      <c r="GU24" s="181"/>
      <c r="GV24" s="181"/>
      <c r="GW24" s="181"/>
      <c r="GX24" s="181"/>
      <c r="GY24" s="320">
        <v>1.0</v>
      </c>
      <c r="GZ24" s="181"/>
      <c r="HA24" s="181"/>
      <c r="HB24" s="316"/>
      <c r="HC24" s="316"/>
      <c r="HD24" s="181"/>
      <c r="HE24" s="181"/>
      <c r="HF24" s="181"/>
      <c r="HG24" s="181"/>
      <c r="HH24" s="181"/>
      <c r="HI24" s="181"/>
      <c r="HJ24" s="181"/>
      <c r="HK24" s="181"/>
      <c r="HL24" s="181"/>
      <c r="HM24" s="181"/>
      <c r="HN24" s="181"/>
      <c r="HO24" s="181"/>
      <c r="HP24" s="181"/>
      <c r="HQ24" s="181"/>
      <c r="HR24" s="181"/>
      <c r="HS24" s="181"/>
      <c r="HT24" s="181"/>
      <c r="HU24" s="181"/>
      <c r="HV24" s="181"/>
      <c r="HW24" s="181"/>
      <c r="HX24" s="181"/>
      <c r="HY24" s="181"/>
      <c r="HZ24" s="181"/>
      <c r="IA24" s="181"/>
      <c r="IB24" s="181"/>
      <c r="IC24" s="181"/>
      <c r="ID24" s="181"/>
      <c r="IE24" s="181"/>
      <c r="IF24" s="201"/>
      <c r="IG24" s="173"/>
      <c r="IH24" s="174"/>
      <c r="II24" s="317"/>
      <c r="IJ24" s="188"/>
      <c r="IK24" s="188"/>
      <c r="IL24" s="188"/>
      <c r="IM24" s="188"/>
      <c r="IN24" s="188"/>
      <c r="IO24" s="188"/>
      <c r="IP24" s="188"/>
      <c r="IQ24" s="188"/>
      <c r="IR24" s="188"/>
      <c r="IS24" s="188"/>
      <c r="IT24" s="188"/>
      <c r="IU24" s="188"/>
      <c r="IV24" s="188"/>
      <c r="IW24" s="188"/>
      <c r="IX24" s="188"/>
      <c r="IY24" s="188"/>
      <c r="IZ24" s="188"/>
      <c r="JA24" s="188"/>
      <c r="JB24" s="188"/>
      <c r="JC24" s="188"/>
      <c r="JD24" s="188"/>
      <c r="JE24" s="188"/>
      <c r="JF24" s="188"/>
      <c r="JG24" s="188"/>
      <c r="JH24" s="188"/>
      <c r="JI24" s="188"/>
      <c r="JJ24" s="188"/>
      <c r="JK24" s="188"/>
      <c r="JL24" s="188"/>
      <c r="JM24" s="188"/>
      <c r="JN24" s="188"/>
      <c r="JO24" s="188"/>
      <c r="JP24" s="188"/>
      <c r="JQ24" s="188"/>
      <c r="JR24" s="188"/>
      <c r="JS24" s="188"/>
      <c r="JT24" s="188"/>
      <c r="JU24" s="188"/>
      <c r="JV24" s="188"/>
      <c r="JW24" s="188"/>
      <c r="JX24" s="188"/>
      <c r="JY24" s="188"/>
      <c r="JZ24" s="188"/>
      <c r="KA24" s="188"/>
      <c r="KB24" s="188"/>
      <c r="KC24" s="172"/>
      <c r="KD24" s="173"/>
      <c r="KE24" s="174"/>
      <c r="KF24" s="174"/>
      <c r="KG24" s="174"/>
      <c r="KH24" s="174"/>
      <c r="KI24" s="174"/>
      <c r="KJ24" s="174"/>
      <c r="KK24" s="174"/>
      <c r="KL24" s="174"/>
      <c r="KM24" s="174"/>
      <c r="KN24" s="174"/>
      <c r="KO24" s="174"/>
      <c r="KP24" s="174"/>
      <c r="KQ24" s="174"/>
      <c r="KR24" s="174"/>
      <c r="KS24" s="174"/>
      <c r="KT24" s="174"/>
      <c r="KU24" s="174"/>
      <c r="KV24" s="174"/>
      <c r="KW24" s="174"/>
    </row>
    <row r="25" hidden="1">
      <c r="A25" s="101" t="s">
        <v>68</v>
      </c>
      <c r="B25" s="93">
        <v>219.0</v>
      </c>
      <c r="C25" s="89"/>
      <c r="D25" s="188"/>
      <c r="E25" s="188"/>
      <c r="F25" s="188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310"/>
      <c r="CE25" s="172">
        <f t="shared" si="1"/>
        <v>0</v>
      </c>
      <c r="CF25" s="173">
        <f t="shared" si="2"/>
        <v>0</v>
      </c>
      <c r="CH25" s="89"/>
      <c r="CI25" s="188"/>
      <c r="CJ25" s="188"/>
      <c r="CK25" s="188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95"/>
      <c r="EF25" s="178">
        <f t="shared" si="3"/>
        <v>0</v>
      </c>
      <c r="EG25" s="173">
        <f t="shared" si="4"/>
        <v>0</v>
      </c>
      <c r="EH25" s="174"/>
      <c r="EI25" s="104"/>
      <c r="EJ25" s="108"/>
      <c r="EK25" s="108"/>
      <c r="EL25" s="108"/>
      <c r="EM25" s="108"/>
      <c r="EN25" s="108"/>
      <c r="EO25" s="108"/>
      <c r="EP25" s="319"/>
      <c r="EQ25" s="319"/>
      <c r="ER25" s="319"/>
      <c r="ES25" s="319"/>
      <c r="ET25" s="319"/>
      <c r="EU25" s="319"/>
      <c r="EV25" s="319"/>
      <c r="EW25" s="319"/>
      <c r="EX25" s="319"/>
      <c r="EY25" s="319"/>
      <c r="EZ25" s="319"/>
      <c r="FA25" s="319"/>
      <c r="FB25" s="319"/>
      <c r="FC25" s="319"/>
      <c r="FD25" s="319"/>
      <c r="FE25" s="319"/>
      <c r="FF25" s="319"/>
      <c r="FG25" s="319"/>
      <c r="FH25" s="319"/>
      <c r="FI25" s="319"/>
      <c r="FJ25" s="319"/>
      <c r="FK25" s="319"/>
      <c r="FL25" s="319"/>
      <c r="FM25" s="319"/>
      <c r="FN25" s="319"/>
      <c r="FO25" s="319"/>
      <c r="FP25" s="188"/>
      <c r="FQ25" s="188"/>
      <c r="FR25" s="188"/>
      <c r="FS25" s="188"/>
      <c r="FT25" s="188"/>
      <c r="FU25" s="188"/>
      <c r="FV25" s="188"/>
      <c r="FW25" s="188"/>
      <c r="FX25" s="188"/>
      <c r="FY25" s="188"/>
      <c r="FZ25" s="188"/>
      <c r="GA25" s="188"/>
      <c r="GB25" s="188"/>
      <c r="GC25" s="188"/>
      <c r="GD25" s="188"/>
      <c r="GE25" s="188"/>
      <c r="GF25" s="188"/>
      <c r="GG25" s="188"/>
      <c r="GH25" s="200">
        <f t="shared" si="5"/>
        <v>0</v>
      </c>
      <c r="GI25" s="173">
        <f t="shared" si="6"/>
        <v>0</v>
      </c>
      <c r="GJ25" s="174"/>
      <c r="GK25" s="191"/>
      <c r="GL25" s="181"/>
      <c r="GM25" s="181"/>
      <c r="GN25" s="181"/>
      <c r="GO25" s="181"/>
      <c r="GP25" s="181"/>
      <c r="GQ25" s="181"/>
      <c r="GR25" s="181"/>
      <c r="GS25" s="181"/>
      <c r="GT25" s="181"/>
      <c r="GU25" s="181"/>
      <c r="GV25" s="181"/>
      <c r="GW25" s="181"/>
      <c r="GX25" s="181"/>
      <c r="GY25" s="181"/>
      <c r="GZ25" s="181"/>
      <c r="HA25" s="181"/>
      <c r="HB25" s="316"/>
      <c r="HC25" s="316"/>
      <c r="HD25" s="181"/>
      <c r="HE25" s="181"/>
      <c r="HF25" s="181"/>
      <c r="HG25" s="181"/>
      <c r="HH25" s="181"/>
      <c r="HI25" s="181"/>
      <c r="HJ25" s="181"/>
      <c r="HK25" s="181"/>
      <c r="HL25" s="181"/>
      <c r="HM25" s="181"/>
      <c r="HN25" s="181"/>
      <c r="HO25" s="181"/>
      <c r="HP25" s="181"/>
      <c r="HQ25" s="181"/>
      <c r="HR25" s="181"/>
      <c r="HS25" s="181"/>
      <c r="HT25" s="181"/>
      <c r="HU25" s="181"/>
      <c r="HV25" s="181"/>
      <c r="HW25" s="181"/>
      <c r="HX25" s="181"/>
      <c r="HY25" s="181"/>
      <c r="HZ25" s="181"/>
      <c r="IA25" s="181"/>
      <c r="IB25" s="181"/>
      <c r="IC25" s="181"/>
      <c r="ID25" s="181"/>
      <c r="IE25" s="181"/>
      <c r="IF25" s="201"/>
      <c r="IG25" s="173"/>
      <c r="IH25" s="174"/>
      <c r="II25" s="317"/>
      <c r="IJ25" s="188"/>
      <c r="IK25" s="188"/>
      <c r="IL25" s="188"/>
      <c r="IM25" s="188"/>
      <c r="IN25" s="188"/>
      <c r="IO25" s="188"/>
      <c r="IP25" s="188"/>
      <c r="IQ25" s="188"/>
      <c r="IR25" s="188"/>
      <c r="IS25" s="188"/>
      <c r="IT25" s="188"/>
      <c r="IU25" s="188"/>
      <c r="IV25" s="188"/>
      <c r="IW25" s="188"/>
      <c r="IX25" s="188"/>
      <c r="IY25" s="188"/>
      <c r="IZ25" s="188"/>
      <c r="JA25" s="188"/>
      <c r="JB25" s="188"/>
      <c r="JC25" s="188"/>
      <c r="JD25" s="188"/>
      <c r="JE25" s="188"/>
      <c r="JF25" s="188"/>
      <c r="JG25" s="188"/>
      <c r="JH25" s="188"/>
      <c r="JI25" s="188"/>
      <c r="JJ25" s="188"/>
      <c r="JK25" s="188"/>
      <c r="JL25" s="188"/>
      <c r="JM25" s="188"/>
      <c r="JN25" s="188"/>
      <c r="JO25" s="188"/>
      <c r="JP25" s="188"/>
      <c r="JQ25" s="188"/>
      <c r="JR25" s="188"/>
      <c r="JS25" s="188"/>
      <c r="JT25" s="188"/>
      <c r="JU25" s="188"/>
      <c r="JV25" s="188"/>
      <c r="JW25" s="188"/>
      <c r="JX25" s="188"/>
      <c r="JY25" s="188"/>
      <c r="JZ25" s="188"/>
      <c r="KA25" s="188"/>
      <c r="KB25" s="188"/>
      <c r="KC25" s="172"/>
      <c r="KD25" s="173"/>
      <c r="KE25" s="174"/>
      <c r="KF25" s="174"/>
      <c r="KG25" s="174"/>
      <c r="KH25" s="174"/>
      <c r="KI25" s="174"/>
      <c r="KJ25" s="174"/>
      <c r="KK25" s="174"/>
      <c r="KL25" s="174"/>
      <c r="KM25" s="174"/>
      <c r="KN25" s="174"/>
      <c r="KO25" s="174"/>
      <c r="KP25" s="174"/>
      <c r="KQ25" s="174"/>
      <c r="KR25" s="174"/>
      <c r="KS25" s="174"/>
      <c r="KT25" s="174"/>
      <c r="KU25" s="174"/>
      <c r="KV25" s="174"/>
      <c r="KW25" s="174"/>
    </row>
    <row r="26" hidden="1">
      <c r="A26" s="101" t="s">
        <v>69</v>
      </c>
      <c r="B26" s="93">
        <v>219.0</v>
      </c>
      <c r="C26" s="89"/>
      <c r="D26" s="188"/>
      <c r="E26" s="188"/>
      <c r="F26" s="188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310"/>
      <c r="CE26" s="172">
        <f t="shared" si="1"/>
        <v>0</v>
      </c>
      <c r="CF26" s="173">
        <f t="shared" si="2"/>
        <v>0</v>
      </c>
      <c r="CH26" s="89"/>
      <c r="CI26" s="188"/>
      <c r="CJ26" s="188"/>
      <c r="CK26" s="188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1"/>
      <c r="DZ26" s="171"/>
      <c r="EA26" s="171"/>
      <c r="EB26" s="171"/>
      <c r="EC26" s="171"/>
      <c r="ED26" s="171"/>
      <c r="EE26" s="95"/>
      <c r="EF26" s="178">
        <f t="shared" si="3"/>
        <v>0</v>
      </c>
      <c r="EG26" s="173">
        <f t="shared" si="4"/>
        <v>0</v>
      </c>
      <c r="EH26" s="174"/>
      <c r="EI26" s="104"/>
      <c r="EJ26" s="108"/>
      <c r="EK26" s="108"/>
      <c r="EL26" s="108"/>
      <c r="EM26" s="108"/>
      <c r="EN26" s="108"/>
      <c r="EO26" s="108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319"/>
      <c r="FJ26" s="319"/>
      <c r="FK26" s="319"/>
      <c r="FL26" s="319"/>
      <c r="FM26" s="319"/>
      <c r="FN26" s="319"/>
      <c r="FO26" s="319"/>
      <c r="FP26" s="188"/>
      <c r="FQ26" s="188"/>
      <c r="FR26" s="188"/>
      <c r="FS26" s="188"/>
      <c r="FT26" s="188"/>
      <c r="FU26" s="188"/>
      <c r="FV26" s="188"/>
      <c r="FW26" s="188"/>
      <c r="FX26" s="188"/>
      <c r="FY26" s="188"/>
      <c r="FZ26" s="188"/>
      <c r="GA26" s="188"/>
      <c r="GB26" s="188"/>
      <c r="GC26" s="188"/>
      <c r="GD26" s="188"/>
      <c r="GE26" s="188"/>
      <c r="GF26" s="188"/>
      <c r="GG26" s="188"/>
      <c r="GH26" s="200">
        <f t="shared" si="5"/>
        <v>0</v>
      </c>
      <c r="GI26" s="173">
        <f t="shared" si="6"/>
        <v>0</v>
      </c>
      <c r="GJ26" s="174"/>
      <c r="GK26" s="191"/>
      <c r="GL26" s="181"/>
      <c r="GM26" s="181"/>
      <c r="GN26" s="181"/>
      <c r="GO26" s="181"/>
      <c r="GP26" s="181"/>
      <c r="GQ26" s="181"/>
      <c r="GR26" s="181"/>
      <c r="GS26" s="181"/>
      <c r="GT26" s="181"/>
      <c r="GU26" s="181"/>
      <c r="GV26" s="181"/>
      <c r="GW26" s="181"/>
      <c r="GX26" s="181"/>
      <c r="GY26" s="181"/>
      <c r="GZ26" s="181"/>
      <c r="HA26" s="181"/>
      <c r="HB26" s="316"/>
      <c r="HC26" s="316"/>
      <c r="HD26" s="181"/>
      <c r="HE26" s="181"/>
      <c r="HF26" s="181"/>
      <c r="HG26" s="181"/>
      <c r="HH26" s="181"/>
      <c r="HI26" s="181"/>
      <c r="HJ26" s="181"/>
      <c r="HK26" s="181"/>
      <c r="HL26" s="181"/>
      <c r="HM26" s="181"/>
      <c r="HN26" s="181"/>
      <c r="HO26" s="181"/>
      <c r="HP26" s="181"/>
      <c r="HQ26" s="181"/>
      <c r="HR26" s="181"/>
      <c r="HS26" s="181"/>
      <c r="HT26" s="181"/>
      <c r="HU26" s="181"/>
      <c r="HV26" s="181"/>
      <c r="HW26" s="181"/>
      <c r="HX26" s="181"/>
      <c r="HY26" s="181"/>
      <c r="HZ26" s="181"/>
      <c r="IA26" s="181"/>
      <c r="IB26" s="181"/>
      <c r="IC26" s="181"/>
      <c r="ID26" s="181"/>
      <c r="IE26" s="181"/>
      <c r="IF26" s="201"/>
      <c r="IG26" s="173"/>
      <c r="IH26" s="174"/>
      <c r="II26" s="317"/>
      <c r="IJ26" s="188"/>
      <c r="IK26" s="188"/>
      <c r="IL26" s="188"/>
      <c r="IM26" s="188"/>
      <c r="IN26" s="188"/>
      <c r="IO26" s="188"/>
      <c r="IP26" s="188"/>
      <c r="IQ26" s="188"/>
      <c r="IR26" s="188"/>
      <c r="IS26" s="188"/>
      <c r="IT26" s="188"/>
      <c r="IU26" s="188"/>
      <c r="IV26" s="188"/>
      <c r="IW26" s="188"/>
      <c r="IX26" s="188"/>
      <c r="IY26" s="188"/>
      <c r="IZ26" s="188"/>
      <c r="JA26" s="188"/>
      <c r="JB26" s="188"/>
      <c r="JC26" s="188"/>
      <c r="JD26" s="188"/>
      <c r="JE26" s="188"/>
      <c r="JF26" s="188"/>
      <c r="JG26" s="188"/>
      <c r="JH26" s="188"/>
      <c r="JI26" s="188"/>
      <c r="JJ26" s="188"/>
      <c r="JK26" s="188"/>
      <c r="JL26" s="188"/>
      <c r="JM26" s="188"/>
      <c r="JN26" s="188"/>
      <c r="JO26" s="188"/>
      <c r="JP26" s="188"/>
      <c r="JQ26" s="188"/>
      <c r="JR26" s="188"/>
      <c r="JS26" s="188"/>
      <c r="JT26" s="188"/>
      <c r="JU26" s="188"/>
      <c r="JV26" s="188"/>
      <c r="JW26" s="188"/>
      <c r="JX26" s="188"/>
      <c r="JY26" s="188"/>
      <c r="JZ26" s="188"/>
      <c r="KA26" s="188"/>
      <c r="KB26" s="188"/>
      <c r="KC26" s="172"/>
      <c r="KD26" s="173"/>
      <c r="KE26" s="174"/>
      <c r="KF26" s="174"/>
      <c r="KG26" s="174"/>
      <c r="KH26" s="174"/>
      <c r="KI26" s="174"/>
      <c r="KJ26" s="174"/>
      <c r="KK26" s="174"/>
      <c r="KL26" s="174"/>
      <c r="KM26" s="174"/>
      <c r="KN26" s="174"/>
      <c r="KO26" s="174"/>
      <c r="KP26" s="174"/>
      <c r="KQ26" s="174"/>
      <c r="KR26" s="174"/>
      <c r="KS26" s="174"/>
      <c r="KT26" s="174"/>
      <c r="KU26" s="174"/>
      <c r="KV26" s="174"/>
      <c r="KW26" s="174"/>
    </row>
    <row r="27">
      <c r="A27" s="101" t="s">
        <v>70</v>
      </c>
      <c r="B27" s="93">
        <v>799.0</v>
      </c>
      <c r="C27" s="89"/>
      <c r="D27" s="188"/>
      <c r="E27" s="188"/>
      <c r="F27" s="188"/>
      <c r="G27" s="171"/>
      <c r="H27" s="171"/>
      <c r="I27" s="195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96">
        <v>1.0</v>
      </c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96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310"/>
      <c r="CE27" s="172">
        <f t="shared" si="1"/>
        <v>1</v>
      </c>
      <c r="CF27" s="173">
        <f t="shared" si="2"/>
        <v>799</v>
      </c>
      <c r="CH27" s="89"/>
      <c r="CI27" s="188"/>
      <c r="CJ27" s="188"/>
      <c r="CK27" s="188"/>
      <c r="CL27" s="171"/>
      <c r="CM27" s="171"/>
      <c r="CN27" s="195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95"/>
      <c r="EF27" s="178">
        <f t="shared" si="3"/>
        <v>0</v>
      </c>
      <c r="EG27" s="173">
        <f t="shared" si="4"/>
        <v>0</v>
      </c>
      <c r="EH27" s="174"/>
      <c r="EI27" s="104"/>
      <c r="EJ27" s="108"/>
      <c r="EK27" s="108"/>
      <c r="EL27" s="108"/>
      <c r="EM27" s="108"/>
      <c r="EN27" s="108"/>
      <c r="EO27" s="108"/>
      <c r="EP27" s="319"/>
      <c r="EQ27" s="319"/>
      <c r="ER27" s="319"/>
      <c r="ES27" s="319"/>
      <c r="ET27" s="319"/>
      <c r="EU27" s="319"/>
      <c r="EV27" s="319"/>
      <c r="EW27" s="319"/>
      <c r="EX27" s="319"/>
      <c r="EY27" s="319"/>
      <c r="EZ27" s="319"/>
      <c r="FA27" s="319"/>
      <c r="FB27" s="319"/>
      <c r="FC27" s="319"/>
      <c r="FD27" s="319"/>
      <c r="FE27" s="319"/>
      <c r="FF27" s="319"/>
      <c r="FG27" s="319"/>
      <c r="FH27" s="319"/>
      <c r="FI27" s="319"/>
      <c r="FJ27" s="319"/>
      <c r="FK27" s="319"/>
      <c r="FL27" s="319"/>
      <c r="FM27" s="319"/>
      <c r="FN27" s="319"/>
      <c r="FO27" s="319"/>
      <c r="FP27" s="188"/>
      <c r="FQ27" s="188"/>
      <c r="FR27" s="188"/>
      <c r="FS27" s="188"/>
      <c r="FT27" s="188"/>
      <c r="FU27" s="188"/>
      <c r="FV27" s="188"/>
      <c r="FW27" s="188"/>
      <c r="FX27" s="188"/>
      <c r="FY27" s="188"/>
      <c r="FZ27" s="188"/>
      <c r="GA27" s="188"/>
      <c r="GB27" s="188"/>
      <c r="GC27" s="188"/>
      <c r="GD27" s="188"/>
      <c r="GE27" s="188"/>
      <c r="GF27" s="188"/>
      <c r="GG27" s="188"/>
      <c r="GH27" s="200">
        <f t="shared" si="5"/>
        <v>0</v>
      </c>
      <c r="GI27" s="173">
        <f t="shared" si="6"/>
        <v>0</v>
      </c>
      <c r="GJ27" s="174"/>
      <c r="GK27" s="191"/>
      <c r="GL27" s="206"/>
      <c r="GM27" s="181"/>
      <c r="GN27" s="181"/>
      <c r="GO27" s="181"/>
      <c r="GP27" s="181"/>
      <c r="GQ27" s="181"/>
      <c r="GR27" s="181"/>
      <c r="GS27" s="181"/>
      <c r="GT27" s="181"/>
      <c r="GU27" s="181"/>
      <c r="GV27" s="181"/>
      <c r="GW27" s="181"/>
      <c r="GX27" s="181"/>
      <c r="GY27" s="181"/>
      <c r="GZ27" s="181"/>
      <c r="HA27" s="181"/>
      <c r="HB27" s="316"/>
      <c r="HC27" s="316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/>
      <c r="HO27" s="181"/>
      <c r="HP27" s="181"/>
      <c r="HQ27" s="181"/>
      <c r="HR27" s="181"/>
      <c r="HS27" s="181"/>
      <c r="HT27" s="181"/>
      <c r="HU27" s="181"/>
      <c r="HV27" s="181"/>
      <c r="HW27" s="181"/>
      <c r="HX27" s="181"/>
      <c r="HY27" s="181"/>
      <c r="HZ27" s="181"/>
      <c r="IA27" s="181"/>
      <c r="IB27" s="181"/>
      <c r="IC27" s="181"/>
      <c r="ID27" s="181"/>
      <c r="IE27" s="181"/>
      <c r="IF27" s="201"/>
      <c r="IG27" s="173"/>
      <c r="IH27" s="174"/>
      <c r="II27" s="317"/>
      <c r="IJ27" s="188"/>
      <c r="IK27" s="188"/>
      <c r="IL27" s="188"/>
      <c r="IM27" s="188"/>
      <c r="IN27" s="188"/>
      <c r="IO27" s="188"/>
      <c r="IP27" s="188"/>
      <c r="IQ27" s="188"/>
      <c r="IR27" s="188"/>
      <c r="IS27" s="188"/>
      <c r="IT27" s="188"/>
      <c r="IU27" s="188"/>
      <c r="IV27" s="188"/>
      <c r="IW27" s="188"/>
      <c r="IX27" s="188"/>
      <c r="IY27" s="188"/>
      <c r="IZ27" s="188"/>
      <c r="JA27" s="188"/>
      <c r="JB27" s="188"/>
      <c r="JC27" s="188"/>
      <c r="JD27" s="188"/>
      <c r="JE27" s="188"/>
      <c r="JF27" s="188"/>
      <c r="JG27" s="188"/>
      <c r="JH27" s="188"/>
      <c r="JI27" s="321">
        <v>1.0</v>
      </c>
      <c r="JJ27" s="188"/>
      <c r="JK27" s="188"/>
      <c r="JL27" s="188"/>
      <c r="JM27" s="188"/>
      <c r="JN27" s="188"/>
      <c r="JO27" s="188"/>
      <c r="JP27" s="188"/>
      <c r="JQ27" s="188"/>
      <c r="JR27" s="188"/>
      <c r="JS27" s="188"/>
      <c r="JT27" s="188"/>
      <c r="JU27" s="188"/>
      <c r="JV27" s="188"/>
      <c r="JW27" s="188"/>
      <c r="JX27" s="188"/>
      <c r="JY27" s="188"/>
      <c r="JZ27" s="188"/>
      <c r="KA27" s="188"/>
      <c r="KB27" s="188"/>
      <c r="KC27" s="172"/>
      <c r="KD27" s="173"/>
      <c r="KE27" s="174"/>
      <c r="KF27" s="174"/>
      <c r="KG27" s="174"/>
      <c r="KH27" s="174"/>
      <c r="KI27" s="174"/>
      <c r="KJ27" s="174"/>
      <c r="KK27" s="174"/>
      <c r="KL27" s="174"/>
      <c r="KM27" s="174"/>
      <c r="KN27" s="174"/>
      <c r="KO27" s="174"/>
      <c r="KP27" s="174"/>
      <c r="KQ27" s="174"/>
      <c r="KR27" s="174"/>
      <c r="KS27" s="174"/>
      <c r="KT27" s="174"/>
      <c r="KU27" s="174"/>
      <c r="KV27" s="174"/>
      <c r="KW27" s="174"/>
    </row>
    <row r="28">
      <c r="A28" s="102" t="s">
        <v>71</v>
      </c>
      <c r="B28" s="93">
        <v>609.0</v>
      </c>
      <c r="C28" s="89"/>
      <c r="D28" s="188"/>
      <c r="E28" s="188"/>
      <c r="F28" s="188"/>
      <c r="G28" s="171"/>
      <c r="H28" s="171"/>
      <c r="I28" s="171"/>
      <c r="J28" s="171"/>
      <c r="K28" s="204">
        <v>1.0</v>
      </c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96">
        <v>1.0</v>
      </c>
      <c r="AO28" s="171"/>
      <c r="AP28" s="171"/>
      <c r="AQ28" s="171"/>
      <c r="AR28" s="196">
        <v>1.0</v>
      </c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96">
        <v>1.0</v>
      </c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324"/>
      <c r="CE28" s="172">
        <f t="shared" si="1"/>
        <v>4</v>
      </c>
      <c r="CF28" s="173">
        <f t="shared" si="2"/>
        <v>2436</v>
      </c>
      <c r="CH28" s="89"/>
      <c r="CI28" s="188"/>
      <c r="CJ28" s="188"/>
      <c r="CK28" s="188"/>
      <c r="CL28" s="171"/>
      <c r="CM28" s="171"/>
      <c r="CN28" s="171"/>
      <c r="CO28" s="171"/>
      <c r="CP28" s="195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96">
        <v>1.0</v>
      </c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95"/>
      <c r="EE28" s="325">
        <v>1.0</v>
      </c>
      <c r="EF28" s="178">
        <f>sum(CH28:EE28)</f>
        <v>2</v>
      </c>
      <c r="EG28" s="173">
        <f t="shared" si="4"/>
        <v>1218</v>
      </c>
      <c r="EH28" s="174"/>
      <c r="EI28" s="104"/>
      <c r="EJ28" s="108"/>
      <c r="EK28" s="108"/>
      <c r="EL28" s="108"/>
      <c r="EM28" s="108"/>
      <c r="EN28" s="108"/>
      <c r="EO28" s="108"/>
      <c r="EP28" s="319"/>
      <c r="EQ28" s="319"/>
      <c r="ER28" s="319"/>
      <c r="ES28" s="319"/>
      <c r="ET28" s="319"/>
      <c r="EU28" s="319"/>
      <c r="EV28" s="319"/>
      <c r="EW28" s="319"/>
      <c r="EX28" s="319"/>
      <c r="EY28" s="319"/>
      <c r="EZ28" s="319"/>
      <c r="FA28" s="319"/>
      <c r="FB28" s="319"/>
      <c r="FC28" s="319"/>
      <c r="FD28" s="319"/>
      <c r="FE28" s="319"/>
      <c r="FF28" s="322"/>
      <c r="FG28" s="319"/>
      <c r="FH28" s="319"/>
      <c r="FI28" s="319"/>
      <c r="FJ28" s="319"/>
      <c r="FK28" s="319"/>
      <c r="FL28" s="319"/>
      <c r="FM28" s="319"/>
      <c r="FN28" s="319"/>
      <c r="FO28" s="319"/>
      <c r="FP28" s="188"/>
      <c r="FQ28" s="188"/>
      <c r="FR28" s="188"/>
      <c r="FS28" s="188"/>
      <c r="FT28" s="188"/>
      <c r="FU28" s="188"/>
      <c r="FV28" s="194">
        <v>1.0</v>
      </c>
      <c r="FW28" s="188"/>
      <c r="FX28" s="188"/>
      <c r="FY28" s="188"/>
      <c r="FZ28" s="188"/>
      <c r="GA28" s="188"/>
      <c r="GB28" s="188"/>
      <c r="GC28" s="188"/>
      <c r="GD28" s="188"/>
      <c r="GE28" s="188"/>
      <c r="GF28" s="188"/>
      <c r="GG28" s="188"/>
      <c r="GH28" s="200">
        <f t="shared" si="5"/>
        <v>1</v>
      </c>
      <c r="GI28" s="173">
        <f t="shared" si="6"/>
        <v>609</v>
      </c>
      <c r="GJ28" s="174"/>
      <c r="GK28" s="191"/>
      <c r="GL28" s="181"/>
      <c r="GM28" s="320">
        <v>1.0</v>
      </c>
      <c r="GN28" s="181"/>
      <c r="GO28" s="181"/>
      <c r="GP28" s="181"/>
      <c r="GQ28" s="181"/>
      <c r="GR28" s="181"/>
      <c r="GS28" s="181"/>
      <c r="GT28" s="181"/>
      <c r="GU28" s="181"/>
      <c r="GV28" s="181"/>
      <c r="GW28" s="320">
        <v>1.0</v>
      </c>
      <c r="GX28" s="181"/>
      <c r="GY28" s="181"/>
      <c r="GZ28" s="181"/>
      <c r="HA28" s="181"/>
      <c r="HB28" s="316"/>
      <c r="HC28" s="316"/>
      <c r="HD28" s="181"/>
      <c r="HE28" s="181"/>
      <c r="HF28" s="320">
        <v>1.0</v>
      </c>
      <c r="HG28" s="181"/>
      <c r="HH28" s="181"/>
      <c r="HI28" s="181"/>
      <c r="HJ28" s="181"/>
      <c r="HK28" s="181"/>
      <c r="HL28" s="181"/>
      <c r="HM28" s="181"/>
      <c r="HN28" s="181"/>
      <c r="HO28" s="181"/>
      <c r="HP28" s="181"/>
      <c r="HQ28" s="181"/>
      <c r="HR28" s="181"/>
      <c r="HS28" s="320">
        <v>1.0</v>
      </c>
      <c r="HT28" s="320"/>
      <c r="HU28" s="181"/>
      <c r="HV28" s="181"/>
      <c r="HW28" s="320">
        <v>1.0</v>
      </c>
      <c r="HX28" s="320"/>
      <c r="HY28" s="181"/>
      <c r="HZ28" s="181"/>
      <c r="IA28" s="181"/>
      <c r="IB28" s="181"/>
      <c r="IC28" s="181"/>
      <c r="ID28" s="181"/>
      <c r="IE28" s="320">
        <v>1.0</v>
      </c>
      <c r="IF28" s="201"/>
      <c r="IG28" s="173"/>
      <c r="IH28" s="174"/>
      <c r="II28" s="317"/>
      <c r="IJ28" s="188"/>
      <c r="IK28" s="188"/>
      <c r="IL28" s="188"/>
      <c r="IM28" s="188"/>
      <c r="IN28" s="188"/>
      <c r="IO28" s="188"/>
      <c r="IP28" s="188"/>
      <c r="IQ28" s="188"/>
      <c r="IR28" s="188"/>
      <c r="IS28" s="188"/>
      <c r="IT28" s="188"/>
      <c r="IU28" s="321">
        <v>1.0</v>
      </c>
      <c r="IV28" s="188"/>
      <c r="IW28" s="188"/>
      <c r="IX28" s="188"/>
      <c r="IY28" s="188"/>
      <c r="IZ28" s="188"/>
      <c r="JA28" s="188"/>
      <c r="JB28" s="188"/>
      <c r="JC28" s="188"/>
      <c r="JD28" s="188"/>
      <c r="JE28" s="188"/>
      <c r="JF28" s="188"/>
      <c r="JG28" s="188"/>
      <c r="JH28" s="188"/>
      <c r="JI28" s="188"/>
      <c r="JJ28" s="188"/>
      <c r="JK28" s="188"/>
      <c r="JL28" s="188"/>
      <c r="JM28" s="188"/>
      <c r="JN28" s="188"/>
      <c r="JO28" s="188"/>
      <c r="JP28" s="188"/>
      <c r="JQ28" s="188"/>
      <c r="JR28" s="188"/>
      <c r="JS28" s="188"/>
      <c r="JT28" s="188"/>
      <c r="JU28" s="188"/>
      <c r="JV28" s="188"/>
      <c r="JW28" s="188"/>
      <c r="JX28" s="188"/>
      <c r="JY28" s="194">
        <v>1.0</v>
      </c>
      <c r="JZ28" s="188"/>
      <c r="KA28" s="188"/>
      <c r="KB28" s="188"/>
      <c r="KC28" s="172"/>
      <c r="KD28" s="173"/>
      <c r="KE28" s="174"/>
      <c r="KF28" s="174"/>
      <c r="KG28" s="174"/>
      <c r="KH28" s="174"/>
      <c r="KI28" s="174"/>
      <c r="KJ28" s="174"/>
      <c r="KK28" s="174"/>
      <c r="KL28" s="174"/>
      <c r="KM28" s="174"/>
      <c r="KN28" s="174"/>
      <c r="KO28" s="174"/>
      <c r="KP28" s="174"/>
      <c r="KQ28" s="174"/>
      <c r="KR28" s="174"/>
      <c r="KS28" s="174"/>
      <c r="KT28" s="174"/>
      <c r="KU28" s="174"/>
      <c r="KV28" s="174"/>
      <c r="KW28" s="174"/>
    </row>
    <row r="29">
      <c r="A29" s="101" t="s">
        <v>72</v>
      </c>
      <c r="B29" s="93">
        <v>329.0</v>
      </c>
      <c r="C29" s="210">
        <v>1.0</v>
      </c>
      <c r="D29" s="194">
        <v>1.0</v>
      </c>
      <c r="E29" s="188"/>
      <c r="F29" s="188"/>
      <c r="G29" s="171"/>
      <c r="H29" s="171"/>
      <c r="I29" s="195"/>
      <c r="J29" s="171"/>
      <c r="K29" s="171"/>
      <c r="L29" s="171"/>
      <c r="M29" s="171"/>
      <c r="N29" s="171"/>
      <c r="O29" s="171"/>
      <c r="P29" s="196">
        <v>2.0</v>
      </c>
      <c r="Q29" s="171"/>
      <c r="R29" s="171"/>
      <c r="S29" s="171"/>
      <c r="T29" s="196">
        <v>1.0</v>
      </c>
      <c r="U29" s="171"/>
      <c r="V29" s="171"/>
      <c r="W29" s="171"/>
      <c r="X29" s="196">
        <v>1.0</v>
      </c>
      <c r="Y29" s="196">
        <v>4.0</v>
      </c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96">
        <v>1.0</v>
      </c>
      <c r="AK29" s="171"/>
      <c r="AL29" s="171"/>
      <c r="AM29" s="171"/>
      <c r="AN29" s="171"/>
      <c r="AO29" s="171"/>
      <c r="AP29" s="171"/>
      <c r="AQ29" s="196">
        <v>1.0</v>
      </c>
      <c r="AR29" s="171"/>
      <c r="AS29" s="171"/>
      <c r="AT29" s="171"/>
      <c r="AU29" s="171"/>
      <c r="AV29" s="171"/>
      <c r="AW29" s="171"/>
      <c r="AX29" s="196">
        <v>1.0</v>
      </c>
      <c r="AY29" s="196">
        <v>1.0</v>
      </c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96">
        <v>1.0</v>
      </c>
      <c r="BM29" s="171"/>
      <c r="BN29" s="171"/>
      <c r="BO29" s="171"/>
      <c r="BP29" s="171"/>
      <c r="BQ29" s="171"/>
      <c r="BR29" s="196">
        <v>1.0</v>
      </c>
      <c r="BS29" s="171"/>
      <c r="BT29" s="171"/>
      <c r="BU29" s="171"/>
      <c r="BV29" s="171"/>
      <c r="BW29" s="171"/>
      <c r="BX29" s="196">
        <v>1.0</v>
      </c>
      <c r="BY29" s="171"/>
      <c r="BZ29" s="171"/>
      <c r="CA29" s="171"/>
      <c r="CB29" s="171"/>
      <c r="CC29" s="171"/>
      <c r="CD29" s="310"/>
      <c r="CE29" s="172">
        <f t="shared" si="1"/>
        <v>17</v>
      </c>
      <c r="CF29" s="173">
        <f t="shared" si="2"/>
        <v>5593</v>
      </c>
      <c r="CH29" s="89"/>
      <c r="CI29" s="188"/>
      <c r="CJ29" s="194">
        <v>1.0</v>
      </c>
      <c r="CK29" s="188"/>
      <c r="CL29" s="171"/>
      <c r="CM29" s="171"/>
      <c r="CN29" s="195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95"/>
      <c r="EF29" s="178">
        <f t="shared" ref="EF29:EF49" si="7">sum(CH29:ED29)</f>
        <v>1</v>
      </c>
      <c r="EG29" s="173">
        <f t="shared" si="4"/>
        <v>329</v>
      </c>
      <c r="EH29" s="174"/>
      <c r="EI29" s="104"/>
      <c r="EJ29" s="108"/>
      <c r="EK29" s="108"/>
      <c r="EL29" s="108"/>
      <c r="EM29" s="108"/>
      <c r="EN29" s="318">
        <v>1.0</v>
      </c>
      <c r="EO29" s="318">
        <v>2.0</v>
      </c>
      <c r="EP29" s="319"/>
      <c r="EQ29" s="319"/>
      <c r="ER29" s="319"/>
      <c r="ES29" s="322">
        <v>1.0</v>
      </c>
      <c r="ET29" s="319"/>
      <c r="EU29" s="322">
        <v>1.0</v>
      </c>
      <c r="EV29" s="319"/>
      <c r="EW29" s="319"/>
      <c r="EX29" s="319"/>
      <c r="EY29" s="319"/>
      <c r="EZ29" s="319"/>
      <c r="FA29" s="322">
        <v>1.0</v>
      </c>
      <c r="FB29" s="319"/>
      <c r="FC29" s="319"/>
      <c r="FD29" s="319"/>
      <c r="FE29" s="319"/>
      <c r="FF29" s="319"/>
      <c r="FG29" s="319"/>
      <c r="FH29" s="319"/>
      <c r="FI29" s="322">
        <v>1.0</v>
      </c>
      <c r="FJ29" s="322"/>
      <c r="FK29" s="322">
        <v>1.0</v>
      </c>
      <c r="FL29" s="322"/>
      <c r="FM29" s="319"/>
      <c r="FN29" s="319"/>
      <c r="FO29" s="319"/>
      <c r="FP29" s="188"/>
      <c r="FQ29" s="188"/>
      <c r="FR29" s="188"/>
      <c r="FS29" s="188"/>
      <c r="FT29" s="188"/>
      <c r="FU29" s="188"/>
      <c r="FV29" s="188"/>
      <c r="FW29" s="194">
        <v>1.0</v>
      </c>
      <c r="FX29" s="188"/>
      <c r="FY29" s="188"/>
      <c r="FZ29" s="188"/>
      <c r="GA29" s="188"/>
      <c r="GB29" s="194">
        <v>1.0</v>
      </c>
      <c r="GC29" s="188"/>
      <c r="GD29" s="188"/>
      <c r="GE29" s="188"/>
      <c r="GF29" s="188"/>
      <c r="GG29" s="188"/>
      <c r="GH29" s="200">
        <f t="shared" si="5"/>
        <v>10</v>
      </c>
      <c r="GI29" s="173">
        <f t="shared" si="6"/>
        <v>3290</v>
      </c>
      <c r="GJ29" s="174"/>
      <c r="GK29" s="191"/>
      <c r="GL29" s="206"/>
      <c r="GM29" s="181"/>
      <c r="GN29" s="181"/>
      <c r="GO29" s="181"/>
      <c r="GP29" s="320">
        <v>1.0</v>
      </c>
      <c r="GQ29" s="181"/>
      <c r="GR29" s="181"/>
      <c r="GS29" s="181"/>
      <c r="GT29" s="181"/>
      <c r="GU29" s="181"/>
      <c r="GV29" s="181"/>
      <c r="GW29" s="181"/>
      <c r="GX29" s="181"/>
      <c r="GY29" s="181"/>
      <c r="GZ29" s="181"/>
      <c r="HA29" s="181"/>
      <c r="HB29" s="316"/>
      <c r="HC29" s="316"/>
      <c r="HD29" s="181"/>
      <c r="HE29" s="181"/>
      <c r="HF29" s="320">
        <v>1.0</v>
      </c>
      <c r="HG29" s="181"/>
      <c r="HH29" s="181"/>
      <c r="HI29" s="181"/>
      <c r="HJ29" s="321">
        <v>3.0</v>
      </c>
      <c r="HK29" s="181"/>
      <c r="HL29" s="181"/>
      <c r="HM29" s="181"/>
      <c r="HN29" s="181"/>
      <c r="HO29" s="181"/>
      <c r="HP29" s="181"/>
      <c r="HQ29" s="181"/>
      <c r="HR29" s="181"/>
      <c r="HS29" s="320">
        <v>1.0</v>
      </c>
      <c r="HT29" s="320"/>
      <c r="HU29" s="181"/>
      <c r="HV29" s="181"/>
      <c r="HW29" s="181"/>
      <c r="HX29" s="326"/>
      <c r="HY29" s="320">
        <v>1.0</v>
      </c>
      <c r="HZ29" s="320">
        <v>1.0</v>
      </c>
      <c r="IA29" s="181"/>
      <c r="IB29" s="181"/>
      <c r="IC29" s="181"/>
      <c r="ID29" s="181"/>
      <c r="IE29" s="181"/>
      <c r="IF29" s="201"/>
      <c r="IG29" s="173"/>
      <c r="IH29" s="174"/>
      <c r="II29" s="317"/>
      <c r="IJ29" s="188"/>
      <c r="IK29" s="188"/>
      <c r="IL29" s="188"/>
      <c r="IM29" s="188"/>
      <c r="IN29" s="188"/>
      <c r="IO29" s="188"/>
      <c r="IP29" s="321">
        <v>1.0</v>
      </c>
      <c r="IQ29" s="188"/>
      <c r="IR29" s="188"/>
      <c r="IS29" s="188"/>
      <c r="IT29" s="188"/>
      <c r="IU29" s="188"/>
      <c r="IV29" s="188"/>
      <c r="IW29" s="188"/>
      <c r="IX29" s="188"/>
      <c r="IY29" s="188"/>
      <c r="IZ29" s="188"/>
      <c r="JA29" s="188"/>
      <c r="JB29" s="188"/>
      <c r="JC29" s="188"/>
      <c r="JD29" s="188"/>
      <c r="JE29" s="188"/>
      <c r="JF29" s="188"/>
      <c r="JG29" s="188"/>
      <c r="JH29" s="188"/>
      <c r="JI29" s="188"/>
      <c r="JJ29" s="188"/>
      <c r="JK29" s="188"/>
      <c r="JL29" s="188"/>
      <c r="JM29" s="188"/>
      <c r="JN29" s="188"/>
      <c r="JO29" s="188"/>
      <c r="JP29" s="188"/>
      <c r="JQ29" s="188"/>
      <c r="JR29" s="188"/>
      <c r="JS29" s="188"/>
      <c r="JT29" s="188"/>
      <c r="JU29" s="188"/>
      <c r="JV29" s="188"/>
      <c r="JW29" s="188"/>
      <c r="JX29" s="188"/>
      <c r="JY29" s="194">
        <v>1.0</v>
      </c>
      <c r="JZ29" s="188"/>
      <c r="KA29" s="188"/>
      <c r="KB29" s="188"/>
      <c r="KC29" s="172"/>
      <c r="KD29" s="173"/>
      <c r="KE29" s="174"/>
      <c r="KF29" s="174"/>
      <c r="KG29" s="174"/>
      <c r="KH29" s="174"/>
      <c r="KI29" s="174"/>
      <c r="KJ29" s="174"/>
      <c r="KK29" s="174"/>
      <c r="KL29" s="174"/>
      <c r="KM29" s="174"/>
      <c r="KN29" s="174"/>
      <c r="KO29" s="174"/>
      <c r="KP29" s="174"/>
      <c r="KQ29" s="174"/>
      <c r="KR29" s="174"/>
      <c r="KS29" s="174"/>
      <c r="KT29" s="174"/>
      <c r="KU29" s="174"/>
      <c r="KV29" s="174"/>
      <c r="KW29" s="174"/>
    </row>
    <row r="30">
      <c r="A30" s="101" t="s">
        <v>73</v>
      </c>
      <c r="B30" s="93">
        <v>329.0</v>
      </c>
      <c r="C30" s="89"/>
      <c r="D30" s="188"/>
      <c r="E30" s="188"/>
      <c r="F30" s="188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310"/>
      <c r="CE30" s="172">
        <f t="shared" si="1"/>
        <v>0</v>
      </c>
      <c r="CF30" s="173">
        <f t="shared" si="2"/>
        <v>0</v>
      </c>
      <c r="CH30" s="89"/>
      <c r="CI30" s="188"/>
      <c r="CJ30" s="188"/>
      <c r="CK30" s="188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1"/>
      <c r="DP30" s="171"/>
      <c r="DQ30" s="171"/>
      <c r="DR30" s="171"/>
      <c r="DS30" s="171"/>
      <c r="DT30" s="171"/>
      <c r="DU30" s="171"/>
      <c r="DV30" s="171"/>
      <c r="DW30" s="171"/>
      <c r="DX30" s="171"/>
      <c r="DY30" s="171"/>
      <c r="DZ30" s="171"/>
      <c r="EA30" s="171"/>
      <c r="EB30" s="171"/>
      <c r="EC30" s="171"/>
      <c r="ED30" s="171"/>
      <c r="EE30" s="95"/>
      <c r="EF30" s="178">
        <f t="shared" si="7"/>
        <v>0</v>
      </c>
      <c r="EG30" s="173">
        <f t="shared" si="4"/>
        <v>0</v>
      </c>
      <c r="EH30" s="174"/>
      <c r="EI30" s="104"/>
      <c r="EJ30" s="108"/>
      <c r="EK30" s="108"/>
      <c r="EL30" s="108"/>
      <c r="EM30" s="108"/>
      <c r="EN30" s="108"/>
      <c r="EO30" s="108"/>
      <c r="EP30" s="319"/>
      <c r="EQ30" s="319"/>
      <c r="ER30" s="319"/>
      <c r="ES30" s="319"/>
      <c r="ET30" s="319"/>
      <c r="EU30" s="319"/>
      <c r="EV30" s="319"/>
      <c r="EW30" s="319"/>
      <c r="EX30" s="319"/>
      <c r="EY30" s="319"/>
      <c r="EZ30" s="319"/>
      <c r="FA30" s="319"/>
      <c r="FB30" s="319"/>
      <c r="FC30" s="319"/>
      <c r="FD30" s="319"/>
      <c r="FE30" s="319"/>
      <c r="FF30" s="319"/>
      <c r="FG30" s="319"/>
      <c r="FH30" s="319"/>
      <c r="FI30" s="319"/>
      <c r="FJ30" s="319"/>
      <c r="FK30" s="319"/>
      <c r="FL30" s="319"/>
      <c r="FM30" s="319"/>
      <c r="FN30" s="319"/>
      <c r="FO30" s="319"/>
      <c r="FP30" s="188"/>
      <c r="FQ30" s="188"/>
      <c r="FR30" s="188"/>
      <c r="FS30" s="188"/>
      <c r="FT30" s="188"/>
      <c r="FU30" s="188"/>
      <c r="FV30" s="188"/>
      <c r="FW30" s="188"/>
      <c r="FX30" s="188"/>
      <c r="FY30" s="188"/>
      <c r="FZ30" s="188"/>
      <c r="GA30" s="188"/>
      <c r="GB30" s="188"/>
      <c r="GC30" s="188"/>
      <c r="GD30" s="188"/>
      <c r="GE30" s="188"/>
      <c r="GF30" s="188"/>
      <c r="GG30" s="188"/>
      <c r="GH30" s="200">
        <f t="shared" si="5"/>
        <v>0</v>
      </c>
      <c r="GI30" s="173">
        <f t="shared" si="6"/>
        <v>0</v>
      </c>
      <c r="GJ30" s="174"/>
      <c r="GK30" s="191"/>
      <c r="GL30" s="181"/>
      <c r="GM30" s="181"/>
      <c r="GN30" s="181"/>
      <c r="GO30" s="181"/>
      <c r="GP30" s="181"/>
      <c r="GQ30" s="181"/>
      <c r="GR30" s="181"/>
      <c r="GS30" s="181"/>
      <c r="GT30" s="181"/>
      <c r="GU30" s="181"/>
      <c r="GV30" s="181"/>
      <c r="GW30" s="181"/>
      <c r="GX30" s="181"/>
      <c r="GY30" s="181"/>
      <c r="GZ30" s="181"/>
      <c r="HA30" s="181"/>
      <c r="HB30" s="316"/>
      <c r="HC30" s="316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/>
      <c r="HO30" s="181"/>
      <c r="HP30" s="181"/>
      <c r="HQ30" s="181"/>
      <c r="HR30" s="181"/>
      <c r="HS30" s="181"/>
      <c r="HT30" s="181"/>
      <c r="HU30" s="181"/>
      <c r="HV30" s="181"/>
      <c r="HW30" s="181"/>
      <c r="HX30" s="181"/>
      <c r="HY30" s="181"/>
      <c r="HZ30" s="181"/>
      <c r="IA30" s="181"/>
      <c r="IB30" s="181"/>
      <c r="IC30" s="181"/>
      <c r="ID30" s="181"/>
      <c r="IE30" s="181"/>
      <c r="IF30" s="201"/>
      <c r="IG30" s="173"/>
      <c r="IH30" s="174"/>
      <c r="II30" s="317"/>
      <c r="IJ30" s="188"/>
      <c r="IK30" s="188"/>
      <c r="IL30" s="188"/>
      <c r="IM30" s="188"/>
      <c r="IN30" s="188"/>
      <c r="IO30" s="188"/>
      <c r="IP30" s="188"/>
      <c r="IQ30" s="188"/>
      <c r="IR30" s="188"/>
      <c r="IS30" s="188"/>
      <c r="IT30" s="188"/>
      <c r="IU30" s="188"/>
      <c r="IV30" s="188"/>
      <c r="IW30" s="188"/>
      <c r="IX30" s="188"/>
      <c r="IY30" s="188"/>
      <c r="IZ30" s="188"/>
      <c r="JA30" s="188"/>
      <c r="JB30" s="188"/>
      <c r="JC30" s="188"/>
      <c r="JD30" s="188"/>
      <c r="JE30" s="188"/>
      <c r="JF30" s="188"/>
      <c r="JG30" s="188"/>
      <c r="JH30" s="188"/>
      <c r="JI30" s="188"/>
      <c r="JJ30" s="188"/>
      <c r="JK30" s="188"/>
      <c r="JL30" s="188"/>
      <c r="JM30" s="188"/>
      <c r="JN30" s="188"/>
      <c r="JO30" s="188"/>
      <c r="JP30" s="188"/>
      <c r="JQ30" s="188"/>
      <c r="JR30" s="188"/>
      <c r="JS30" s="188"/>
      <c r="JT30" s="188"/>
      <c r="JU30" s="188"/>
      <c r="JV30" s="188"/>
      <c r="JW30" s="188"/>
      <c r="JX30" s="188"/>
      <c r="JY30" s="188"/>
      <c r="JZ30" s="188"/>
      <c r="KA30" s="188"/>
      <c r="KB30" s="188"/>
      <c r="KC30" s="172"/>
      <c r="KD30" s="173"/>
      <c r="KE30" s="174"/>
      <c r="KF30" s="174"/>
      <c r="KG30" s="174"/>
      <c r="KH30" s="174"/>
      <c r="KI30" s="174"/>
      <c r="KJ30" s="174"/>
      <c r="KK30" s="174"/>
      <c r="KL30" s="174"/>
      <c r="KM30" s="174"/>
      <c r="KN30" s="174"/>
      <c r="KO30" s="174"/>
      <c r="KP30" s="174"/>
      <c r="KQ30" s="174"/>
      <c r="KR30" s="174"/>
      <c r="KS30" s="174"/>
      <c r="KT30" s="174"/>
      <c r="KU30" s="174"/>
      <c r="KV30" s="174"/>
      <c r="KW30" s="174"/>
    </row>
    <row r="31">
      <c r="A31" s="101" t="s">
        <v>74</v>
      </c>
      <c r="B31" s="93">
        <v>219.0</v>
      </c>
      <c r="C31" s="89"/>
      <c r="D31" s="188"/>
      <c r="E31" s="188"/>
      <c r="F31" s="188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310"/>
      <c r="CE31" s="172">
        <f t="shared" si="1"/>
        <v>0</v>
      </c>
      <c r="CF31" s="173">
        <f t="shared" si="2"/>
        <v>0</v>
      </c>
      <c r="CH31" s="89"/>
      <c r="CI31" s="188"/>
      <c r="CJ31" s="188"/>
      <c r="CK31" s="188"/>
      <c r="CL31" s="171"/>
      <c r="CM31" s="171"/>
      <c r="CN31" s="171"/>
      <c r="CO31" s="171"/>
      <c r="CP31" s="171"/>
      <c r="CQ31" s="171"/>
      <c r="CR31" s="171"/>
      <c r="CS31" s="171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1"/>
      <c r="DP31" s="171"/>
      <c r="DQ31" s="171"/>
      <c r="DR31" s="171"/>
      <c r="DS31" s="171"/>
      <c r="DT31" s="171"/>
      <c r="DU31" s="171"/>
      <c r="DV31" s="171"/>
      <c r="DW31" s="171"/>
      <c r="DX31" s="171"/>
      <c r="DY31" s="171"/>
      <c r="DZ31" s="171"/>
      <c r="EA31" s="171"/>
      <c r="EB31" s="171"/>
      <c r="EC31" s="171"/>
      <c r="ED31" s="171"/>
      <c r="EE31" s="95"/>
      <c r="EF31" s="178">
        <f t="shared" si="7"/>
        <v>0</v>
      </c>
      <c r="EG31" s="173">
        <f t="shared" si="4"/>
        <v>0</v>
      </c>
      <c r="EH31" s="174"/>
      <c r="EI31" s="104"/>
      <c r="EJ31" s="108"/>
      <c r="EK31" s="108"/>
      <c r="EL31" s="108"/>
      <c r="EM31" s="108"/>
      <c r="EN31" s="108"/>
      <c r="EO31" s="108"/>
      <c r="EP31" s="319"/>
      <c r="EQ31" s="319"/>
      <c r="ER31" s="319"/>
      <c r="ES31" s="319"/>
      <c r="ET31" s="319"/>
      <c r="EU31" s="319"/>
      <c r="EV31" s="319"/>
      <c r="EW31" s="319"/>
      <c r="EX31" s="319"/>
      <c r="EY31" s="319"/>
      <c r="EZ31" s="319"/>
      <c r="FA31" s="319"/>
      <c r="FB31" s="319"/>
      <c r="FC31" s="319"/>
      <c r="FD31" s="319"/>
      <c r="FE31" s="319"/>
      <c r="FF31" s="319"/>
      <c r="FG31" s="319"/>
      <c r="FH31" s="319"/>
      <c r="FI31" s="319"/>
      <c r="FJ31" s="319"/>
      <c r="FK31" s="319"/>
      <c r="FL31" s="319"/>
      <c r="FM31" s="319"/>
      <c r="FN31" s="319"/>
      <c r="FO31" s="319"/>
      <c r="FP31" s="188"/>
      <c r="FQ31" s="188"/>
      <c r="FR31" s="188"/>
      <c r="FS31" s="188"/>
      <c r="FT31" s="188"/>
      <c r="FU31" s="188"/>
      <c r="FV31" s="188"/>
      <c r="FW31" s="188"/>
      <c r="FX31" s="188"/>
      <c r="FY31" s="188"/>
      <c r="FZ31" s="188"/>
      <c r="GA31" s="188"/>
      <c r="GB31" s="188"/>
      <c r="GC31" s="188"/>
      <c r="GD31" s="188"/>
      <c r="GE31" s="188"/>
      <c r="GF31" s="188"/>
      <c r="GG31" s="188"/>
      <c r="GH31" s="200">
        <f t="shared" si="5"/>
        <v>0</v>
      </c>
      <c r="GI31" s="173">
        <f t="shared" si="6"/>
        <v>0</v>
      </c>
      <c r="GJ31" s="174"/>
      <c r="GK31" s="191"/>
      <c r="GL31" s="181"/>
      <c r="GM31" s="181"/>
      <c r="GN31" s="181"/>
      <c r="GO31" s="181"/>
      <c r="GP31" s="181"/>
      <c r="GQ31" s="181"/>
      <c r="GR31" s="181"/>
      <c r="GS31" s="181"/>
      <c r="GT31" s="181"/>
      <c r="GU31" s="181"/>
      <c r="GV31" s="181"/>
      <c r="GW31" s="181"/>
      <c r="GX31" s="181"/>
      <c r="GY31" s="181"/>
      <c r="GZ31" s="181"/>
      <c r="HA31" s="181"/>
      <c r="HB31" s="316"/>
      <c r="HC31" s="316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/>
      <c r="HO31" s="181"/>
      <c r="HP31" s="181"/>
      <c r="HQ31" s="181"/>
      <c r="HR31" s="181"/>
      <c r="HS31" s="181"/>
      <c r="HT31" s="181"/>
      <c r="HU31" s="181"/>
      <c r="HV31" s="181"/>
      <c r="HW31" s="181"/>
      <c r="HX31" s="181"/>
      <c r="HY31" s="181"/>
      <c r="HZ31" s="181"/>
      <c r="IA31" s="181"/>
      <c r="IB31" s="181"/>
      <c r="IC31" s="181"/>
      <c r="ID31" s="181"/>
      <c r="IE31" s="181"/>
      <c r="IF31" s="201"/>
      <c r="IG31" s="173"/>
      <c r="IH31" s="174"/>
      <c r="II31" s="317"/>
      <c r="IJ31" s="188"/>
      <c r="IK31" s="188"/>
      <c r="IL31" s="188"/>
      <c r="IM31" s="188"/>
      <c r="IN31" s="188"/>
      <c r="IO31" s="188"/>
      <c r="IP31" s="188"/>
      <c r="IQ31" s="188"/>
      <c r="IR31" s="188"/>
      <c r="IS31" s="188"/>
      <c r="IT31" s="188"/>
      <c r="IU31" s="188"/>
      <c r="IV31" s="188"/>
      <c r="IW31" s="188"/>
      <c r="IX31" s="188"/>
      <c r="IY31" s="188"/>
      <c r="IZ31" s="188"/>
      <c r="JA31" s="188"/>
      <c r="JB31" s="188"/>
      <c r="JC31" s="188"/>
      <c r="JD31" s="188"/>
      <c r="JE31" s="188"/>
      <c r="JF31" s="188"/>
      <c r="JG31" s="188"/>
      <c r="JH31" s="188"/>
      <c r="JI31" s="188"/>
      <c r="JJ31" s="188"/>
      <c r="JK31" s="188"/>
      <c r="JL31" s="188"/>
      <c r="JM31" s="188"/>
      <c r="JN31" s="188"/>
      <c r="JO31" s="188"/>
      <c r="JP31" s="188"/>
      <c r="JQ31" s="188"/>
      <c r="JR31" s="188"/>
      <c r="JS31" s="188"/>
      <c r="JT31" s="188"/>
      <c r="JU31" s="188"/>
      <c r="JV31" s="188"/>
      <c r="JW31" s="188"/>
      <c r="JX31" s="188"/>
      <c r="JY31" s="188"/>
      <c r="JZ31" s="188"/>
      <c r="KA31" s="188"/>
      <c r="KB31" s="188"/>
      <c r="KC31" s="172"/>
      <c r="KD31" s="173"/>
      <c r="KE31" s="174"/>
      <c r="KF31" s="174"/>
      <c r="KG31" s="174"/>
      <c r="KH31" s="174"/>
      <c r="KI31" s="174"/>
      <c r="KJ31" s="174"/>
      <c r="KK31" s="174"/>
      <c r="KL31" s="174"/>
      <c r="KM31" s="174"/>
      <c r="KN31" s="174"/>
      <c r="KO31" s="174"/>
      <c r="KP31" s="174"/>
      <c r="KQ31" s="174"/>
      <c r="KR31" s="174"/>
      <c r="KS31" s="174"/>
      <c r="KT31" s="174"/>
      <c r="KU31" s="174"/>
      <c r="KV31" s="174"/>
      <c r="KW31" s="174"/>
    </row>
    <row r="32">
      <c r="A32" s="101" t="s">
        <v>75</v>
      </c>
      <c r="B32" s="93">
        <v>219.0</v>
      </c>
      <c r="C32" s="89"/>
      <c r="D32" s="188"/>
      <c r="E32" s="188"/>
      <c r="F32" s="188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310"/>
      <c r="CE32" s="172">
        <f t="shared" si="1"/>
        <v>0</v>
      </c>
      <c r="CF32" s="173">
        <f t="shared" si="2"/>
        <v>0</v>
      </c>
      <c r="CH32" s="89"/>
      <c r="CI32" s="188"/>
      <c r="CJ32" s="188"/>
      <c r="CK32" s="188"/>
      <c r="CL32" s="171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1"/>
      <c r="DP32" s="171"/>
      <c r="DQ32" s="171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95"/>
      <c r="EF32" s="178">
        <f t="shared" si="7"/>
        <v>0</v>
      </c>
      <c r="EG32" s="173">
        <f t="shared" si="4"/>
        <v>0</v>
      </c>
      <c r="EH32" s="174"/>
      <c r="EI32" s="104"/>
      <c r="EJ32" s="108"/>
      <c r="EK32" s="108"/>
      <c r="EL32" s="108"/>
      <c r="EM32" s="108"/>
      <c r="EN32" s="108"/>
      <c r="EO32" s="108"/>
      <c r="EP32" s="319"/>
      <c r="EQ32" s="319"/>
      <c r="ER32" s="319"/>
      <c r="ES32" s="319"/>
      <c r="ET32" s="319"/>
      <c r="EU32" s="319"/>
      <c r="EV32" s="319"/>
      <c r="EW32" s="319"/>
      <c r="EX32" s="319"/>
      <c r="EY32" s="319"/>
      <c r="EZ32" s="319"/>
      <c r="FA32" s="319"/>
      <c r="FB32" s="319"/>
      <c r="FC32" s="319"/>
      <c r="FD32" s="319"/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188"/>
      <c r="FQ32" s="188"/>
      <c r="FR32" s="188"/>
      <c r="FS32" s="188"/>
      <c r="FT32" s="188"/>
      <c r="FU32" s="188"/>
      <c r="FV32" s="188"/>
      <c r="FW32" s="188"/>
      <c r="FX32" s="188"/>
      <c r="FY32" s="188"/>
      <c r="FZ32" s="188"/>
      <c r="GA32" s="188"/>
      <c r="GB32" s="188"/>
      <c r="GC32" s="188"/>
      <c r="GD32" s="188"/>
      <c r="GE32" s="188"/>
      <c r="GF32" s="188"/>
      <c r="GG32" s="188"/>
      <c r="GH32" s="200">
        <f t="shared" si="5"/>
        <v>0</v>
      </c>
      <c r="GI32" s="173">
        <f t="shared" si="6"/>
        <v>0</v>
      </c>
      <c r="GJ32" s="174"/>
      <c r="GK32" s="191"/>
      <c r="GL32" s="181"/>
      <c r="GM32" s="181"/>
      <c r="GN32" s="181"/>
      <c r="GO32" s="181"/>
      <c r="GP32" s="181"/>
      <c r="GQ32" s="181"/>
      <c r="GR32" s="181"/>
      <c r="GS32" s="181"/>
      <c r="GT32" s="181"/>
      <c r="GU32" s="181"/>
      <c r="GV32" s="181"/>
      <c r="GW32" s="181"/>
      <c r="GX32" s="181"/>
      <c r="GY32" s="181"/>
      <c r="GZ32" s="181"/>
      <c r="HA32" s="181"/>
      <c r="HB32" s="316"/>
      <c r="HC32" s="316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/>
      <c r="HO32" s="181"/>
      <c r="HP32" s="181"/>
      <c r="HQ32" s="181"/>
      <c r="HR32" s="181"/>
      <c r="HS32" s="181"/>
      <c r="HT32" s="181"/>
      <c r="HU32" s="181"/>
      <c r="HV32" s="181"/>
      <c r="HW32" s="181"/>
      <c r="HX32" s="181"/>
      <c r="HY32" s="181"/>
      <c r="HZ32" s="181"/>
      <c r="IA32" s="181"/>
      <c r="IB32" s="181"/>
      <c r="IC32" s="181"/>
      <c r="ID32" s="181"/>
      <c r="IE32" s="181"/>
      <c r="IF32" s="201"/>
      <c r="IG32" s="173"/>
      <c r="IH32" s="174"/>
      <c r="II32" s="317"/>
      <c r="IJ32" s="188"/>
      <c r="IK32" s="188"/>
      <c r="IL32" s="188"/>
      <c r="IM32" s="188"/>
      <c r="IN32" s="188"/>
      <c r="IO32" s="188"/>
      <c r="IP32" s="188"/>
      <c r="IQ32" s="188"/>
      <c r="IR32" s="188"/>
      <c r="IS32" s="188"/>
      <c r="IT32" s="188"/>
      <c r="IU32" s="188"/>
      <c r="IV32" s="188"/>
      <c r="IW32" s="188"/>
      <c r="IX32" s="188"/>
      <c r="IY32" s="188"/>
      <c r="IZ32" s="188"/>
      <c r="JA32" s="188"/>
      <c r="JB32" s="188"/>
      <c r="JC32" s="188"/>
      <c r="JD32" s="188"/>
      <c r="JE32" s="188"/>
      <c r="JF32" s="188"/>
      <c r="JG32" s="188"/>
      <c r="JH32" s="188"/>
      <c r="JI32" s="188"/>
      <c r="JJ32" s="188"/>
      <c r="JK32" s="188"/>
      <c r="JL32" s="188"/>
      <c r="JM32" s="188"/>
      <c r="JN32" s="188"/>
      <c r="JO32" s="188"/>
      <c r="JP32" s="188"/>
      <c r="JQ32" s="188"/>
      <c r="JR32" s="188"/>
      <c r="JS32" s="188"/>
      <c r="JT32" s="188"/>
      <c r="JU32" s="188"/>
      <c r="JV32" s="188"/>
      <c r="JW32" s="188"/>
      <c r="JX32" s="188"/>
      <c r="JY32" s="188"/>
      <c r="JZ32" s="188"/>
      <c r="KA32" s="188"/>
      <c r="KB32" s="188"/>
      <c r="KC32" s="172"/>
      <c r="KD32" s="173"/>
      <c r="KE32" s="174"/>
      <c r="KF32" s="174"/>
      <c r="KG32" s="174"/>
      <c r="KH32" s="174"/>
      <c r="KI32" s="174"/>
      <c r="KJ32" s="174"/>
      <c r="KK32" s="174"/>
      <c r="KL32" s="174"/>
      <c r="KM32" s="174"/>
      <c r="KN32" s="174"/>
      <c r="KO32" s="174"/>
      <c r="KP32" s="174"/>
      <c r="KQ32" s="174"/>
      <c r="KR32" s="174"/>
      <c r="KS32" s="174"/>
      <c r="KT32" s="174"/>
      <c r="KU32" s="174"/>
      <c r="KV32" s="174"/>
      <c r="KW32" s="174"/>
    </row>
    <row r="33">
      <c r="A33" s="101" t="s">
        <v>76</v>
      </c>
      <c r="B33" s="93">
        <v>439.0</v>
      </c>
      <c r="C33" s="89"/>
      <c r="D33" s="188"/>
      <c r="E33" s="188"/>
      <c r="F33" s="188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96">
        <v>1.0</v>
      </c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310"/>
      <c r="CE33" s="172">
        <f t="shared" si="1"/>
        <v>1</v>
      </c>
      <c r="CF33" s="173">
        <f t="shared" si="2"/>
        <v>439</v>
      </c>
      <c r="CH33" s="89"/>
      <c r="CI33" s="188"/>
      <c r="CJ33" s="188"/>
      <c r="CK33" s="188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96">
        <v>1.0</v>
      </c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95"/>
      <c r="EF33" s="178">
        <f t="shared" si="7"/>
        <v>1</v>
      </c>
      <c r="EG33" s="173">
        <f t="shared" si="4"/>
        <v>439</v>
      </c>
      <c r="EH33" s="174"/>
      <c r="EI33" s="104"/>
      <c r="EJ33" s="108"/>
      <c r="EK33" s="108"/>
      <c r="EL33" s="108"/>
      <c r="EM33" s="108"/>
      <c r="EN33" s="108"/>
      <c r="EO33" s="108"/>
      <c r="EP33" s="319"/>
      <c r="EQ33" s="319"/>
      <c r="ER33" s="319"/>
      <c r="ES33" s="319"/>
      <c r="ET33" s="319"/>
      <c r="EU33" s="319"/>
      <c r="EV33" s="319"/>
      <c r="EW33" s="319"/>
      <c r="EX33" s="319"/>
      <c r="EY33" s="319"/>
      <c r="EZ33" s="319"/>
      <c r="FA33" s="319"/>
      <c r="FB33" s="322">
        <v>1.0</v>
      </c>
      <c r="FC33" s="319"/>
      <c r="FD33" s="319"/>
      <c r="FE33" s="319"/>
      <c r="FF33" s="319"/>
      <c r="FG33" s="319"/>
      <c r="FH33" s="319"/>
      <c r="FI33" s="319"/>
      <c r="FJ33" s="319"/>
      <c r="FK33" s="319"/>
      <c r="FL33" s="319"/>
      <c r="FM33" s="319"/>
      <c r="FN33" s="319"/>
      <c r="FO33" s="319"/>
      <c r="FP33" s="188"/>
      <c r="FQ33" s="188"/>
      <c r="FR33" s="188"/>
      <c r="FS33" s="188"/>
      <c r="FT33" s="188"/>
      <c r="FU33" s="188"/>
      <c r="FV33" s="188"/>
      <c r="FW33" s="188"/>
      <c r="FX33" s="188"/>
      <c r="FY33" s="188"/>
      <c r="FZ33" s="188"/>
      <c r="GA33" s="188"/>
      <c r="GB33" s="188"/>
      <c r="GC33" s="188"/>
      <c r="GD33" s="188"/>
      <c r="GE33" s="188"/>
      <c r="GF33" s="188"/>
      <c r="GG33" s="188"/>
      <c r="GH33" s="200">
        <f t="shared" si="5"/>
        <v>1</v>
      </c>
      <c r="GI33" s="173">
        <f t="shared" si="6"/>
        <v>439</v>
      </c>
      <c r="GJ33" s="174"/>
      <c r="GK33" s="191"/>
      <c r="GL33" s="181"/>
      <c r="GM33" s="181"/>
      <c r="GN33" s="181"/>
      <c r="GO33" s="181"/>
      <c r="GP33" s="181"/>
      <c r="GQ33" s="181"/>
      <c r="GR33" s="181"/>
      <c r="GS33" s="181"/>
      <c r="GT33" s="181"/>
      <c r="GU33" s="181"/>
      <c r="GV33" s="181"/>
      <c r="GW33" s="181"/>
      <c r="GX33" s="181"/>
      <c r="GY33" s="181"/>
      <c r="GZ33" s="320">
        <v>1.0</v>
      </c>
      <c r="HA33" s="181"/>
      <c r="HB33" s="316"/>
      <c r="HC33" s="316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/>
      <c r="HO33" s="181"/>
      <c r="HP33" s="181"/>
      <c r="HQ33" s="181"/>
      <c r="HR33" s="181"/>
      <c r="HS33" s="181"/>
      <c r="HT33" s="181"/>
      <c r="HU33" s="181"/>
      <c r="HV33" s="181"/>
      <c r="HW33" s="181"/>
      <c r="HX33" s="181"/>
      <c r="HY33" s="181"/>
      <c r="HZ33" s="181"/>
      <c r="IA33" s="181"/>
      <c r="IB33" s="181"/>
      <c r="IC33" s="181"/>
      <c r="ID33" s="181"/>
      <c r="IE33" s="181"/>
      <c r="IF33" s="201"/>
      <c r="IG33" s="173"/>
      <c r="IH33" s="174"/>
      <c r="II33" s="317"/>
      <c r="IJ33" s="188"/>
      <c r="IK33" s="188"/>
      <c r="IL33" s="188"/>
      <c r="IM33" s="188"/>
      <c r="IN33" s="188"/>
      <c r="IO33" s="188"/>
      <c r="IP33" s="188"/>
      <c r="IQ33" s="188"/>
      <c r="IR33" s="188"/>
      <c r="IS33" s="188"/>
      <c r="IT33" s="188"/>
      <c r="IU33" s="188"/>
      <c r="IV33" s="188"/>
      <c r="IW33" s="188"/>
      <c r="IX33" s="188"/>
      <c r="IY33" s="188"/>
      <c r="IZ33" s="321">
        <v>1.0</v>
      </c>
      <c r="JA33" s="188"/>
      <c r="JB33" s="188"/>
      <c r="JC33" s="188"/>
      <c r="JD33" s="188"/>
      <c r="JE33" s="188"/>
      <c r="JF33" s="188"/>
      <c r="JG33" s="188"/>
      <c r="JH33" s="188"/>
      <c r="JI33" s="188"/>
      <c r="JJ33" s="188"/>
      <c r="JK33" s="188"/>
      <c r="JL33" s="188"/>
      <c r="JM33" s="188"/>
      <c r="JN33" s="188"/>
      <c r="JO33" s="188"/>
      <c r="JP33" s="188"/>
      <c r="JQ33" s="188"/>
      <c r="JR33" s="188"/>
      <c r="JS33" s="188"/>
      <c r="JT33" s="188"/>
      <c r="JU33" s="188"/>
      <c r="JV33" s="188"/>
      <c r="JW33" s="188"/>
      <c r="JX33" s="188"/>
      <c r="JY33" s="188"/>
      <c r="JZ33" s="188"/>
      <c r="KA33" s="188"/>
      <c r="KB33" s="188"/>
      <c r="KC33" s="172"/>
      <c r="KD33" s="173"/>
      <c r="KE33" s="174"/>
      <c r="KF33" s="174"/>
      <c r="KG33" s="174"/>
      <c r="KH33" s="174"/>
      <c r="KI33" s="174"/>
      <c r="KJ33" s="174"/>
      <c r="KK33" s="174"/>
      <c r="KL33" s="174"/>
      <c r="KM33" s="174"/>
      <c r="KN33" s="174"/>
      <c r="KO33" s="174"/>
      <c r="KP33" s="174"/>
      <c r="KQ33" s="174"/>
      <c r="KR33" s="174"/>
      <c r="KS33" s="174"/>
      <c r="KT33" s="174"/>
      <c r="KU33" s="174"/>
      <c r="KV33" s="174"/>
      <c r="KW33" s="174"/>
    </row>
    <row r="34">
      <c r="A34" s="101" t="s">
        <v>77</v>
      </c>
      <c r="B34" s="93">
        <v>899.0</v>
      </c>
      <c r="C34" s="89"/>
      <c r="D34" s="188"/>
      <c r="E34" s="178"/>
      <c r="F34" s="188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310"/>
      <c r="CE34" s="172">
        <f t="shared" si="1"/>
        <v>0</v>
      </c>
      <c r="CF34" s="173">
        <f t="shared" si="2"/>
        <v>0</v>
      </c>
      <c r="CH34" s="89"/>
      <c r="CI34" s="188"/>
      <c r="CJ34" s="178"/>
      <c r="CK34" s="188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171"/>
      <c r="DS34" s="171"/>
      <c r="DT34" s="171"/>
      <c r="DU34" s="171"/>
      <c r="DV34" s="171"/>
      <c r="DW34" s="171"/>
      <c r="DX34" s="171"/>
      <c r="DY34" s="171"/>
      <c r="DZ34" s="171"/>
      <c r="EA34" s="171"/>
      <c r="EB34" s="171"/>
      <c r="EC34" s="171"/>
      <c r="ED34" s="171"/>
      <c r="EE34" s="95"/>
      <c r="EF34" s="178">
        <f t="shared" si="7"/>
        <v>0</v>
      </c>
      <c r="EG34" s="173">
        <f t="shared" si="4"/>
        <v>0</v>
      </c>
      <c r="EH34" s="174"/>
      <c r="EI34" s="104"/>
      <c r="EJ34" s="108"/>
      <c r="EK34" s="108"/>
      <c r="EL34" s="108"/>
      <c r="EM34" s="108"/>
      <c r="EN34" s="108"/>
      <c r="EO34" s="108"/>
      <c r="EP34" s="319"/>
      <c r="EQ34" s="319"/>
      <c r="ER34" s="319"/>
      <c r="ES34" s="319"/>
      <c r="ET34" s="319"/>
      <c r="EU34" s="319"/>
      <c r="EV34" s="319"/>
      <c r="EW34" s="319"/>
      <c r="EX34" s="319"/>
      <c r="EY34" s="319"/>
      <c r="EZ34" s="319"/>
      <c r="FA34" s="319"/>
      <c r="FB34" s="319"/>
      <c r="FC34" s="319"/>
      <c r="FD34" s="319"/>
      <c r="FE34" s="319"/>
      <c r="FF34" s="319"/>
      <c r="FG34" s="319"/>
      <c r="FH34" s="319"/>
      <c r="FI34" s="319"/>
      <c r="FJ34" s="319"/>
      <c r="FK34" s="319"/>
      <c r="FL34" s="319"/>
      <c r="FM34" s="319"/>
      <c r="FN34" s="319"/>
      <c r="FO34" s="319"/>
      <c r="FP34" s="188"/>
      <c r="FQ34" s="188"/>
      <c r="FR34" s="188"/>
      <c r="FS34" s="188"/>
      <c r="FT34" s="188"/>
      <c r="FU34" s="188"/>
      <c r="FV34" s="188"/>
      <c r="FW34" s="188"/>
      <c r="FX34" s="188"/>
      <c r="FY34" s="188"/>
      <c r="FZ34" s="188"/>
      <c r="GA34" s="188"/>
      <c r="GB34" s="188"/>
      <c r="GC34" s="188"/>
      <c r="GD34" s="188"/>
      <c r="GE34" s="188"/>
      <c r="GF34" s="188"/>
      <c r="GG34" s="178"/>
      <c r="GH34" s="200">
        <f t="shared" si="5"/>
        <v>0</v>
      </c>
      <c r="GI34" s="173">
        <f t="shared" si="6"/>
        <v>0</v>
      </c>
      <c r="GJ34" s="174"/>
      <c r="GK34" s="191"/>
      <c r="GL34" s="181"/>
      <c r="GM34" s="181"/>
      <c r="GN34" s="181"/>
      <c r="GO34" s="181"/>
      <c r="GP34" s="181"/>
      <c r="GQ34" s="181"/>
      <c r="GR34" s="181"/>
      <c r="GS34" s="181"/>
      <c r="GT34" s="181"/>
      <c r="GU34" s="181"/>
      <c r="GV34" s="181"/>
      <c r="GW34" s="181"/>
      <c r="GX34" s="181"/>
      <c r="GY34" s="181"/>
      <c r="GZ34" s="181"/>
      <c r="HA34" s="181"/>
      <c r="HB34" s="316"/>
      <c r="HC34" s="316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/>
      <c r="HO34" s="181"/>
      <c r="HP34" s="181"/>
      <c r="HQ34" s="181"/>
      <c r="HR34" s="181"/>
      <c r="HS34" s="181"/>
      <c r="HT34" s="181"/>
      <c r="HU34" s="181"/>
      <c r="HV34" s="181"/>
      <c r="HW34" s="181"/>
      <c r="HX34" s="181"/>
      <c r="HY34" s="181"/>
      <c r="HZ34" s="181"/>
      <c r="IA34" s="181"/>
      <c r="IB34" s="181"/>
      <c r="IC34" s="181"/>
      <c r="ID34" s="181"/>
      <c r="IE34" s="181"/>
      <c r="IF34" s="201"/>
      <c r="IG34" s="173"/>
      <c r="IH34" s="174"/>
      <c r="II34" s="317"/>
      <c r="IJ34" s="188"/>
      <c r="IK34" s="188"/>
      <c r="IL34" s="188"/>
      <c r="IM34" s="188"/>
      <c r="IN34" s="188"/>
      <c r="IO34" s="188"/>
      <c r="IP34" s="188"/>
      <c r="IQ34" s="188"/>
      <c r="IR34" s="188"/>
      <c r="IS34" s="188"/>
      <c r="IT34" s="188"/>
      <c r="IU34" s="188"/>
      <c r="IV34" s="188"/>
      <c r="IW34" s="188"/>
      <c r="IX34" s="188"/>
      <c r="IY34" s="188"/>
      <c r="IZ34" s="188"/>
      <c r="JA34" s="188"/>
      <c r="JB34" s="188"/>
      <c r="JC34" s="188"/>
      <c r="JD34" s="188"/>
      <c r="JE34" s="188"/>
      <c r="JF34" s="188"/>
      <c r="JG34" s="188"/>
      <c r="JH34" s="188"/>
      <c r="JI34" s="188"/>
      <c r="JJ34" s="188"/>
      <c r="JK34" s="188"/>
      <c r="JL34" s="188"/>
      <c r="JM34" s="188"/>
      <c r="JN34" s="188"/>
      <c r="JO34" s="188"/>
      <c r="JP34" s="188"/>
      <c r="JQ34" s="188"/>
      <c r="JR34" s="188"/>
      <c r="JS34" s="188"/>
      <c r="JT34" s="188"/>
      <c r="JU34" s="188"/>
      <c r="JV34" s="188"/>
      <c r="JW34" s="188"/>
      <c r="JX34" s="188"/>
      <c r="JY34" s="188"/>
      <c r="JZ34" s="188"/>
      <c r="KA34" s="188"/>
      <c r="KB34" s="188"/>
      <c r="KC34" s="172"/>
      <c r="KD34" s="173"/>
      <c r="KE34" s="174"/>
      <c r="KF34" s="174"/>
      <c r="KG34" s="174"/>
      <c r="KH34" s="174"/>
      <c r="KI34" s="174"/>
      <c r="KJ34" s="174"/>
      <c r="KK34" s="174"/>
      <c r="KL34" s="174"/>
      <c r="KM34" s="174"/>
      <c r="KN34" s="174"/>
      <c r="KO34" s="174"/>
      <c r="KP34" s="174"/>
      <c r="KQ34" s="174"/>
      <c r="KR34" s="174"/>
      <c r="KS34" s="174"/>
      <c r="KT34" s="174"/>
      <c r="KU34" s="174"/>
      <c r="KV34" s="174"/>
      <c r="KW34" s="174"/>
    </row>
    <row r="35">
      <c r="A35" s="101" t="s">
        <v>78</v>
      </c>
      <c r="B35" s="93">
        <v>549.0</v>
      </c>
      <c r="C35" s="89"/>
      <c r="D35" s="178"/>
      <c r="E35" s="188"/>
      <c r="F35" s="188"/>
      <c r="G35" s="171"/>
      <c r="H35" s="195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1"/>
      <c r="BA35" s="171"/>
      <c r="BB35" s="171"/>
      <c r="BC35" s="171"/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1"/>
      <c r="CD35" s="310"/>
      <c r="CE35" s="172">
        <f t="shared" si="1"/>
        <v>0</v>
      </c>
      <c r="CF35" s="173">
        <f t="shared" si="2"/>
        <v>0</v>
      </c>
      <c r="CH35" s="89"/>
      <c r="CI35" s="178"/>
      <c r="CJ35" s="188"/>
      <c r="CK35" s="188"/>
      <c r="CL35" s="171"/>
      <c r="CM35" s="195"/>
      <c r="CN35" s="171"/>
      <c r="CO35" s="171"/>
      <c r="CP35" s="171"/>
      <c r="CQ35" s="171"/>
      <c r="CR35" s="171"/>
      <c r="CS35" s="171"/>
      <c r="CT35" s="171"/>
      <c r="CU35" s="171"/>
      <c r="CV35" s="171"/>
      <c r="CW35" s="171"/>
      <c r="CX35" s="171"/>
      <c r="CY35" s="171"/>
      <c r="CZ35" s="171"/>
      <c r="DA35" s="171"/>
      <c r="DB35" s="171"/>
      <c r="DC35" s="171"/>
      <c r="DD35" s="171"/>
      <c r="DE35" s="171"/>
      <c r="DF35" s="171"/>
      <c r="DG35" s="171"/>
      <c r="DH35" s="171"/>
      <c r="DI35" s="171"/>
      <c r="DJ35" s="171"/>
      <c r="DK35" s="171"/>
      <c r="DL35" s="171"/>
      <c r="DM35" s="171"/>
      <c r="DN35" s="171"/>
      <c r="DO35" s="171"/>
      <c r="DP35" s="171"/>
      <c r="DQ35" s="171"/>
      <c r="DR35" s="171"/>
      <c r="DS35" s="171"/>
      <c r="DT35" s="171"/>
      <c r="DU35" s="171"/>
      <c r="DV35" s="171"/>
      <c r="DW35" s="171"/>
      <c r="DX35" s="171"/>
      <c r="DY35" s="171"/>
      <c r="DZ35" s="171"/>
      <c r="EA35" s="171"/>
      <c r="EB35" s="171"/>
      <c r="EC35" s="171"/>
      <c r="ED35" s="171"/>
      <c r="EE35" s="95"/>
      <c r="EF35" s="178">
        <f t="shared" si="7"/>
        <v>0</v>
      </c>
      <c r="EG35" s="173">
        <f t="shared" si="4"/>
        <v>0</v>
      </c>
      <c r="EH35" s="174"/>
      <c r="EI35" s="104"/>
      <c r="EJ35" s="108"/>
      <c r="EK35" s="108"/>
      <c r="EL35" s="108"/>
      <c r="EM35" s="108"/>
      <c r="EN35" s="108"/>
      <c r="EO35" s="108"/>
      <c r="EP35" s="319"/>
      <c r="EQ35" s="319"/>
      <c r="ER35" s="319"/>
      <c r="ES35" s="319"/>
      <c r="ET35" s="319"/>
      <c r="EU35" s="319"/>
      <c r="EV35" s="319"/>
      <c r="EW35" s="319"/>
      <c r="EX35" s="319"/>
      <c r="EY35" s="319"/>
      <c r="EZ35" s="319"/>
      <c r="FA35" s="319"/>
      <c r="FB35" s="319"/>
      <c r="FC35" s="319"/>
      <c r="FD35" s="319"/>
      <c r="FE35" s="319"/>
      <c r="FF35" s="319"/>
      <c r="FG35" s="319"/>
      <c r="FH35" s="319"/>
      <c r="FI35" s="319"/>
      <c r="FJ35" s="319"/>
      <c r="FK35" s="319"/>
      <c r="FL35" s="319"/>
      <c r="FM35" s="319"/>
      <c r="FN35" s="319"/>
      <c r="FO35" s="319"/>
      <c r="FP35" s="178"/>
      <c r="FQ35" s="178"/>
      <c r="FR35" s="178"/>
      <c r="FS35" s="178"/>
      <c r="FT35" s="178"/>
      <c r="FU35" s="178"/>
      <c r="FV35" s="178"/>
      <c r="FW35" s="178"/>
      <c r="FX35" s="178"/>
      <c r="FY35" s="178"/>
      <c r="FZ35" s="178"/>
      <c r="GA35" s="178"/>
      <c r="GB35" s="178"/>
      <c r="GC35" s="178"/>
      <c r="GD35" s="178"/>
      <c r="GE35" s="178"/>
      <c r="GF35" s="178"/>
      <c r="GG35" s="188"/>
      <c r="GH35" s="200">
        <f t="shared" si="5"/>
        <v>0</v>
      </c>
      <c r="GI35" s="173">
        <f t="shared" si="6"/>
        <v>0</v>
      </c>
      <c r="GJ35" s="174"/>
      <c r="GK35" s="191"/>
      <c r="GL35" s="181"/>
      <c r="GM35" s="181"/>
      <c r="GN35" s="181"/>
      <c r="GO35" s="181"/>
      <c r="GP35" s="181"/>
      <c r="GQ35" s="181"/>
      <c r="GR35" s="181"/>
      <c r="GS35" s="181"/>
      <c r="GT35" s="181"/>
      <c r="GU35" s="181"/>
      <c r="GV35" s="181"/>
      <c r="GW35" s="181"/>
      <c r="GX35" s="181"/>
      <c r="GY35" s="181"/>
      <c r="GZ35" s="181"/>
      <c r="HA35" s="181"/>
      <c r="HB35" s="316"/>
      <c r="HC35" s="316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/>
      <c r="HO35" s="181"/>
      <c r="HP35" s="181"/>
      <c r="HQ35" s="181"/>
      <c r="HR35" s="181"/>
      <c r="HS35" s="181"/>
      <c r="HT35" s="181"/>
      <c r="HU35" s="181"/>
      <c r="HV35" s="181"/>
      <c r="HW35" s="181"/>
      <c r="HX35" s="181"/>
      <c r="HY35" s="181"/>
      <c r="HZ35" s="181"/>
      <c r="IA35" s="181"/>
      <c r="IB35" s="181"/>
      <c r="IC35" s="181"/>
      <c r="ID35" s="181"/>
      <c r="IE35" s="181"/>
      <c r="IF35" s="201"/>
      <c r="IG35" s="173"/>
      <c r="IH35" s="174"/>
      <c r="II35" s="317"/>
      <c r="IJ35" s="178"/>
      <c r="IK35" s="178"/>
      <c r="IL35" s="178"/>
      <c r="IM35" s="178"/>
      <c r="IN35" s="178"/>
      <c r="IO35" s="178"/>
      <c r="IP35" s="178"/>
      <c r="IQ35" s="178"/>
      <c r="IR35" s="178"/>
      <c r="IS35" s="178"/>
      <c r="IT35" s="178"/>
      <c r="IU35" s="178"/>
      <c r="IV35" s="178"/>
      <c r="IW35" s="178"/>
      <c r="IX35" s="178"/>
      <c r="IY35" s="178"/>
      <c r="IZ35" s="178"/>
      <c r="JA35" s="178"/>
      <c r="JB35" s="321">
        <v>1.0</v>
      </c>
      <c r="JC35" s="178"/>
      <c r="JD35" s="178"/>
      <c r="JE35" s="178"/>
      <c r="JF35" s="178"/>
      <c r="JG35" s="178"/>
      <c r="JH35" s="178"/>
      <c r="JI35" s="178"/>
      <c r="JJ35" s="178"/>
      <c r="JK35" s="178"/>
      <c r="JL35" s="178"/>
      <c r="JM35" s="178"/>
      <c r="JN35" s="178"/>
      <c r="JO35" s="178"/>
      <c r="JP35" s="178"/>
      <c r="JQ35" s="178"/>
      <c r="JR35" s="178"/>
      <c r="JS35" s="178"/>
      <c r="JT35" s="178"/>
      <c r="JU35" s="178"/>
      <c r="JV35" s="178"/>
      <c r="JW35" s="178"/>
      <c r="JX35" s="178"/>
      <c r="JY35" s="178"/>
      <c r="JZ35" s="178"/>
      <c r="KA35" s="178"/>
      <c r="KB35" s="178"/>
      <c r="KC35" s="172"/>
      <c r="KD35" s="173"/>
      <c r="KE35" s="174"/>
      <c r="KF35" s="174"/>
      <c r="KG35" s="174"/>
      <c r="KH35" s="174"/>
      <c r="KI35" s="174"/>
      <c r="KJ35" s="174"/>
      <c r="KK35" s="174"/>
      <c r="KL35" s="174"/>
      <c r="KM35" s="174"/>
      <c r="KN35" s="174"/>
      <c r="KO35" s="174"/>
      <c r="KP35" s="174"/>
      <c r="KQ35" s="174"/>
      <c r="KR35" s="174"/>
      <c r="KS35" s="174"/>
      <c r="KT35" s="174"/>
      <c r="KU35" s="174"/>
      <c r="KV35" s="174"/>
      <c r="KW35" s="174"/>
    </row>
    <row r="36">
      <c r="A36" s="101" t="s">
        <v>79</v>
      </c>
      <c r="B36" s="93">
        <v>549.0</v>
      </c>
      <c r="C36" s="89"/>
      <c r="D36" s="178"/>
      <c r="E36" s="188"/>
      <c r="F36" s="188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1"/>
      <c r="CA36" s="171"/>
      <c r="CB36" s="171"/>
      <c r="CC36" s="171"/>
      <c r="CD36" s="310"/>
      <c r="CE36" s="172">
        <f t="shared" si="1"/>
        <v>0</v>
      </c>
      <c r="CF36" s="173">
        <f t="shared" si="2"/>
        <v>0</v>
      </c>
      <c r="CH36" s="89"/>
      <c r="CI36" s="178"/>
      <c r="CJ36" s="188"/>
      <c r="CK36" s="188"/>
      <c r="CL36" s="171"/>
      <c r="CM36" s="171"/>
      <c r="CN36" s="171"/>
      <c r="CO36" s="171"/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/>
      <c r="DO36" s="171"/>
      <c r="DP36" s="171"/>
      <c r="DQ36" s="171"/>
      <c r="DR36" s="171"/>
      <c r="DS36" s="171"/>
      <c r="DT36" s="171"/>
      <c r="DU36" s="171"/>
      <c r="DV36" s="171"/>
      <c r="DW36" s="171"/>
      <c r="DX36" s="171"/>
      <c r="DY36" s="171"/>
      <c r="DZ36" s="171"/>
      <c r="EA36" s="171"/>
      <c r="EB36" s="171"/>
      <c r="EC36" s="171"/>
      <c r="ED36" s="171"/>
      <c r="EE36" s="95"/>
      <c r="EF36" s="178">
        <f t="shared" si="7"/>
        <v>0</v>
      </c>
      <c r="EG36" s="173">
        <f t="shared" si="4"/>
        <v>0</v>
      </c>
      <c r="EH36" s="174"/>
      <c r="EI36" s="104"/>
      <c r="EJ36" s="108"/>
      <c r="EK36" s="108"/>
      <c r="EL36" s="108"/>
      <c r="EM36" s="108"/>
      <c r="EN36" s="108"/>
      <c r="EO36" s="108"/>
      <c r="EP36" s="319"/>
      <c r="EQ36" s="319"/>
      <c r="ER36" s="319"/>
      <c r="ES36" s="319"/>
      <c r="ET36" s="319"/>
      <c r="EU36" s="319"/>
      <c r="EV36" s="322">
        <v>1.0</v>
      </c>
      <c r="EW36" s="319"/>
      <c r="EX36" s="319"/>
      <c r="EY36" s="319"/>
      <c r="EZ36" s="319"/>
      <c r="FA36" s="319"/>
      <c r="FB36" s="319"/>
      <c r="FC36" s="319"/>
      <c r="FD36" s="319"/>
      <c r="FE36" s="319"/>
      <c r="FF36" s="319"/>
      <c r="FG36" s="319"/>
      <c r="FH36" s="319"/>
      <c r="FI36" s="319"/>
      <c r="FJ36" s="319"/>
      <c r="FK36" s="319"/>
      <c r="FL36" s="319"/>
      <c r="FM36" s="319"/>
      <c r="FN36" s="319"/>
      <c r="FO36" s="319"/>
      <c r="FP36" s="178"/>
      <c r="FQ36" s="178"/>
      <c r="FR36" s="178"/>
      <c r="FS36" s="178"/>
      <c r="FT36" s="178"/>
      <c r="FU36" s="178"/>
      <c r="FV36" s="178"/>
      <c r="FW36" s="178"/>
      <c r="FX36" s="178"/>
      <c r="FY36" s="178"/>
      <c r="FZ36" s="178"/>
      <c r="GA36" s="178"/>
      <c r="GB36" s="178"/>
      <c r="GC36" s="178"/>
      <c r="GD36" s="178"/>
      <c r="GE36" s="178"/>
      <c r="GF36" s="178"/>
      <c r="GG36" s="188"/>
      <c r="GH36" s="200">
        <f t="shared" si="5"/>
        <v>1</v>
      </c>
      <c r="GI36" s="173">
        <f t="shared" si="6"/>
        <v>549</v>
      </c>
      <c r="GJ36" s="174"/>
      <c r="GK36" s="191"/>
      <c r="GL36" s="181"/>
      <c r="GM36" s="181"/>
      <c r="GN36" s="181"/>
      <c r="GO36" s="181"/>
      <c r="GP36" s="181"/>
      <c r="GQ36" s="181"/>
      <c r="GR36" s="181"/>
      <c r="GS36" s="181"/>
      <c r="GT36" s="181"/>
      <c r="GU36" s="181"/>
      <c r="GV36" s="181"/>
      <c r="GW36" s="181"/>
      <c r="GX36" s="181"/>
      <c r="GY36" s="181"/>
      <c r="GZ36" s="181"/>
      <c r="HA36" s="181"/>
      <c r="HB36" s="316"/>
      <c r="HC36" s="316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/>
      <c r="HO36" s="181"/>
      <c r="HP36" s="181"/>
      <c r="HQ36" s="181"/>
      <c r="HR36" s="181"/>
      <c r="HS36" s="181"/>
      <c r="HT36" s="181"/>
      <c r="HU36" s="181"/>
      <c r="HV36" s="181"/>
      <c r="HW36" s="181"/>
      <c r="HX36" s="181"/>
      <c r="HY36" s="181"/>
      <c r="HZ36" s="181"/>
      <c r="IA36" s="181"/>
      <c r="IB36" s="181"/>
      <c r="IC36" s="181"/>
      <c r="ID36" s="181"/>
      <c r="IE36" s="181"/>
      <c r="IF36" s="201"/>
      <c r="IG36" s="173"/>
      <c r="IH36" s="174"/>
      <c r="II36" s="317"/>
      <c r="IJ36" s="178"/>
      <c r="IK36" s="178"/>
      <c r="IL36" s="178"/>
      <c r="IM36" s="178"/>
      <c r="IN36" s="178"/>
      <c r="IO36" s="178"/>
      <c r="IP36" s="178"/>
      <c r="IQ36" s="178"/>
      <c r="IR36" s="178"/>
      <c r="IS36" s="178"/>
      <c r="IT36" s="178"/>
      <c r="IU36" s="178"/>
      <c r="IV36" s="178"/>
      <c r="IW36" s="178"/>
      <c r="IX36" s="178"/>
      <c r="IY36" s="178"/>
      <c r="IZ36" s="178"/>
      <c r="JA36" s="178"/>
      <c r="JB36" s="178"/>
      <c r="JC36" s="178"/>
      <c r="JD36" s="178"/>
      <c r="JE36" s="178"/>
      <c r="JF36" s="178"/>
      <c r="JG36" s="178"/>
      <c r="JH36" s="178"/>
      <c r="JI36" s="178"/>
      <c r="JJ36" s="178"/>
      <c r="JK36" s="178"/>
      <c r="JL36" s="178"/>
      <c r="JM36" s="178"/>
      <c r="JN36" s="178"/>
      <c r="JO36" s="178"/>
      <c r="JP36" s="178"/>
      <c r="JQ36" s="178"/>
      <c r="JR36" s="178"/>
      <c r="JS36" s="178"/>
      <c r="JT36" s="178"/>
      <c r="JU36" s="178"/>
      <c r="JV36" s="178"/>
      <c r="JW36" s="178"/>
      <c r="JX36" s="178"/>
      <c r="JY36" s="178"/>
      <c r="JZ36" s="178"/>
      <c r="KA36" s="178"/>
      <c r="KB36" s="178"/>
      <c r="KC36" s="172"/>
      <c r="KD36" s="173"/>
      <c r="KE36" s="174"/>
      <c r="KF36" s="174"/>
      <c r="KG36" s="174"/>
      <c r="KH36" s="174"/>
      <c r="KI36" s="174"/>
      <c r="KJ36" s="174"/>
      <c r="KK36" s="174"/>
      <c r="KL36" s="174"/>
      <c r="KM36" s="174"/>
      <c r="KN36" s="174"/>
      <c r="KO36" s="174"/>
      <c r="KP36" s="174"/>
      <c r="KQ36" s="174"/>
      <c r="KR36" s="174"/>
      <c r="KS36" s="174"/>
      <c r="KT36" s="174"/>
      <c r="KU36" s="174"/>
      <c r="KV36" s="174"/>
      <c r="KW36" s="174"/>
    </row>
    <row r="37">
      <c r="A37" s="101" t="s">
        <v>80</v>
      </c>
      <c r="B37" s="93">
        <v>549.0</v>
      </c>
      <c r="C37" s="89"/>
      <c r="D37" s="188"/>
      <c r="E37" s="188"/>
      <c r="F37" s="188"/>
      <c r="G37" s="171"/>
      <c r="H37" s="171"/>
      <c r="I37" s="171"/>
      <c r="J37" s="171"/>
      <c r="K37" s="171"/>
      <c r="L37" s="171"/>
      <c r="M37" s="171"/>
      <c r="N37" s="171"/>
      <c r="O37" s="196">
        <v>1.0</v>
      </c>
      <c r="P37" s="171"/>
      <c r="Q37" s="171"/>
      <c r="R37" s="171"/>
      <c r="S37" s="171"/>
      <c r="T37" s="171"/>
      <c r="U37" s="171"/>
      <c r="V37" s="196">
        <v>1.0</v>
      </c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310"/>
      <c r="CE37" s="172">
        <f t="shared" si="1"/>
        <v>2</v>
      </c>
      <c r="CF37" s="173">
        <f t="shared" si="2"/>
        <v>1098</v>
      </c>
      <c r="CH37" s="89"/>
      <c r="CI37" s="188"/>
      <c r="CJ37" s="188"/>
      <c r="CK37" s="188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1"/>
      <c r="DP37" s="171"/>
      <c r="DQ37" s="171"/>
      <c r="DR37" s="171"/>
      <c r="DS37" s="171"/>
      <c r="DT37" s="171"/>
      <c r="DU37" s="171"/>
      <c r="DV37" s="171"/>
      <c r="DW37" s="171"/>
      <c r="DX37" s="171"/>
      <c r="DY37" s="171"/>
      <c r="DZ37" s="171"/>
      <c r="EA37" s="171"/>
      <c r="EB37" s="171"/>
      <c r="EC37" s="171"/>
      <c r="ED37" s="171"/>
      <c r="EE37" s="95"/>
      <c r="EF37" s="178">
        <f t="shared" si="7"/>
        <v>0</v>
      </c>
      <c r="EG37" s="173">
        <f t="shared" si="4"/>
        <v>0</v>
      </c>
      <c r="EH37" s="174"/>
      <c r="EI37" s="104"/>
      <c r="EJ37" s="108"/>
      <c r="EK37" s="108"/>
      <c r="EL37" s="108"/>
      <c r="EM37" s="108"/>
      <c r="EN37" s="108"/>
      <c r="EO37" s="108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/>
      <c r="FC37" s="319"/>
      <c r="FD37" s="319"/>
      <c r="FE37" s="319"/>
      <c r="FF37" s="319"/>
      <c r="FG37" s="319"/>
      <c r="FH37" s="322">
        <v>1.0</v>
      </c>
      <c r="FI37" s="322"/>
      <c r="FJ37" s="319"/>
      <c r="FK37" s="319"/>
      <c r="FL37" s="319"/>
      <c r="FM37" s="319"/>
      <c r="FN37" s="319"/>
      <c r="FO37" s="319"/>
      <c r="FP37" s="188"/>
      <c r="FQ37" s="188"/>
      <c r="FR37" s="188"/>
      <c r="FS37" s="188"/>
      <c r="FT37" s="188"/>
      <c r="FU37" s="188"/>
      <c r="FV37" s="188"/>
      <c r="FW37" s="188"/>
      <c r="FX37" s="188"/>
      <c r="FY37" s="188"/>
      <c r="FZ37" s="188"/>
      <c r="GA37" s="188"/>
      <c r="GB37" s="188"/>
      <c r="GC37" s="188"/>
      <c r="GD37" s="188"/>
      <c r="GE37" s="188"/>
      <c r="GF37" s="188"/>
      <c r="GG37" s="188"/>
      <c r="GH37" s="200">
        <f t="shared" si="5"/>
        <v>1</v>
      </c>
      <c r="GI37" s="173">
        <f t="shared" si="6"/>
        <v>549</v>
      </c>
      <c r="GJ37" s="174"/>
      <c r="GK37" s="191"/>
      <c r="GL37" s="181"/>
      <c r="GM37" s="181"/>
      <c r="GN37" s="181"/>
      <c r="GO37" s="181"/>
      <c r="GP37" s="181"/>
      <c r="GQ37" s="181"/>
      <c r="GR37" s="181"/>
      <c r="GS37" s="181"/>
      <c r="GT37" s="181"/>
      <c r="GU37" s="181"/>
      <c r="GV37" s="181"/>
      <c r="GW37" s="181"/>
      <c r="GX37" s="181"/>
      <c r="GY37" s="181"/>
      <c r="GZ37" s="181"/>
      <c r="HA37" s="181"/>
      <c r="HB37" s="316"/>
      <c r="HC37" s="316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/>
      <c r="HO37" s="181"/>
      <c r="HP37" s="181"/>
      <c r="HQ37" s="181"/>
      <c r="HR37" s="181"/>
      <c r="HS37" s="181"/>
      <c r="HT37" s="181"/>
      <c r="HU37" s="181"/>
      <c r="HV37" s="181"/>
      <c r="HW37" s="181"/>
      <c r="HX37" s="181"/>
      <c r="HY37" s="181"/>
      <c r="HZ37" s="181"/>
      <c r="IA37" s="181"/>
      <c r="IB37" s="181"/>
      <c r="IC37" s="181"/>
      <c r="ID37" s="181"/>
      <c r="IE37" s="181"/>
      <c r="IF37" s="201"/>
      <c r="IG37" s="173"/>
      <c r="IH37" s="174"/>
      <c r="II37" s="317"/>
      <c r="IJ37" s="194"/>
      <c r="IK37" s="194"/>
      <c r="IL37" s="194"/>
      <c r="IM37" s="194"/>
      <c r="IN37" s="194"/>
      <c r="IO37" s="194"/>
      <c r="IP37" s="194"/>
      <c r="IQ37" s="194"/>
      <c r="IR37" s="194"/>
      <c r="IS37" s="194"/>
      <c r="IT37" s="194"/>
      <c r="IU37" s="194"/>
      <c r="IV37" s="194"/>
      <c r="IW37" s="194"/>
      <c r="IX37" s="194"/>
      <c r="IY37" s="194"/>
      <c r="IZ37" s="194"/>
      <c r="JA37" s="194"/>
      <c r="JB37" s="194"/>
      <c r="JC37" s="194"/>
      <c r="JD37" s="194"/>
      <c r="JE37" s="194"/>
      <c r="JF37" s="194"/>
      <c r="JG37" s="194"/>
      <c r="JH37" s="194"/>
      <c r="JI37" s="194"/>
      <c r="JJ37" s="194"/>
      <c r="JK37" s="194"/>
      <c r="JL37" s="194"/>
      <c r="JM37" s="194"/>
      <c r="JN37" s="194"/>
      <c r="JO37" s="194"/>
      <c r="JP37" s="194"/>
      <c r="JQ37" s="194"/>
      <c r="JR37" s="194"/>
      <c r="JS37" s="194"/>
      <c r="JT37" s="194"/>
      <c r="JU37" s="194"/>
      <c r="JV37" s="194"/>
      <c r="JW37" s="194"/>
      <c r="JX37" s="194"/>
      <c r="JY37" s="194"/>
      <c r="JZ37" s="194"/>
      <c r="KA37" s="194"/>
      <c r="KB37" s="194"/>
      <c r="KC37" s="172"/>
      <c r="KD37" s="173"/>
      <c r="KE37" s="174"/>
      <c r="KF37" s="174"/>
      <c r="KG37" s="174"/>
      <c r="KH37" s="174"/>
      <c r="KI37" s="174"/>
      <c r="KJ37" s="174"/>
      <c r="KK37" s="174"/>
      <c r="KL37" s="174"/>
      <c r="KM37" s="174"/>
      <c r="KN37" s="174"/>
      <c r="KO37" s="174"/>
      <c r="KP37" s="174"/>
      <c r="KQ37" s="174"/>
      <c r="KR37" s="174"/>
      <c r="KS37" s="174"/>
      <c r="KT37" s="174"/>
      <c r="KU37" s="174"/>
      <c r="KV37" s="174"/>
      <c r="KW37" s="174"/>
    </row>
    <row r="38">
      <c r="A38" s="102" t="s">
        <v>81</v>
      </c>
      <c r="B38" s="93">
        <v>799.0</v>
      </c>
      <c r="C38" s="89"/>
      <c r="D38" s="188"/>
      <c r="E38" s="188"/>
      <c r="F38" s="188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310"/>
      <c r="CE38" s="172">
        <f t="shared" si="1"/>
        <v>0</v>
      </c>
      <c r="CF38" s="173">
        <f t="shared" si="2"/>
        <v>0</v>
      </c>
      <c r="CH38" s="89"/>
      <c r="CI38" s="188"/>
      <c r="CJ38" s="188"/>
      <c r="CK38" s="188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1"/>
      <c r="DP38" s="171"/>
      <c r="DQ38" s="171"/>
      <c r="DR38" s="171"/>
      <c r="DS38" s="171"/>
      <c r="DT38" s="171"/>
      <c r="DU38" s="171"/>
      <c r="DV38" s="196">
        <v>1.0</v>
      </c>
      <c r="DW38" s="171"/>
      <c r="DX38" s="171"/>
      <c r="DY38" s="171"/>
      <c r="DZ38" s="171"/>
      <c r="EA38" s="171"/>
      <c r="EB38" s="171"/>
      <c r="EC38" s="171"/>
      <c r="ED38" s="171"/>
      <c r="EE38" s="95"/>
      <c r="EF38" s="178">
        <f t="shared" si="7"/>
        <v>1</v>
      </c>
      <c r="EG38" s="173">
        <f t="shared" si="4"/>
        <v>799</v>
      </c>
      <c r="EH38" s="174"/>
      <c r="EI38" s="104"/>
      <c r="EJ38" s="108"/>
      <c r="EK38" s="108"/>
      <c r="EL38" s="108"/>
      <c r="EM38" s="108"/>
      <c r="EN38" s="108"/>
      <c r="EO38" s="108"/>
      <c r="EP38" s="319"/>
      <c r="EQ38" s="319"/>
      <c r="ER38" s="319"/>
      <c r="ES38" s="319"/>
      <c r="ET38" s="319"/>
      <c r="EU38" s="319"/>
      <c r="EV38" s="319"/>
      <c r="EW38" s="319"/>
      <c r="EX38" s="319"/>
      <c r="EY38" s="319"/>
      <c r="EZ38" s="319"/>
      <c r="FA38" s="319"/>
      <c r="FB38" s="319"/>
      <c r="FC38" s="319"/>
      <c r="FD38" s="319"/>
      <c r="FE38" s="319"/>
      <c r="FF38" s="319"/>
      <c r="FG38" s="319"/>
      <c r="FH38" s="319"/>
      <c r="FI38" s="319"/>
      <c r="FJ38" s="319"/>
      <c r="FK38" s="319"/>
      <c r="FL38" s="319"/>
      <c r="FM38" s="319"/>
      <c r="FN38" s="319"/>
      <c r="FO38" s="319"/>
      <c r="FP38" s="188"/>
      <c r="FQ38" s="188"/>
      <c r="FR38" s="188"/>
      <c r="FS38" s="188"/>
      <c r="FT38" s="188"/>
      <c r="FU38" s="194">
        <v>1.0</v>
      </c>
      <c r="FV38" s="188"/>
      <c r="FW38" s="188"/>
      <c r="FX38" s="188"/>
      <c r="FY38" s="188"/>
      <c r="FZ38" s="188"/>
      <c r="GA38" s="188"/>
      <c r="GB38" s="188"/>
      <c r="GC38" s="188"/>
      <c r="GD38" s="188"/>
      <c r="GE38" s="188"/>
      <c r="GF38" s="188"/>
      <c r="GG38" s="188"/>
      <c r="GH38" s="200">
        <f t="shared" si="5"/>
        <v>1</v>
      </c>
      <c r="GI38" s="173">
        <f t="shared" si="6"/>
        <v>799</v>
      </c>
      <c r="GJ38" s="174"/>
      <c r="GK38" s="191"/>
      <c r="GL38" s="181"/>
      <c r="GM38" s="181"/>
      <c r="GN38" s="181"/>
      <c r="GO38" s="181"/>
      <c r="GP38" s="181"/>
      <c r="GQ38" s="181"/>
      <c r="GR38" s="181"/>
      <c r="GS38" s="181"/>
      <c r="GT38" s="181"/>
      <c r="GU38" s="181"/>
      <c r="GV38" s="181"/>
      <c r="GW38" s="181"/>
      <c r="GX38" s="181"/>
      <c r="GY38" s="181"/>
      <c r="GZ38" s="181"/>
      <c r="HA38" s="181"/>
      <c r="HB38" s="316"/>
      <c r="HC38" s="316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/>
      <c r="HO38" s="181"/>
      <c r="HP38" s="181"/>
      <c r="HQ38" s="181"/>
      <c r="HR38" s="181"/>
      <c r="HS38" s="181"/>
      <c r="HT38" s="181"/>
      <c r="HU38" s="181"/>
      <c r="HV38" s="181"/>
      <c r="HW38" s="181"/>
      <c r="HX38" s="181"/>
      <c r="HY38" s="181"/>
      <c r="HZ38" s="181"/>
      <c r="IA38" s="181"/>
      <c r="IB38" s="181"/>
      <c r="IC38" s="181"/>
      <c r="ID38" s="181"/>
      <c r="IE38" s="181"/>
      <c r="IF38" s="201"/>
      <c r="IG38" s="173"/>
      <c r="IH38" s="174"/>
      <c r="II38" s="317"/>
      <c r="IJ38" s="188"/>
      <c r="IK38" s="188"/>
      <c r="IL38" s="188"/>
      <c r="IM38" s="188"/>
      <c r="IN38" s="188"/>
      <c r="IO38" s="188"/>
      <c r="IP38" s="188"/>
      <c r="IQ38" s="188"/>
      <c r="IR38" s="188"/>
      <c r="IS38" s="188"/>
      <c r="IT38" s="188"/>
      <c r="IU38" s="188"/>
      <c r="IV38" s="188"/>
      <c r="IW38" s="188"/>
      <c r="IX38" s="188"/>
      <c r="IY38" s="188"/>
      <c r="IZ38" s="188"/>
      <c r="JA38" s="188"/>
      <c r="JB38" s="188"/>
      <c r="JC38" s="188"/>
      <c r="JD38" s="188"/>
      <c r="JE38" s="188"/>
      <c r="JF38" s="188"/>
      <c r="JG38" s="188"/>
      <c r="JH38" s="188"/>
      <c r="JI38" s="188"/>
      <c r="JJ38" s="188"/>
      <c r="JK38" s="188"/>
      <c r="JL38" s="188"/>
      <c r="JM38" s="188"/>
      <c r="JN38" s="188"/>
      <c r="JO38" s="188"/>
      <c r="JP38" s="188"/>
      <c r="JQ38" s="188"/>
      <c r="JR38" s="188"/>
      <c r="JS38" s="188"/>
      <c r="JT38" s="188"/>
      <c r="JU38" s="188"/>
      <c r="JV38" s="188"/>
      <c r="JW38" s="188"/>
      <c r="JX38" s="188"/>
      <c r="JY38" s="188"/>
      <c r="JZ38" s="188"/>
      <c r="KA38" s="188"/>
      <c r="KB38" s="188"/>
      <c r="KC38" s="172"/>
      <c r="KD38" s="173"/>
      <c r="KE38" s="174"/>
      <c r="KF38" s="174"/>
      <c r="KG38" s="174"/>
      <c r="KH38" s="174"/>
      <c r="KI38" s="174"/>
      <c r="KJ38" s="174"/>
      <c r="KK38" s="174"/>
      <c r="KL38" s="174"/>
      <c r="KM38" s="174"/>
      <c r="KN38" s="174"/>
      <c r="KO38" s="174"/>
      <c r="KP38" s="174"/>
      <c r="KQ38" s="174"/>
      <c r="KR38" s="174"/>
      <c r="KS38" s="174"/>
      <c r="KT38" s="174"/>
      <c r="KU38" s="174"/>
      <c r="KV38" s="174"/>
      <c r="KW38" s="174"/>
    </row>
    <row r="39">
      <c r="A39" s="102" t="s">
        <v>82</v>
      </c>
      <c r="B39" s="93">
        <v>799.0</v>
      </c>
      <c r="C39" s="89"/>
      <c r="D39" s="188"/>
      <c r="E39" s="188"/>
      <c r="F39" s="188"/>
      <c r="G39" s="171"/>
      <c r="H39" s="171"/>
      <c r="I39" s="195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310"/>
      <c r="CE39" s="172">
        <f t="shared" si="1"/>
        <v>0</v>
      </c>
      <c r="CF39" s="173">
        <f t="shared" si="2"/>
        <v>0</v>
      </c>
      <c r="CH39" s="89"/>
      <c r="CI39" s="188"/>
      <c r="CJ39" s="188"/>
      <c r="CK39" s="188"/>
      <c r="CL39" s="171"/>
      <c r="CM39" s="171"/>
      <c r="CN39" s="195"/>
      <c r="CO39" s="171"/>
      <c r="CP39" s="171"/>
      <c r="CQ39" s="171"/>
      <c r="CR39" s="171"/>
      <c r="CS39" s="171"/>
      <c r="CT39" s="171"/>
      <c r="CU39" s="171"/>
      <c r="CV39" s="196">
        <v>1.0</v>
      </c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1"/>
      <c r="DP39" s="171"/>
      <c r="DQ39" s="171"/>
      <c r="DR39" s="171"/>
      <c r="DS39" s="171"/>
      <c r="DT39" s="171"/>
      <c r="DU39" s="171"/>
      <c r="DV39" s="171"/>
      <c r="DW39" s="171"/>
      <c r="DX39" s="171"/>
      <c r="DY39" s="171"/>
      <c r="DZ39" s="171"/>
      <c r="EA39" s="171"/>
      <c r="EB39" s="171"/>
      <c r="EC39" s="171"/>
      <c r="ED39" s="171"/>
      <c r="EE39" s="95"/>
      <c r="EF39" s="178">
        <f t="shared" si="7"/>
        <v>1</v>
      </c>
      <c r="EG39" s="173">
        <f t="shared" si="4"/>
        <v>799</v>
      </c>
      <c r="EH39" s="174"/>
      <c r="EI39" s="104"/>
      <c r="EJ39" s="108"/>
      <c r="EK39" s="108"/>
      <c r="EL39" s="108"/>
      <c r="EM39" s="108"/>
      <c r="EN39" s="108"/>
      <c r="EO39" s="108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188"/>
      <c r="FQ39" s="188"/>
      <c r="FR39" s="188"/>
      <c r="FS39" s="188"/>
      <c r="FT39" s="188"/>
      <c r="FU39" s="188"/>
      <c r="FV39" s="188"/>
      <c r="FW39" s="188"/>
      <c r="FX39" s="188"/>
      <c r="FY39" s="188"/>
      <c r="FZ39" s="188"/>
      <c r="GA39" s="188"/>
      <c r="GB39" s="188"/>
      <c r="GC39" s="188"/>
      <c r="GD39" s="188"/>
      <c r="GE39" s="188"/>
      <c r="GF39" s="188"/>
      <c r="GG39" s="188"/>
      <c r="GH39" s="200">
        <f t="shared" si="5"/>
        <v>0</v>
      </c>
      <c r="GI39" s="173">
        <f t="shared" si="6"/>
        <v>0</v>
      </c>
      <c r="GJ39" s="174"/>
      <c r="GK39" s="191"/>
      <c r="GL39" s="181"/>
      <c r="GM39" s="181"/>
      <c r="GN39" s="181"/>
      <c r="GO39" s="181"/>
      <c r="GP39" s="181"/>
      <c r="GQ39" s="181"/>
      <c r="GR39" s="181"/>
      <c r="GS39" s="181"/>
      <c r="GT39" s="181"/>
      <c r="GU39" s="181"/>
      <c r="GV39" s="181"/>
      <c r="GW39" s="181"/>
      <c r="GX39" s="181"/>
      <c r="GY39" s="181"/>
      <c r="GZ39" s="181"/>
      <c r="HA39" s="181"/>
      <c r="HB39" s="316"/>
      <c r="HC39" s="316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/>
      <c r="HO39" s="181"/>
      <c r="HP39" s="181"/>
      <c r="HQ39" s="181"/>
      <c r="HR39" s="181"/>
      <c r="HS39" s="181"/>
      <c r="HT39" s="181"/>
      <c r="HU39" s="181"/>
      <c r="HV39" s="181"/>
      <c r="HW39" s="181"/>
      <c r="HX39" s="181"/>
      <c r="HY39" s="181"/>
      <c r="HZ39" s="181"/>
      <c r="IA39" s="181"/>
      <c r="IB39" s="181"/>
      <c r="IC39" s="181"/>
      <c r="ID39" s="181"/>
      <c r="IE39" s="181"/>
      <c r="IF39" s="201"/>
      <c r="IG39" s="173"/>
      <c r="IH39" s="174"/>
      <c r="II39" s="317"/>
      <c r="IJ39" s="188"/>
      <c r="IK39" s="188"/>
      <c r="IL39" s="188"/>
      <c r="IM39" s="188"/>
      <c r="IN39" s="188"/>
      <c r="IO39" s="188"/>
      <c r="IP39" s="188"/>
      <c r="IQ39" s="188"/>
      <c r="IR39" s="188"/>
      <c r="IS39" s="188"/>
      <c r="IT39" s="188"/>
      <c r="IU39" s="188"/>
      <c r="IV39" s="188"/>
      <c r="IW39" s="188"/>
      <c r="IX39" s="188"/>
      <c r="IY39" s="188"/>
      <c r="IZ39" s="188"/>
      <c r="JA39" s="188"/>
      <c r="JB39" s="188"/>
      <c r="JC39" s="188"/>
      <c r="JD39" s="188"/>
      <c r="JE39" s="188"/>
      <c r="JF39" s="188"/>
      <c r="JG39" s="188"/>
      <c r="JH39" s="188"/>
      <c r="JI39" s="188"/>
      <c r="JJ39" s="188"/>
      <c r="JK39" s="188"/>
      <c r="JL39" s="188"/>
      <c r="JM39" s="188"/>
      <c r="JN39" s="188"/>
      <c r="JO39" s="188"/>
      <c r="JP39" s="188"/>
      <c r="JQ39" s="188"/>
      <c r="JR39" s="188"/>
      <c r="JS39" s="188"/>
      <c r="JT39" s="188"/>
      <c r="JU39" s="188"/>
      <c r="JV39" s="188"/>
      <c r="JW39" s="188"/>
      <c r="JX39" s="188"/>
      <c r="JY39" s="188"/>
      <c r="JZ39" s="188"/>
      <c r="KA39" s="188"/>
      <c r="KB39" s="188"/>
      <c r="KC39" s="172"/>
      <c r="KD39" s="173"/>
      <c r="KE39" s="174"/>
      <c r="KF39" s="174"/>
      <c r="KG39" s="174"/>
      <c r="KH39" s="174"/>
      <c r="KI39" s="174"/>
      <c r="KJ39" s="174"/>
      <c r="KK39" s="174"/>
      <c r="KL39" s="174"/>
      <c r="KM39" s="174"/>
      <c r="KN39" s="174"/>
      <c r="KO39" s="174"/>
      <c r="KP39" s="174"/>
      <c r="KQ39" s="174"/>
      <c r="KR39" s="174"/>
      <c r="KS39" s="174"/>
      <c r="KT39" s="174"/>
      <c r="KU39" s="174"/>
      <c r="KV39" s="174"/>
      <c r="KW39" s="174"/>
    </row>
    <row r="40">
      <c r="A40" s="101" t="s">
        <v>83</v>
      </c>
      <c r="B40" s="93">
        <v>439.0</v>
      </c>
      <c r="C40" s="89"/>
      <c r="D40" s="188"/>
      <c r="E40" s="188"/>
      <c r="F40" s="188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96">
        <v>1.0</v>
      </c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96">
        <v>1.0</v>
      </c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96">
        <v>1.0</v>
      </c>
      <c r="CD40" s="310"/>
      <c r="CE40" s="172">
        <f t="shared" si="1"/>
        <v>3</v>
      </c>
      <c r="CF40" s="173">
        <f t="shared" si="2"/>
        <v>1317</v>
      </c>
      <c r="CH40" s="89"/>
      <c r="CI40" s="188"/>
      <c r="CJ40" s="188"/>
      <c r="CK40" s="188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71"/>
      <c r="DQ40" s="171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95"/>
      <c r="EF40" s="178">
        <f t="shared" si="7"/>
        <v>0</v>
      </c>
      <c r="EG40" s="173">
        <f t="shared" si="4"/>
        <v>0</v>
      </c>
      <c r="EH40" s="174"/>
      <c r="EI40" s="104"/>
      <c r="EJ40" s="108"/>
      <c r="EK40" s="108"/>
      <c r="EL40" s="108"/>
      <c r="EM40" s="108"/>
      <c r="EN40" s="108"/>
      <c r="EO40" s="108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22">
        <v>1.0</v>
      </c>
      <c r="FC40" s="319"/>
      <c r="FD40" s="319"/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188"/>
      <c r="FQ40" s="188"/>
      <c r="FR40" s="188"/>
      <c r="FS40" s="188"/>
      <c r="FT40" s="188"/>
      <c r="FU40" s="188"/>
      <c r="FV40" s="188"/>
      <c r="FW40" s="188"/>
      <c r="FX40" s="188"/>
      <c r="FY40" s="188"/>
      <c r="FZ40" s="188"/>
      <c r="GA40" s="188"/>
      <c r="GB40" s="188"/>
      <c r="GC40" s="188"/>
      <c r="GD40" s="188"/>
      <c r="GE40" s="188"/>
      <c r="GF40" s="188"/>
      <c r="GG40" s="188"/>
      <c r="GH40" s="200">
        <f t="shared" si="5"/>
        <v>1</v>
      </c>
      <c r="GI40" s="173">
        <f t="shared" si="6"/>
        <v>439</v>
      </c>
      <c r="GJ40" s="174"/>
      <c r="GK40" s="191"/>
      <c r="GL40" s="181"/>
      <c r="GM40" s="181"/>
      <c r="GN40" s="181"/>
      <c r="GO40" s="181"/>
      <c r="GP40" s="181"/>
      <c r="GQ40" s="181"/>
      <c r="GR40" s="181"/>
      <c r="GS40" s="181"/>
      <c r="GT40" s="181"/>
      <c r="GU40" s="181"/>
      <c r="GV40" s="181"/>
      <c r="GW40" s="181"/>
      <c r="GX40" s="181"/>
      <c r="GY40" s="181"/>
      <c r="GZ40" s="181"/>
      <c r="HA40" s="181"/>
      <c r="HB40" s="316"/>
      <c r="HC40" s="316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/>
      <c r="HO40" s="181"/>
      <c r="HP40" s="181"/>
      <c r="HQ40" s="181"/>
      <c r="HR40" s="181"/>
      <c r="HS40" s="181"/>
      <c r="HT40" s="181"/>
      <c r="HU40" s="181"/>
      <c r="HV40" s="181"/>
      <c r="HW40" s="181"/>
      <c r="HX40" s="181"/>
      <c r="HY40" s="181"/>
      <c r="HZ40" s="181"/>
      <c r="IA40" s="181"/>
      <c r="IB40" s="181"/>
      <c r="IC40" s="181"/>
      <c r="ID40" s="181"/>
      <c r="IE40" s="181"/>
      <c r="IF40" s="201"/>
      <c r="IG40" s="173"/>
      <c r="IH40" s="174"/>
      <c r="II40" s="317"/>
      <c r="IJ40" s="188"/>
      <c r="IK40" s="188"/>
      <c r="IL40" s="188"/>
      <c r="IM40" s="188"/>
      <c r="IN40" s="188"/>
      <c r="IO40" s="188"/>
      <c r="IP40" s="188"/>
      <c r="IQ40" s="188"/>
      <c r="IR40" s="188"/>
      <c r="IS40" s="188"/>
      <c r="IT40" s="188"/>
      <c r="IU40" s="188"/>
      <c r="IV40" s="321">
        <v>3.0</v>
      </c>
      <c r="IW40" s="188"/>
      <c r="IX40" s="188"/>
      <c r="IY40" s="188"/>
      <c r="IZ40" s="188"/>
      <c r="JA40" s="188"/>
      <c r="JB40" s="188"/>
      <c r="JC40" s="188"/>
      <c r="JD40" s="188"/>
      <c r="JE40" s="188"/>
      <c r="JF40" s="188"/>
      <c r="JG40" s="188"/>
      <c r="JH40" s="188"/>
      <c r="JI40" s="188"/>
      <c r="JJ40" s="188"/>
      <c r="JK40" s="188"/>
      <c r="JL40" s="188"/>
      <c r="JM40" s="188"/>
      <c r="JN40" s="188"/>
      <c r="JO40" s="188"/>
      <c r="JP40" s="188"/>
      <c r="JQ40" s="188"/>
      <c r="JR40" s="188"/>
      <c r="JS40" s="188"/>
      <c r="JT40" s="188"/>
      <c r="JU40" s="188"/>
      <c r="JV40" s="188"/>
      <c r="JW40" s="188"/>
      <c r="JX40" s="188"/>
      <c r="JY40" s="188"/>
      <c r="JZ40" s="188"/>
      <c r="KA40" s="188"/>
      <c r="KB40" s="188"/>
      <c r="KC40" s="172"/>
      <c r="KD40" s="173"/>
      <c r="KE40" s="174"/>
      <c r="KF40" s="174"/>
      <c r="KG40" s="174"/>
      <c r="KH40" s="174"/>
      <c r="KI40" s="174"/>
      <c r="KJ40" s="174"/>
      <c r="KK40" s="174"/>
      <c r="KL40" s="174"/>
      <c r="KM40" s="174"/>
      <c r="KN40" s="174"/>
      <c r="KO40" s="174"/>
      <c r="KP40" s="174"/>
      <c r="KQ40" s="174"/>
      <c r="KR40" s="174"/>
      <c r="KS40" s="174"/>
      <c r="KT40" s="174"/>
      <c r="KU40" s="174"/>
      <c r="KV40" s="174"/>
      <c r="KW40" s="174"/>
    </row>
    <row r="41">
      <c r="A41" s="101" t="s">
        <v>84</v>
      </c>
      <c r="B41" s="93">
        <v>439.0</v>
      </c>
      <c r="C41" s="89"/>
      <c r="D41" s="188"/>
      <c r="E41" s="188"/>
      <c r="F41" s="188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96">
        <v>2.0</v>
      </c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96">
        <v>1.0</v>
      </c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310"/>
      <c r="CE41" s="172">
        <f t="shared" si="1"/>
        <v>3</v>
      </c>
      <c r="CF41" s="173">
        <f t="shared" si="2"/>
        <v>1317</v>
      </c>
      <c r="CH41" s="89"/>
      <c r="CI41" s="188"/>
      <c r="CJ41" s="188"/>
      <c r="CK41" s="188"/>
      <c r="CL41" s="171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71"/>
      <c r="CX41" s="171"/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95"/>
      <c r="EF41" s="178">
        <f t="shared" si="7"/>
        <v>0</v>
      </c>
      <c r="EG41" s="173">
        <f t="shared" si="4"/>
        <v>0</v>
      </c>
      <c r="EH41" s="174"/>
      <c r="EI41" s="104"/>
      <c r="EJ41" s="108"/>
      <c r="EK41" s="108"/>
      <c r="EL41" s="108"/>
      <c r="EM41" s="108"/>
      <c r="EN41" s="108"/>
      <c r="EO41" s="108"/>
      <c r="EP41" s="319"/>
      <c r="EQ41" s="319"/>
      <c r="ER41" s="319"/>
      <c r="ES41" s="319"/>
      <c r="ET41" s="319"/>
      <c r="EU41" s="319"/>
      <c r="EV41" s="319"/>
      <c r="EW41" s="319"/>
      <c r="EX41" s="319"/>
      <c r="EY41" s="319"/>
      <c r="EZ41" s="319"/>
      <c r="FA41" s="319"/>
      <c r="FB41" s="322">
        <v>1.0</v>
      </c>
      <c r="FC41" s="319"/>
      <c r="FD41" s="319"/>
      <c r="FE41" s="319"/>
      <c r="FF41" s="319"/>
      <c r="FG41" s="319"/>
      <c r="FH41" s="319"/>
      <c r="FI41" s="319"/>
      <c r="FJ41" s="319"/>
      <c r="FK41" s="319"/>
      <c r="FL41" s="319"/>
      <c r="FM41" s="319"/>
      <c r="FN41" s="319"/>
      <c r="FO41" s="319"/>
      <c r="FP41" s="188"/>
      <c r="FQ41" s="188"/>
      <c r="FR41" s="188"/>
      <c r="FS41" s="188"/>
      <c r="FT41" s="188"/>
      <c r="FU41" s="188"/>
      <c r="FV41" s="188"/>
      <c r="FW41" s="188"/>
      <c r="FX41" s="188"/>
      <c r="FY41" s="188"/>
      <c r="FZ41" s="188"/>
      <c r="GA41" s="188"/>
      <c r="GB41" s="188"/>
      <c r="GC41" s="188"/>
      <c r="GD41" s="188"/>
      <c r="GE41" s="188"/>
      <c r="GF41" s="188"/>
      <c r="GG41" s="188"/>
      <c r="GH41" s="200">
        <f t="shared" si="5"/>
        <v>1</v>
      </c>
      <c r="GI41" s="173">
        <f t="shared" si="6"/>
        <v>439</v>
      </c>
      <c r="GJ41" s="174"/>
      <c r="GK41" s="191"/>
      <c r="GL41" s="181"/>
      <c r="GM41" s="181"/>
      <c r="GN41" s="181"/>
      <c r="GO41" s="181"/>
      <c r="GP41" s="181"/>
      <c r="GQ41" s="181"/>
      <c r="GR41" s="181"/>
      <c r="GS41" s="181"/>
      <c r="GT41" s="181"/>
      <c r="GU41" s="181"/>
      <c r="GV41" s="181"/>
      <c r="GW41" s="181"/>
      <c r="GX41" s="181"/>
      <c r="GY41" s="181"/>
      <c r="GZ41" s="181"/>
      <c r="HA41" s="181"/>
      <c r="HB41" s="316"/>
      <c r="HC41" s="316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/>
      <c r="HO41" s="181"/>
      <c r="HP41" s="181"/>
      <c r="HQ41" s="181"/>
      <c r="HR41" s="181"/>
      <c r="HS41" s="181"/>
      <c r="HT41" s="181"/>
      <c r="HU41" s="181"/>
      <c r="HV41" s="181"/>
      <c r="HW41" s="181"/>
      <c r="HX41" s="181"/>
      <c r="HY41" s="181"/>
      <c r="HZ41" s="181"/>
      <c r="IA41" s="181"/>
      <c r="IB41" s="181"/>
      <c r="IC41" s="181"/>
      <c r="ID41" s="181"/>
      <c r="IE41" s="181"/>
      <c r="IF41" s="201"/>
      <c r="IG41" s="173"/>
      <c r="IH41" s="174"/>
      <c r="II41" s="317"/>
      <c r="IJ41" s="188"/>
      <c r="IK41" s="188"/>
      <c r="IL41" s="188"/>
      <c r="IM41" s="188"/>
      <c r="IN41" s="188"/>
      <c r="IO41" s="188"/>
      <c r="IP41" s="188"/>
      <c r="IQ41" s="188"/>
      <c r="IR41" s="188"/>
      <c r="IS41" s="188"/>
      <c r="IT41" s="188"/>
      <c r="IU41" s="188"/>
      <c r="IV41" s="188"/>
      <c r="IW41" s="188"/>
      <c r="IX41" s="188"/>
      <c r="IY41" s="188"/>
      <c r="IZ41" s="188"/>
      <c r="JA41" s="188"/>
      <c r="JB41" s="188"/>
      <c r="JC41" s="188"/>
      <c r="JD41" s="188"/>
      <c r="JE41" s="188"/>
      <c r="JF41" s="188"/>
      <c r="JG41" s="188"/>
      <c r="JH41" s="188"/>
      <c r="JI41" s="188"/>
      <c r="JJ41" s="188"/>
      <c r="JK41" s="188"/>
      <c r="JL41" s="188"/>
      <c r="JM41" s="188"/>
      <c r="JN41" s="188"/>
      <c r="JO41" s="188"/>
      <c r="JP41" s="188"/>
      <c r="JQ41" s="188"/>
      <c r="JR41" s="188"/>
      <c r="JS41" s="188"/>
      <c r="JT41" s="188"/>
      <c r="JU41" s="188"/>
      <c r="JV41" s="188"/>
      <c r="JW41" s="188"/>
      <c r="JX41" s="188"/>
      <c r="JY41" s="188"/>
      <c r="JZ41" s="188"/>
      <c r="KA41" s="188"/>
      <c r="KB41" s="188"/>
      <c r="KC41" s="172"/>
      <c r="KD41" s="173"/>
      <c r="KE41" s="174"/>
      <c r="KF41" s="174"/>
      <c r="KG41" s="174"/>
      <c r="KH41" s="174"/>
      <c r="KI41" s="174"/>
      <c r="KJ41" s="174"/>
      <c r="KK41" s="174"/>
      <c r="KL41" s="174"/>
      <c r="KM41" s="174"/>
      <c r="KN41" s="174"/>
      <c r="KO41" s="174"/>
      <c r="KP41" s="174"/>
      <c r="KQ41" s="174"/>
      <c r="KR41" s="174"/>
      <c r="KS41" s="174"/>
      <c r="KT41" s="174"/>
      <c r="KU41" s="174"/>
      <c r="KV41" s="174"/>
      <c r="KW41" s="174"/>
    </row>
    <row r="42">
      <c r="A42" s="101" t="s">
        <v>85</v>
      </c>
      <c r="B42" s="93">
        <v>60.0</v>
      </c>
      <c r="C42" s="89"/>
      <c r="D42" s="188"/>
      <c r="E42" s="188"/>
      <c r="F42" s="188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96">
        <v>1.0</v>
      </c>
      <c r="W42" s="171"/>
      <c r="X42" s="171"/>
      <c r="Y42" s="171"/>
      <c r="Z42" s="171"/>
      <c r="AA42" s="171"/>
      <c r="AB42" s="171"/>
      <c r="AC42" s="171"/>
      <c r="AD42" s="171"/>
      <c r="AE42" s="171"/>
      <c r="AF42" s="196">
        <v>1.0</v>
      </c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96">
        <v>1.0</v>
      </c>
      <c r="AW42" s="171"/>
      <c r="AX42" s="171"/>
      <c r="AY42" s="171"/>
      <c r="AZ42" s="171"/>
      <c r="BA42" s="171"/>
      <c r="BB42" s="171"/>
      <c r="BC42" s="196">
        <v>1.0</v>
      </c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71"/>
      <c r="BQ42" s="171"/>
      <c r="BR42" s="171"/>
      <c r="BS42" s="171"/>
      <c r="BT42" s="171"/>
      <c r="BU42" s="171"/>
      <c r="BV42" s="171"/>
      <c r="BW42" s="171"/>
      <c r="BX42" s="171"/>
      <c r="BY42" s="171"/>
      <c r="BZ42" s="171"/>
      <c r="CA42" s="171"/>
      <c r="CB42" s="171"/>
      <c r="CC42" s="171"/>
      <c r="CD42" s="310"/>
      <c r="CE42" s="172">
        <f t="shared" si="1"/>
        <v>4</v>
      </c>
      <c r="CF42" s="173">
        <f t="shared" si="2"/>
        <v>240</v>
      </c>
      <c r="CH42" s="89"/>
      <c r="CI42" s="188"/>
      <c r="CJ42" s="188"/>
      <c r="CK42" s="188"/>
      <c r="CL42" s="171"/>
      <c r="CM42" s="171"/>
      <c r="CN42" s="171"/>
      <c r="CO42" s="171"/>
      <c r="CP42" s="171"/>
      <c r="CQ42" s="171"/>
      <c r="CR42" s="171"/>
      <c r="CS42" s="171"/>
      <c r="CT42" s="171"/>
      <c r="CU42" s="171"/>
      <c r="CV42" s="196">
        <v>2.0</v>
      </c>
      <c r="CW42" s="171"/>
      <c r="CX42" s="171"/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71"/>
      <c r="DL42" s="171"/>
      <c r="DM42" s="171"/>
      <c r="DN42" s="171"/>
      <c r="DO42" s="171"/>
      <c r="DP42" s="171"/>
      <c r="DQ42" s="171"/>
      <c r="DR42" s="171"/>
      <c r="DS42" s="171"/>
      <c r="DT42" s="171"/>
      <c r="DU42" s="171"/>
      <c r="DV42" s="171"/>
      <c r="DW42" s="171"/>
      <c r="DX42" s="171"/>
      <c r="DY42" s="171"/>
      <c r="DZ42" s="171"/>
      <c r="EA42" s="171"/>
      <c r="EB42" s="171"/>
      <c r="EC42" s="171"/>
      <c r="ED42" s="171"/>
      <c r="EE42" s="95"/>
      <c r="EF42" s="178">
        <f t="shared" si="7"/>
        <v>2</v>
      </c>
      <c r="EG42" s="173">
        <f t="shared" si="4"/>
        <v>120</v>
      </c>
      <c r="EH42" s="174"/>
      <c r="EI42" s="104"/>
      <c r="EJ42" s="108"/>
      <c r="EK42" s="108"/>
      <c r="EL42" s="108"/>
      <c r="EM42" s="108"/>
      <c r="EN42" s="108"/>
      <c r="EO42" s="108"/>
      <c r="EP42" s="319"/>
      <c r="EQ42" s="319"/>
      <c r="ER42" s="319"/>
      <c r="ES42" s="319"/>
      <c r="ET42" s="319"/>
      <c r="EU42" s="319"/>
      <c r="EV42" s="322">
        <v>1.0</v>
      </c>
      <c r="EW42" s="319"/>
      <c r="EX42" s="319"/>
      <c r="EY42" s="319"/>
      <c r="EZ42" s="319"/>
      <c r="FA42" s="319"/>
      <c r="FB42" s="319"/>
      <c r="FC42" s="322">
        <v>3.0</v>
      </c>
      <c r="FD42" s="319"/>
      <c r="FE42" s="319"/>
      <c r="FF42" s="319"/>
      <c r="FG42" s="319"/>
      <c r="FH42" s="319"/>
      <c r="FI42" s="319"/>
      <c r="FJ42" s="319"/>
      <c r="FK42" s="319"/>
      <c r="FL42" s="319"/>
      <c r="FM42" s="319"/>
      <c r="FN42" s="319"/>
      <c r="FO42" s="319"/>
      <c r="FP42" s="188"/>
      <c r="FQ42" s="188"/>
      <c r="FR42" s="188"/>
      <c r="FS42" s="188"/>
      <c r="FT42" s="188"/>
      <c r="FU42" s="188"/>
      <c r="FV42" s="188"/>
      <c r="FW42" s="188"/>
      <c r="FX42" s="188"/>
      <c r="FY42" s="194">
        <v>2.0</v>
      </c>
      <c r="FZ42" s="194"/>
      <c r="GA42" s="194"/>
      <c r="GB42" s="194"/>
      <c r="GC42" s="194"/>
      <c r="GD42" s="194"/>
      <c r="GE42" s="194"/>
      <c r="GF42" s="194"/>
      <c r="GG42" s="188"/>
      <c r="GH42" s="200">
        <f t="shared" si="5"/>
        <v>6</v>
      </c>
      <c r="GI42" s="173">
        <f t="shared" si="6"/>
        <v>360</v>
      </c>
      <c r="GJ42" s="174"/>
      <c r="GK42" s="191"/>
      <c r="GL42" s="181"/>
      <c r="GM42" s="181"/>
      <c r="GN42" s="181"/>
      <c r="GO42" s="181"/>
      <c r="GP42" s="181"/>
      <c r="GQ42" s="181"/>
      <c r="GR42" s="181"/>
      <c r="GS42" s="181"/>
      <c r="GT42" s="181"/>
      <c r="GU42" s="181"/>
      <c r="GV42" s="181"/>
      <c r="GW42" s="181"/>
      <c r="GX42" s="181"/>
      <c r="GY42" s="181"/>
      <c r="GZ42" s="181"/>
      <c r="HA42" s="181"/>
      <c r="HB42" s="316"/>
      <c r="HC42" s="316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/>
      <c r="HO42" s="181"/>
      <c r="HP42" s="181"/>
      <c r="HQ42" s="181"/>
      <c r="HR42" s="181"/>
      <c r="HS42" s="181"/>
      <c r="HT42" s="181"/>
      <c r="HU42" s="181"/>
      <c r="HV42" s="181"/>
      <c r="HW42" s="181"/>
      <c r="HX42" s="181"/>
      <c r="HY42" s="181"/>
      <c r="HZ42" s="181"/>
      <c r="IA42" s="181"/>
      <c r="IB42" s="181"/>
      <c r="IC42" s="181"/>
      <c r="ID42" s="181"/>
      <c r="IE42" s="181"/>
      <c r="IF42" s="201"/>
      <c r="IG42" s="173"/>
      <c r="IH42" s="174"/>
      <c r="II42" s="317"/>
      <c r="IJ42" s="194"/>
      <c r="IK42" s="194"/>
      <c r="IL42" s="194"/>
      <c r="IM42" s="194"/>
      <c r="IN42" s="194"/>
      <c r="IO42" s="194"/>
      <c r="IP42" s="194"/>
      <c r="IQ42" s="194"/>
      <c r="IR42" s="194"/>
      <c r="IS42" s="194"/>
      <c r="IT42" s="194"/>
      <c r="IU42" s="194"/>
      <c r="IV42" s="194"/>
      <c r="IW42" s="194"/>
      <c r="IX42" s="194"/>
      <c r="IY42" s="194"/>
      <c r="IZ42" s="194"/>
      <c r="JA42" s="194"/>
      <c r="JB42" s="194"/>
      <c r="JC42" s="194"/>
      <c r="JD42" s="194"/>
      <c r="JE42" s="194"/>
      <c r="JF42" s="194"/>
      <c r="JG42" s="194"/>
      <c r="JH42" s="194"/>
      <c r="JI42" s="194"/>
      <c r="JJ42" s="194"/>
      <c r="JK42" s="194"/>
      <c r="JL42" s="194"/>
      <c r="JM42" s="194"/>
      <c r="JN42" s="194"/>
      <c r="JO42" s="194"/>
      <c r="JP42" s="194"/>
      <c r="JQ42" s="194"/>
      <c r="JR42" s="194"/>
      <c r="JS42" s="194">
        <v>1.0</v>
      </c>
      <c r="JT42" s="194"/>
      <c r="JU42" s="194"/>
      <c r="JV42" s="194"/>
      <c r="JW42" s="194"/>
      <c r="JX42" s="194"/>
      <c r="JY42" s="194"/>
      <c r="JZ42" s="194"/>
      <c r="KA42" s="194"/>
      <c r="KB42" s="194"/>
      <c r="KC42" s="172"/>
      <c r="KD42" s="173"/>
      <c r="KE42" s="174"/>
      <c r="KF42" s="174"/>
      <c r="KG42" s="174"/>
      <c r="KH42" s="174"/>
      <c r="KI42" s="174"/>
      <c r="KJ42" s="174"/>
      <c r="KK42" s="174"/>
      <c r="KL42" s="174"/>
      <c r="KM42" s="174"/>
      <c r="KN42" s="174"/>
      <c r="KO42" s="174"/>
      <c r="KP42" s="174"/>
      <c r="KQ42" s="174"/>
      <c r="KR42" s="174"/>
      <c r="KS42" s="174"/>
      <c r="KT42" s="174"/>
      <c r="KU42" s="174"/>
      <c r="KV42" s="174"/>
      <c r="KW42" s="174"/>
    </row>
    <row r="43">
      <c r="A43" s="101" t="s">
        <v>86</v>
      </c>
      <c r="B43" s="93">
        <v>609.0</v>
      </c>
      <c r="C43" s="115"/>
      <c r="D43" s="215"/>
      <c r="E43" s="215"/>
      <c r="F43" s="215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96">
        <v>1.0</v>
      </c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96">
        <v>1.0</v>
      </c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96">
        <v>1.0</v>
      </c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  <c r="BM43" s="171"/>
      <c r="BN43" s="171"/>
      <c r="BO43" s="171"/>
      <c r="BP43" s="171"/>
      <c r="BQ43" s="171"/>
      <c r="BR43" s="171"/>
      <c r="BS43" s="171"/>
      <c r="BT43" s="171"/>
      <c r="BU43" s="171"/>
      <c r="BV43" s="171"/>
      <c r="BW43" s="171"/>
      <c r="BX43" s="171"/>
      <c r="BY43" s="171"/>
      <c r="BZ43" s="171"/>
      <c r="CA43" s="171"/>
      <c r="CB43" s="171"/>
      <c r="CC43" s="171"/>
      <c r="CD43" s="310"/>
      <c r="CE43" s="94">
        <f t="shared" si="1"/>
        <v>3</v>
      </c>
      <c r="CF43" s="173">
        <f t="shared" si="2"/>
        <v>1827</v>
      </c>
      <c r="CH43" s="216">
        <v>1.0</v>
      </c>
      <c r="CI43" s="215"/>
      <c r="CJ43" s="215"/>
      <c r="CK43" s="215"/>
      <c r="CL43" s="171"/>
      <c r="CM43" s="171"/>
      <c r="CN43" s="196">
        <v>2.0</v>
      </c>
      <c r="CO43" s="171"/>
      <c r="CP43" s="171"/>
      <c r="CQ43" s="171"/>
      <c r="CR43" s="171"/>
      <c r="CS43" s="171"/>
      <c r="CT43" s="171"/>
      <c r="CU43" s="196">
        <v>1.0</v>
      </c>
      <c r="CV43" s="171"/>
      <c r="CW43" s="171"/>
      <c r="CX43" s="171"/>
      <c r="CY43" s="196">
        <v>4.0</v>
      </c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71"/>
      <c r="DL43" s="171"/>
      <c r="DM43" s="171"/>
      <c r="DN43" s="171"/>
      <c r="DO43" s="196">
        <v>1.0</v>
      </c>
      <c r="DP43" s="171"/>
      <c r="DQ43" s="171"/>
      <c r="DR43" s="196">
        <v>1.0</v>
      </c>
      <c r="DS43" s="171"/>
      <c r="DT43" s="171"/>
      <c r="DU43" s="171"/>
      <c r="DV43" s="171"/>
      <c r="DW43" s="171"/>
      <c r="DX43" s="196">
        <v>1.0</v>
      </c>
      <c r="DY43" s="196">
        <v>1.0</v>
      </c>
      <c r="DZ43" s="171"/>
      <c r="EA43" s="171"/>
      <c r="EB43" s="171"/>
      <c r="EC43" s="171"/>
      <c r="ED43" s="171"/>
      <c r="EE43" s="95"/>
      <c r="EF43" s="200">
        <f t="shared" si="7"/>
        <v>12</v>
      </c>
      <c r="EG43" s="173">
        <f t="shared" si="4"/>
        <v>7308</v>
      </c>
      <c r="EH43" s="174"/>
      <c r="EI43" s="104"/>
      <c r="EJ43" s="108"/>
      <c r="EK43" s="108"/>
      <c r="EL43" s="108"/>
      <c r="EM43" s="108"/>
      <c r="EN43" s="108"/>
      <c r="EO43" s="108"/>
      <c r="EP43" s="319"/>
      <c r="EQ43" s="319"/>
      <c r="ER43" s="319"/>
      <c r="ES43" s="319"/>
      <c r="ET43" s="319"/>
      <c r="EU43" s="319"/>
      <c r="EV43" s="319"/>
      <c r="EW43" s="319"/>
      <c r="EX43" s="319"/>
      <c r="EY43" s="319"/>
      <c r="EZ43" s="319"/>
      <c r="FA43" s="319"/>
      <c r="FB43" s="319"/>
      <c r="FC43" s="319"/>
      <c r="FD43" s="319"/>
      <c r="FE43" s="319"/>
      <c r="FF43" s="319"/>
      <c r="FG43" s="319"/>
      <c r="FH43" s="319"/>
      <c r="FI43" s="319"/>
      <c r="FJ43" s="319"/>
      <c r="FK43" s="319"/>
      <c r="FL43" s="319"/>
      <c r="FM43" s="319"/>
      <c r="FN43" s="319"/>
      <c r="FO43" s="319"/>
      <c r="FP43" s="215"/>
      <c r="FQ43" s="215"/>
      <c r="FR43" s="215"/>
      <c r="FS43" s="215"/>
      <c r="FT43" s="215"/>
      <c r="FU43" s="215"/>
      <c r="FV43" s="215"/>
      <c r="FW43" s="215"/>
      <c r="FX43" s="215"/>
      <c r="FY43" s="215"/>
      <c r="FZ43" s="215"/>
      <c r="GA43" s="217">
        <v>1.0</v>
      </c>
      <c r="GB43" s="217"/>
      <c r="GC43" s="217"/>
      <c r="GD43" s="217"/>
      <c r="GE43" s="217"/>
      <c r="GF43" s="215"/>
      <c r="GG43" s="215"/>
      <c r="GH43" s="200">
        <f t="shared" si="5"/>
        <v>1</v>
      </c>
      <c r="GI43" s="173">
        <f t="shared" si="6"/>
        <v>609</v>
      </c>
      <c r="GJ43" s="174"/>
      <c r="GK43" s="115"/>
      <c r="GL43" s="215"/>
      <c r="GM43" s="215"/>
      <c r="GN43" s="215"/>
      <c r="GO43" s="215"/>
      <c r="GP43" s="215"/>
      <c r="GQ43" s="215"/>
      <c r="GR43" s="215"/>
      <c r="GS43" s="215"/>
      <c r="GT43" s="215"/>
      <c r="GU43" s="215"/>
      <c r="GV43" s="215"/>
      <c r="GW43" s="320">
        <v>1.0</v>
      </c>
      <c r="GX43" s="215"/>
      <c r="GY43" s="215"/>
      <c r="GZ43" s="215"/>
      <c r="HA43" s="215"/>
      <c r="HB43" s="327"/>
      <c r="HC43" s="327"/>
      <c r="HD43" s="215"/>
      <c r="HE43" s="215"/>
      <c r="HF43" s="215"/>
      <c r="HG43" s="215"/>
      <c r="HH43" s="215"/>
      <c r="HI43" s="215"/>
      <c r="HJ43" s="215"/>
      <c r="HK43" s="215"/>
      <c r="HL43" s="215"/>
      <c r="HM43" s="215"/>
      <c r="HN43" s="320">
        <v>1.0</v>
      </c>
      <c r="HO43" s="328"/>
      <c r="HP43" s="328"/>
      <c r="HQ43" s="328"/>
      <c r="HR43" s="328"/>
      <c r="HS43" s="328"/>
      <c r="HT43" s="328"/>
      <c r="HU43" s="328"/>
      <c r="HV43" s="328"/>
      <c r="HW43" s="328"/>
      <c r="HX43" s="328"/>
      <c r="HY43" s="328"/>
      <c r="HZ43" s="215"/>
      <c r="IA43" s="215"/>
      <c r="IB43" s="215"/>
      <c r="IC43" s="215"/>
      <c r="ID43" s="215"/>
      <c r="IE43" s="320">
        <v>1.0</v>
      </c>
      <c r="IF43" s="200"/>
      <c r="IG43" s="173"/>
      <c r="IH43" s="174"/>
      <c r="II43" s="329"/>
      <c r="IJ43" s="215"/>
      <c r="IK43" s="1">
        <v>1.0</v>
      </c>
      <c r="IL43" s="215"/>
      <c r="IM43" s="321">
        <v>1.0</v>
      </c>
      <c r="IN43" s="215"/>
      <c r="IO43" s="215"/>
      <c r="IP43" s="215"/>
      <c r="IQ43" s="215"/>
      <c r="IR43" s="215"/>
      <c r="IS43" s="215"/>
      <c r="IT43" s="215"/>
      <c r="IU43" s="215"/>
      <c r="IV43" s="215"/>
      <c r="IW43" s="215"/>
      <c r="IX43" s="215"/>
      <c r="IY43" s="215"/>
      <c r="IZ43" s="215"/>
      <c r="JA43" s="215"/>
      <c r="JB43" s="215"/>
      <c r="JC43" s="215"/>
      <c r="JD43" s="321">
        <v>1.0</v>
      </c>
      <c r="JE43" s="215"/>
      <c r="JF43" s="215"/>
      <c r="JG43" s="215"/>
      <c r="JH43" s="215"/>
      <c r="JI43" s="215"/>
      <c r="JJ43" s="215"/>
      <c r="JK43" s="217">
        <v>4.0</v>
      </c>
      <c r="JL43" s="215"/>
      <c r="JM43" s="215"/>
      <c r="JN43" s="215"/>
      <c r="JO43" s="215"/>
      <c r="JP43" s="217">
        <v>1.0</v>
      </c>
      <c r="JQ43" s="215"/>
      <c r="JR43" s="215"/>
      <c r="JS43" s="215"/>
      <c r="JT43" s="215"/>
      <c r="JU43" s="215"/>
      <c r="JV43" s="215"/>
      <c r="JW43" s="215"/>
      <c r="JX43" s="215"/>
      <c r="JY43" s="215"/>
      <c r="JZ43" s="215"/>
      <c r="KA43" s="215"/>
      <c r="KB43" s="215"/>
      <c r="KC43" s="172"/>
      <c r="KD43" s="173"/>
      <c r="KE43" s="174"/>
      <c r="KF43" s="174"/>
      <c r="KG43" s="174"/>
      <c r="KH43" s="174"/>
      <c r="KI43" s="174"/>
      <c r="KJ43" s="174"/>
      <c r="KK43" s="174"/>
      <c r="KL43" s="174"/>
      <c r="KM43" s="174"/>
      <c r="KN43" s="174"/>
      <c r="KO43" s="174"/>
      <c r="KP43" s="174"/>
      <c r="KQ43" s="174"/>
      <c r="KR43" s="174"/>
      <c r="KS43" s="174"/>
      <c r="KT43" s="174"/>
      <c r="KU43" s="174"/>
      <c r="KV43" s="174"/>
      <c r="KW43" s="174"/>
    </row>
    <row r="44">
      <c r="A44" s="101" t="s">
        <v>87</v>
      </c>
      <c r="B44" s="93">
        <v>379.0</v>
      </c>
      <c r="C44" s="115"/>
      <c r="D44" s="215"/>
      <c r="E44" s="215"/>
      <c r="F44" s="215"/>
      <c r="G44" s="196">
        <v>1.0</v>
      </c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96">
        <v>1.0</v>
      </c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  <c r="BD44" s="171"/>
      <c r="BE44" s="171"/>
      <c r="BF44" s="171"/>
      <c r="BG44" s="171"/>
      <c r="BH44" s="171"/>
      <c r="BI44" s="171"/>
      <c r="BJ44" s="171"/>
      <c r="BK44" s="171"/>
      <c r="BL44" s="171"/>
      <c r="BM44" s="171"/>
      <c r="BN44" s="171"/>
      <c r="BO44" s="171"/>
      <c r="BP44" s="171"/>
      <c r="BQ44" s="171"/>
      <c r="BR44" s="171"/>
      <c r="BS44" s="171"/>
      <c r="BT44" s="171"/>
      <c r="BU44" s="171"/>
      <c r="BV44" s="171"/>
      <c r="BW44" s="171"/>
      <c r="BX44" s="171"/>
      <c r="BY44" s="171"/>
      <c r="BZ44" s="171"/>
      <c r="CA44" s="171"/>
      <c r="CB44" s="171"/>
      <c r="CC44" s="171"/>
      <c r="CD44" s="310"/>
      <c r="CE44" s="94">
        <f t="shared" si="1"/>
        <v>2</v>
      </c>
      <c r="CF44" s="173">
        <f t="shared" si="2"/>
        <v>758</v>
      </c>
      <c r="CH44" s="115"/>
      <c r="CI44" s="215"/>
      <c r="CJ44" s="215"/>
      <c r="CK44" s="215"/>
      <c r="CL44" s="171"/>
      <c r="CM44" s="171"/>
      <c r="CN44" s="171"/>
      <c r="CO44" s="171"/>
      <c r="CP44" s="171"/>
      <c r="CQ44" s="171"/>
      <c r="CR44" s="171"/>
      <c r="CS44" s="171"/>
      <c r="CT44" s="171"/>
      <c r="CU44" s="171"/>
      <c r="CV44" s="171"/>
      <c r="CW44" s="171"/>
      <c r="CX44" s="171"/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71"/>
      <c r="DL44" s="171"/>
      <c r="DM44" s="171"/>
      <c r="DN44" s="171"/>
      <c r="DO44" s="171"/>
      <c r="DP44" s="171"/>
      <c r="DQ44" s="171"/>
      <c r="DR44" s="171"/>
      <c r="DS44" s="171"/>
      <c r="DT44" s="171"/>
      <c r="DU44" s="171"/>
      <c r="DV44" s="171"/>
      <c r="DW44" s="171"/>
      <c r="DX44" s="171"/>
      <c r="DY44" s="171"/>
      <c r="DZ44" s="171"/>
      <c r="EA44" s="171"/>
      <c r="EB44" s="171"/>
      <c r="EC44" s="171"/>
      <c r="ED44" s="171"/>
      <c r="EE44" s="95"/>
      <c r="EF44" s="200">
        <f t="shared" si="7"/>
        <v>0</v>
      </c>
      <c r="EG44" s="173">
        <f t="shared" si="4"/>
        <v>0</v>
      </c>
      <c r="EH44" s="174"/>
      <c r="EI44" s="104"/>
      <c r="EJ44" s="108"/>
      <c r="EK44" s="108"/>
      <c r="EL44" s="108"/>
      <c r="EM44" s="108"/>
      <c r="EN44" s="108"/>
      <c r="EO44" s="108"/>
      <c r="EP44" s="319"/>
      <c r="EQ44" s="319"/>
      <c r="ER44" s="319"/>
      <c r="ES44" s="319"/>
      <c r="ET44" s="319"/>
      <c r="EU44" s="319"/>
      <c r="EV44" s="319"/>
      <c r="EW44" s="319"/>
      <c r="EX44" s="319"/>
      <c r="EY44" s="319"/>
      <c r="EZ44" s="319"/>
      <c r="FA44" s="319"/>
      <c r="FB44" s="319"/>
      <c r="FC44" s="319"/>
      <c r="FD44" s="319"/>
      <c r="FE44" s="319"/>
      <c r="FF44" s="319"/>
      <c r="FG44" s="319"/>
      <c r="FH44" s="319"/>
      <c r="FI44" s="319"/>
      <c r="FJ44" s="319"/>
      <c r="FK44" s="319"/>
      <c r="FL44" s="319"/>
      <c r="FM44" s="319"/>
      <c r="FN44" s="319"/>
      <c r="FO44" s="319"/>
      <c r="FP44" s="215"/>
      <c r="FQ44" s="215"/>
      <c r="FR44" s="215"/>
      <c r="FS44" s="215"/>
      <c r="FT44" s="215"/>
      <c r="FU44" s="215"/>
      <c r="FV44" s="215"/>
      <c r="FW44" s="215"/>
      <c r="FX44" s="215"/>
      <c r="FY44" s="215"/>
      <c r="FZ44" s="215"/>
      <c r="GA44" s="215"/>
      <c r="GB44" s="215"/>
      <c r="GC44" s="215"/>
      <c r="GD44" s="215"/>
      <c r="GE44" s="215"/>
      <c r="GF44" s="215"/>
      <c r="GG44" s="215"/>
      <c r="GH44" s="200">
        <f t="shared" si="5"/>
        <v>0</v>
      </c>
      <c r="GI44" s="173">
        <f t="shared" si="6"/>
        <v>0</v>
      </c>
      <c r="GJ44" s="174"/>
      <c r="GK44" s="115"/>
      <c r="GL44" s="215"/>
      <c r="GM44" s="215"/>
      <c r="GN44" s="215"/>
      <c r="GO44" s="215"/>
      <c r="GP44" s="215"/>
      <c r="GQ44" s="215"/>
      <c r="GR44" s="215"/>
      <c r="GS44" s="215"/>
      <c r="GT44" s="215"/>
      <c r="GU44" s="215"/>
      <c r="GV44" s="215"/>
      <c r="GW44" s="215"/>
      <c r="GX44" s="215"/>
      <c r="GY44" s="215"/>
      <c r="GZ44" s="215"/>
      <c r="HA44" s="215"/>
      <c r="HB44" s="327"/>
      <c r="HC44" s="327"/>
      <c r="HD44" s="215"/>
      <c r="HE44" s="215"/>
      <c r="HF44" s="215"/>
      <c r="HG44" s="215"/>
      <c r="HH44" s="215"/>
      <c r="HI44" s="215"/>
      <c r="HJ44" s="215"/>
      <c r="HK44" s="215"/>
      <c r="HL44" s="215"/>
      <c r="HM44" s="215"/>
      <c r="HN44" s="215"/>
      <c r="HO44" s="215"/>
      <c r="HP44" s="215"/>
      <c r="HQ44" s="215"/>
      <c r="HR44" s="215"/>
      <c r="HS44" s="215"/>
      <c r="HT44" s="215"/>
      <c r="HU44" s="215"/>
      <c r="HV44" s="215"/>
      <c r="HW44" s="215"/>
      <c r="HX44" s="215"/>
      <c r="HY44" s="215"/>
      <c r="HZ44" s="215"/>
      <c r="IA44" s="215"/>
      <c r="IB44" s="215"/>
      <c r="IC44" s="215"/>
      <c r="ID44" s="215"/>
      <c r="IE44" s="215"/>
      <c r="IF44" s="200"/>
      <c r="IG44" s="173"/>
      <c r="IH44" s="174"/>
      <c r="II44" s="329"/>
      <c r="IJ44" s="215"/>
      <c r="IK44" s="215"/>
      <c r="IL44" s="215"/>
      <c r="IM44" s="215"/>
      <c r="IN44" s="215"/>
      <c r="IO44" s="215"/>
      <c r="IP44" s="215"/>
      <c r="IQ44" s="215"/>
      <c r="IR44" s="215"/>
      <c r="IS44" s="215"/>
      <c r="IT44" s="215"/>
      <c r="IU44" s="215"/>
      <c r="IV44" s="215"/>
      <c r="IW44" s="215"/>
      <c r="IX44" s="215"/>
      <c r="IY44" s="215"/>
      <c r="IZ44" s="215"/>
      <c r="JA44" s="215"/>
      <c r="JB44" s="215"/>
      <c r="JC44" s="215"/>
      <c r="JD44" s="215"/>
      <c r="JE44" s="215"/>
      <c r="JF44" s="215"/>
      <c r="JG44" s="215"/>
      <c r="JH44" s="215"/>
      <c r="JI44" s="215"/>
      <c r="JJ44" s="215"/>
      <c r="JK44" s="215"/>
      <c r="JL44" s="215"/>
      <c r="JM44" s="215"/>
      <c r="JN44" s="215"/>
      <c r="JO44" s="215"/>
      <c r="JP44" s="215"/>
      <c r="JQ44" s="215"/>
      <c r="JR44" s="215"/>
      <c r="JS44" s="215"/>
      <c r="JT44" s="215"/>
      <c r="JU44" s="215"/>
      <c r="JV44" s="215"/>
      <c r="JW44" s="215"/>
      <c r="JX44" s="215"/>
      <c r="JY44" s="215"/>
      <c r="JZ44" s="215"/>
      <c r="KA44" s="215"/>
      <c r="KB44" s="215"/>
      <c r="KC44" s="172"/>
      <c r="KD44" s="173"/>
      <c r="KE44" s="174"/>
      <c r="KF44" s="174"/>
      <c r="KG44" s="174"/>
      <c r="KH44" s="174"/>
      <c r="KI44" s="174"/>
      <c r="KJ44" s="174"/>
      <c r="KK44" s="174"/>
      <c r="KL44" s="174"/>
      <c r="KM44" s="174"/>
      <c r="KN44" s="174"/>
      <c r="KO44" s="174"/>
      <c r="KP44" s="174"/>
      <c r="KQ44" s="174"/>
      <c r="KR44" s="174"/>
      <c r="KS44" s="174"/>
      <c r="KT44" s="174"/>
      <c r="KU44" s="174"/>
      <c r="KV44" s="174"/>
      <c r="KW44" s="174"/>
    </row>
    <row r="45">
      <c r="A45" s="101" t="s">
        <v>88</v>
      </c>
      <c r="B45" s="93">
        <v>379.0</v>
      </c>
      <c r="C45" s="115"/>
      <c r="D45" s="215"/>
      <c r="E45" s="215"/>
      <c r="F45" s="215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71"/>
      <c r="BQ45" s="171"/>
      <c r="BR45" s="171"/>
      <c r="BS45" s="171"/>
      <c r="BT45" s="171"/>
      <c r="BU45" s="171"/>
      <c r="BV45" s="171"/>
      <c r="BW45" s="171"/>
      <c r="BX45" s="171"/>
      <c r="BY45" s="171"/>
      <c r="BZ45" s="171"/>
      <c r="CA45" s="171"/>
      <c r="CB45" s="171"/>
      <c r="CC45" s="171"/>
      <c r="CD45" s="310"/>
      <c r="CE45" s="94">
        <f t="shared" si="1"/>
        <v>0</v>
      </c>
      <c r="CF45" s="173">
        <f t="shared" si="2"/>
        <v>0</v>
      </c>
      <c r="CH45" s="115"/>
      <c r="CI45" s="215"/>
      <c r="CJ45" s="215"/>
      <c r="CK45" s="215"/>
      <c r="CL45" s="171"/>
      <c r="CM45" s="171"/>
      <c r="CN45" s="171"/>
      <c r="CO45" s="171"/>
      <c r="CP45" s="171"/>
      <c r="CQ45" s="171"/>
      <c r="CR45" s="171"/>
      <c r="CS45" s="171"/>
      <c r="CT45" s="171"/>
      <c r="CU45" s="171"/>
      <c r="CV45" s="171"/>
      <c r="CW45" s="171"/>
      <c r="CX45" s="171"/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71"/>
      <c r="DL45" s="171"/>
      <c r="DM45" s="171"/>
      <c r="DN45" s="171"/>
      <c r="DO45" s="171"/>
      <c r="DP45" s="171"/>
      <c r="DQ45" s="171"/>
      <c r="DR45" s="171"/>
      <c r="DS45" s="171"/>
      <c r="DT45" s="171"/>
      <c r="DU45" s="196">
        <v>2.0</v>
      </c>
      <c r="DV45" s="171"/>
      <c r="DW45" s="171"/>
      <c r="DX45" s="171"/>
      <c r="DY45" s="171"/>
      <c r="DZ45" s="171"/>
      <c r="EA45" s="171"/>
      <c r="EB45" s="171"/>
      <c r="EC45" s="171"/>
      <c r="ED45" s="171"/>
      <c r="EE45" s="95"/>
      <c r="EF45" s="200">
        <f t="shared" si="7"/>
        <v>2</v>
      </c>
      <c r="EG45" s="173">
        <f t="shared" si="4"/>
        <v>758</v>
      </c>
      <c r="EH45" s="174"/>
      <c r="EI45" s="104"/>
      <c r="EJ45" s="108"/>
      <c r="EK45" s="108"/>
      <c r="EL45" s="108"/>
      <c r="EM45" s="108"/>
      <c r="EN45" s="108"/>
      <c r="EO45" s="108"/>
      <c r="EP45" s="319"/>
      <c r="EQ45" s="319"/>
      <c r="ER45" s="319"/>
      <c r="ES45" s="319"/>
      <c r="ET45" s="319"/>
      <c r="EU45" s="319"/>
      <c r="EV45" s="322">
        <v>1.0</v>
      </c>
      <c r="EW45" s="319"/>
      <c r="EX45" s="319"/>
      <c r="EY45" s="319"/>
      <c r="EZ45" s="319"/>
      <c r="FA45" s="319"/>
      <c r="FB45" s="319"/>
      <c r="FC45" s="319"/>
      <c r="FD45" s="319"/>
      <c r="FE45" s="319"/>
      <c r="FF45" s="319"/>
      <c r="FG45" s="319"/>
      <c r="FH45" s="319"/>
      <c r="FI45" s="319"/>
      <c r="FJ45" s="319"/>
      <c r="FK45" s="319"/>
      <c r="FL45" s="319"/>
      <c r="FM45" s="319"/>
      <c r="FN45" s="319"/>
      <c r="FO45" s="319"/>
      <c r="FP45" s="215"/>
      <c r="FQ45" s="215"/>
      <c r="FR45" s="215"/>
      <c r="FS45" s="215"/>
      <c r="FT45" s="215"/>
      <c r="FU45" s="215"/>
      <c r="FV45" s="215"/>
      <c r="FW45" s="215"/>
      <c r="FX45" s="215"/>
      <c r="FY45" s="215"/>
      <c r="FZ45" s="215"/>
      <c r="GA45" s="215"/>
      <c r="GB45" s="215"/>
      <c r="GC45" s="215"/>
      <c r="GD45" s="215"/>
      <c r="GE45" s="215"/>
      <c r="GF45" s="215"/>
      <c r="GG45" s="215"/>
      <c r="GH45" s="200">
        <f t="shared" si="5"/>
        <v>1</v>
      </c>
      <c r="GI45" s="173">
        <f t="shared" si="6"/>
        <v>379</v>
      </c>
      <c r="GJ45" s="174"/>
      <c r="GK45" s="115"/>
      <c r="GL45" s="215"/>
      <c r="GM45" s="215"/>
      <c r="GN45" s="215"/>
      <c r="GO45" s="215"/>
      <c r="GP45" s="215"/>
      <c r="GQ45" s="215"/>
      <c r="GR45" s="215"/>
      <c r="GS45" s="215"/>
      <c r="GT45" s="215"/>
      <c r="GU45" s="215"/>
      <c r="GV45" s="215"/>
      <c r="GW45" s="215"/>
      <c r="GX45" s="215"/>
      <c r="GY45" s="215"/>
      <c r="GZ45" s="215"/>
      <c r="HA45" s="215"/>
      <c r="HB45" s="327"/>
      <c r="HC45" s="327"/>
      <c r="HD45" s="215"/>
      <c r="HE45" s="215"/>
      <c r="HF45" s="215"/>
      <c r="HG45" s="215"/>
      <c r="HH45" s="215"/>
      <c r="HI45" s="215"/>
      <c r="HJ45" s="215"/>
      <c r="HK45" s="215"/>
      <c r="HL45" s="215"/>
      <c r="HM45" s="215"/>
      <c r="HN45" s="215"/>
      <c r="HO45" s="215"/>
      <c r="HP45" s="215"/>
      <c r="HQ45" s="215"/>
      <c r="HR45" s="215"/>
      <c r="HS45" s="215"/>
      <c r="HT45" s="215"/>
      <c r="HU45" s="215"/>
      <c r="HV45" s="215"/>
      <c r="HW45" s="215"/>
      <c r="HX45" s="215"/>
      <c r="HY45" s="215"/>
      <c r="HZ45" s="215"/>
      <c r="IA45" s="215"/>
      <c r="IB45" s="215"/>
      <c r="IC45" s="215"/>
      <c r="ID45" s="215"/>
      <c r="IE45" s="215"/>
      <c r="IF45" s="200"/>
      <c r="IG45" s="173"/>
      <c r="IH45" s="174"/>
      <c r="II45" s="329"/>
      <c r="IJ45" s="321">
        <v>1.0</v>
      </c>
      <c r="IK45" s="215"/>
      <c r="IL45" s="215"/>
      <c r="IM45" s="215"/>
      <c r="IN45" s="215"/>
      <c r="IO45" s="215"/>
      <c r="IP45" s="215"/>
      <c r="IQ45" s="215"/>
      <c r="IR45" s="215"/>
      <c r="IS45" s="215"/>
      <c r="IT45" s="215"/>
      <c r="IU45" s="215"/>
      <c r="IV45" s="215"/>
      <c r="IW45" s="215"/>
      <c r="IX45" s="215"/>
      <c r="IY45" s="215"/>
      <c r="IZ45" s="215"/>
      <c r="JA45" s="215"/>
      <c r="JB45" s="215"/>
      <c r="JC45" s="215"/>
      <c r="JD45" s="215"/>
      <c r="JE45" s="215"/>
      <c r="JF45" s="215"/>
      <c r="JG45" s="215"/>
      <c r="JH45" s="215"/>
      <c r="JI45" s="215"/>
      <c r="JJ45" s="215"/>
      <c r="JK45" s="215"/>
      <c r="JL45" s="215"/>
      <c r="JM45" s="215"/>
      <c r="JN45" s="215"/>
      <c r="JO45" s="215"/>
      <c r="JP45" s="215"/>
      <c r="JQ45" s="215"/>
      <c r="JR45" s="215"/>
      <c r="JS45" s="215"/>
      <c r="JT45" s="215"/>
      <c r="JU45" s="215"/>
      <c r="JV45" s="215"/>
      <c r="JW45" s="215"/>
      <c r="JX45" s="215"/>
      <c r="JY45" s="215"/>
      <c r="JZ45" s="215"/>
      <c r="KA45" s="215"/>
      <c r="KB45" s="215"/>
      <c r="KC45" s="172"/>
      <c r="KD45" s="173"/>
      <c r="KE45" s="174"/>
      <c r="KF45" s="174"/>
      <c r="KG45" s="174"/>
      <c r="KH45" s="174"/>
      <c r="KI45" s="174"/>
      <c r="KJ45" s="174"/>
      <c r="KK45" s="174"/>
      <c r="KL45" s="174"/>
      <c r="KM45" s="174"/>
      <c r="KN45" s="174"/>
      <c r="KO45" s="174"/>
      <c r="KP45" s="174"/>
      <c r="KQ45" s="174"/>
      <c r="KR45" s="174"/>
      <c r="KS45" s="174"/>
      <c r="KT45" s="174"/>
      <c r="KU45" s="174"/>
      <c r="KV45" s="174"/>
      <c r="KW45" s="174"/>
    </row>
    <row r="46">
      <c r="A46" s="101" t="s">
        <v>89</v>
      </c>
      <c r="B46" s="93">
        <v>1299.0</v>
      </c>
      <c r="C46" s="115"/>
      <c r="D46" s="215"/>
      <c r="E46" s="215"/>
      <c r="F46" s="215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  <c r="BM46" s="171"/>
      <c r="BN46" s="171"/>
      <c r="BO46" s="171"/>
      <c r="BP46" s="171"/>
      <c r="BQ46" s="171"/>
      <c r="BR46" s="171"/>
      <c r="BS46" s="171"/>
      <c r="BT46" s="171"/>
      <c r="BU46" s="171"/>
      <c r="BV46" s="171"/>
      <c r="BW46" s="171"/>
      <c r="BX46" s="171"/>
      <c r="BY46" s="171"/>
      <c r="BZ46" s="171"/>
      <c r="CA46" s="171"/>
      <c r="CB46" s="171"/>
      <c r="CC46" s="171"/>
      <c r="CD46" s="310"/>
      <c r="CE46" s="94">
        <f t="shared" si="1"/>
        <v>0</v>
      </c>
      <c r="CF46" s="173">
        <f t="shared" si="2"/>
        <v>0</v>
      </c>
      <c r="CH46" s="115"/>
      <c r="CI46" s="215"/>
      <c r="CJ46" s="215"/>
      <c r="CK46" s="215"/>
      <c r="CL46" s="171"/>
      <c r="CM46" s="171"/>
      <c r="CN46" s="171"/>
      <c r="CO46" s="171"/>
      <c r="CP46" s="171"/>
      <c r="CQ46" s="171"/>
      <c r="CR46" s="171"/>
      <c r="CS46" s="171"/>
      <c r="CT46" s="171"/>
      <c r="CU46" s="171"/>
      <c r="CV46" s="171"/>
      <c r="CW46" s="171"/>
      <c r="CX46" s="171"/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71"/>
      <c r="DL46" s="171"/>
      <c r="DM46" s="171"/>
      <c r="DN46" s="171"/>
      <c r="DO46" s="171"/>
      <c r="DP46" s="171"/>
      <c r="DQ46" s="171"/>
      <c r="DR46" s="171"/>
      <c r="DS46" s="171"/>
      <c r="DT46" s="171"/>
      <c r="DU46" s="171"/>
      <c r="DV46" s="171"/>
      <c r="DW46" s="171"/>
      <c r="DX46" s="171"/>
      <c r="DY46" s="171"/>
      <c r="DZ46" s="171"/>
      <c r="EA46" s="171"/>
      <c r="EB46" s="171"/>
      <c r="EC46" s="171"/>
      <c r="ED46" s="171"/>
      <c r="EE46" s="95"/>
      <c r="EF46" s="200">
        <f t="shared" si="7"/>
        <v>0</v>
      </c>
      <c r="EG46" s="173">
        <f t="shared" si="4"/>
        <v>0</v>
      </c>
      <c r="EH46" s="174"/>
      <c r="EI46" s="104"/>
      <c r="EJ46" s="108"/>
      <c r="EK46" s="108"/>
      <c r="EL46" s="108"/>
      <c r="EM46" s="108"/>
      <c r="EN46" s="108"/>
      <c r="EO46" s="108"/>
      <c r="EP46" s="319"/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/>
      <c r="FC46" s="319"/>
      <c r="FD46" s="319"/>
      <c r="FE46" s="319"/>
      <c r="FF46" s="319"/>
      <c r="FG46" s="319"/>
      <c r="FH46" s="319"/>
      <c r="FI46" s="319"/>
      <c r="FJ46" s="319"/>
      <c r="FK46" s="319"/>
      <c r="FL46" s="319"/>
      <c r="FM46" s="319"/>
      <c r="FN46" s="319"/>
      <c r="FO46" s="319"/>
      <c r="FP46" s="215"/>
      <c r="FQ46" s="215"/>
      <c r="FR46" s="215"/>
      <c r="FS46" s="215"/>
      <c r="FT46" s="215"/>
      <c r="FU46" s="215"/>
      <c r="FV46" s="215"/>
      <c r="FW46" s="215"/>
      <c r="FX46" s="215"/>
      <c r="FY46" s="215"/>
      <c r="FZ46" s="215"/>
      <c r="GA46" s="215"/>
      <c r="GB46" s="215"/>
      <c r="GC46" s="215"/>
      <c r="GD46" s="215"/>
      <c r="GE46" s="215"/>
      <c r="GF46" s="215"/>
      <c r="GG46" s="217"/>
      <c r="GH46" s="200">
        <f t="shared" si="5"/>
        <v>0</v>
      </c>
      <c r="GI46" s="173">
        <f t="shared" si="6"/>
        <v>0</v>
      </c>
      <c r="GJ46" s="174"/>
      <c r="GK46" s="115"/>
      <c r="GL46" s="215"/>
      <c r="GM46" s="215"/>
      <c r="GN46" s="215"/>
      <c r="GO46" s="215"/>
      <c r="GP46" s="215"/>
      <c r="GQ46" s="215"/>
      <c r="GR46" s="215"/>
      <c r="GS46" s="215"/>
      <c r="GT46" s="215"/>
      <c r="GU46" s="215"/>
      <c r="GV46" s="215"/>
      <c r="GW46" s="215"/>
      <c r="GX46" s="215"/>
      <c r="GY46" s="215"/>
      <c r="GZ46" s="215"/>
      <c r="HA46" s="215"/>
      <c r="HB46" s="327"/>
      <c r="HC46" s="327"/>
      <c r="HD46" s="215"/>
      <c r="HE46" s="215"/>
      <c r="HF46" s="215"/>
      <c r="HG46" s="215"/>
      <c r="HH46" s="215"/>
      <c r="HI46" s="215"/>
      <c r="HJ46" s="215"/>
      <c r="HK46" s="215"/>
      <c r="HL46" s="215"/>
      <c r="HM46" s="215"/>
      <c r="HN46" s="215"/>
      <c r="HO46" s="215"/>
      <c r="HP46" s="215"/>
      <c r="HQ46" s="215"/>
      <c r="HR46" s="215"/>
      <c r="HS46" s="215"/>
      <c r="HT46" s="215"/>
      <c r="HU46" s="215"/>
      <c r="HV46" s="215"/>
      <c r="HW46" s="215"/>
      <c r="HX46" s="215"/>
      <c r="HY46" s="215"/>
      <c r="HZ46" s="215"/>
      <c r="IA46" s="215"/>
      <c r="IB46" s="215"/>
      <c r="IC46" s="215"/>
      <c r="ID46" s="215"/>
      <c r="IE46" s="215"/>
      <c r="IF46" s="200"/>
      <c r="IG46" s="173"/>
      <c r="IH46" s="174"/>
      <c r="II46" s="329"/>
      <c r="IJ46" s="215"/>
      <c r="IK46" s="215"/>
      <c r="IL46" s="215"/>
      <c r="IM46" s="215"/>
      <c r="IN46" s="215"/>
      <c r="IO46" s="215"/>
      <c r="IP46" s="215"/>
      <c r="IQ46" s="215"/>
      <c r="IR46" s="215"/>
      <c r="IS46" s="215"/>
      <c r="IT46" s="215"/>
      <c r="IU46" s="215"/>
      <c r="IV46" s="215"/>
      <c r="IW46" s="215"/>
      <c r="IX46" s="215"/>
      <c r="IY46" s="215"/>
      <c r="IZ46" s="215"/>
      <c r="JA46" s="215"/>
      <c r="JB46" s="215"/>
      <c r="JC46" s="215"/>
      <c r="JD46" s="215"/>
      <c r="JE46" s="215"/>
      <c r="JF46" s="215"/>
      <c r="JG46" s="215"/>
      <c r="JH46" s="215"/>
      <c r="JI46" s="215"/>
      <c r="JJ46" s="215"/>
      <c r="JK46" s="215"/>
      <c r="JL46" s="215"/>
      <c r="JM46" s="215"/>
      <c r="JN46" s="215"/>
      <c r="JO46" s="215"/>
      <c r="JP46" s="215"/>
      <c r="JQ46" s="215"/>
      <c r="JR46" s="215"/>
      <c r="JS46" s="215"/>
      <c r="JT46" s="215"/>
      <c r="JU46" s="215"/>
      <c r="JV46" s="215"/>
      <c r="JW46" s="215"/>
      <c r="JX46" s="215"/>
      <c r="JY46" s="215"/>
      <c r="JZ46" s="215"/>
      <c r="KA46" s="215"/>
      <c r="KB46" s="215"/>
      <c r="KC46" s="172"/>
      <c r="KD46" s="173"/>
      <c r="KE46" s="174"/>
      <c r="KF46" s="174"/>
      <c r="KG46" s="174"/>
      <c r="KH46" s="174"/>
      <c r="KI46" s="174"/>
      <c r="KJ46" s="174"/>
      <c r="KK46" s="174"/>
      <c r="KL46" s="174"/>
      <c r="KM46" s="174"/>
      <c r="KN46" s="174"/>
      <c r="KO46" s="174"/>
      <c r="KP46" s="174"/>
      <c r="KQ46" s="174"/>
      <c r="KR46" s="174"/>
      <c r="KS46" s="174"/>
      <c r="KT46" s="174"/>
      <c r="KU46" s="174"/>
      <c r="KV46" s="174"/>
      <c r="KW46" s="174"/>
    </row>
    <row r="47">
      <c r="A47" s="67" t="s">
        <v>90</v>
      </c>
      <c r="B47" s="93">
        <v>1299.0</v>
      </c>
      <c r="C47" s="115"/>
      <c r="D47" s="215"/>
      <c r="E47" s="215"/>
      <c r="F47" s="215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  <c r="AV47" s="171"/>
      <c r="AW47" s="171"/>
      <c r="AX47" s="171"/>
      <c r="AY47" s="171"/>
      <c r="AZ47" s="171"/>
      <c r="BA47" s="171"/>
      <c r="BB47" s="171"/>
      <c r="BC47" s="171"/>
      <c r="BD47" s="171"/>
      <c r="BE47" s="171"/>
      <c r="BF47" s="171"/>
      <c r="BG47" s="171"/>
      <c r="BH47" s="171"/>
      <c r="BI47" s="171"/>
      <c r="BJ47" s="171"/>
      <c r="BK47" s="171"/>
      <c r="BL47" s="171"/>
      <c r="BM47" s="171"/>
      <c r="BN47" s="171"/>
      <c r="BO47" s="171"/>
      <c r="BP47" s="171"/>
      <c r="BQ47" s="171"/>
      <c r="BR47" s="171"/>
      <c r="BS47" s="171"/>
      <c r="BT47" s="171"/>
      <c r="BU47" s="171"/>
      <c r="BV47" s="171"/>
      <c r="BW47" s="171"/>
      <c r="BX47" s="171"/>
      <c r="BY47" s="171"/>
      <c r="BZ47" s="171"/>
      <c r="CA47" s="171"/>
      <c r="CB47" s="171"/>
      <c r="CC47" s="171"/>
      <c r="CD47" s="310"/>
      <c r="CE47" s="94">
        <f t="shared" si="1"/>
        <v>0</v>
      </c>
      <c r="CF47" s="173">
        <f t="shared" si="2"/>
        <v>0</v>
      </c>
      <c r="CH47" s="115"/>
      <c r="CI47" s="215"/>
      <c r="CJ47" s="215"/>
      <c r="CK47" s="215"/>
      <c r="CL47" s="171"/>
      <c r="CM47" s="171"/>
      <c r="CN47" s="171"/>
      <c r="CO47" s="171"/>
      <c r="CP47" s="171"/>
      <c r="CQ47" s="171"/>
      <c r="CR47" s="171"/>
      <c r="CS47" s="171"/>
      <c r="CT47" s="171"/>
      <c r="CU47" s="171"/>
      <c r="CV47" s="171"/>
      <c r="CW47" s="171"/>
      <c r="CX47" s="171"/>
      <c r="CY47" s="171"/>
      <c r="CZ47" s="171"/>
      <c r="DA47" s="171"/>
      <c r="DB47" s="171"/>
      <c r="DC47" s="171"/>
      <c r="DD47" s="171"/>
      <c r="DE47" s="171"/>
      <c r="DF47" s="171"/>
      <c r="DG47" s="171"/>
      <c r="DH47" s="171"/>
      <c r="DI47" s="171"/>
      <c r="DJ47" s="171"/>
      <c r="DK47" s="171"/>
      <c r="DL47" s="171"/>
      <c r="DM47" s="171"/>
      <c r="DN47" s="171"/>
      <c r="DO47" s="171"/>
      <c r="DP47" s="171"/>
      <c r="DQ47" s="171"/>
      <c r="DR47" s="171"/>
      <c r="DS47" s="171"/>
      <c r="DT47" s="171"/>
      <c r="DU47" s="171"/>
      <c r="DV47" s="171"/>
      <c r="DW47" s="171"/>
      <c r="DX47" s="171"/>
      <c r="DY47" s="171"/>
      <c r="DZ47" s="171"/>
      <c r="EA47" s="171"/>
      <c r="EB47" s="171"/>
      <c r="EC47" s="171"/>
      <c r="ED47" s="171"/>
      <c r="EE47" s="95"/>
      <c r="EF47" s="200">
        <f t="shared" si="7"/>
        <v>0</v>
      </c>
      <c r="EG47" s="173">
        <f t="shared" si="4"/>
        <v>0</v>
      </c>
      <c r="EH47" s="174"/>
      <c r="EI47" s="104"/>
      <c r="EJ47" s="108"/>
      <c r="EK47" s="108"/>
      <c r="EL47" s="108"/>
      <c r="EM47" s="108"/>
      <c r="EN47" s="108"/>
      <c r="EO47" s="108"/>
      <c r="EP47" s="319"/>
      <c r="EQ47" s="319"/>
      <c r="ER47" s="319"/>
      <c r="ES47" s="319"/>
      <c r="ET47" s="319"/>
      <c r="EU47" s="319"/>
      <c r="EV47" s="319"/>
      <c r="EW47" s="319"/>
      <c r="EX47" s="319"/>
      <c r="EY47" s="319"/>
      <c r="EZ47" s="319"/>
      <c r="FA47" s="319"/>
      <c r="FB47" s="319"/>
      <c r="FC47" s="319"/>
      <c r="FD47" s="319"/>
      <c r="FE47" s="319"/>
      <c r="FF47" s="319"/>
      <c r="FG47" s="319"/>
      <c r="FH47" s="319"/>
      <c r="FI47" s="319"/>
      <c r="FJ47" s="319"/>
      <c r="FK47" s="319"/>
      <c r="FL47" s="319"/>
      <c r="FM47" s="319"/>
      <c r="FN47" s="319"/>
      <c r="FO47" s="319"/>
      <c r="FP47" s="215"/>
      <c r="FQ47" s="215"/>
      <c r="FR47" s="215"/>
      <c r="FS47" s="215"/>
      <c r="FT47" s="215"/>
      <c r="FU47" s="215"/>
      <c r="FV47" s="215"/>
      <c r="FW47" s="215"/>
      <c r="FX47" s="215"/>
      <c r="FY47" s="215"/>
      <c r="FZ47" s="215"/>
      <c r="GA47" s="215"/>
      <c r="GB47" s="215"/>
      <c r="GC47" s="215"/>
      <c r="GD47" s="215"/>
      <c r="GE47" s="215"/>
      <c r="GF47" s="215"/>
      <c r="GG47" s="215"/>
      <c r="GH47" s="200">
        <f t="shared" si="5"/>
        <v>0</v>
      </c>
      <c r="GI47" s="173">
        <f t="shared" si="6"/>
        <v>0</v>
      </c>
      <c r="GJ47" s="174"/>
      <c r="GK47" s="115"/>
      <c r="GL47" s="215"/>
      <c r="GM47" s="215"/>
      <c r="GN47" s="215"/>
      <c r="GO47" s="215"/>
      <c r="GP47" s="215"/>
      <c r="GQ47" s="215"/>
      <c r="GR47" s="215"/>
      <c r="GS47" s="215"/>
      <c r="GT47" s="215"/>
      <c r="GU47" s="215"/>
      <c r="GV47" s="215"/>
      <c r="GW47" s="215"/>
      <c r="GX47" s="215"/>
      <c r="GY47" s="215"/>
      <c r="GZ47" s="215"/>
      <c r="HA47" s="215"/>
      <c r="HB47" s="327"/>
      <c r="HC47" s="327"/>
      <c r="HD47" s="215"/>
      <c r="HE47" s="215"/>
      <c r="HF47" s="215"/>
      <c r="HG47" s="215"/>
      <c r="HH47" s="215"/>
      <c r="HI47" s="215"/>
      <c r="HJ47" s="215"/>
      <c r="HK47" s="215"/>
      <c r="HL47" s="215"/>
      <c r="HM47" s="215"/>
      <c r="HN47" s="215"/>
      <c r="HO47" s="215"/>
      <c r="HP47" s="215"/>
      <c r="HQ47" s="215"/>
      <c r="HR47" s="215"/>
      <c r="HS47" s="215"/>
      <c r="HT47" s="215"/>
      <c r="HU47" s="215"/>
      <c r="HV47" s="215"/>
      <c r="HW47" s="215"/>
      <c r="HX47" s="215"/>
      <c r="HY47" s="215"/>
      <c r="HZ47" s="215"/>
      <c r="IA47" s="215"/>
      <c r="IB47" s="215"/>
      <c r="IC47" s="215"/>
      <c r="ID47" s="215"/>
      <c r="IE47" s="215"/>
      <c r="IF47" s="200"/>
      <c r="IG47" s="173"/>
      <c r="IH47" s="174"/>
      <c r="II47" s="329"/>
      <c r="IJ47" s="215"/>
      <c r="IK47" s="215"/>
      <c r="IL47" s="215"/>
      <c r="IM47" s="215"/>
      <c r="IN47" s="215"/>
      <c r="IO47" s="215"/>
      <c r="IP47" s="215"/>
      <c r="IQ47" s="215"/>
      <c r="IR47" s="215"/>
      <c r="IS47" s="215"/>
      <c r="IT47" s="215"/>
      <c r="IU47" s="215"/>
      <c r="IV47" s="215"/>
      <c r="IW47" s="215"/>
      <c r="IX47" s="215"/>
      <c r="IY47" s="215"/>
      <c r="IZ47" s="215"/>
      <c r="JA47" s="215"/>
      <c r="JB47" s="215"/>
      <c r="JC47" s="215"/>
      <c r="JD47" s="215"/>
      <c r="JE47" s="215"/>
      <c r="JF47" s="215"/>
      <c r="JG47" s="215"/>
      <c r="JH47" s="215"/>
      <c r="JI47" s="321">
        <v>1.0</v>
      </c>
      <c r="JJ47" s="215"/>
      <c r="JK47" s="215"/>
      <c r="JL47" s="215"/>
      <c r="JM47" s="215"/>
      <c r="JN47" s="215"/>
      <c r="JO47" s="215"/>
      <c r="JP47" s="215"/>
      <c r="JQ47" s="215"/>
      <c r="JR47" s="215"/>
      <c r="JS47" s="215"/>
      <c r="JT47" s="215"/>
      <c r="JU47" s="215"/>
      <c r="JV47" s="215"/>
      <c r="JW47" s="215"/>
      <c r="JX47" s="215"/>
      <c r="JY47" s="215"/>
      <c r="JZ47" s="215"/>
      <c r="KA47" s="215"/>
      <c r="KB47" s="215"/>
      <c r="KC47" s="172"/>
      <c r="KD47" s="173"/>
      <c r="KE47" s="174"/>
      <c r="KF47" s="174"/>
      <c r="KG47" s="174"/>
      <c r="KH47" s="174"/>
      <c r="KI47" s="174"/>
      <c r="KJ47" s="174"/>
      <c r="KK47" s="174"/>
      <c r="KL47" s="174"/>
      <c r="KM47" s="174"/>
      <c r="KN47" s="174"/>
      <c r="KO47" s="174"/>
      <c r="KP47" s="174"/>
      <c r="KQ47" s="174"/>
      <c r="KR47" s="174"/>
      <c r="KS47" s="174"/>
      <c r="KT47" s="174"/>
      <c r="KU47" s="174"/>
      <c r="KV47" s="174"/>
      <c r="KW47" s="174"/>
    </row>
    <row r="48">
      <c r="A48" s="101" t="s">
        <v>91</v>
      </c>
      <c r="B48" s="103">
        <v>0.0</v>
      </c>
      <c r="C48" s="115"/>
      <c r="D48" s="215"/>
      <c r="E48" s="215"/>
      <c r="F48" s="215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  <c r="BA48" s="171"/>
      <c r="BB48" s="171"/>
      <c r="BC48" s="171"/>
      <c r="BD48" s="171"/>
      <c r="BE48" s="171"/>
      <c r="BF48" s="171"/>
      <c r="BG48" s="171"/>
      <c r="BH48" s="171"/>
      <c r="BI48" s="171"/>
      <c r="BJ48" s="171"/>
      <c r="BK48" s="171"/>
      <c r="BL48" s="171"/>
      <c r="BM48" s="171"/>
      <c r="BN48" s="171"/>
      <c r="BO48" s="171"/>
      <c r="BP48" s="171"/>
      <c r="BQ48" s="171"/>
      <c r="BR48" s="171"/>
      <c r="BS48" s="171"/>
      <c r="BT48" s="171"/>
      <c r="BU48" s="171"/>
      <c r="BV48" s="171"/>
      <c r="BW48" s="171"/>
      <c r="BX48" s="171"/>
      <c r="BY48" s="171"/>
      <c r="BZ48" s="171"/>
      <c r="CA48" s="171"/>
      <c r="CB48" s="171"/>
      <c r="CC48" s="171"/>
      <c r="CD48" s="310"/>
      <c r="CE48" s="94">
        <f t="shared" si="1"/>
        <v>0</v>
      </c>
      <c r="CF48" s="173">
        <f t="shared" si="2"/>
        <v>0</v>
      </c>
      <c r="CH48" s="115"/>
      <c r="CI48" s="215"/>
      <c r="CJ48" s="215"/>
      <c r="CK48" s="215"/>
      <c r="CL48" s="171"/>
      <c r="CM48" s="171"/>
      <c r="CN48" s="171"/>
      <c r="CO48" s="171"/>
      <c r="CP48" s="171"/>
      <c r="CQ48" s="171"/>
      <c r="CR48" s="171"/>
      <c r="CS48" s="171"/>
      <c r="CT48" s="171"/>
      <c r="CU48" s="171"/>
      <c r="CV48" s="171"/>
      <c r="CW48" s="171"/>
      <c r="CX48" s="171"/>
      <c r="CY48" s="171"/>
      <c r="CZ48" s="171"/>
      <c r="DA48" s="171"/>
      <c r="DB48" s="171"/>
      <c r="DC48" s="171"/>
      <c r="DD48" s="171"/>
      <c r="DE48" s="171"/>
      <c r="DF48" s="171"/>
      <c r="DG48" s="171"/>
      <c r="DH48" s="171"/>
      <c r="DI48" s="171"/>
      <c r="DJ48" s="171"/>
      <c r="DK48" s="171"/>
      <c r="DL48" s="171"/>
      <c r="DM48" s="171"/>
      <c r="DN48" s="171"/>
      <c r="DO48" s="171"/>
      <c r="DP48" s="171"/>
      <c r="DQ48" s="171"/>
      <c r="DR48" s="171"/>
      <c r="DS48" s="171"/>
      <c r="DT48" s="171"/>
      <c r="DU48" s="171"/>
      <c r="DV48" s="171"/>
      <c r="DW48" s="171"/>
      <c r="DX48" s="171"/>
      <c r="DY48" s="171"/>
      <c r="DZ48" s="171"/>
      <c r="EA48" s="171"/>
      <c r="EB48" s="171"/>
      <c r="EC48" s="171"/>
      <c r="ED48" s="171"/>
      <c r="EE48" s="95"/>
      <c r="EF48" s="200">
        <f t="shared" si="7"/>
        <v>0</v>
      </c>
      <c r="EG48" s="173">
        <f t="shared" si="4"/>
        <v>0</v>
      </c>
      <c r="EH48" s="174"/>
      <c r="EI48" s="104"/>
      <c r="EJ48" s="108"/>
      <c r="EK48" s="108"/>
      <c r="EL48" s="108"/>
      <c r="EM48" s="108"/>
      <c r="EN48" s="108"/>
      <c r="EO48" s="108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/>
      <c r="FH48" s="319"/>
      <c r="FI48" s="319"/>
      <c r="FJ48" s="319"/>
      <c r="FK48" s="319"/>
      <c r="FL48" s="319"/>
      <c r="FM48" s="319"/>
      <c r="FN48" s="319"/>
      <c r="FO48" s="319"/>
      <c r="FP48" s="215"/>
      <c r="FQ48" s="215"/>
      <c r="FR48" s="215"/>
      <c r="FS48" s="215"/>
      <c r="FT48" s="215"/>
      <c r="FU48" s="215"/>
      <c r="FV48" s="215"/>
      <c r="FW48" s="215"/>
      <c r="FX48" s="215"/>
      <c r="FY48" s="215"/>
      <c r="FZ48" s="215"/>
      <c r="GA48" s="215"/>
      <c r="GB48" s="215"/>
      <c r="GC48" s="215"/>
      <c r="GD48" s="215"/>
      <c r="GE48" s="215"/>
      <c r="GF48" s="215"/>
      <c r="GG48" s="215"/>
      <c r="GH48" s="200">
        <f t="shared" si="5"/>
        <v>0</v>
      </c>
      <c r="GI48" s="173">
        <f t="shared" si="6"/>
        <v>0</v>
      </c>
      <c r="GJ48" s="174"/>
      <c r="GK48" s="115"/>
      <c r="GL48" s="215"/>
      <c r="GM48" s="215"/>
      <c r="GN48" s="215"/>
      <c r="GO48" s="215"/>
      <c r="GP48" s="215"/>
      <c r="GQ48" s="215"/>
      <c r="GR48" s="215"/>
      <c r="GS48" s="215"/>
      <c r="GT48" s="215"/>
      <c r="GU48" s="215"/>
      <c r="GV48" s="215"/>
      <c r="GW48" s="215"/>
      <c r="GX48" s="215"/>
      <c r="GY48" s="215"/>
      <c r="GZ48" s="215"/>
      <c r="HA48" s="215"/>
      <c r="HB48" s="327"/>
      <c r="HC48" s="327"/>
      <c r="HD48" s="215"/>
      <c r="HE48" s="215"/>
      <c r="HF48" s="215"/>
      <c r="HG48" s="215"/>
      <c r="HH48" s="215"/>
      <c r="HI48" s="215"/>
      <c r="HJ48" s="215"/>
      <c r="HK48" s="215"/>
      <c r="HL48" s="215"/>
      <c r="HM48" s="215"/>
      <c r="HN48" s="215"/>
      <c r="HO48" s="215"/>
      <c r="HP48" s="215"/>
      <c r="HQ48" s="215"/>
      <c r="HR48" s="215"/>
      <c r="HS48" s="215"/>
      <c r="HT48" s="215"/>
      <c r="HU48" s="215"/>
      <c r="HV48" s="215"/>
      <c r="HW48" s="215"/>
      <c r="HX48" s="215"/>
      <c r="HY48" s="215"/>
      <c r="HZ48" s="215"/>
      <c r="IA48" s="215"/>
      <c r="IB48" s="215"/>
      <c r="IC48" s="215"/>
      <c r="ID48" s="215"/>
      <c r="IE48" s="215"/>
      <c r="IF48" s="200"/>
      <c r="IG48" s="173"/>
      <c r="IH48" s="174"/>
      <c r="II48" s="329"/>
      <c r="IJ48" s="215"/>
      <c r="IK48" s="215"/>
      <c r="IL48" s="215"/>
      <c r="IM48" s="215"/>
      <c r="IN48" s="215"/>
      <c r="IO48" s="215"/>
      <c r="IP48" s="215"/>
      <c r="IQ48" s="215"/>
      <c r="IR48" s="215"/>
      <c r="IS48" s="215"/>
      <c r="IT48" s="215"/>
      <c r="IU48" s="215"/>
      <c r="IV48" s="215"/>
      <c r="IW48" s="215"/>
      <c r="IX48" s="215"/>
      <c r="IY48" s="215"/>
      <c r="IZ48" s="215"/>
      <c r="JA48" s="215"/>
      <c r="JB48" s="215"/>
      <c r="JC48" s="215"/>
      <c r="JD48" s="215"/>
      <c r="JE48" s="215"/>
      <c r="JF48" s="215"/>
      <c r="JG48" s="215"/>
      <c r="JH48" s="215"/>
      <c r="JI48" s="215"/>
      <c r="JJ48" s="215"/>
      <c r="JK48" s="215"/>
      <c r="JL48" s="215"/>
      <c r="JM48" s="215"/>
      <c r="JN48" s="215"/>
      <c r="JO48" s="215"/>
      <c r="JP48" s="215"/>
      <c r="JQ48" s="215"/>
      <c r="JR48" s="215"/>
      <c r="JS48" s="215"/>
      <c r="JT48" s="215"/>
      <c r="JU48" s="215"/>
      <c r="JV48" s="215"/>
      <c r="JW48" s="215"/>
      <c r="JX48" s="215"/>
      <c r="JY48" s="215"/>
      <c r="JZ48" s="215"/>
      <c r="KA48" s="215"/>
      <c r="KB48" s="215"/>
      <c r="KC48" s="172"/>
      <c r="KD48" s="173"/>
      <c r="KE48" s="174"/>
      <c r="KF48" s="174"/>
      <c r="KG48" s="174"/>
      <c r="KH48" s="174"/>
      <c r="KI48" s="174"/>
      <c r="KJ48" s="174"/>
      <c r="KK48" s="174"/>
      <c r="KL48" s="174"/>
      <c r="KM48" s="174"/>
      <c r="KN48" s="174"/>
      <c r="KO48" s="174"/>
      <c r="KP48" s="174"/>
      <c r="KQ48" s="174"/>
      <c r="KR48" s="174"/>
      <c r="KS48" s="174"/>
      <c r="KT48" s="174"/>
      <c r="KU48" s="174"/>
      <c r="KV48" s="174"/>
      <c r="KW48" s="174"/>
    </row>
    <row r="49">
      <c r="A49" s="104"/>
      <c r="B49" s="105"/>
      <c r="C49" s="115"/>
      <c r="D49" s="215"/>
      <c r="E49" s="215"/>
      <c r="F49" s="215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  <c r="AV49" s="171"/>
      <c r="AW49" s="171"/>
      <c r="AX49" s="171"/>
      <c r="AY49" s="171"/>
      <c r="AZ49" s="171"/>
      <c r="BA49" s="171"/>
      <c r="BB49" s="171"/>
      <c r="BC49" s="171"/>
      <c r="BD49" s="171"/>
      <c r="BE49" s="171"/>
      <c r="BF49" s="171"/>
      <c r="BG49" s="171"/>
      <c r="BH49" s="171"/>
      <c r="BI49" s="171"/>
      <c r="BJ49" s="171"/>
      <c r="BK49" s="171"/>
      <c r="BL49" s="171"/>
      <c r="BM49" s="171"/>
      <c r="BN49" s="171"/>
      <c r="BO49" s="171"/>
      <c r="BP49" s="171"/>
      <c r="BQ49" s="171"/>
      <c r="BR49" s="171"/>
      <c r="BS49" s="171"/>
      <c r="BT49" s="171"/>
      <c r="BU49" s="171"/>
      <c r="BV49" s="171"/>
      <c r="BW49" s="171"/>
      <c r="BX49" s="171"/>
      <c r="BY49" s="171"/>
      <c r="BZ49" s="171"/>
      <c r="CA49" s="171"/>
      <c r="CB49" s="171"/>
      <c r="CC49" s="171"/>
      <c r="CD49" s="310"/>
      <c r="CE49" s="94">
        <f t="shared" si="1"/>
        <v>0</v>
      </c>
      <c r="CF49" s="173">
        <f t="shared" si="2"/>
        <v>0</v>
      </c>
      <c r="CH49" s="115"/>
      <c r="CI49" s="215"/>
      <c r="CJ49" s="215"/>
      <c r="CK49" s="215"/>
      <c r="CL49" s="171"/>
      <c r="CM49" s="171"/>
      <c r="CN49" s="171"/>
      <c r="CO49" s="171"/>
      <c r="CP49" s="171"/>
      <c r="CQ49" s="171"/>
      <c r="CR49" s="171"/>
      <c r="CS49" s="171"/>
      <c r="CT49" s="171"/>
      <c r="CU49" s="171"/>
      <c r="CV49" s="171"/>
      <c r="CW49" s="171"/>
      <c r="CX49" s="171"/>
      <c r="CY49" s="171"/>
      <c r="CZ49" s="171"/>
      <c r="DA49" s="171"/>
      <c r="DB49" s="171"/>
      <c r="DC49" s="171"/>
      <c r="DD49" s="171"/>
      <c r="DE49" s="171"/>
      <c r="DF49" s="171"/>
      <c r="DG49" s="171"/>
      <c r="DH49" s="171"/>
      <c r="DI49" s="171"/>
      <c r="DJ49" s="171"/>
      <c r="DK49" s="171"/>
      <c r="DL49" s="171"/>
      <c r="DM49" s="171"/>
      <c r="DN49" s="171"/>
      <c r="DO49" s="171"/>
      <c r="DP49" s="171"/>
      <c r="DQ49" s="171"/>
      <c r="DR49" s="171"/>
      <c r="DS49" s="171"/>
      <c r="DT49" s="171"/>
      <c r="DU49" s="171"/>
      <c r="DV49" s="171"/>
      <c r="DW49" s="171"/>
      <c r="DX49" s="171"/>
      <c r="DY49" s="171"/>
      <c r="DZ49" s="171"/>
      <c r="EA49" s="171"/>
      <c r="EB49" s="171"/>
      <c r="EC49" s="171"/>
      <c r="ED49" s="171"/>
      <c r="EE49" s="95"/>
      <c r="EF49" s="200">
        <f t="shared" si="7"/>
        <v>0</v>
      </c>
      <c r="EG49" s="173">
        <f t="shared" si="4"/>
        <v>0</v>
      </c>
      <c r="EH49" s="174"/>
      <c r="EI49" s="104"/>
      <c r="EJ49" s="108"/>
      <c r="EK49" s="108"/>
      <c r="EL49" s="108"/>
      <c r="EM49" s="108"/>
      <c r="EN49" s="108"/>
      <c r="EO49" s="108"/>
      <c r="EP49" s="319"/>
      <c r="EQ49" s="319"/>
      <c r="ER49" s="319"/>
      <c r="ES49" s="319"/>
      <c r="ET49" s="319"/>
      <c r="EU49" s="319"/>
      <c r="EV49" s="319"/>
      <c r="EW49" s="319"/>
      <c r="EX49" s="319"/>
      <c r="EY49" s="319"/>
      <c r="EZ49" s="319"/>
      <c r="FA49" s="319"/>
      <c r="FB49" s="319"/>
      <c r="FC49" s="319"/>
      <c r="FD49" s="319"/>
      <c r="FE49" s="319"/>
      <c r="FF49" s="319"/>
      <c r="FG49" s="319"/>
      <c r="FH49" s="319"/>
      <c r="FI49" s="319"/>
      <c r="FJ49" s="319"/>
      <c r="FK49" s="319"/>
      <c r="FL49" s="319"/>
      <c r="FM49" s="319"/>
      <c r="FN49" s="319"/>
      <c r="FO49" s="319"/>
      <c r="FP49" s="215"/>
      <c r="FQ49" s="215"/>
      <c r="FR49" s="215"/>
      <c r="FS49" s="215"/>
      <c r="FT49" s="215"/>
      <c r="FU49" s="215"/>
      <c r="FV49" s="215"/>
      <c r="FW49" s="215"/>
      <c r="FX49" s="215"/>
      <c r="FY49" s="215"/>
      <c r="FZ49" s="215"/>
      <c r="GA49" s="215"/>
      <c r="GB49" s="215"/>
      <c r="GC49" s="215"/>
      <c r="GD49" s="215"/>
      <c r="GE49" s="215"/>
      <c r="GF49" s="215"/>
      <c r="GG49" s="215"/>
      <c r="GH49" s="200">
        <f t="shared" si="5"/>
        <v>0</v>
      </c>
      <c r="GI49" s="173">
        <f t="shared" si="6"/>
        <v>0</v>
      </c>
      <c r="GJ49" s="174"/>
      <c r="GK49" s="115"/>
      <c r="GL49" s="215"/>
      <c r="GM49" s="215"/>
      <c r="GN49" s="215"/>
      <c r="GO49" s="215"/>
      <c r="GP49" s="215"/>
      <c r="GQ49" s="215"/>
      <c r="GR49" s="215"/>
      <c r="GS49" s="215"/>
      <c r="GT49" s="215"/>
      <c r="GU49" s="215"/>
      <c r="GV49" s="215"/>
      <c r="GW49" s="215"/>
      <c r="GX49" s="215"/>
      <c r="GY49" s="215"/>
      <c r="GZ49" s="215"/>
      <c r="HA49" s="215"/>
      <c r="HB49" s="327"/>
      <c r="HC49" s="327"/>
      <c r="HD49" s="215"/>
      <c r="HE49" s="215"/>
      <c r="HF49" s="215"/>
      <c r="HG49" s="215"/>
      <c r="HH49" s="215"/>
      <c r="HI49" s="215"/>
      <c r="HJ49" s="215"/>
      <c r="HK49" s="215"/>
      <c r="HL49" s="215"/>
      <c r="HM49" s="215"/>
      <c r="HN49" s="215"/>
      <c r="HO49" s="215"/>
      <c r="HP49" s="215"/>
      <c r="HQ49" s="215"/>
      <c r="HR49" s="215"/>
      <c r="HS49" s="215"/>
      <c r="HT49" s="215"/>
      <c r="HU49" s="215"/>
      <c r="HV49" s="215"/>
      <c r="HW49" s="215"/>
      <c r="HX49" s="215"/>
      <c r="HY49" s="215"/>
      <c r="HZ49" s="215"/>
      <c r="IA49" s="215"/>
      <c r="IB49" s="215"/>
      <c r="IC49" s="215"/>
      <c r="ID49" s="215"/>
      <c r="IE49" s="215"/>
      <c r="IF49" s="200"/>
      <c r="IG49" s="173"/>
      <c r="IH49" s="174"/>
      <c r="II49" s="329"/>
      <c r="IJ49" s="215"/>
      <c r="IK49" s="215"/>
      <c r="IL49" s="215"/>
      <c r="IM49" s="215"/>
      <c r="IN49" s="215"/>
      <c r="IO49" s="215"/>
      <c r="IP49" s="215"/>
      <c r="IQ49" s="215"/>
      <c r="IR49" s="215"/>
      <c r="IS49" s="215"/>
      <c r="IT49" s="215"/>
      <c r="IU49" s="215"/>
      <c r="IV49" s="215"/>
      <c r="IW49" s="215"/>
      <c r="IX49" s="215"/>
      <c r="IY49" s="215"/>
      <c r="IZ49" s="215"/>
      <c r="JA49" s="215"/>
      <c r="JB49" s="215"/>
      <c r="JC49" s="215"/>
      <c r="JD49" s="215"/>
      <c r="JE49" s="215"/>
      <c r="JF49" s="215"/>
      <c r="JG49" s="215"/>
      <c r="JH49" s="215"/>
      <c r="JI49" s="215"/>
      <c r="JJ49" s="215"/>
      <c r="JK49" s="215"/>
      <c r="JL49" s="215"/>
      <c r="JM49" s="215"/>
      <c r="JN49" s="215"/>
      <c r="JO49" s="215"/>
      <c r="JP49" s="215"/>
      <c r="JQ49" s="215"/>
      <c r="JR49" s="215"/>
      <c r="JS49" s="215"/>
      <c r="JT49" s="215"/>
      <c r="JU49" s="215"/>
      <c r="JV49" s="215"/>
      <c r="JW49" s="215"/>
      <c r="JX49" s="215"/>
      <c r="JY49" s="215"/>
      <c r="JZ49" s="215"/>
      <c r="KA49" s="215"/>
      <c r="KB49" s="215"/>
      <c r="KC49" s="172"/>
      <c r="KD49" s="173"/>
      <c r="KE49" s="174"/>
      <c r="KF49" s="174"/>
      <c r="KG49" s="174"/>
      <c r="KH49" s="174"/>
      <c r="KI49" s="174"/>
      <c r="KJ49" s="174"/>
      <c r="KK49" s="174"/>
      <c r="KL49" s="174"/>
      <c r="KM49" s="174"/>
      <c r="KN49" s="174"/>
      <c r="KO49" s="174"/>
      <c r="KP49" s="174"/>
      <c r="KQ49" s="174"/>
      <c r="KR49" s="174"/>
      <c r="KS49" s="174"/>
      <c r="KT49" s="174"/>
      <c r="KU49" s="174"/>
      <c r="KV49" s="174"/>
      <c r="KW49" s="174"/>
    </row>
    <row r="50">
      <c r="A50" s="102" t="s">
        <v>92</v>
      </c>
      <c r="B50" s="106">
        <v>609.0</v>
      </c>
      <c r="C50" s="115"/>
      <c r="D50" s="215"/>
      <c r="E50" s="217">
        <v>1.0</v>
      </c>
      <c r="F50" s="215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96">
        <v>2.0</v>
      </c>
      <c r="T50" s="171"/>
      <c r="U50" s="171"/>
      <c r="V50" s="171"/>
      <c r="W50" s="171"/>
      <c r="X50" s="171"/>
      <c r="Y50" s="171"/>
      <c r="Z50" s="196">
        <v>1.0</v>
      </c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96">
        <v>1.0</v>
      </c>
      <c r="AX50" s="171"/>
      <c r="AY50" s="171"/>
      <c r="AZ50" s="171"/>
      <c r="BA50" s="196">
        <v>1.0</v>
      </c>
      <c r="BB50" s="171"/>
      <c r="BC50" s="171"/>
      <c r="BD50" s="171"/>
      <c r="BE50" s="196">
        <v>1.0</v>
      </c>
      <c r="BF50" s="171"/>
      <c r="BG50" s="171"/>
      <c r="BH50" s="196">
        <v>2.0</v>
      </c>
      <c r="BI50" s="171"/>
      <c r="BJ50" s="171"/>
      <c r="BK50" s="171"/>
      <c r="BL50" s="171"/>
      <c r="BM50" s="171"/>
      <c r="BN50" s="171"/>
      <c r="BO50" s="171"/>
      <c r="BP50" s="171"/>
      <c r="BQ50" s="196">
        <v>1.0</v>
      </c>
      <c r="BR50" s="171"/>
      <c r="BS50" s="171"/>
      <c r="BT50" s="171"/>
      <c r="BU50" s="171"/>
      <c r="BV50" s="196">
        <v>1.0</v>
      </c>
      <c r="BW50" s="171"/>
      <c r="BX50" s="171"/>
      <c r="BY50" s="171"/>
      <c r="BZ50" s="171"/>
      <c r="CA50" s="196">
        <v>1.0</v>
      </c>
      <c r="CB50" s="171"/>
      <c r="CC50" s="171"/>
      <c r="CD50" s="324"/>
      <c r="CE50" s="94">
        <f t="shared" si="1"/>
        <v>12</v>
      </c>
      <c r="CF50" s="173">
        <f t="shared" si="2"/>
        <v>7308</v>
      </c>
      <c r="CH50" s="115"/>
      <c r="CI50" s="215"/>
      <c r="CJ50" s="215"/>
      <c r="CK50" s="215"/>
      <c r="CL50" s="171"/>
      <c r="CM50" s="196">
        <v>2.0</v>
      </c>
      <c r="CN50" s="171"/>
      <c r="CO50" s="171"/>
      <c r="CP50" s="171"/>
      <c r="CQ50" s="171"/>
      <c r="CR50" s="171"/>
      <c r="CS50" s="196">
        <v>1.0</v>
      </c>
      <c r="CT50" s="196">
        <v>1.0</v>
      </c>
      <c r="CU50" s="171"/>
      <c r="CV50" s="171"/>
      <c r="CW50" s="171"/>
      <c r="CX50" s="196">
        <v>1.0</v>
      </c>
      <c r="CY50" s="171"/>
      <c r="CZ50" s="171"/>
      <c r="DA50" s="171"/>
      <c r="DB50" s="171"/>
      <c r="DC50" s="171"/>
      <c r="DD50" s="171"/>
      <c r="DE50" s="196">
        <v>1.0</v>
      </c>
      <c r="DF50" s="171"/>
      <c r="DG50" s="171"/>
      <c r="DH50" s="171"/>
      <c r="DI50" s="171"/>
      <c r="DJ50" s="171"/>
      <c r="DK50" s="171"/>
      <c r="DL50" s="196">
        <v>1.0</v>
      </c>
      <c r="DM50" s="196">
        <v>1.0</v>
      </c>
      <c r="DN50" s="171"/>
      <c r="DO50" s="171"/>
      <c r="DP50" s="171"/>
      <c r="DQ50" s="171"/>
      <c r="DR50" s="171"/>
      <c r="DS50" s="171"/>
      <c r="DT50" s="171"/>
      <c r="DU50" s="171"/>
      <c r="DV50" s="171"/>
      <c r="DW50" s="171"/>
      <c r="DX50" s="171"/>
      <c r="DY50" s="171"/>
      <c r="DZ50" s="171"/>
      <c r="EA50" s="171"/>
      <c r="EB50" s="196">
        <v>3.0</v>
      </c>
      <c r="EC50" s="171"/>
      <c r="ED50" s="195"/>
      <c r="EE50" s="325">
        <v>1.0</v>
      </c>
      <c r="EF50" s="200">
        <f>sum(CH50:EE50)</f>
        <v>12</v>
      </c>
      <c r="EG50" s="173">
        <f t="shared" si="4"/>
        <v>7308</v>
      </c>
      <c r="EH50" s="174"/>
      <c r="EI50" s="104"/>
      <c r="EJ50" s="108"/>
      <c r="EK50" s="108"/>
      <c r="EL50" s="108"/>
      <c r="EM50" s="108"/>
      <c r="EN50" s="108"/>
      <c r="EO50" s="108"/>
      <c r="EP50" s="319"/>
      <c r="EQ50" s="319"/>
      <c r="ER50" s="319"/>
      <c r="ES50" s="319"/>
      <c r="ET50" s="319"/>
      <c r="EU50" s="319"/>
      <c r="EV50" s="319"/>
      <c r="EW50" s="319"/>
      <c r="EX50" s="319"/>
      <c r="EY50" s="319"/>
      <c r="EZ50" s="319"/>
      <c r="FA50" s="319"/>
      <c r="FB50" s="319"/>
      <c r="FC50" s="319"/>
      <c r="FD50" s="319"/>
      <c r="FE50" s="319"/>
      <c r="FF50" s="319"/>
      <c r="FG50" s="319"/>
      <c r="FH50" s="319"/>
      <c r="FI50" s="319"/>
      <c r="FJ50" s="319"/>
      <c r="FK50" s="319"/>
      <c r="FL50" s="319"/>
      <c r="FM50" s="322">
        <v>1.0</v>
      </c>
      <c r="FN50" s="319"/>
      <c r="FO50" s="322">
        <v>2.0</v>
      </c>
      <c r="FP50" s="215"/>
      <c r="FQ50" s="215"/>
      <c r="FR50" s="215"/>
      <c r="FS50" s="215"/>
      <c r="FT50" s="215"/>
      <c r="FU50" s="215"/>
      <c r="FV50" s="215"/>
      <c r="FW50" s="215"/>
      <c r="FX50" s="215"/>
      <c r="FY50" s="215"/>
      <c r="FZ50" s="215"/>
      <c r="GA50" s="215"/>
      <c r="GB50" s="215"/>
      <c r="GC50" s="215"/>
      <c r="GD50" s="217">
        <v>1.0</v>
      </c>
      <c r="GE50" s="217">
        <v>1.0</v>
      </c>
      <c r="GF50" s="215"/>
      <c r="GG50" s="215"/>
      <c r="GH50" s="200">
        <f t="shared" si="5"/>
        <v>5</v>
      </c>
      <c r="GI50" s="173">
        <f t="shared" si="6"/>
        <v>3045</v>
      </c>
      <c r="GJ50" s="174"/>
      <c r="GK50" s="115"/>
      <c r="GL50" s="215"/>
      <c r="GM50" s="215"/>
      <c r="GN50" s="215"/>
      <c r="GO50" s="215"/>
      <c r="GP50" s="215"/>
      <c r="GQ50" s="215"/>
      <c r="GR50" s="215"/>
      <c r="GS50" s="215"/>
      <c r="GT50" s="215"/>
      <c r="GU50" s="215"/>
      <c r="GV50" s="215"/>
      <c r="GW50" s="215"/>
      <c r="GX50" s="215"/>
      <c r="GY50" s="215"/>
      <c r="GZ50" s="215"/>
      <c r="HA50" s="320">
        <v>2.0</v>
      </c>
      <c r="HB50" s="321">
        <v>3.0</v>
      </c>
      <c r="HC50" s="321">
        <v>2.0</v>
      </c>
      <c r="HD50" s="215"/>
      <c r="HE50" s="215"/>
      <c r="HF50" s="215"/>
      <c r="HG50" s="215"/>
      <c r="HH50" s="215"/>
      <c r="HI50" s="321">
        <v>2.0</v>
      </c>
      <c r="HJ50" s="215"/>
      <c r="HK50" s="320">
        <v>1.0</v>
      </c>
      <c r="HL50" s="215"/>
      <c r="HM50" s="215"/>
      <c r="HN50" s="215"/>
      <c r="HO50" s="320">
        <v>1.0</v>
      </c>
      <c r="HP50" s="320">
        <v>2.0</v>
      </c>
      <c r="HQ50" s="215"/>
      <c r="HR50" s="215"/>
      <c r="HS50" s="215"/>
      <c r="HT50" s="215"/>
      <c r="HU50" s="215"/>
      <c r="HV50" s="215"/>
      <c r="HW50" s="215"/>
      <c r="HX50" s="215"/>
      <c r="HY50" s="215"/>
      <c r="HZ50" s="215"/>
      <c r="IA50" s="215"/>
      <c r="IB50" s="215"/>
      <c r="IC50" s="215"/>
      <c r="ID50" s="215"/>
      <c r="IE50" s="215"/>
      <c r="IF50" s="200"/>
      <c r="IG50" s="173"/>
      <c r="IH50" s="174"/>
      <c r="II50" s="329"/>
      <c r="IJ50" s="215"/>
      <c r="IK50" s="215"/>
      <c r="IL50" s="215"/>
      <c r="IM50" s="215"/>
      <c r="IN50" s="215"/>
      <c r="IO50" s="215"/>
      <c r="IP50" s="215"/>
      <c r="IQ50" s="215"/>
      <c r="IR50" s="215"/>
      <c r="IS50" s="321">
        <v>3.0</v>
      </c>
      <c r="IT50" s="215"/>
      <c r="IU50" s="215"/>
      <c r="IV50" s="215"/>
      <c r="IW50" s="215"/>
      <c r="IX50" s="215"/>
      <c r="IY50" s="215"/>
      <c r="IZ50" s="215"/>
      <c r="JA50" s="215"/>
      <c r="JB50" s="215"/>
      <c r="JC50" s="215"/>
      <c r="JD50" s="215"/>
      <c r="JE50" s="215"/>
      <c r="JF50" s="215"/>
      <c r="JG50" s="215"/>
      <c r="JH50" s="215"/>
      <c r="JI50" s="215"/>
      <c r="JJ50" s="215"/>
      <c r="JK50" s="215"/>
      <c r="JL50" s="215"/>
      <c r="JM50" s="215"/>
      <c r="JN50" s="215"/>
      <c r="JO50" s="215"/>
      <c r="JP50" s="215"/>
      <c r="JQ50" s="321">
        <v>1.0</v>
      </c>
      <c r="JR50" s="327"/>
      <c r="JS50" s="327"/>
      <c r="JT50" s="321">
        <v>1.0</v>
      </c>
      <c r="JU50" s="215"/>
      <c r="JV50" s="215"/>
      <c r="JW50" s="215"/>
      <c r="JX50" s="215"/>
      <c r="JY50" s="215"/>
      <c r="JZ50" s="215"/>
      <c r="KA50" s="217">
        <v>1.0</v>
      </c>
      <c r="KB50" s="215"/>
      <c r="KC50" s="172"/>
      <c r="KD50" s="173"/>
      <c r="KE50" s="174"/>
      <c r="KF50" s="174"/>
      <c r="KG50" s="174"/>
      <c r="KH50" s="174"/>
      <c r="KI50" s="174"/>
      <c r="KJ50" s="174"/>
      <c r="KK50" s="174"/>
      <c r="KL50" s="174"/>
      <c r="KM50" s="174"/>
      <c r="KN50" s="174"/>
      <c r="KO50" s="174"/>
      <c r="KP50" s="174"/>
      <c r="KQ50" s="174"/>
      <c r="KR50" s="174"/>
      <c r="KS50" s="174"/>
      <c r="KT50" s="174"/>
      <c r="KU50" s="174"/>
      <c r="KV50" s="174"/>
      <c r="KW50" s="174"/>
    </row>
    <row r="51">
      <c r="A51" s="102" t="s">
        <v>93</v>
      </c>
      <c r="B51" s="93">
        <v>609.0</v>
      </c>
      <c r="C51" s="115"/>
      <c r="D51" s="215"/>
      <c r="E51" s="215"/>
      <c r="F51" s="215"/>
      <c r="G51" s="171"/>
      <c r="H51" s="171"/>
      <c r="I51" s="171"/>
      <c r="J51" s="196">
        <v>1.0</v>
      </c>
      <c r="K51" s="171"/>
      <c r="L51" s="171"/>
      <c r="M51" s="171"/>
      <c r="N51" s="196">
        <v>1.0</v>
      </c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W51" s="171"/>
      <c r="AX51" s="171"/>
      <c r="AY51" s="171"/>
      <c r="AZ51" s="171"/>
      <c r="BA51" s="171"/>
      <c r="BB51" s="171"/>
      <c r="BC51" s="171"/>
      <c r="BD51" s="171"/>
      <c r="BE51" s="171"/>
      <c r="BF51" s="171"/>
      <c r="BG51" s="171"/>
      <c r="BH51" s="171"/>
      <c r="BI51" s="171"/>
      <c r="BJ51" s="171"/>
      <c r="BK51" s="171"/>
      <c r="BL51" s="171"/>
      <c r="BM51" s="171"/>
      <c r="BN51" s="171"/>
      <c r="BO51" s="171"/>
      <c r="BP51" s="171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171"/>
      <c r="CB51" s="196">
        <v>1.0</v>
      </c>
      <c r="CC51" s="171"/>
      <c r="CD51" s="324"/>
      <c r="CE51" s="94">
        <f t="shared" si="1"/>
        <v>3</v>
      </c>
      <c r="CF51" s="173">
        <f t="shared" si="2"/>
        <v>1827</v>
      </c>
      <c r="CH51" s="115"/>
      <c r="CI51" s="215"/>
      <c r="CJ51" s="215"/>
      <c r="CK51" s="215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1"/>
      <c r="DP51" s="171"/>
      <c r="DQ51" s="171"/>
      <c r="DR51" s="171"/>
      <c r="DS51" s="171"/>
      <c r="DT51" s="171"/>
      <c r="DU51" s="171"/>
      <c r="DV51" s="171"/>
      <c r="DW51" s="171"/>
      <c r="DX51" s="171"/>
      <c r="DY51" s="171"/>
      <c r="DZ51" s="171"/>
      <c r="EA51" s="171"/>
      <c r="EB51" s="171"/>
      <c r="EC51" s="171"/>
      <c r="ED51" s="195"/>
      <c r="EE51" s="95"/>
      <c r="EF51" s="200">
        <f t="shared" ref="EF51:EF97" si="8">sum(CH51:ED51)</f>
        <v>0</v>
      </c>
      <c r="EG51" s="173">
        <f t="shared" si="4"/>
        <v>0</v>
      </c>
      <c r="EH51" s="174"/>
      <c r="EI51" s="104"/>
      <c r="EJ51" s="108"/>
      <c r="EK51" s="108"/>
      <c r="EL51" s="108"/>
      <c r="EM51" s="108"/>
      <c r="EN51" s="108"/>
      <c r="EO51" s="108"/>
      <c r="EP51" s="319"/>
      <c r="EQ51" s="319"/>
      <c r="ER51" s="319"/>
      <c r="ES51" s="319"/>
      <c r="ET51" s="319"/>
      <c r="EU51" s="319"/>
      <c r="EV51" s="319"/>
      <c r="EW51" s="319"/>
      <c r="EX51" s="319"/>
      <c r="EY51" s="319"/>
      <c r="EZ51" s="319"/>
      <c r="FA51" s="319"/>
      <c r="FB51" s="319"/>
      <c r="FC51" s="319"/>
      <c r="FD51" s="319"/>
      <c r="FE51" s="319"/>
      <c r="FF51" s="319"/>
      <c r="FG51" s="322">
        <v>1.0</v>
      </c>
      <c r="FH51" s="319"/>
      <c r="FI51" s="319"/>
      <c r="FJ51" s="319"/>
      <c r="FK51" s="319"/>
      <c r="FL51" s="319"/>
      <c r="FM51" s="322">
        <v>1.0</v>
      </c>
      <c r="FN51" s="319"/>
      <c r="FO51" s="319"/>
      <c r="FP51" s="215"/>
      <c r="FQ51" s="215"/>
      <c r="FR51" s="215"/>
      <c r="FS51" s="215"/>
      <c r="FT51" s="215"/>
      <c r="FU51" s="215"/>
      <c r="FV51" s="215"/>
      <c r="FW51" s="215"/>
      <c r="FX51" s="215"/>
      <c r="FY51" s="215"/>
      <c r="FZ51" s="215"/>
      <c r="GA51" s="215"/>
      <c r="GB51" s="215"/>
      <c r="GC51" s="215"/>
      <c r="GD51" s="215"/>
      <c r="GE51" s="215"/>
      <c r="GF51" s="215"/>
      <c r="GG51" s="217">
        <v>1.0</v>
      </c>
      <c r="GH51" s="200">
        <f t="shared" si="5"/>
        <v>3</v>
      </c>
      <c r="GI51" s="173">
        <f t="shared" si="6"/>
        <v>1827</v>
      </c>
      <c r="GJ51" s="174"/>
      <c r="GK51" s="216">
        <v>1.0</v>
      </c>
      <c r="GL51" s="215"/>
      <c r="GM51" s="215"/>
      <c r="GN51" s="215"/>
      <c r="GO51" s="215"/>
      <c r="GP51" s="215"/>
      <c r="GQ51" s="215"/>
      <c r="GR51" s="215"/>
      <c r="GS51" s="215"/>
      <c r="GT51" s="215"/>
      <c r="GU51" s="215"/>
      <c r="GV51" s="215"/>
      <c r="GW51" s="215"/>
      <c r="GX51" s="215"/>
      <c r="GY51" s="215"/>
      <c r="GZ51" s="215"/>
      <c r="HA51" s="215"/>
      <c r="HB51" s="327"/>
      <c r="HC51" s="327"/>
      <c r="HD51" s="215"/>
      <c r="HE51" s="215"/>
      <c r="HF51" s="215"/>
      <c r="HG51" s="215"/>
      <c r="HH51" s="215"/>
      <c r="HI51" s="215"/>
      <c r="HJ51" s="215"/>
      <c r="HK51" s="215"/>
      <c r="HL51" s="320">
        <v>1.0</v>
      </c>
      <c r="HM51" s="215"/>
      <c r="HN51" s="320">
        <v>1.0</v>
      </c>
      <c r="HO51" s="328"/>
      <c r="HP51" s="328"/>
      <c r="HQ51" s="328"/>
      <c r="HR51" s="328"/>
      <c r="HS51" s="328"/>
      <c r="HT51" s="328"/>
      <c r="HU51" s="328"/>
      <c r="HV51" s="328"/>
      <c r="HW51" s="328"/>
      <c r="HX51" s="328"/>
      <c r="HY51" s="328"/>
      <c r="HZ51" s="215"/>
      <c r="IA51" s="215"/>
      <c r="IB51" s="215"/>
      <c r="IC51" s="215"/>
      <c r="ID51" s="215"/>
      <c r="IE51" s="215"/>
      <c r="IF51" s="200"/>
      <c r="IG51" s="173"/>
      <c r="IH51" s="174"/>
      <c r="II51" s="329"/>
      <c r="IJ51" s="215"/>
      <c r="IK51" s="215"/>
      <c r="IL51" s="321">
        <v>2.0</v>
      </c>
      <c r="IM51" s="215"/>
      <c r="IN51" s="215"/>
      <c r="IO51" s="215"/>
      <c r="IP51" s="215"/>
      <c r="IQ51" s="215"/>
      <c r="IR51" s="215"/>
      <c r="IS51" s="215"/>
      <c r="IT51" s="215"/>
      <c r="IU51" s="215"/>
      <c r="IV51" s="215"/>
      <c r="IW51" s="215"/>
      <c r="IX51" s="215"/>
      <c r="IY51" s="215"/>
      <c r="IZ51" s="215"/>
      <c r="JA51" s="215"/>
      <c r="JB51" s="215"/>
      <c r="JC51" s="215"/>
      <c r="JD51" s="215"/>
      <c r="JE51" s="215"/>
      <c r="JF51" s="215"/>
      <c r="JG51" s="215"/>
      <c r="JH51" s="215"/>
      <c r="JI51" s="215"/>
      <c r="JJ51" s="215"/>
      <c r="JK51" s="215"/>
      <c r="JL51" s="215"/>
      <c r="JM51" s="215"/>
      <c r="JN51" s="215"/>
      <c r="JO51" s="215"/>
      <c r="JP51" s="215"/>
      <c r="JQ51" s="215"/>
      <c r="JR51" s="215"/>
      <c r="JS51" s="215"/>
      <c r="JT51" s="215"/>
      <c r="JU51" s="215"/>
      <c r="JV51" s="217">
        <v>1.0</v>
      </c>
      <c r="JW51" s="217"/>
      <c r="JX51" s="215"/>
      <c r="JY51" s="215"/>
      <c r="JZ51" s="215"/>
      <c r="KA51" s="217">
        <v>1.0</v>
      </c>
      <c r="KB51" s="215"/>
      <c r="KC51" s="172"/>
      <c r="KD51" s="173"/>
      <c r="KE51" s="174"/>
      <c r="KF51" s="174"/>
      <c r="KG51" s="174"/>
      <c r="KH51" s="174"/>
      <c r="KI51" s="174"/>
      <c r="KJ51" s="174"/>
      <c r="KK51" s="174"/>
      <c r="KL51" s="174"/>
      <c r="KM51" s="174"/>
      <c r="KN51" s="174"/>
      <c r="KO51" s="174"/>
      <c r="KP51" s="174"/>
      <c r="KQ51" s="174"/>
      <c r="KR51" s="174"/>
      <c r="KS51" s="174"/>
      <c r="KT51" s="174"/>
      <c r="KU51" s="174"/>
      <c r="KV51" s="174"/>
      <c r="KW51" s="174"/>
    </row>
    <row r="52">
      <c r="A52" s="102" t="s">
        <v>94</v>
      </c>
      <c r="B52" s="93">
        <v>329.0</v>
      </c>
      <c r="C52" s="115"/>
      <c r="D52" s="215"/>
      <c r="E52" s="215"/>
      <c r="F52" s="215"/>
      <c r="G52" s="171"/>
      <c r="H52" s="171"/>
      <c r="I52" s="195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171"/>
      <c r="BK52" s="171"/>
      <c r="BL52" s="171"/>
      <c r="BM52" s="171"/>
      <c r="BN52" s="171"/>
      <c r="BO52" s="171"/>
      <c r="BP52" s="171"/>
      <c r="BQ52" s="171"/>
      <c r="BR52" s="171"/>
      <c r="BS52" s="171"/>
      <c r="BT52" s="171"/>
      <c r="BU52" s="171"/>
      <c r="BV52" s="171"/>
      <c r="BW52" s="171"/>
      <c r="BX52" s="171"/>
      <c r="BY52" s="171"/>
      <c r="BZ52" s="171"/>
      <c r="CA52" s="171"/>
      <c r="CB52" s="171"/>
      <c r="CC52" s="171"/>
      <c r="CD52" s="310"/>
      <c r="CE52" s="94">
        <f t="shared" si="1"/>
        <v>0</v>
      </c>
      <c r="CF52" s="173">
        <f t="shared" si="2"/>
        <v>0</v>
      </c>
      <c r="CH52" s="115"/>
      <c r="CI52" s="215"/>
      <c r="CJ52" s="215"/>
      <c r="CK52" s="215"/>
      <c r="CL52" s="171"/>
      <c r="CM52" s="171"/>
      <c r="CN52" s="195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71"/>
      <c r="DL52" s="171"/>
      <c r="DM52" s="171"/>
      <c r="DN52" s="171"/>
      <c r="DO52" s="171"/>
      <c r="DP52" s="171"/>
      <c r="DQ52" s="171"/>
      <c r="DR52" s="171"/>
      <c r="DS52" s="171"/>
      <c r="DT52" s="171"/>
      <c r="DU52" s="171"/>
      <c r="DV52" s="171"/>
      <c r="DW52" s="171"/>
      <c r="DX52" s="171"/>
      <c r="DY52" s="171"/>
      <c r="DZ52" s="171"/>
      <c r="EA52" s="171"/>
      <c r="EB52" s="171"/>
      <c r="EC52" s="171"/>
      <c r="ED52" s="171"/>
      <c r="EE52" s="95"/>
      <c r="EF52" s="200">
        <f t="shared" si="8"/>
        <v>0</v>
      </c>
      <c r="EG52" s="173">
        <f t="shared" si="4"/>
        <v>0</v>
      </c>
      <c r="EH52" s="174"/>
      <c r="EI52" s="104"/>
      <c r="EJ52" s="108"/>
      <c r="EK52" s="108"/>
      <c r="EL52" s="108"/>
      <c r="EM52" s="108"/>
      <c r="EN52" s="108"/>
      <c r="EO52" s="108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215"/>
      <c r="FQ52" s="215"/>
      <c r="FR52" s="215"/>
      <c r="FS52" s="215"/>
      <c r="FT52" s="215"/>
      <c r="FU52" s="215"/>
      <c r="FV52" s="215"/>
      <c r="FW52" s="215"/>
      <c r="FX52" s="215"/>
      <c r="FY52" s="215"/>
      <c r="FZ52" s="215"/>
      <c r="GA52" s="215"/>
      <c r="GB52" s="215"/>
      <c r="GC52" s="215"/>
      <c r="GD52" s="215"/>
      <c r="GE52" s="215"/>
      <c r="GF52" s="215"/>
      <c r="GG52" s="215"/>
      <c r="GH52" s="200">
        <f t="shared" si="5"/>
        <v>0</v>
      </c>
      <c r="GI52" s="173">
        <f t="shared" si="6"/>
        <v>0</v>
      </c>
      <c r="GJ52" s="174"/>
      <c r="GK52" s="115"/>
      <c r="GL52" s="221"/>
      <c r="GM52" s="215"/>
      <c r="GN52" s="215"/>
      <c r="GO52" s="215"/>
      <c r="GP52" s="215"/>
      <c r="GQ52" s="215"/>
      <c r="GR52" s="215"/>
      <c r="GS52" s="215"/>
      <c r="GT52" s="215"/>
      <c r="GU52" s="215"/>
      <c r="GV52" s="215"/>
      <c r="GW52" s="215"/>
      <c r="GX52" s="215"/>
      <c r="GY52" s="215"/>
      <c r="GZ52" s="215"/>
      <c r="HA52" s="215"/>
      <c r="HB52" s="327"/>
      <c r="HC52" s="327"/>
      <c r="HD52" s="215"/>
      <c r="HE52" s="215"/>
      <c r="HF52" s="215"/>
      <c r="HG52" s="215"/>
      <c r="HH52" s="215"/>
      <c r="HI52" s="215"/>
      <c r="HJ52" s="215"/>
      <c r="HK52" s="215"/>
      <c r="HL52" s="215"/>
      <c r="HM52" s="215"/>
      <c r="HN52" s="215"/>
      <c r="HO52" s="215"/>
      <c r="HP52" s="215"/>
      <c r="HQ52" s="215"/>
      <c r="HR52" s="215"/>
      <c r="HS52" s="215"/>
      <c r="HT52" s="215"/>
      <c r="HU52" s="215"/>
      <c r="HV52" s="215"/>
      <c r="HW52" s="215"/>
      <c r="HX52" s="215"/>
      <c r="HY52" s="215"/>
      <c r="HZ52" s="215"/>
      <c r="IA52" s="215"/>
      <c r="IB52" s="215"/>
      <c r="IC52" s="215"/>
      <c r="ID52" s="215"/>
      <c r="IE52" s="215"/>
      <c r="IF52" s="200"/>
      <c r="IG52" s="173"/>
      <c r="IH52" s="174"/>
      <c r="II52" s="329"/>
      <c r="IJ52" s="215"/>
      <c r="IK52" s="215"/>
      <c r="IL52" s="215"/>
      <c r="IM52" s="215"/>
      <c r="IN52" s="215"/>
      <c r="IO52" s="215"/>
      <c r="IP52" s="215"/>
      <c r="IQ52" s="215"/>
      <c r="IR52" s="215"/>
      <c r="IS52" s="215"/>
      <c r="IT52" s="215"/>
      <c r="IU52" s="215"/>
      <c r="IV52" s="215"/>
      <c r="IW52" s="215"/>
      <c r="IX52" s="215"/>
      <c r="IY52" s="215"/>
      <c r="IZ52" s="215"/>
      <c r="JA52" s="215"/>
      <c r="JB52" s="215"/>
      <c r="JC52" s="215"/>
      <c r="JD52" s="215"/>
      <c r="JE52" s="215"/>
      <c r="JF52" s="215"/>
      <c r="JG52" s="215"/>
      <c r="JH52" s="215"/>
      <c r="JI52" s="215"/>
      <c r="JJ52" s="215"/>
      <c r="JK52" s="215"/>
      <c r="JL52" s="215"/>
      <c r="JM52" s="215"/>
      <c r="JN52" s="215"/>
      <c r="JO52" s="215"/>
      <c r="JP52" s="215"/>
      <c r="JQ52" s="215"/>
      <c r="JR52" s="215"/>
      <c r="JS52" s="215"/>
      <c r="JT52" s="215"/>
      <c r="JU52" s="215"/>
      <c r="JV52" s="215"/>
      <c r="JW52" s="215"/>
      <c r="JX52" s="215"/>
      <c r="JY52" s="215"/>
      <c r="JZ52" s="215"/>
      <c r="KA52" s="215"/>
      <c r="KB52" s="215"/>
      <c r="KC52" s="172"/>
      <c r="KD52" s="173"/>
      <c r="KE52" s="174"/>
      <c r="KF52" s="174"/>
      <c r="KG52" s="174"/>
      <c r="KH52" s="174"/>
      <c r="KI52" s="174"/>
      <c r="KJ52" s="174"/>
      <c r="KK52" s="174"/>
      <c r="KL52" s="174"/>
      <c r="KM52" s="174"/>
      <c r="KN52" s="174"/>
      <c r="KO52" s="174"/>
      <c r="KP52" s="174"/>
      <c r="KQ52" s="174"/>
      <c r="KR52" s="174"/>
      <c r="KS52" s="174"/>
      <c r="KT52" s="174"/>
      <c r="KU52" s="174"/>
      <c r="KV52" s="174"/>
      <c r="KW52" s="174"/>
    </row>
    <row r="53">
      <c r="A53" s="102" t="s">
        <v>263</v>
      </c>
      <c r="B53" s="93">
        <v>199.0</v>
      </c>
      <c r="C53" s="115"/>
      <c r="D53" s="215"/>
      <c r="E53" s="215"/>
      <c r="F53" s="215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  <c r="BD53" s="171"/>
      <c r="BE53" s="171"/>
      <c r="BF53" s="171"/>
      <c r="BG53" s="171"/>
      <c r="BH53" s="171"/>
      <c r="BI53" s="171"/>
      <c r="BJ53" s="171"/>
      <c r="BK53" s="171"/>
      <c r="BL53" s="171"/>
      <c r="BM53" s="171"/>
      <c r="BN53" s="171"/>
      <c r="BO53" s="171"/>
      <c r="BP53" s="171"/>
      <c r="BQ53" s="171"/>
      <c r="BR53" s="171"/>
      <c r="BS53" s="171"/>
      <c r="BT53" s="171"/>
      <c r="BU53" s="171"/>
      <c r="BV53" s="171"/>
      <c r="BW53" s="171"/>
      <c r="BX53" s="171"/>
      <c r="BY53" s="171"/>
      <c r="BZ53" s="171"/>
      <c r="CA53" s="171"/>
      <c r="CB53" s="171"/>
      <c r="CC53" s="171"/>
      <c r="CD53" s="310"/>
      <c r="CE53" s="94">
        <f t="shared" si="1"/>
        <v>0</v>
      </c>
      <c r="CF53" s="173">
        <f t="shared" si="2"/>
        <v>0</v>
      </c>
      <c r="CH53" s="115"/>
      <c r="CI53" s="215"/>
      <c r="CJ53" s="215"/>
      <c r="CK53" s="215"/>
      <c r="CL53" s="171"/>
      <c r="CM53" s="171"/>
      <c r="CN53" s="171"/>
      <c r="CO53" s="171"/>
      <c r="CP53" s="171"/>
      <c r="CQ53" s="171"/>
      <c r="CR53" s="171"/>
      <c r="CS53" s="171"/>
      <c r="CT53" s="171"/>
      <c r="CU53" s="171"/>
      <c r="CV53" s="171"/>
      <c r="CW53" s="171"/>
      <c r="CX53" s="171"/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71"/>
      <c r="DL53" s="171"/>
      <c r="DM53" s="171"/>
      <c r="DN53" s="171"/>
      <c r="DO53" s="171"/>
      <c r="DP53" s="171"/>
      <c r="DQ53" s="171"/>
      <c r="DR53" s="171"/>
      <c r="DS53" s="171"/>
      <c r="DT53" s="171"/>
      <c r="DU53" s="171"/>
      <c r="DV53" s="171"/>
      <c r="DW53" s="171"/>
      <c r="DX53" s="171"/>
      <c r="DY53" s="171"/>
      <c r="DZ53" s="171"/>
      <c r="EA53" s="171"/>
      <c r="EB53" s="171"/>
      <c r="EC53" s="171"/>
      <c r="ED53" s="171"/>
      <c r="EE53" s="95"/>
      <c r="EF53" s="200">
        <f t="shared" si="8"/>
        <v>0</v>
      </c>
      <c r="EG53" s="173">
        <f t="shared" si="4"/>
        <v>0</v>
      </c>
      <c r="EH53" s="174"/>
      <c r="EI53" s="104"/>
      <c r="EJ53" s="108"/>
      <c r="EK53" s="108"/>
      <c r="EL53" s="108"/>
      <c r="EM53" s="108"/>
      <c r="EN53" s="108"/>
      <c r="EO53" s="108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215"/>
      <c r="FQ53" s="215"/>
      <c r="FR53" s="215"/>
      <c r="FS53" s="215"/>
      <c r="FT53" s="215"/>
      <c r="FU53" s="215"/>
      <c r="FV53" s="215"/>
      <c r="FW53" s="215"/>
      <c r="FX53" s="215"/>
      <c r="FY53" s="215"/>
      <c r="FZ53" s="215"/>
      <c r="GA53" s="215"/>
      <c r="GB53" s="215"/>
      <c r="GC53" s="215"/>
      <c r="GD53" s="215"/>
      <c r="GE53" s="215"/>
      <c r="GF53" s="215"/>
      <c r="GG53" s="215"/>
      <c r="GH53" s="200">
        <f t="shared" si="5"/>
        <v>0</v>
      </c>
      <c r="GI53" s="173">
        <f t="shared" si="6"/>
        <v>0</v>
      </c>
      <c r="GJ53" s="174"/>
      <c r="GK53" s="222"/>
      <c r="GL53" s="215"/>
      <c r="GM53" s="215"/>
      <c r="GN53" s="215"/>
      <c r="GO53" s="215"/>
      <c r="GP53" s="215"/>
      <c r="GQ53" s="215"/>
      <c r="GR53" s="215"/>
      <c r="GS53" s="215"/>
      <c r="GT53" s="215"/>
      <c r="GU53" s="215"/>
      <c r="GV53" s="215"/>
      <c r="GW53" s="215"/>
      <c r="GX53" s="215"/>
      <c r="GY53" s="215"/>
      <c r="GZ53" s="215"/>
      <c r="HA53" s="215"/>
      <c r="HB53" s="327"/>
      <c r="HC53" s="327"/>
      <c r="HD53" s="215"/>
      <c r="HE53" s="215"/>
      <c r="HF53" s="215"/>
      <c r="HG53" s="215"/>
      <c r="HH53" s="215"/>
      <c r="HI53" s="215"/>
      <c r="HJ53" s="215"/>
      <c r="HK53" s="215"/>
      <c r="HL53" s="215"/>
      <c r="HM53" s="215"/>
      <c r="HN53" s="215"/>
      <c r="HO53" s="215"/>
      <c r="HP53" s="215"/>
      <c r="HQ53" s="215"/>
      <c r="HR53" s="215"/>
      <c r="HS53" s="215"/>
      <c r="HT53" s="215"/>
      <c r="HU53" s="215"/>
      <c r="HV53" s="215"/>
      <c r="HW53" s="215"/>
      <c r="HX53" s="215"/>
      <c r="HY53" s="215"/>
      <c r="HZ53" s="215"/>
      <c r="IA53" s="215"/>
      <c r="IB53" s="215"/>
      <c r="IC53" s="215"/>
      <c r="ID53" s="215"/>
      <c r="IE53" s="215"/>
      <c r="IF53" s="200"/>
      <c r="IG53" s="173"/>
      <c r="IH53" s="174"/>
      <c r="II53" s="329"/>
      <c r="IJ53" s="215"/>
      <c r="IK53" s="215"/>
      <c r="IL53" s="215"/>
      <c r="IM53" s="215"/>
      <c r="IN53" s="215"/>
      <c r="IO53" s="215"/>
      <c r="IP53" s="215"/>
      <c r="IQ53" s="215"/>
      <c r="IR53" s="215"/>
      <c r="IS53" s="215"/>
      <c r="IT53" s="215"/>
      <c r="IU53" s="215"/>
      <c r="IV53" s="215"/>
      <c r="IW53" s="215"/>
      <c r="IX53" s="215"/>
      <c r="IY53" s="215"/>
      <c r="IZ53" s="215"/>
      <c r="JA53" s="215"/>
      <c r="JB53" s="215"/>
      <c r="JC53" s="215"/>
      <c r="JD53" s="215"/>
      <c r="JE53" s="215"/>
      <c r="JF53" s="215"/>
      <c r="JG53" s="215"/>
      <c r="JH53" s="215"/>
      <c r="JI53" s="215"/>
      <c r="JJ53" s="215"/>
      <c r="JK53" s="215"/>
      <c r="JL53" s="215"/>
      <c r="JM53" s="215"/>
      <c r="JN53" s="215"/>
      <c r="JO53" s="215"/>
      <c r="JP53" s="215"/>
      <c r="JQ53" s="215"/>
      <c r="JR53" s="215"/>
      <c r="JS53" s="215"/>
      <c r="JT53" s="215"/>
      <c r="JU53" s="215"/>
      <c r="JV53" s="215"/>
      <c r="JW53" s="215"/>
      <c r="JX53" s="215"/>
      <c r="JY53" s="215"/>
      <c r="JZ53" s="215"/>
      <c r="KA53" s="215"/>
      <c r="KB53" s="215"/>
      <c r="KC53" s="172"/>
      <c r="KD53" s="173"/>
      <c r="KE53" s="174"/>
      <c r="KF53" s="174"/>
      <c r="KG53" s="174"/>
      <c r="KH53" s="174"/>
      <c r="KI53" s="174"/>
      <c r="KJ53" s="174"/>
      <c r="KK53" s="174"/>
      <c r="KL53" s="174"/>
      <c r="KM53" s="174"/>
      <c r="KN53" s="174"/>
      <c r="KO53" s="174"/>
      <c r="KP53" s="174"/>
      <c r="KQ53" s="174"/>
      <c r="KR53" s="174"/>
      <c r="KS53" s="174"/>
      <c r="KT53" s="174"/>
      <c r="KU53" s="174"/>
      <c r="KV53" s="174"/>
      <c r="KW53" s="174"/>
    </row>
    <row r="54">
      <c r="A54" s="102" t="s">
        <v>264</v>
      </c>
      <c r="B54" s="93">
        <v>199.0</v>
      </c>
      <c r="C54" s="115"/>
      <c r="D54" s="215"/>
      <c r="E54" s="215"/>
      <c r="F54" s="215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  <c r="BA54" s="171"/>
      <c r="BB54" s="171"/>
      <c r="BC54" s="171"/>
      <c r="BD54" s="171"/>
      <c r="BE54" s="171"/>
      <c r="BF54" s="171"/>
      <c r="BG54" s="171"/>
      <c r="BH54" s="171"/>
      <c r="BI54" s="171"/>
      <c r="BJ54" s="171"/>
      <c r="BK54" s="171"/>
      <c r="BL54" s="171"/>
      <c r="BM54" s="171"/>
      <c r="BN54" s="171"/>
      <c r="BO54" s="171"/>
      <c r="BP54" s="171"/>
      <c r="BQ54" s="171"/>
      <c r="BR54" s="171"/>
      <c r="BS54" s="171"/>
      <c r="BT54" s="171"/>
      <c r="BU54" s="171"/>
      <c r="BV54" s="171"/>
      <c r="BW54" s="171"/>
      <c r="BX54" s="171"/>
      <c r="BY54" s="171"/>
      <c r="BZ54" s="171"/>
      <c r="CA54" s="171"/>
      <c r="CB54" s="171"/>
      <c r="CC54" s="171"/>
      <c r="CD54" s="310"/>
      <c r="CE54" s="94">
        <f t="shared" si="1"/>
        <v>0</v>
      </c>
      <c r="CF54" s="173">
        <f t="shared" si="2"/>
        <v>0</v>
      </c>
      <c r="CH54" s="115"/>
      <c r="CI54" s="215"/>
      <c r="CJ54" s="215"/>
      <c r="CK54" s="215"/>
      <c r="CL54" s="171"/>
      <c r="CM54" s="171"/>
      <c r="CN54" s="171"/>
      <c r="CO54" s="171"/>
      <c r="CP54" s="171"/>
      <c r="CQ54" s="171"/>
      <c r="CR54" s="171"/>
      <c r="CS54" s="171"/>
      <c r="CT54" s="171"/>
      <c r="CU54" s="171"/>
      <c r="CV54" s="171"/>
      <c r="CW54" s="196">
        <v>1.0</v>
      </c>
      <c r="CX54" s="171"/>
      <c r="CY54" s="171"/>
      <c r="CZ54" s="171"/>
      <c r="DA54" s="171"/>
      <c r="DB54" s="171"/>
      <c r="DC54" s="171"/>
      <c r="DD54" s="171"/>
      <c r="DE54" s="171"/>
      <c r="DF54" s="171"/>
      <c r="DG54" s="171"/>
      <c r="DH54" s="171"/>
      <c r="DI54" s="171"/>
      <c r="DJ54" s="171"/>
      <c r="DK54" s="171"/>
      <c r="DL54" s="171"/>
      <c r="DM54" s="171"/>
      <c r="DN54" s="171"/>
      <c r="DO54" s="171"/>
      <c r="DP54" s="171"/>
      <c r="DQ54" s="171"/>
      <c r="DR54" s="171"/>
      <c r="DS54" s="171"/>
      <c r="DT54" s="171"/>
      <c r="DU54" s="171"/>
      <c r="DV54" s="171"/>
      <c r="DW54" s="171"/>
      <c r="DX54" s="171"/>
      <c r="DY54" s="171"/>
      <c r="DZ54" s="171"/>
      <c r="EA54" s="171"/>
      <c r="EB54" s="171"/>
      <c r="EC54" s="171"/>
      <c r="ED54" s="171"/>
      <c r="EE54" s="95"/>
      <c r="EF54" s="200">
        <f t="shared" si="8"/>
        <v>1</v>
      </c>
      <c r="EG54" s="173">
        <f t="shared" si="4"/>
        <v>199</v>
      </c>
      <c r="EH54" s="174"/>
      <c r="EI54" s="104"/>
      <c r="EJ54" s="108"/>
      <c r="EK54" s="108"/>
      <c r="EL54" s="108"/>
      <c r="EM54" s="108"/>
      <c r="EN54" s="108"/>
      <c r="EO54" s="108"/>
      <c r="EP54" s="319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319"/>
      <c r="FD54" s="319"/>
      <c r="FE54" s="322">
        <v>1.0</v>
      </c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215"/>
      <c r="FQ54" s="215"/>
      <c r="FR54" s="215"/>
      <c r="FS54" s="215"/>
      <c r="FT54" s="215"/>
      <c r="FU54" s="215"/>
      <c r="FV54" s="215"/>
      <c r="FW54" s="215"/>
      <c r="FX54" s="215"/>
      <c r="FY54" s="215"/>
      <c r="FZ54" s="215"/>
      <c r="GA54" s="215"/>
      <c r="GB54" s="215"/>
      <c r="GC54" s="215"/>
      <c r="GD54" s="215"/>
      <c r="GE54" s="215"/>
      <c r="GF54" s="215"/>
      <c r="GG54" s="215"/>
      <c r="GH54" s="200">
        <f t="shared" si="5"/>
        <v>1</v>
      </c>
      <c r="GI54" s="173">
        <f t="shared" si="6"/>
        <v>199</v>
      </c>
      <c r="GJ54" s="174"/>
      <c r="GK54" s="115"/>
      <c r="GL54" s="215"/>
      <c r="GM54" s="215"/>
      <c r="GN54" s="215"/>
      <c r="GO54" s="215"/>
      <c r="GP54" s="215"/>
      <c r="GQ54" s="215"/>
      <c r="GR54" s="215"/>
      <c r="GS54" s="215"/>
      <c r="GT54" s="215"/>
      <c r="GU54" s="215"/>
      <c r="GV54" s="215"/>
      <c r="GW54" s="215"/>
      <c r="GX54" s="215"/>
      <c r="GY54" s="215"/>
      <c r="GZ54" s="215"/>
      <c r="HA54" s="215"/>
      <c r="HB54" s="327"/>
      <c r="HC54" s="327"/>
      <c r="HD54" s="215"/>
      <c r="HE54" s="215"/>
      <c r="HF54" s="215"/>
      <c r="HG54" s="215"/>
      <c r="HH54" s="215"/>
      <c r="HI54" s="215"/>
      <c r="HJ54" s="215"/>
      <c r="HK54" s="215"/>
      <c r="HL54" s="215"/>
      <c r="HM54" s="215"/>
      <c r="HN54" s="215"/>
      <c r="HO54" s="215"/>
      <c r="HP54" s="215"/>
      <c r="HQ54" s="215"/>
      <c r="HR54" s="215"/>
      <c r="HS54" s="215"/>
      <c r="HT54" s="215"/>
      <c r="HU54" s="215"/>
      <c r="HV54" s="215"/>
      <c r="HW54" s="215"/>
      <c r="HX54" s="215"/>
      <c r="HY54" s="215"/>
      <c r="HZ54" s="215"/>
      <c r="IA54" s="215"/>
      <c r="IB54" s="215"/>
      <c r="IC54" s="215"/>
      <c r="ID54" s="215"/>
      <c r="IE54" s="215"/>
      <c r="IF54" s="200"/>
      <c r="IG54" s="173"/>
      <c r="IH54" s="174"/>
      <c r="II54" s="329"/>
      <c r="IJ54" s="215"/>
      <c r="IK54" s="215"/>
      <c r="IL54" s="215"/>
      <c r="IM54" s="215"/>
      <c r="IN54" s="215"/>
      <c r="IO54" s="215"/>
      <c r="IP54" s="215"/>
      <c r="IQ54" s="215"/>
      <c r="IR54" s="215"/>
      <c r="IS54" s="215"/>
      <c r="IT54" s="215"/>
      <c r="IU54" s="215"/>
      <c r="IV54" s="215"/>
      <c r="IW54" s="215"/>
      <c r="IX54" s="215"/>
      <c r="IY54" s="215"/>
      <c r="IZ54" s="215"/>
      <c r="JA54" s="215"/>
      <c r="JB54" s="215"/>
      <c r="JC54" s="215"/>
      <c r="JD54" s="215"/>
      <c r="JE54" s="215"/>
      <c r="JF54" s="215"/>
      <c r="JG54" s="215"/>
      <c r="JH54" s="215"/>
      <c r="JI54" s="215"/>
      <c r="JJ54" s="215"/>
      <c r="JK54" s="215"/>
      <c r="JL54" s="215"/>
      <c r="JM54" s="215"/>
      <c r="JN54" s="215"/>
      <c r="JO54" s="215"/>
      <c r="JP54" s="215"/>
      <c r="JQ54" s="215"/>
      <c r="JR54" s="215"/>
      <c r="JS54" s="215"/>
      <c r="JT54" s="215"/>
      <c r="JU54" s="215"/>
      <c r="JV54" s="215"/>
      <c r="JW54" s="215"/>
      <c r="JX54" s="215"/>
      <c r="JY54" s="215"/>
      <c r="JZ54" s="215"/>
      <c r="KA54" s="215"/>
      <c r="KB54" s="215"/>
      <c r="KC54" s="172"/>
      <c r="KD54" s="173"/>
      <c r="KE54" s="174"/>
      <c r="KF54" s="174"/>
      <c r="KG54" s="174"/>
      <c r="KH54" s="174"/>
      <c r="KI54" s="174"/>
      <c r="KJ54" s="174"/>
      <c r="KK54" s="174"/>
      <c r="KL54" s="174"/>
      <c r="KM54" s="174"/>
      <c r="KN54" s="174"/>
      <c r="KO54" s="174"/>
      <c r="KP54" s="174"/>
      <c r="KQ54" s="174"/>
      <c r="KR54" s="174"/>
      <c r="KS54" s="174"/>
      <c r="KT54" s="174"/>
      <c r="KU54" s="174"/>
      <c r="KV54" s="174"/>
      <c r="KW54" s="174"/>
    </row>
    <row r="55">
      <c r="A55" s="67" t="s">
        <v>97</v>
      </c>
      <c r="B55" s="93">
        <v>599.0</v>
      </c>
      <c r="C55" s="115"/>
      <c r="D55" s="215"/>
      <c r="E55" s="215"/>
      <c r="F55" s="215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  <c r="BM55" s="171"/>
      <c r="BN55" s="171"/>
      <c r="BO55" s="171"/>
      <c r="BP55" s="171"/>
      <c r="BQ55" s="171"/>
      <c r="BR55" s="171"/>
      <c r="BS55" s="171"/>
      <c r="BT55" s="171"/>
      <c r="BU55" s="171"/>
      <c r="BV55" s="171"/>
      <c r="BW55" s="171"/>
      <c r="BX55" s="171"/>
      <c r="BY55" s="171"/>
      <c r="BZ55" s="171"/>
      <c r="CA55" s="171"/>
      <c r="CB55" s="171"/>
      <c r="CC55" s="171"/>
      <c r="CD55" s="310"/>
      <c r="CE55" s="94">
        <f t="shared" si="1"/>
        <v>0</v>
      </c>
      <c r="CF55" s="173">
        <f t="shared" si="2"/>
        <v>0</v>
      </c>
      <c r="CH55" s="115"/>
      <c r="CI55" s="215"/>
      <c r="CJ55" s="215"/>
      <c r="CK55" s="215"/>
      <c r="CL55" s="171"/>
      <c r="CM55" s="171"/>
      <c r="CN55" s="171"/>
      <c r="CO55" s="171"/>
      <c r="CP55" s="171"/>
      <c r="CQ55" s="171"/>
      <c r="CR55" s="171"/>
      <c r="CS55" s="171"/>
      <c r="CT55" s="171"/>
      <c r="CU55" s="171"/>
      <c r="CV55" s="171"/>
      <c r="CW55" s="171"/>
      <c r="CX55" s="171"/>
      <c r="CY55" s="171"/>
      <c r="CZ55" s="171"/>
      <c r="DA55" s="171"/>
      <c r="DB55" s="171"/>
      <c r="DC55" s="171"/>
      <c r="DD55" s="171"/>
      <c r="DE55" s="171"/>
      <c r="DF55" s="171"/>
      <c r="DG55" s="171"/>
      <c r="DH55" s="171"/>
      <c r="DI55" s="171"/>
      <c r="DJ55" s="171"/>
      <c r="DK55" s="171"/>
      <c r="DL55" s="171"/>
      <c r="DM55" s="171"/>
      <c r="DN55" s="171"/>
      <c r="DO55" s="171"/>
      <c r="DP55" s="171"/>
      <c r="DQ55" s="171"/>
      <c r="DR55" s="171"/>
      <c r="DS55" s="171"/>
      <c r="DT55" s="171"/>
      <c r="DU55" s="171"/>
      <c r="DV55" s="171"/>
      <c r="DW55" s="171"/>
      <c r="DX55" s="171"/>
      <c r="DY55" s="171"/>
      <c r="DZ55" s="171"/>
      <c r="EA55" s="171"/>
      <c r="EB55" s="171"/>
      <c r="EC55" s="171"/>
      <c r="ED55" s="171"/>
      <c r="EE55" s="95"/>
      <c r="EF55" s="200">
        <f t="shared" si="8"/>
        <v>0</v>
      </c>
      <c r="EG55" s="173">
        <f t="shared" si="4"/>
        <v>0</v>
      </c>
      <c r="EH55" s="174"/>
      <c r="EI55" s="104"/>
      <c r="EJ55" s="108"/>
      <c r="EK55" s="108"/>
      <c r="EL55" s="108"/>
      <c r="EM55" s="108"/>
      <c r="EN55" s="108"/>
      <c r="EO55" s="108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319"/>
      <c r="FJ55" s="319"/>
      <c r="FK55" s="319"/>
      <c r="FL55" s="319"/>
      <c r="FM55" s="319"/>
      <c r="FN55" s="319"/>
      <c r="FO55" s="319"/>
      <c r="FP55" s="215"/>
      <c r="FQ55" s="215"/>
      <c r="FR55" s="215"/>
      <c r="FS55" s="215"/>
      <c r="FT55" s="215"/>
      <c r="FU55" s="215"/>
      <c r="FV55" s="215"/>
      <c r="FW55" s="215"/>
      <c r="FX55" s="215"/>
      <c r="FY55" s="215"/>
      <c r="FZ55" s="215"/>
      <c r="GA55" s="215"/>
      <c r="GB55" s="215"/>
      <c r="GC55" s="215"/>
      <c r="GD55" s="215"/>
      <c r="GE55" s="215"/>
      <c r="GF55" s="215"/>
      <c r="GG55" s="215"/>
      <c r="GH55" s="200">
        <f t="shared" si="5"/>
        <v>0</v>
      </c>
      <c r="GI55" s="173">
        <f t="shared" si="6"/>
        <v>0</v>
      </c>
      <c r="GJ55" s="174"/>
      <c r="GK55" s="115"/>
      <c r="GL55" s="215"/>
      <c r="GM55" s="215"/>
      <c r="GN55" s="215"/>
      <c r="GO55" s="215"/>
      <c r="GP55" s="215"/>
      <c r="GQ55" s="215"/>
      <c r="GR55" s="215"/>
      <c r="GS55" s="215"/>
      <c r="GT55" s="215"/>
      <c r="GU55" s="215"/>
      <c r="GV55" s="215"/>
      <c r="GW55" s="215"/>
      <c r="GX55" s="215"/>
      <c r="GY55" s="215"/>
      <c r="GZ55" s="215"/>
      <c r="HA55" s="215"/>
      <c r="HB55" s="327"/>
      <c r="HC55" s="327"/>
      <c r="HD55" s="215"/>
      <c r="HE55" s="215"/>
      <c r="HF55" s="215"/>
      <c r="HG55" s="215"/>
      <c r="HH55" s="215"/>
      <c r="HI55" s="215"/>
      <c r="HJ55" s="215"/>
      <c r="HK55" s="215"/>
      <c r="HL55" s="215"/>
      <c r="HM55" s="215"/>
      <c r="HN55" s="215"/>
      <c r="HO55" s="215"/>
      <c r="HP55" s="215"/>
      <c r="HQ55" s="215"/>
      <c r="HR55" s="215"/>
      <c r="HS55" s="215"/>
      <c r="HT55" s="215"/>
      <c r="HU55" s="215"/>
      <c r="HV55" s="215"/>
      <c r="HW55" s="215"/>
      <c r="HX55" s="215"/>
      <c r="HY55" s="215"/>
      <c r="HZ55" s="215"/>
      <c r="IA55" s="215"/>
      <c r="IB55" s="215"/>
      <c r="IC55" s="215"/>
      <c r="ID55" s="215"/>
      <c r="IE55" s="215"/>
      <c r="IF55" s="200"/>
      <c r="IG55" s="173"/>
      <c r="IH55" s="174"/>
      <c r="II55" s="329"/>
      <c r="IJ55" s="215"/>
      <c r="IK55" s="215"/>
      <c r="IL55" s="215"/>
      <c r="IM55" s="215"/>
      <c r="IN55" s="215"/>
      <c r="IO55" s="215"/>
      <c r="IP55" s="215"/>
      <c r="IQ55" s="215"/>
      <c r="IR55" s="215"/>
      <c r="IS55" s="215"/>
      <c r="IT55" s="215"/>
      <c r="IU55" s="215"/>
      <c r="IV55" s="215"/>
      <c r="IW55" s="215"/>
      <c r="IX55" s="215"/>
      <c r="IY55" s="215"/>
      <c r="IZ55" s="215"/>
      <c r="JA55" s="215"/>
      <c r="JB55" s="215"/>
      <c r="JC55" s="215"/>
      <c r="JD55" s="215"/>
      <c r="JE55" s="215"/>
      <c r="JF55" s="215"/>
      <c r="JG55" s="215"/>
      <c r="JH55" s="215"/>
      <c r="JI55" s="215"/>
      <c r="JJ55" s="215"/>
      <c r="JK55" s="215"/>
      <c r="JL55" s="215"/>
      <c r="JM55" s="215"/>
      <c r="JN55" s="215"/>
      <c r="JO55" s="215"/>
      <c r="JP55" s="215"/>
      <c r="JQ55" s="215"/>
      <c r="JR55" s="215"/>
      <c r="JS55" s="215"/>
      <c r="JT55" s="215"/>
      <c r="JU55" s="215"/>
      <c r="JV55" s="215"/>
      <c r="JW55" s="215"/>
      <c r="JX55" s="215"/>
      <c r="JY55" s="215"/>
      <c r="JZ55" s="215"/>
      <c r="KA55" s="215"/>
      <c r="KB55" s="215"/>
      <c r="KC55" s="172"/>
      <c r="KD55" s="173"/>
      <c r="KE55" s="174"/>
      <c r="KF55" s="174"/>
      <c r="KG55" s="174"/>
      <c r="KH55" s="174"/>
      <c r="KI55" s="174"/>
      <c r="KJ55" s="174"/>
      <c r="KK55" s="174"/>
      <c r="KL55" s="174"/>
      <c r="KM55" s="174"/>
      <c r="KN55" s="174"/>
      <c r="KO55" s="174"/>
      <c r="KP55" s="174"/>
      <c r="KQ55" s="174"/>
      <c r="KR55" s="174"/>
      <c r="KS55" s="174"/>
      <c r="KT55" s="174"/>
      <c r="KU55" s="174"/>
      <c r="KV55" s="174"/>
      <c r="KW55" s="174"/>
    </row>
    <row r="56">
      <c r="A56" s="102" t="s">
        <v>98</v>
      </c>
      <c r="B56" s="93">
        <v>1499.0</v>
      </c>
      <c r="C56" s="115"/>
      <c r="D56" s="215"/>
      <c r="E56" s="215"/>
      <c r="F56" s="215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310"/>
      <c r="CE56" s="94">
        <f t="shared" si="1"/>
        <v>0</v>
      </c>
      <c r="CF56" s="173">
        <f t="shared" si="2"/>
        <v>0</v>
      </c>
      <c r="CH56" s="115"/>
      <c r="CI56" s="215"/>
      <c r="CJ56" s="215"/>
      <c r="CK56" s="215"/>
      <c r="CL56" s="171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71"/>
      <c r="DL56" s="171"/>
      <c r="DM56" s="171"/>
      <c r="DN56" s="171"/>
      <c r="DO56" s="171"/>
      <c r="DP56" s="171"/>
      <c r="DQ56" s="171"/>
      <c r="DR56" s="171"/>
      <c r="DS56" s="171"/>
      <c r="DT56" s="171"/>
      <c r="DU56" s="171"/>
      <c r="DV56" s="171"/>
      <c r="DW56" s="171"/>
      <c r="DX56" s="171"/>
      <c r="DY56" s="171"/>
      <c r="DZ56" s="171"/>
      <c r="EA56" s="171"/>
      <c r="EB56" s="171"/>
      <c r="EC56" s="171"/>
      <c r="ED56" s="171"/>
      <c r="EE56" s="95"/>
      <c r="EF56" s="200">
        <f t="shared" si="8"/>
        <v>0</v>
      </c>
      <c r="EG56" s="173">
        <f t="shared" si="4"/>
        <v>0</v>
      </c>
      <c r="EH56" s="174"/>
      <c r="EI56" s="104"/>
      <c r="EJ56" s="108"/>
      <c r="EK56" s="108"/>
      <c r="EL56" s="108"/>
      <c r="EM56" s="108"/>
      <c r="EN56" s="108"/>
      <c r="EO56" s="108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319"/>
      <c r="FJ56" s="319"/>
      <c r="FK56" s="319"/>
      <c r="FL56" s="319"/>
      <c r="FM56" s="319"/>
      <c r="FN56" s="319"/>
      <c r="FO56" s="319"/>
      <c r="FP56" s="215"/>
      <c r="FQ56" s="215"/>
      <c r="FR56" s="215"/>
      <c r="FS56" s="215"/>
      <c r="FT56" s="215"/>
      <c r="FU56" s="215"/>
      <c r="FV56" s="215"/>
      <c r="FW56" s="215"/>
      <c r="FX56" s="215"/>
      <c r="FY56" s="215"/>
      <c r="FZ56" s="215"/>
      <c r="GA56" s="215"/>
      <c r="GB56" s="215"/>
      <c r="GC56" s="215"/>
      <c r="GD56" s="215"/>
      <c r="GE56" s="215"/>
      <c r="GF56" s="215"/>
      <c r="GG56" s="215"/>
      <c r="GH56" s="200">
        <f t="shared" si="5"/>
        <v>0</v>
      </c>
      <c r="GI56" s="173">
        <f t="shared" si="6"/>
        <v>0</v>
      </c>
      <c r="GJ56" s="174"/>
      <c r="GK56" s="115"/>
      <c r="GL56" s="215"/>
      <c r="GM56" s="215"/>
      <c r="GN56" s="215"/>
      <c r="GO56" s="215"/>
      <c r="GP56" s="215"/>
      <c r="GQ56" s="215"/>
      <c r="GR56" s="215"/>
      <c r="GS56" s="215"/>
      <c r="GT56" s="215"/>
      <c r="GU56" s="215"/>
      <c r="GV56" s="215"/>
      <c r="GW56" s="215"/>
      <c r="GX56" s="215"/>
      <c r="GY56" s="215"/>
      <c r="GZ56" s="215"/>
      <c r="HA56" s="215"/>
      <c r="HB56" s="327"/>
      <c r="HC56" s="327"/>
      <c r="HD56" s="215"/>
      <c r="HE56" s="215"/>
      <c r="HF56" s="215"/>
      <c r="HG56" s="215"/>
      <c r="HH56" s="215"/>
      <c r="HI56" s="215"/>
      <c r="HJ56" s="215"/>
      <c r="HK56" s="215"/>
      <c r="HL56" s="215"/>
      <c r="HM56" s="215"/>
      <c r="HN56" s="320">
        <v>1.0</v>
      </c>
      <c r="HO56" s="328"/>
      <c r="HP56" s="328"/>
      <c r="HQ56" s="328"/>
      <c r="HR56" s="328"/>
      <c r="HS56" s="328"/>
      <c r="HT56" s="328"/>
      <c r="HU56" s="328"/>
      <c r="HV56" s="328"/>
      <c r="HW56" s="328"/>
      <c r="HX56" s="328"/>
      <c r="HY56" s="328"/>
      <c r="HZ56" s="215"/>
      <c r="IA56" s="215"/>
      <c r="IB56" s="215"/>
      <c r="IC56" s="215"/>
      <c r="ID56" s="215"/>
      <c r="IE56" s="215"/>
      <c r="IF56" s="200"/>
      <c r="IG56" s="173"/>
      <c r="IH56" s="174"/>
      <c r="II56" s="329"/>
      <c r="IJ56" s="215"/>
      <c r="IK56" s="215"/>
      <c r="IL56" s="215"/>
      <c r="IM56" s="215"/>
      <c r="IN56" s="215"/>
      <c r="IO56" s="215"/>
      <c r="IP56" s="215"/>
      <c r="IQ56" s="215"/>
      <c r="IR56" s="215"/>
      <c r="IS56" s="215"/>
      <c r="IT56" s="215"/>
      <c r="IU56" s="215"/>
      <c r="IV56" s="215"/>
      <c r="IW56" s="215"/>
      <c r="IX56" s="215"/>
      <c r="IY56" s="215"/>
      <c r="IZ56" s="215"/>
      <c r="JA56" s="215"/>
      <c r="JB56" s="215"/>
      <c r="JC56" s="215"/>
      <c r="JD56" s="215"/>
      <c r="JE56" s="215"/>
      <c r="JF56" s="215"/>
      <c r="JG56" s="215"/>
      <c r="JH56" s="215"/>
      <c r="JI56" s="215"/>
      <c r="JJ56" s="215"/>
      <c r="JK56" s="215"/>
      <c r="JL56" s="215"/>
      <c r="JM56" s="215"/>
      <c r="JN56" s="215"/>
      <c r="JO56" s="215"/>
      <c r="JP56" s="215"/>
      <c r="JQ56" s="215"/>
      <c r="JR56" s="215"/>
      <c r="JS56" s="215"/>
      <c r="JT56" s="215"/>
      <c r="JU56" s="215"/>
      <c r="JV56" s="215"/>
      <c r="JW56" s="215"/>
      <c r="JX56" s="215"/>
      <c r="JY56" s="215"/>
      <c r="JZ56" s="215"/>
      <c r="KA56" s="215"/>
      <c r="KB56" s="215"/>
      <c r="KC56" s="172"/>
      <c r="KD56" s="173"/>
      <c r="KE56" s="174"/>
      <c r="KF56" s="174"/>
      <c r="KG56" s="174"/>
      <c r="KH56" s="174"/>
      <c r="KI56" s="174"/>
      <c r="KJ56" s="174"/>
      <c r="KK56" s="174"/>
      <c r="KL56" s="174"/>
      <c r="KM56" s="174"/>
      <c r="KN56" s="174"/>
      <c r="KO56" s="174"/>
      <c r="KP56" s="174"/>
      <c r="KQ56" s="174"/>
      <c r="KR56" s="174"/>
      <c r="KS56" s="174"/>
      <c r="KT56" s="174"/>
      <c r="KU56" s="174"/>
      <c r="KV56" s="174"/>
      <c r="KW56" s="174"/>
    </row>
    <row r="57">
      <c r="A57" s="104"/>
      <c r="B57" s="99"/>
      <c r="C57" s="115"/>
      <c r="D57" s="215"/>
      <c r="E57" s="215"/>
      <c r="F57" s="215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310"/>
      <c r="CE57" s="94">
        <f t="shared" si="1"/>
        <v>0</v>
      </c>
      <c r="CF57" s="173">
        <f t="shared" si="2"/>
        <v>0</v>
      </c>
      <c r="CH57" s="115"/>
      <c r="CI57" s="215"/>
      <c r="CJ57" s="215"/>
      <c r="CK57" s="215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71"/>
      <c r="DL57" s="171"/>
      <c r="DM57" s="171"/>
      <c r="DN57" s="171"/>
      <c r="DO57" s="171"/>
      <c r="DP57" s="171"/>
      <c r="DQ57" s="171"/>
      <c r="DR57" s="171"/>
      <c r="DS57" s="171"/>
      <c r="DT57" s="171"/>
      <c r="DU57" s="171"/>
      <c r="DV57" s="171"/>
      <c r="DW57" s="171"/>
      <c r="DX57" s="171"/>
      <c r="DY57" s="171"/>
      <c r="DZ57" s="171"/>
      <c r="EA57" s="171"/>
      <c r="EB57" s="171"/>
      <c r="EC57" s="171"/>
      <c r="ED57" s="171"/>
      <c r="EE57" s="95"/>
      <c r="EF57" s="200">
        <f t="shared" si="8"/>
        <v>0</v>
      </c>
      <c r="EG57" s="173">
        <f t="shared" si="4"/>
        <v>0</v>
      </c>
      <c r="EH57" s="174"/>
      <c r="EI57" s="104"/>
      <c r="EJ57" s="108"/>
      <c r="EK57" s="108"/>
      <c r="EL57" s="108"/>
      <c r="EM57" s="108"/>
      <c r="EN57" s="108"/>
      <c r="EO57" s="108"/>
      <c r="EP57" s="319"/>
      <c r="EQ57" s="319"/>
      <c r="ER57" s="319"/>
      <c r="ES57" s="319"/>
      <c r="ET57" s="319"/>
      <c r="EU57" s="319"/>
      <c r="EV57" s="319"/>
      <c r="EW57" s="319"/>
      <c r="EX57" s="319"/>
      <c r="EY57" s="319"/>
      <c r="EZ57" s="319"/>
      <c r="FA57" s="319"/>
      <c r="FB57" s="319"/>
      <c r="FC57" s="319"/>
      <c r="FD57" s="319"/>
      <c r="FE57" s="319"/>
      <c r="FF57" s="319"/>
      <c r="FG57" s="319"/>
      <c r="FH57" s="319"/>
      <c r="FI57" s="319"/>
      <c r="FJ57" s="319"/>
      <c r="FK57" s="319"/>
      <c r="FL57" s="319"/>
      <c r="FM57" s="319"/>
      <c r="FN57" s="319"/>
      <c r="FO57" s="319"/>
      <c r="FP57" s="215"/>
      <c r="FQ57" s="215"/>
      <c r="FR57" s="215"/>
      <c r="FS57" s="215"/>
      <c r="FT57" s="215"/>
      <c r="FU57" s="215"/>
      <c r="FV57" s="215"/>
      <c r="FW57" s="215"/>
      <c r="FX57" s="215"/>
      <c r="FY57" s="215"/>
      <c r="FZ57" s="215"/>
      <c r="GA57" s="215"/>
      <c r="GB57" s="215"/>
      <c r="GC57" s="215"/>
      <c r="GD57" s="215"/>
      <c r="GE57" s="215"/>
      <c r="GF57" s="215"/>
      <c r="GG57" s="215"/>
      <c r="GH57" s="200">
        <f t="shared" si="5"/>
        <v>0</v>
      </c>
      <c r="GI57" s="173">
        <f t="shared" si="6"/>
        <v>0</v>
      </c>
      <c r="GJ57" s="174"/>
      <c r="GK57" s="115"/>
      <c r="GL57" s="215"/>
      <c r="GM57" s="215"/>
      <c r="GN57" s="215"/>
      <c r="GO57" s="215"/>
      <c r="GP57" s="215"/>
      <c r="GQ57" s="215"/>
      <c r="GR57" s="215"/>
      <c r="GS57" s="215"/>
      <c r="GT57" s="215"/>
      <c r="GU57" s="215"/>
      <c r="GV57" s="215"/>
      <c r="GW57" s="215"/>
      <c r="GX57" s="215"/>
      <c r="GY57" s="215"/>
      <c r="GZ57" s="215"/>
      <c r="HA57" s="215"/>
      <c r="HB57" s="327"/>
      <c r="HC57" s="327"/>
      <c r="HD57" s="215"/>
      <c r="HE57" s="215"/>
      <c r="HF57" s="215"/>
      <c r="HG57" s="215"/>
      <c r="HH57" s="215"/>
      <c r="HI57" s="215"/>
      <c r="HJ57" s="215"/>
      <c r="HK57" s="215"/>
      <c r="HL57" s="215"/>
      <c r="HM57" s="215"/>
      <c r="HN57" s="215"/>
      <c r="HO57" s="215"/>
      <c r="HP57" s="215"/>
      <c r="HQ57" s="215"/>
      <c r="HR57" s="215"/>
      <c r="HS57" s="215"/>
      <c r="HT57" s="215"/>
      <c r="HU57" s="215"/>
      <c r="HV57" s="215"/>
      <c r="HW57" s="215"/>
      <c r="HX57" s="215"/>
      <c r="HY57" s="215"/>
      <c r="HZ57" s="215"/>
      <c r="IA57" s="215"/>
      <c r="IB57" s="215"/>
      <c r="IC57" s="215"/>
      <c r="ID57" s="215"/>
      <c r="IE57" s="215"/>
      <c r="IF57" s="200"/>
      <c r="IG57" s="173"/>
      <c r="IH57" s="174"/>
      <c r="II57" s="329"/>
      <c r="IJ57" s="215"/>
      <c r="IK57" s="215"/>
      <c r="IL57" s="215"/>
      <c r="IM57" s="215"/>
      <c r="IN57" s="215"/>
      <c r="IO57" s="215"/>
      <c r="IP57" s="215"/>
      <c r="IQ57" s="215"/>
      <c r="IR57" s="215"/>
      <c r="IS57" s="215"/>
      <c r="IT57" s="215"/>
      <c r="IU57" s="215"/>
      <c r="IV57" s="215"/>
      <c r="IW57" s="215"/>
      <c r="IX57" s="215"/>
      <c r="IY57" s="215"/>
      <c r="IZ57" s="215"/>
      <c r="JA57" s="215"/>
      <c r="JB57" s="215"/>
      <c r="JC57" s="215"/>
      <c r="JD57" s="215"/>
      <c r="JE57" s="215"/>
      <c r="JF57" s="215"/>
      <c r="JG57" s="215"/>
      <c r="JH57" s="215"/>
      <c r="JI57" s="215"/>
      <c r="JJ57" s="215"/>
      <c r="JK57" s="215"/>
      <c r="JL57" s="215"/>
      <c r="JM57" s="215"/>
      <c r="JN57" s="215"/>
      <c r="JO57" s="215"/>
      <c r="JP57" s="215"/>
      <c r="JQ57" s="215"/>
      <c r="JR57" s="215"/>
      <c r="JS57" s="215"/>
      <c r="JT57" s="215"/>
      <c r="JU57" s="215"/>
      <c r="JV57" s="215"/>
      <c r="JW57" s="215"/>
      <c r="JX57" s="215"/>
      <c r="JY57" s="215"/>
      <c r="JZ57" s="215"/>
      <c r="KA57" s="215"/>
      <c r="KB57" s="215"/>
      <c r="KC57" s="172"/>
      <c r="KD57" s="173"/>
      <c r="KE57" s="174"/>
      <c r="KF57" s="174"/>
      <c r="KG57" s="174"/>
      <c r="KH57" s="174"/>
      <c r="KI57" s="174"/>
      <c r="KJ57" s="174"/>
      <c r="KK57" s="174"/>
      <c r="KL57" s="174"/>
      <c r="KM57" s="174"/>
      <c r="KN57" s="174"/>
      <c r="KO57" s="174"/>
      <c r="KP57" s="174"/>
      <c r="KQ57" s="174"/>
      <c r="KR57" s="174"/>
      <c r="KS57" s="174"/>
      <c r="KT57" s="174"/>
      <c r="KU57" s="174"/>
      <c r="KV57" s="174"/>
      <c r="KW57" s="174"/>
    </row>
    <row r="58">
      <c r="A58" s="102" t="s">
        <v>99</v>
      </c>
      <c r="B58" s="93">
        <v>329.0</v>
      </c>
      <c r="C58" s="216">
        <v>1.0</v>
      </c>
      <c r="D58" s="215"/>
      <c r="E58" s="215"/>
      <c r="F58" s="215"/>
      <c r="G58" s="171"/>
      <c r="H58" s="171"/>
      <c r="I58" s="195"/>
      <c r="J58" s="171"/>
      <c r="K58" s="196">
        <v>1.0</v>
      </c>
      <c r="L58" s="171"/>
      <c r="M58" s="171"/>
      <c r="N58" s="171"/>
      <c r="O58" s="171"/>
      <c r="P58" s="171"/>
      <c r="Q58" s="171"/>
      <c r="R58" s="196">
        <v>1.0</v>
      </c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96">
        <v>2.0</v>
      </c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96">
        <v>1.0</v>
      </c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310"/>
      <c r="CE58" s="94">
        <f t="shared" si="1"/>
        <v>6</v>
      </c>
      <c r="CF58" s="173">
        <f t="shared" si="2"/>
        <v>1974</v>
      </c>
      <c r="CH58" s="115"/>
      <c r="CI58" s="215"/>
      <c r="CJ58" s="215"/>
      <c r="CK58" s="215"/>
      <c r="CL58" s="171"/>
      <c r="CM58" s="171"/>
      <c r="CN58" s="195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71"/>
      <c r="DL58" s="171"/>
      <c r="DM58" s="171"/>
      <c r="DN58" s="171"/>
      <c r="DO58" s="171"/>
      <c r="DP58" s="196">
        <v>1.0</v>
      </c>
      <c r="DQ58" s="171"/>
      <c r="DR58" s="171"/>
      <c r="DS58" s="171"/>
      <c r="DT58" s="171"/>
      <c r="DU58" s="171"/>
      <c r="DV58" s="171"/>
      <c r="DW58" s="171"/>
      <c r="DX58" s="171"/>
      <c r="DY58" s="171"/>
      <c r="DZ58" s="171"/>
      <c r="EA58" s="171"/>
      <c r="EB58" s="171"/>
      <c r="EC58" s="171"/>
      <c r="ED58" s="171"/>
      <c r="EE58" s="95"/>
      <c r="EF58" s="200">
        <f t="shared" si="8"/>
        <v>1</v>
      </c>
      <c r="EG58" s="173">
        <f t="shared" si="4"/>
        <v>329</v>
      </c>
      <c r="EH58" s="174"/>
      <c r="EI58" s="104"/>
      <c r="EJ58" s="108"/>
      <c r="EK58" s="108"/>
      <c r="EL58" s="108"/>
      <c r="EM58" s="108"/>
      <c r="EN58" s="108"/>
      <c r="EO58" s="108"/>
      <c r="EP58" s="319"/>
      <c r="EQ58" s="319"/>
      <c r="ER58" s="319"/>
      <c r="ES58" s="319"/>
      <c r="ET58" s="319"/>
      <c r="EU58" s="319"/>
      <c r="EV58" s="319"/>
      <c r="EW58" s="319"/>
      <c r="EX58" s="322">
        <v>1.0</v>
      </c>
      <c r="EY58" s="319"/>
      <c r="EZ58" s="319"/>
      <c r="FA58" s="319"/>
      <c r="FB58" s="319"/>
      <c r="FC58" s="319"/>
      <c r="FD58" s="319"/>
      <c r="FE58" s="319"/>
      <c r="FF58" s="319"/>
      <c r="FG58" s="319"/>
      <c r="FH58" s="319"/>
      <c r="FI58" s="319"/>
      <c r="FJ58" s="319"/>
      <c r="FK58" s="319"/>
      <c r="FL58" s="319"/>
      <c r="FM58" s="319"/>
      <c r="FN58" s="319"/>
      <c r="FO58" s="319"/>
      <c r="FP58" s="215"/>
      <c r="FQ58" s="215"/>
      <c r="FR58" s="215"/>
      <c r="FS58" s="215"/>
      <c r="FT58" s="215"/>
      <c r="FU58" s="215"/>
      <c r="FV58" s="215"/>
      <c r="FW58" s="215"/>
      <c r="FX58" s="215"/>
      <c r="FY58" s="215"/>
      <c r="FZ58" s="215"/>
      <c r="GA58" s="215"/>
      <c r="GB58" s="215"/>
      <c r="GC58" s="217">
        <v>1.0</v>
      </c>
      <c r="GD58" s="217"/>
      <c r="GE58" s="217"/>
      <c r="GF58" s="215"/>
      <c r="GG58" s="215"/>
      <c r="GH58" s="200">
        <f t="shared" si="5"/>
        <v>2</v>
      </c>
      <c r="GI58" s="173">
        <f t="shared" si="6"/>
        <v>658</v>
      </c>
      <c r="GJ58" s="174"/>
      <c r="GK58" s="115"/>
      <c r="GL58" s="221"/>
      <c r="GM58" s="215"/>
      <c r="GN58" s="215"/>
      <c r="GO58" s="215"/>
      <c r="GP58" s="215"/>
      <c r="GQ58" s="215"/>
      <c r="GR58" s="320">
        <v>1.0</v>
      </c>
      <c r="GS58" s="215"/>
      <c r="GT58" s="215"/>
      <c r="GU58" s="215"/>
      <c r="GV58" s="320">
        <v>1.0</v>
      </c>
      <c r="GW58" s="215"/>
      <c r="GX58" s="215"/>
      <c r="GY58" s="215"/>
      <c r="GZ58" s="215"/>
      <c r="HA58" s="215"/>
      <c r="HB58" s="327"/>
      <c r="HC58" s="327"/>
      <c r="HD58" s="320">
        <v>1.0</v>
      </c>
      <c r="HE58" s="215"/>
      <c r="HF58" s="215"/>
      <c r="HG58" s="215"/>
      <c r="HH58" s="215"/>
      <c r="HI58" s="215"/>
      <c r="HJ58" s="215"/>
      <c r="HK58" s="215"/>
      <c r="HL58" s="215"/>
      <c r="HM58" s="215"/>
      <c r="HN58" s="215"/>
      <c r="HO58" s="215"/>
      <c r="HP58" s="215"/>
      <c r="HQ58" s="215"/>
      <c r="HR58" s="215"/>
      <c r="HS58" s="215"/>
      <c r="HT58" s="215"/>
      <c r="HU58" s="215"/>
      <c r="HV58" s="215"/>
      <c r="HW58" s="215"/>
      <c r="HX58" s="215"/>
      <c r="HY58" s="215"/>
      <c r="HZ58" s="215"/>
      <c r="IA58" s="215"/>
      <c r="IB58" s="215"/>
      <c r="IC58" s="215"/>
      <c r="ID58" s="215"/>
      <c r="IE58" s="215"/>
      <c r="IF58" s="200"/>
      <c r="IG58" s="173"/>
      <c r="IH58" s="174"/>
      <c r="II58" s="329"/>
      <c r="IJ58" s="215"/>
      <c r="IK58" s="215"/>
      <c r="IL58" s="215"/>
      <c r="IM58" s="215"/>
      <c r="IN58" s="215"/>
      <c r="IO58" s="215"/>
      <c r="IP58" s="215"/>
      <c r="IQ58" s="215"/>
      <c r="IR58" s="215"/>
      <c r="IS58" s="215"/>
      <c r="IT58" s="215"/>
      <c r="IU58" s="215"/>
      <c r="IV58" s="215"/>
      <c r="IW58" s="215"/>
      <c r="IX58" s="215"/>
      <c r="IY58" s="215"/>
      <c r="IZ58" s="215"/>
      <c r="JA58" s="215"/>
      <c r="JB58" s="215"/>
      <c r="JC58" s="215"/>
      <c r="JD58" s="215"/>
      <c r="JE58" s="215"/>
      <c r="JF58" s="321">
        <v>2.0</v>
      </c>
      <c r="JG58" s="215"/>
      <c r="JH58" s="215"/>
      <c r="JI58" s="215"/>
      <c r="JJ58" s="215"/>
      <c r="JK58" s="215"/>
      <c r="JL58" s="215"/>
      <c r="JM58" s="215"/>
      <c r="JN58" s="215"/>
      <c r="JO58" s="215"/>
      <c r="JP58" s="215"/>
      <c r="JQ58" s="215"/>
      <c r="JR58" s="215"/>
      <c r="JS58" s="215"/>
      <c r="JT58" s="215"/>
      <c r="JU58" s="215"/>
      <c r="JV58" s="215"/>
      <c r="JW58" s="215"/>
      <c r="JX58" s="215"/>
      <c r="JY58" s="215"/>
      <c r="JZ58" s="215"/>
      <c r="KA58" s="215"/>
      <c r="KB58" s="215"/>
      <c r="KC58" s="172"/>
      <c r="KD58" s="173"/>
      <c r="KE58" s="174"/>
      <c r="KF58" s="174"/>
      <c r="KG58" s="174"/>
      <c r="KH58" s="174"/>
      <c r="KI58" s="174"/>
      <c r="KJ58" s="174"/>
      <c r="KK58" s="174"/>
      <c r="KL58" s="174"/>
      <c r="KM58" s="174"/>
      <c r="KN58" s="174"/>
      <c r="KO58" s="174"/>
      <c r="KP58" s="174"/>
      <c r="KQ58" s="174"/>
      <c r="KR58" s="174"/>
      <c r="KS58" s="174"/>
      <c r="KT58" s="174"/>
      <c r="KU58" s="174"/>
      <c r="KV58" s="174"/>
      <c r="KW58" s="174"/>
    </row>
    <row r="59">
      <c r="A59" s="102" t="s">
        <v>100</v>
      </c>
      <c r="B59" s="93">
        <v>329.0</v>
      </c>
      <c r="C59" s="115"/>
      <c r="D59" s="215"/>
      <c r="E59" s="215"/>
      <c r="F59" s="215"/>
      <c r="G59" s="171"/>
      <c r="H59" s="171"/>
      <c r="I59" s="195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96">
        <v>1.0</v>
      </c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96">
        <v>1.0</v>
      </c>
      <c r="BV59" s="171"/>
      <c r="BW59" s="171"/>
      <c r="BX59" s="171"/>
      <c r="BY59" s="171"/>
      <c r="BZ59" s="171"/>
      <c r="CA59" s="171"/>
      <c r="CB59" s="171"/>
      <c r="CC59" s="171"/>
      <c r="CD59" s="310"/>
      <c r="CE59" s="94">
        <f t="shared" si="1"/>
        <v>2</v>
      </c>
      <c r="CF59" s="173">
        <f t="shared" si="2"/>
        <v>658</v>
      </c>
      <c r="CH59" s="115"/>
      <c r="CI59" s="215"/>
      <c r="CJ59" s="215"/>
      <c r="CK59" s="215"/>
      <c r="CL59" s="171"/>
      <c r="CM59" s="171"/>
      <c r="CN59" s="195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  <c r="DA59" s="171"/>
      <c r="DB59" s="171"/>
      <c r="DC59" s="171"/>
      <c r="DD59" s="171"/>
      <c r="DE59" s="171"/>
      <c r="DF59" s="171"/>
      <c r="DG59" s="196">
        <v>1.0</v>
      </c>
      <c r="DH59" s="171"/>
      <c r="DI59" s="171"/>
      <c r="DJ59" s="171"/>
      <c r="DK59" s="171"/>
      <c r="DL59" s="171"/>
      <c r="DM59" s="171"/>
      <c r="DN59" s="171"/>
      <c r="DO59" s="171"/>
      <c r="DP59" s="171"/>
      <c r="DQ59" s="171"/>
      <c r="DR59" s="171"/>
      <c r="DS59" s="171"/>
      <c r="DT59" s="171"/>
      <c r="DU59" s="171"/>
      <c r="DV59" s="171"/>
      <c r="DW59" s="171"/>
      <c r="DX59" s="171"/>
      <c r="DY59" s="171"/>
      <c r="DZ59" s="171"/>
      <c r="EA59" s="171"/>
      <c r="EB59" s="171"/>
      <c r="EC59" s="171"/>
      <c r="ED59" s="171"/>
      <c r="EE59" s="95"/>
      <c r="EF59" s="200">
        <f t="shared" si="8"/>
        <v>1</v>
      </c>
      <c r="EG59" s="173">
        <f t="shared" si="4"/>
        <v>329</v>
      </c>
      <c r="EH59" s="174"/>
      <c r="EI59" s="104"/>
      <c r="EJ59" s="108"/>
      <c r="EK59" s="108"/>
      <c r="EL59" s="108"/>
      <c r="EM59" s="108"/>
      <c r="EN59" s="108"/>
      <c r="EO59" s="108"/>
      <c r="EP59" s="319"/>
      <c r="EQ59" s="319"/>
      <c r="ER59" s="319"/>
      <c r="ES59" s="319"/>
      <c r="ET59" s="319"/>
      <c r="EU59" s="319"/>
      <c r="EV59" s="322">
        <v>1.0</v>
      </c>
      <c r="EW59" s="319"/>
      <c r="EX59" s="319"/>
      <c r="EY59" s="322">
        <v>2.0</v>
      </c>
      <c r="EZ59" s="319"/>
      <c r="FA59" s="319"/>
      <c r="FB59" s="319"/>
      <c r="FC59" s="319"/>
      <c r="FD59" s="319"/>
      <c r="FE59" s="319"/>
      <c r="FF59" s="319"/>
      <c r="FG59" s="319"/>
      <c r="FH59" s="319"/>
      <c r="FI59" s="319"/>
      <c r="FJ59" s="319"/>
      <c r="FK59" s="319"/>
      <c r="FL59" s="319"/>
      <c r="FM59" s="319"/>
      <c r="FN59" s="319"/>
      <c r="FO59" s="319"/>
      <c r="FP59" s="217"/>
      <c r="FQ59" s="217"/>
      <c r="FR59" s="217"/>
      <c r="FS59" s="217"/>
      <c r="FT59" s="217"/>
      <c r="FU59" s="217"/>
      <c r="FV59" s="217"/>
      <c r="FW59" s="217"/>
      <c r="FX59" s="217"/>
      <c r="FY59" s="217"/>
      <c r="FZ59" s="217"/>
      <c r="GA59" s="217"/>
      <c r="GB59" s="217"/>
      <c r="GC59" s="217"/>
      <c r="GD59" s="217"/>
      <c r="GE59" s="217"/>
      <c r="GF59" s="217"/>
      <c r="GG59" s="215"/>
      <c r="GH59" s="200">
        <f t="shared" si="5"/>
        <v>3</v>
      </c>
      <c r="GI59" s="173">
        <f t="shared" si="6"/>
        <v>987</v>
      </c>
      <c r="GJ59" s="174"/>
      <c r="GK59" s="115"/>
      <c r="GL59" s="221"/>
      <c r="GM59" s="215"/>
      <c r="GN59" s="215"/>
      <c r="GO59" s="215"/>
      <c r="GP59" s="215"/>
      <c r="GQ59" s="215"/>
      <c r="GR59" s="215"/>
      <c r="GS59" s="215"/>
      <c r="GT59" s="215"/>
      <c r="GU59" s="215"/>
      <c r="GV59" s="215"/>
      <c r="GW59" s="215"/>
      <c r="GX59" s="215"/>
      <c r="GY59" s="215"/>
      <c r="GZ59" s="215"/>
      <c r="HA59" s="215"/>
      <c r="HB59" s="327"/>
      <c r="HC59" s="327"/>
      <c r="HD59" s="215"/>
      <c r="HE59" s="215"/>
      <c r="HF59" s="320">
        <v>1.0</v>
      </c>
      <c r="HG59" s="215"/>
      <c r="HH59" s="215"/>
      <c r="HI59" s="215"/>
      <c r="HJ59" s="215"/>
      <c r="HK59" s="215"/>
      <c r="HL59" s="215"/>
      <c r="HM59" s="215"/>
      <c r="HN59" s="215"/>
      <c r="HO59" s="215"/>
      <c r="HP59" s="215"/>
      <c r="HQ59" s="215"/>
      <c r="HR59" s="215"/>
      <c r="HS59" s="215"/>
      <c r="HT59" s="215"/>
      <c r="HU59" s="215"/>
      <c r="HV59" s="215"/>
      <c r="HW59" s="215"/>
      <c r="HX59" s="215"/>
      <c r="HY59" s="215"/>
      <c r="HZ59" s="215"/>
      <c r="IA59" s="215"/>
      <c r="IB59" s="215"/>
      <c r="IC59" s="215"/>
      <c r="ID59" s="215"/>
      <c r="IE59" s="215"/>
      <c r="IF59" s="200"/>
      <c r="IG59" s="173"/>
      <c r="IH59" s="174"/>
      <c r="II59" s="329"/>
      <c r="IJ59" s="215"/>
      <c r="IK59" s="215"/>
      <c r="IL59" s="215"/>
      <c r="IM59" s="215"/>
      <c r="IN59" s="215"/>
      <c r="IO59" s="215"/>
      <c r="IP59" s="215"/>
      <c r="IQ59" s="215"/>
      <c r="IR59" s="215"/>
      <c r="IS59" s="215"/>
      <c r="IT59" s="215"/>
      <c r="IU59" s="215"/>
      <c r="IV59" s="215"/>
      <c r="IW59" s="215"/>
      <c r="IX59" s="215"/>
      <c r="IY59" s="215"/>
      <c r="IZ59" s="215"/>
      <c r="JA59" s="215"/>
      <c r="JB59" s="215"/>
      <c r="JC59" s="215"/>
      <c r="JD59" s="215"/>
      <c r="JE59" s="215"/>
      <c r="JF59" s="215"/>
      <c r="JG59" s="215"/>
      <c r="JH59" s="215"/>
      <c r="JI59" s="215"/>
      <c r="JJ59" s="215"/>
      <c r="JK59" s="215"/>
      <c r="JL59" s="215"/>
      <c r="JM59" s="215"/>
      <c r="JN59" s="215"/>
      <c r="JO59" s="215"/>
      <c r="JP59" s="215"/>
      <c r="JQ59" s="215"/>
      <c r="JR59" s="215"/>
      <c r="JS59" s="215"/>
      <c r="JT59" s="215"/>
      <c r="JU59" s="215"/>
      <c r="JV59" s="215"/>
      <c r="JW59" s="215"/>
      <c r="JX59" s="215"/>
      <c r="JY59" s="215"/>
      <c r="JZ59" s="215"/>
      <c r="KA59" s="215"/>
      <c r="KB59" s="215"/>
      <c r="KC59" s="172"/>
      <c r="KD59" s="173"/>
      <c r="KE59" s="174"/>
      <c r="KF59" s="174"/>
      <c r="KG59" s="174"/>
      <c r="KH59" s="174"/>
      <c r="KI59" s="174"/>
      <c r="KJ59" s="174"/>
      <c r="KK59" s="174"/>
      <c r="KL59" s="174"/>
      <c r="KM59" s="174"/>
      <c r="KN59" s="174"/>
      <c r="KO59" s="174"/>
      <c r="KP59" s="174"/>
      <c r="KQ59" s="174"/>
      <c r="KR59" s="174"/>
      <c r="KS59" s="174"/>
      <c r="KT59" s="174"/>
      <c r="KU59" s="174"/>
      <c r="KV59" s="174"/>
      <c r="KW59" s="174"/>
    </row>
    <row r="60">
      <c r="A60" s="102" t="s">
        <v>101</v>
      </c>
      <c r="B60" s="93">
        <v>329.0</v>
      </c>
      <c r="C60" s="115"/>
      <c r="D60" s="215"/>
      <c r="E60" s="215"/>
      <c r="F60" s="215"/>
      <c r="G60" s="171"/>
      <c r="H60" s="171"/>
      <c r="I60" s="195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96">
        <v>1.0</v>
      </c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96">
        <v>1.0</v>
      </c>
      <c r="BZ60" s="171"/>
      <c r="CA60" s="171"/>
      <c r="CB60" s="171"/>
      <c r="CC60" s="171"/>
      <c r="CD60" s="310"/>
      <c r="CE60" s="94">
        <f t="shared" si="1"/>
        <v>2</v>
      </c>
      <c r="CF60" s="173">
        <f t="shared" si="2"/>
        <v>658</v>
      </c>
      <c r="CH60" s="115"/>
      <c r="CI60" s="215"/>
      <c r="CJ60" s="215"/>
      <c r="CK60" s="215"/>
      <c r="CL60" s="171"/>
      <c r="CM60" s="171"/>
      <c r="CN60" s="195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  <c r="DA60" s="171"/>
      <c r="DB60" s="171"/>
      <c r="DC60" s="171"/>
      <c r="DD60" s="171"/>
      <c r="DE60" s="171"/>
      <c r="DF60" s="171"/>
      <c r="DG60" s="171"/>
      <c r="DH60" s="171"/>
      <c r="DI60" s="171"/>
      <c r="DJ60" s="171"/>
      <c r="DK60" s="171"/>
      <c r="DL60" s="171"/>
      <c r="DM60" s="171"/>
      <c r="DN60" s="171"/>
      <c r="DO60" s="171"/>
      <c r="DP60" s="171"/>
      <c r="DQ60" s="171"/>
      <c r="DR60" s="171"/>
      <c r="DS60" s="171"/>
      <c r="DT60" s="171"/>
      <c r="DU60" s="171"/>
      <c r="DV60" s="171"/>
      <c r="DW60" s="171"/>
      <c r="DX60" s="171"/>
      <c r="DY60" s="171"/>
      <c r="DZ60" s="171"/>
      <c r="EA60" s="171"/>
      <c r="EB60" s="171"/>
      <c r="EC60" s="171"/>
      <c r="ED60" s="171"/>
      <c r="EE60" s="95"/>
      <c r="EF60" s="200">
        <f t="shared" si="8"/>
        <v>0</v>
      </c>
      <c r="EG60" s="173">
        <f t="shared" si="4"/>
        <v>0</v>
      </c>
      <c r="EH60" s="174"/>
      <c r="EI60" s="104"/>
      <c r="EJ60" s="108"/>
      <c r="EK60" s="108"/>
      <c r="EL60" s="108"/>
      <c r="EM60" s="108"/>
      <c r="EN60" s="108"/>
      <c r="EO60" s="108"/>
      <c r="EP60" s="319"/>
      <c r="EQ60" s="319"/>
      <c r="ER60" s="319"/>
      <c r="ES60" s="319"/>
      <c r="ET60" s="319"/>
      <c r="EU60" s="319"/>
      <c r="EV60" s="319"/>
      <c r="EW60" s="319"/>
      <c r="EX60" s="319"/>
      <c r="EY60" s="319"/>
      <c r="EZ60" s="319"/>
      <c r="FA60" s="319"/>
      <c r="FB60" s="319"/>
      <c r="FC60" s="319"/>
      <c r="FD60" s="319"/>
      <c r="FE60" s="319"/>
      <c r="FF60" s="319"/>
      <c r="FG60" s="319"/>
      <c r="FH60" s="319"/>
      <c r="FI60" s="319"/>
      <c r="FJ60" s="319"/>
      <c r="FK60" s="319"/>
      <c r="FL60" s="319"/>
      <c r="FM60" s="319"/>
      <c r="FN60" s="319"/>
      <c r="FO60" s="319"/>
      <c r="FP60" s="217"/>
      <c r="FQ60" s="217"/>
      <c r="FR60" s="217"/>
      <c r="FS60" s="217">
        <v>1.0</v>
      </c>
      <c r="FT60" s="217"/>
      <c r="FU60" s="217"/>
      <c r="FV60" s="217"/>
      <c r="FW60" s="217"/>
      <c r="FX60" s="217"/>
      <c r="FY60" s="217"/>
      <c r="FZ60" s="217"/>
      <c r="GA60" s="217"/>
      <c r="GB60" s="217"/>
      <c r="GC60" s="217"/>
      <c r="GD60" s="217"/>
      <c r="GE60" s="217"/>
      <c r="GF60" s="217"/>
      <c r="GG60" s="215"/>
      <c r="GH60" s="200">
        <f t="shared" si="5"/>
        <v>1</v>
      </c>
      <c r="GI60" s="173">
        <f t="shared" si="6"/>
        <v>329</v>
      </c>
      <c r="GJ60" s="174"/>
      <c r="GK60" s="115"/>
      <c r="GL60" s="215"/>
      <c r="GM60" s="215"/>
      <c r="GN60" s="215"/>
      <c r="GO60" s="215"/>
      <c r="GP60" s="215"/>
      <c r="GQ60" s="215"/>
      <c r="GR60" s="215"/>
      <c r="GS60" s="215"/>
      <c r="GT60" s="215"/>
      <c r="GU60" s="215"/>
      <c r="GV60" s="215"/>
      <c r="GW60" s="215"/>
      <c r="GX60" s="320">
        <v>1.0</v>
      </c>
      <c r="GY60" s="215"/>
      <c r="GZ60" s="215"/>
      <c r="HA60" s="215"/>
      <c r="HB60" s="327"/>
      <c r="HC60" s="327"/>
      <c r="HD60" s="215"/>
      <c r="HE60" s="215"/>
      <c r="HF60" s="215"/>
      <c r="HG60" s="215"/>
      <c r="HH60" s="215"/>
      <c r="HI60" s="215"/>
      <c r="HJ60" s="215"/>
      <c r="HK60" s="215"/>
      <c r="HL60" s="215"/>
      <c r="HM60" s="215"/>
      <c r="HN60" s="215"/>
      <c r="HO60" s="215"/>
      <c r="HP60" s="215"/>
      <c r="HQ60" s="215"/>
      <c r="HR60" s="215"/>
      <c r="HS60" s="215"/>
      <c r="HT60" s="215"/>
      <c r="HU60" s="215"/>
      <c r="HV60" s="215"/>
      <c r="HW60" s="215"/>
      <c r="HX60" s="217">
        <v>1.0</v>
      </c>
      <c r="HY60" s="215"/>
      <c r="HZ60" s="215"/>
      <c r="IA60" s="215"/>
      <c r="IB60" s="215"/>
      <c r="IC60" s="215"/>
      <c r="ID60" s="215"/>
      <c r="IE60" s="215"/>
      <c r="IF60" s="200"/>
      <c r="IG60" s="173"/>
      <c r="IH60" s="174"/>
      <c r="II60" s="329"/>
      <c r="IJ60" s="215"/>
      <c r="IK60" s="215"/>
      <c r="IL60" s="215"/>
      <c r="IM60" s="215"/>
      <c r="IN60" s="215"/>
      <c r="IO60" s="215"/>
      <c r="IP60" s="215"/>
      <c r="IQ60" s="215"/>
      <c r="IR60" s="215"/>
      <c r="IS60" s="215"/>
      <c r="IT60" s="321">
        <v>1.0</v>
      </c>
      <c r="IU60" s="321">
        <v>1.0</v>
      </c>
      <c r="IV60" s="215"/>
      <c r="IW60" s="215"/>
      <c r="IX60" s="215"/>
      <c r="IY60" s="321">
        <v>1.0</v>
      </c>
      <c r="IZ60" s="215"/>
      <c r="JA60" s="215"/>
      <c r="JB60" s="215"/>
      <c r="JC60" s="215"/>
      <c r="JD60" s="215"/>
      <c r="JE60" s="215"/>
      <c r="JF60" s="215"/>
      <c r="JG60" s="215"/>
      <c r="JH60" s="215"/>
      <c r="JI60" s="215"/>
      <c r="JJ60" s="215"/>
      <c r="JK60" s="215"/>
      <c r="JL60" s="215"/>
      <c r="JM60" s="215"/>
      <c r="JN60" s="215"/>
      <c r="JO60" s="217">
        <v>1.0</v>
      </c>
      <c r="JP60" s="215"/>
      <c r="JQ60" s="215"/>
      <c r="JR60" s="215"/>
      <c r="JS60" s="215"/>
      <c r="JT60" s="215"/>
      <c r="JU60" s="215"/>
      <c r="JV60" s="215"/>
      <c r="JW60" s="215"/>
      <c r="JX60" s="215"/>
      <c r="JY60" s="215"/>
      <c r="JZ60" s="215"/>
      <c r="KA60" s="215"/>
      <c r="KB60" s="215"/>
      <c r="KC60" s="172"/>
      <c r="KD60" s="173"/>
      <c r="KE60" s="174"/>
      <c r="KF60" s="174"/>
      <c r="KG60" s="174"/>
      <c r="KH60" s="174"/>
      <c r="KI60" s="174"/>
      <c r="KJ60" s="174"/>
      <c r="KK60" s="174"/>
      <c r="KL60" s="174"/>
      <c r="KM60" s="174"/>
      <c r="KN60" s="174"/>
      <c r="KO60" s="174"/>
      <c r="KP60" s="174"/>
      <c r="KQ60" s="174"/>
      <c r="KR60" s="174"/>
      <c r="KS60" s="174"/>
      <c r="KT60" s="174"/>
      <c r="KU60" s="174"/>
      <c r="KV60" s="174"/>
      <c r="KW60" s="174"/>
    </row>
    <row r="61">
      <c r="A61" s="102" t="s">
        <v>102</v>
      </c>
      <c r="B61" s="93">
        <v>249.0</v>
      </c>
      <c r="C61" s="115"/>
      <c r="D61" s="215"/>
      <c r="E61" s="215"/>
      <c r="F61" s="215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310"/>
      <c r="CE61" s="94">
        <f t="shared" si="1"/>
        <v>0</v>
      </c>
      <c r="CF61" s="173">
        <f t="shared" si="2"/>
        <v>0</v>
      </c>
      <c r="CH61" s="115"/>
      <c r="CI61" s="215"/>
      <c r="CJ61" s="215"/>
      <c r="CK61" s="215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  <c r="DA61" s="171"/>
      <c r="DB61" s="171"/>
      <c r="DC61" s="171"/>
      <c r="DD61" s="171"/>
      <c r="DE61" s="171"/>
      <c r="DF61" s="171"/>
      <c r="DG61" s="171"/>
      <c r="DH61" s="171"/>
      <c r="DI61" s="171"/>
      <c r="DJ61" s="171"/>
      <c r="DK61" s="171"/>
      <c r="DL61" s="171"/>
      <c r="DM61" s="171"/>
      <c r="DN61" s="171"/>
      <c r="DO61" s="171"/>
      <c r="DP61" s="171"/>
      <c r="DQ61" s="171"/>
      <c r="DR61" s="171"/>
      <c r="DS61" s="171"/>
      <c r="DT61" s="171"/>
      <c r="DU61" s="171"/>
      <c r="DV61" s="171"/>
      <c r="DW61" s="171"/>
      <c r="DX61" s="171"/>
      <c r="DY61" s="171"/>
      <c r="DZ61" s="171"/>
      <c r="EA61" s="171"/>
      <c r="EB61" s="171"/>
      <c r="EC61" s="171"/>
      <c r="ED61" s="171"/>
      <c r="EE61" s="95"/>
      <c r="EF61" s="200">
        <f t="shared" si="8"/>
        <v>0</v>
      </c>
      <c r="EG61" s="173">
        <f t="shared" si="4"/>
        <v>0</v>
      </c>
      <c r="EH61" s="174"/>
      <c r="EI61" s="104"/>
      <c r="EJ61" s="108"/>
      <c r="EK61" s="108"/>
      <c r="EL61" s="108"/>
      <c r="EM61" s="108"/>
      <c r="EN61" s="108"/>
      <c r="EO61" s="108"/>
      <c r="EP61" s="319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319"/>
      <c r="FD61" s="319"/>
      <c r="FE61" s="319"/>
      <c r="FF61" s="322">
        <v>1.0</v>
      </c>
      <c r="FG61" s="319"/>
      <c r="FH61" s="319"/>
      <c r="FI61" s="319"/>
      <c r="FJ61" s="319"/>
      <c r="FK61" s="319"/>
      <c r="FL61" s="319"/>
      <c r="FM61" s="319"/>
      <c r="FN61" s="319"/>
      <c r="FO61" s="319"/>
      <c r="FP61" s="215"/>
      <c r="FQ61" s="215"/>
      <c r="FR61" s="215"/>
      <c r="FS61" s="215"/>
      <c r="FT61" s="215"/>
      <c r="FU61" s="215"/>
      <c r="FV61" s="215"/>
      <c r="FW61" s="215"/>
      <c r="FX61" s="215"/>
      <c r="FY61" s="215"/>
      <c r="FZ61" s="215"/>
      <c r="GA61" s="215"/>
      <c r="GB61" s="215"/>
      <c r="GC61" s="215"/>
      <c r="GD61" s="215"/>
      <c r="GE61" s="215"/>
      <c r="GF61" s="215"/>
      <c r="GG61" s="215"/>
      <c r="GH61" s="200">
        <f t="shared" si="5"/>
        <v>1</v>
      </c>
      <c r="GI61" s="173">
        <f t="shared" si="6"/>
        <v>249</v>
      </c>
      <c r="GJ61" s="174"/>
      <c r="GK61" s="115"/>
      <c r="GL61" s="215"/>
      <c r="GM61" s="215"/>
      <c r="GN61" s="215"/>
      <c r="GO61" s="215"/>
      <c r="GP61" s="215"/>
      <c r="GQ61" s="215"/>
      <c r="GR61" s="215"/>
      <c r="GS61" s="215"/>
      <c r="GT61" s="215"/>
      <c r="GU61" s="215"/>
      <c r="GV61" s="215"/>
      <c r="GW61" s="215"/>
      <c r="GX61" s="215"/>
      <c r="GY61" s="215"/>
      <c r="GZ61" s="215"/>
      <c r="HA61" s="215"/>
      <c r="HB61" s="327"/>
      <c r="HC61" s="327"/>
      <c r="HD61" s="215"/>
      <c r="HE61" s="215"/>
      <c r="HF61" s="215"/>
      <c r="HG61" s="215"/>
      <c r="HH61" s="215"/>
      <c r="HI61" s="215"/>
      <c r="HJ61" s="215"/>
      <c r="HK61" s="215"/>
      <c r="HL61" s="215"/>
      <c r="HM61" s="215"/>
      <c r="HN61" s="215"/>
      <c r="HO61" s="215"/>
      <c r="HP61" s="215"/>
      <c r="HQ61" s="215"/>
      <c r="HR61" s="215"/>
      <c r="HS61" s="215"/>
      <c r="HT61" s="215"/>
      <c r="HU61" s="215"/>
      <c r="HV61" s="215"/>
      <c r="HW61" s="215"/>
      <c r="HX61" s="215"/>
      <c r="HY61" s="215"/>
      <c r="HZ61" s="215"/>
      <c r="IA61" s="215"/>
      <c r="IB61" s="215"/>
      <c r="IC61" s="215"/>
      <c r="ID61" s="217">
        <v>1.0</v>
      </c>
      <c r="IE61" s="215"/>
      <c r="IF61" s="200"/>
      <c r="IG61" s="173"/>
      <c r="IH61" s="174"/>
      <c r="II61" s="329"/>
      <c r="IJ61" s="215"/>
      <c r="IK61" s="215"/>
      <c r="IL61" s="215"/>
      <c r="IM61" s="215"/>
      <c r="IN61" s="215"/>
      <c r="IO61" s="215"/>
      <c r="IP61" s="215"/>
      <c r="IQ61" s="215"/>
      <c r="IR61" s="215"/>
      <c r="IS61" s="215"/>
      <c r="IT61" s="215"/>
      <c r="IU61" s="215"/>
      <c r="IV61" s="215"/>
      <c r="IW61" s="215"/>
      <c r="IX61" s="215"/>
      <c r="IY61" s="215"/>
      <c r="IZ61" s="215"/>
      <c r="JA61" s="215"/>
      <c r="JB61" s="215"/>
      <c r="JC61" s="215"/>
      <c r="JD61" s="215"/>
      <c r="JE61" s="321">
        <v>1.0</v>
      </c>
      <c r="JF61" s="215"/>
      <c r="JG61" s="215"/>
      <c r="JH61" s="215"/>
      <c r="JI61" s="215"/>
      <c r="JJ61" s="215"/>
      <c r="JK61" s="215"/>
      <c r="JL61" s="215"/>
      <c r="JM61" s="215"/>
      <c r="JN61" s="215"/>
      <c r="JO61" s="215"/>
      <c r="JP61" s="215"/>
      <c r="JQ61" s="215"/>
      <c r="JR61" s="215"/>
      <c r="JS61" s="215"/>
      <c r="JT61" s="215"/>
      <c r="JU61" s="215"/>
      <c r="JV61" s="215"/>
      <c r="JW61" s="215"/>
      <c r="JX61" s="215"/>
      <c r="JY61" s="215"/>
      <c r="JZ61" s="215"/>
      <c r="KA61" s="215"/>
      <c r="KB61" s="215"/>
      <c r="KC61" s="172"/>
      <c r="KD61" s="173"/>
      <c r="KE61" s="174"/>
      <c r="KF61" s="174"/>
      <c r="KG61" s="174"/>
      <c r="KH61" s="174"/>
      <c r="KI61" s="174"/>
      <c r="KJ61" s="174"/>
      <c r="KK61" s="174"/>
      <c r="KL61" s="174"/>
      <c r="KM61" s="174"/>
      <c r="KN61" s="174"/>
      <c r="KO61" s="174"/>
      <c r="KP61" s="174"/>
      <c r="KQ61" s="174"/>
      <c r="KR61" s="174"/>
      <c r="KS61" s="174"/>
      <c r="KT61" s="174"/>
      <c r="KU61" s="174"/>
      <c r="KV61" s="174"/>
      <c r="KW61" s="174"/>
    </row>
    <row r="62">
      <c r="A62" s="102" t="s">
        <v>103</v>
      </c>
      <c r="B62" s="93">
        <v>439.0</v>
      </c>
      <c r="C62" s="115"/>
      <c r="D62" s="200"/>
      <c r="E62" s="215"/>
      <c r="F62" s="215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310"/>
      <c r="CE62" s="94">
        <f t="shared" si="1"/>
        <v>0</v>
      </c>
      <c r="CF62" s="173">
        <f t="shared" si="2"/>
        <v>0</v>
      </c>
      <c r="CH62" s="115"/>
      <c r="CI62" s="200"/>
      <c r="CJ62" s="215"/>
      <c r="CK62" s="215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  <c r="DA62" s="171"/>
      <c r="DB62" s="171"/>
      <c r="DC62" s="171"/>
      <c r="DD62" s="171"/>
      <c r="DE62" s="171"/>
      <c r="DF62" s="171"/>
      <c r="DG62" s="171"/>
      <c r="DH62" s="171"/>
      <c r="DI62" s="171"/>
      <c r="DJ62" s="171"/>
      <c r="DK62" s="171"/>
      <c r="DL62" s="171"/>
      <c r="DM62" s="171"/>
      <c r="DN62" s="171"/>
      <c r="DO62" s="171"/>
      <c r="DP62" s="171"/>
      <c r="DQ62" s="171"/>
      <c r="DR62" s="171"/>
      <c r="DS62" s="171"/>
      <c r="DT62" s="171"/>
      <c r="DU62" s="171"/>
      <c r="DV62" s="171"/>
      <c r="DW62" s="171"/>
      <c r="DX62" s="171"/>
      <c r="DY62" s="171"/>
      <c r="DZ62" s="171"/>
      <c r="EA62" s="171"/>
      <c r="EB62" s="171"/>
      <c r="EC62" s="171"/>
      <c r="ED62" s="171"/>
      <c r="EE62" s="95"/>
      <c r="EF62" s="200">
        <f t="shared" si="8"/>
        <v>0</v>
      </c>
      <c r="EG62" s="173">
        <f t="shared" si="4"/>
        <v>0</v>
      </c>
      <c r="EH62" s="174"/>
      <c r="EI62" s="104"/>
      <c r="EJ62" s="108"/>
      <c r="EK62" s="108"/>
      <c r="EL62" s="108"/>
      <c r="EM62" s="108"/>
      <c r="EN62" s="108"/>
      <c r="EO62" s="108"/>
      <c r="EP62" s="319"/>
      <c r="EQ62" s="319"/>
      <c r="ER62" s="319"/>
      <c r="ES62" s="319"/>
      <c r="ET62" s="319"/>
      <c r="EU62" s="319"/>
      <c r="EV62" s="319"/>
      <c r="EW62" s="319"/>
      <c r="EX62" s="319"/>
      <c r="EY62" s="319"/>
      <c r="EZ62" s="319"/>
      <c r="FA62" s="319"/>
      <c r="FB62" s="319"/>
      <c r="FC62" s="319"/>
      <c r="FD62" s="319"/>
      <c r="FE62" s="319"/>
      <c r="FF62" s="319"/>
      <c r="FG62" s="319"/>
      <c r="FH62" s="319"/>
      <c r="FI62" s="319"/>
      <c r="FJ62" s="319"/>
      <c r="FK62" s="319"/>
      <c r="FL62" s="319"/>
      <c r="FM62" s="319"/>
      <c r="FN62" s="319"/>
      <c r="FO62" s="319"/>
      <c r="FP62" s="200"/>
      <c r="FQ62" s="200"/>
      <c r="FR62" s="200"/>
      <c r="FS62" s="200"/>
      <c r="FT62" s="200"/>
      <c r="FU62" s="200"/>
      <c r="FV62" s="200"/>
      <c r="FW62" s="200"/>
      <c r="FX62" s="200"/>
      <c r="FY62" s="200"/>
      <c r="FZ62" s="200"/>
      <c r="GA62" s="200"/>
      <c r="GB62" s="200"/>
      <c r="GC62" s="200"/>
      <c r="GD62" s="200"/>
      <c r="GE62" s="200"/>
      <c r="GF62" s="200"/>
      <c r="GG62" s="215"/>
      <c r="GH62" s="200">
        <f t="shared" si="5"/>
        <v>0</v>
      </c>
      <c r="GI62" s="173">
        <f t="shared" si="6"/>
        <v>0</v>
      </c>
      <c r="GJ62" s="174"/>
      <c r="GK62" s="115"/>
      <c r="GL62" s="215"/>
      <c r="GM62" s="215"/>
      <c r="GN62" s="215"/>
      <c r="GO62" s="215"/>
      <c r="GP62" s="215"/>
      <c r="GQ62" s="215"/>
      <c r="GR62" s="215"/>
      <c r="GS62" s="215"/>
      <c r="GT62" s="215"/>
      <c r="GU62" s="215"/>
      <c r="GV62" s="215"/>
      <c r="GW62" s="215"/>
      <c r="GX62" s="215"/>
      <c r="GY62" s="215"/>
      <c r="GZ62" s="215"/>
      <c r="HA62" s="215"/>
      <c r="HB62" s="327"/>
      <c r="HC62" s="327"/>
      <c r="HD62" s="215"/>
      <c r="HE62" s="215"/>
      <c r="HF62" s="215"/>
      <c r="HG62" s="215"/>
      <c r="HH62" s="215"/>
      <c r="HI62" s="215"/>
      <c r="HJ62" s="215"/>
      <c r="HK62" s="215"/>
      <c r="HL62" s="215"/>
      <c r="HM62" s="215"/>
      <c r="HN62" s="215"/>
      <c r="HO62" s="215"/>
      <c r="HP62" s="215"/>
      <c r="HQ62" s="215"/>
      <c r="HR62" s="215"/>
      <c r="HS62" s="215"/>
      <c r="HT62" s="215"/>
      <c r="HU62" s="215"/>
      <c r="HV62" s="215"/>
      <c r="HW62" s="215"/>
      <c r="HX62" s="215"/>
      <c r="HY62" s="215"/>
      <c r="HZ62" s="215"/>
      <c r="IA62" s="215"/>
      <c r="IB62" s="215"/>
      <c r="IC62" s="215"/>
      <c r="ID62" s="215"/>
      <c r="IE62" s="215"/>
      <c r="IF62" s="200"/>
      <c r="IG62" s="173"/>
      <c r="IH62" s="174"/>
      <c r="II62" s="329"/>
      <c r="IJ62" s="200"/>
      <c r="IK62" s="200"/>
      <c r="IL62" s="200"/>
      <c r="IM62" s="200"/>
      <c r="IN62" s="200"/>
      <c r="IO62" s="200"/>
      <c r="IP62" s="200"/>
      <c r="IQ62" s="200"/>
      <c r="IR62" s="200"/>
      <c r="IS62" s="200"/>
      <c r="IT62" s="200"/>
      <c r="IU62" s="200"/>
      <c r="IV62" s="200"/>
      <c r="IW62" s="200"/>
      <c r="IX62" s="200"/>
      <c r="IY62" s="200"/>
      <c r="IZ62" s="200"/>
      <c r="JA62" s="200"/>
      <c r="JB62" s="200"/>
      <c r="JC62" s="200"/>
      <c r="JD62" s="200"/>
      <c r="JE62" s="200"/>
      <c r="JF62" s="200"/>
      <c r="JG62" s="200"/>
      <c r="JH62" s="200"/>
      <c r="JI62" s="200"/>
      <c r="JJ62" s="200"/>
      <c r="JK62" s="200"/>
      <c r="JL62" s="200"/>
      <c r="JM62" s="200"/>
      <c r="JN62" s="200"/>
      <c r="JO62" s="200"/>
      <c r="JP62" s="200"/>
      <c r="JQ62" s="200"/>
      <c r="JR62" s="200"/>
      <c r="JS62" s="200"/>
      <c r="JT62" s="200"/>
      <c r="JU62" s="200"/>
      <c r="JV62" s="200"/>
      <c r="JW62" s="200"/>
      <c r="JX62" s="200"/>
      <c r="JY62" s="200"/>
      <c r="JZ62" s="200"/>
      <c r="KA62" s="200"/>
      <c r="KB62" s="200"/>
      <c r="KC62" s="172"/>
      <c r="KD62" s="173"/>
      <c r="KE62" s="174"/>
      <c r="KF62" s="174"/>
      <c r="KG62" s="174"/>
      <c r="KH62" s="174"/>
      <c r="KI62" s="174"/>
      <c r="KJ62" s="174"/>
      <c r="KK62" s="174"/>
      <c r="KL62" s="174"/>
      <c r="KM62" s="174"/>
      <c r="KN62" s="174"/>
      <c r="KO62" s="174"/>
      <c r="KP62" s="174"/>
      <c r="KQ62" s="174"/>
      <c r="KR62" s="174"/>
      <c r="KS62" s="174"/>
      <c r="KT62" s="174"/>
      <c r="KU62" s="174"/>
      <c r="KV62" s="174"/>
      <c r="KW62" s="174"/>
    </row>
    <row r="63">
      <c r="A63" s="102" t="s">
        <v>104</v>
      </c>
      <c r="B63" s="93">
        <v>439.0</v>
      </c>
      <c r="C63" s="115"/>
      <c r="D63" s="215"/>
      <c r="E63" s="215"/>
      <c r="F63" s="215"/>
      <c r="G63" s="171"/>
      <c r="H63" s="171"/>
      <c r="I63" s="171"/>
      <c r="J63" s="171"/>
      <c r="K63" s="171"/>
      <c r="L63" s="196">
        <v>2.0</v>
      </c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96">
        <v>1.0</v>
      </c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96">
        <v>1.0</v>
      </c>
      <c r="AT63" s="171"/>
      <c r="AU63" s="171"/>
      <c r="AV63" s="196">
        <v>1.0</v>
      </c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330">
        <v>2.0</v>
      </c>
      <c r="CE63" s="94">
        <f t="shared" si="1"/>
        <v>7</v>
      </c>
      <c r="CF63" s="173">
        <f t="shared" si="2"/>
        <v>3073</v>
      </c>
      <c r="CH63" s="115"/>
      <c r="CI63" s="215"/>
      <c r="CJ63" s="215"/>
      <c r="CK63" s="215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  <c r="DA63" s="171"/>
      <c r="DB63" s="196">
        <v>1.0</v>
      </c>
      <c r="DC63" s="171"/>
      <c r="DD63" s="171"/>
      <c r="DE63" s="171"/>
      <c r="DF63" s="171"/>
      <c r="DG63" s="171"/>
      <c r="DH63" s="171"/>
      <c r="DI63" s="171"/>
      <c r="DJ63" s="171"/>
      <c r="DK63" s="171"/>
      <c r="DL63" s="171"/>
      <c r="DM63" s="171"/>
      <c r="DN63" s="171"/>
      <c r="DO63" s="171"/>
      <c r="DP63" s="171"/>
      <c r="DQ63" s="171"/>
      <c r="DR63" s="171"/>
      <c r="DS63" s="171"/>
      <c r="DT63" s="171"/>
      <c r="DU63" s="171"/>
      <c r="DV63" s="196">
        <v>1.0</v>
      </c>
      <c r="DW63" s="171"/>
      <c r="DX63" s="171"/>
      <c r="DY63" s="171"/>
      <c r="DZ63" s="171"/>
      <c r="EA63" s="171"/>
      <c r="EB63" s="171"/>
      <c r="EC63" s="171"/>
      <c r="ED63" s="171"/>
      <c r="EE63" s="95"/>
      <c r="EF63" s="200">
        <f t="shared" si="8"/>
        <v>2</v>
      </c>
      <c r="EG63" s="173">
        <f t="shared" si="4"/>
        <v>878</v>
      </c>
      <c r="EH63" s="174"/>
      <c r="EI63" s="331">
        <v>3.0</v>
      </c>
      <c r="EJ63" s="108"/>
      <c r="EK63" s="108"/>
      <c r="EL63" s="108"/>
      <c r="EM63" s="108"/>
      <c r="EN63" s="108"/>
      <c r="EO63" s="108"/>
      <c r="EP63" s="319"/>
      <c r="EQ63" s="319"/>
      <c r="ER63" s="319"/>
      <c r="ES63" s="319"/>
      <c r="ET63" s="319"/>
      <c r="EU63" s="319"/>
      <c r="EV63" s="322">
        <v>1.0</v>
      </c>
      <c r="EW63" s="319"/>
      <c r="EX63" s="319"/>
      <c r="EY63" s="319"/>
      <c r="EZ63" s="319"/>
      <c r="FA63" s="319"/>
      <c r="FB63" s="319"/>
      <c r="FC63" s="319"/>
      <c r="FD63" s="319"/>
      <c r="FE63" s="319"/>
      <c r="FF63" s="319"/>
      <c r="FG63" s="319"/>
      <c r="FH63" s="319"/>
      <c r="FI63" s="319"/>
      <c r="FJ63" s="322">
        <v>1.0</v>
      </c>
      <c r="FK63" s="322"/>
      <c r="FL63" s="319"/>
      <c r="FM63" s="319"/>
      <c r="FN63" s="319"/>
      <c r="FO63" s="319"/>
      <c r="FP63" s="215"/>
      <c r="FQ63" s="215"/>
      <c r="FR63" s="215"/>
      <c r="FS63" s="215"/>
      <c r="FT63" s="215"/>
      <c r="FU63" s="215"/>
      <c r="FV63" s="215"/>
      <c r="FW63" s="215"/>
      <c r="FX63" s="215"/>
      <c r="FY63" s="215"/>
      <c r="FZ63" s="215"/>
      <c r="GA63" s="215"/>
      <c r="GB63" s="215"/>
      <c r="GC63" s="215"/>
      <c r="GD63" s="215"/>
      <c r="GE63" s="215"/>
      <c r="GF63" s="215"/>
      <c r="GG63" s="215"/>
      <c r="GH63" s="200">
        <f t="shared" si="5"/>
        <v>5</v>
      </c>
      <c r="GI63" s="173">
        <f t="shared" si="6"/>
        <v>2195</v>
      </c>
      <c r="GJ63" s="174"/>
      <c r="GK63" s="115"/>
      <c r="GL63" s="215"/>
      <c r="GM63" s="215"/>
      <c r="GN63" s="215"/>
      <c r="GO63" s="215"/>
      <c r="GP63" s="215"/>
      <c r="GQ63" s="215"/>
      <c r="GR63" s="215"/>
      <c r="GS63" s="215"/>
      <c r="GT63" s="215"/>
      <c r="GU63" s="215"/>
      <c r="GV63" s="215"/>
      <c r="GW63" s="215"/>
      <c r="GX63" s="215"/>
      <c r="GY63" s="215"/>
      <c r="GZ63" s="320">
        <v>1.0</v>
      </c>
      <c r="HA63" s="215"/>
      <c r="HB63" s="327"/>
      <c r="HC63" s="327"/>
      <c r="HD63" s="215"/>
      <c r="HE63" s="215"/>
      <c r="HF63" s="215"/>
      <c r="HG63" s="215"/>
      <c r="HH63" s="215"/>
      <c r="HI63" s="215"/>
      <c r="HJ63" s="215"/>
      <c r="HK63" s="215"/>
      <c r="HL63" s="215"/>
      <c r="HM63" s="215"/>
      <c r="HN63" s="215"/>
      <c r="HO63" s="215"/>
      <c r="HP63" s="215"/>
      <c r="HQ63" s="215"/>
      <c r="HR63" s="215"/>
      <c r="HS63" s="215"/>
      <c r="HT63" s="215"/>
      <c r="HU63" s="215"/>
      <c r="HV63" s="215"/>
      <c r="HW63" s="215"/>
      <c r="HX63" s="215"/>
      <c r="HY63" s="215"/>
      <c r="HZ63" s="215"/>
      <c r="IA63" s="215"/>
      <c r="IB63" s="215"/>
      <c r="IC63" s="215"/>
      <c r="ID63" s="215"/>
      <c r="IE63" s="215"/>
      <c r="IF63" s="200"/>
      <c r="IG63" s="173"/>
      <c r="IH63" s="174"/>
      <c r="II63" s="329"/>
      <c r="IJ63" s="215"/>
      <c r="IK63" s="215"/>
      <c r="IL63" s="215"/>
      <c r="IM63" s="215"/>
      <c r="IN63" s="215"/>
      <c r="IO63" s="215"/>
      <c r="IP63" s="215"/>
      <c r="IQ63" s="215"/>
      <c r="IR63" s="215"/>
      <c r="IS63" s="215"/>
      <c r="IT63" s="215"/>
      <c r="IU63" s="215"/>
      <c r="IV63" s="215"/>
      <c r="IW63" s="215"/>
      <c r="IX63" s="215"/>
      <c r="IY63" s="215"/>
      <c r="IZ63" s="215"/>
      <c r="JA63" s="215"/>
      <c r="JB63" s="215"/>
      <c r="JC63" s="215"/>
      <c r="JD63" s="215"/>
      <c r="JE63" s="215"/>
      <c r="JF63" s="215"/>
      <c r="JG63" s="215"/>
      <c r="JH63" s="215"/>
      <c r="JI63" s="215"/>
      <c r="JJ63" s="215"/>
      <c r="JK63" s="215"/>
      <c r="JL63" s="215"/>
      <c r="JM63" s="215"/>
      <c r="JN63" s="215"/>
      <c r="JO63" s="215"/>
      <c r="JP63" s="215"/>
      <c r="JQ63" s="215"/>
      <c r="JR63" s="215"/>
      <c r="JS63" s="215"/>
      <c r="JT63" s="215"/>
      <c r="JU63" s="215"/>
      <c r="JV63" s="215"/>
      <c r="JW63" s="215"/>
      <c r="JX63" s="215"/>
      <c r="JY63" s="215"/>
      <c r="JZ63" s="215"/>
      <c r="KA63" s="215"/>
      <c r="KB63" s="215"/>
      <c r="KC63" s="172"/>
      <c r="KD63" s="173"/>
      <c r="KE63" s="174"/>
      <c r="KF63" s="174"/>
      <c r="KG63" s="174"/>
      <c r="KH63" s="174"/>
      <c r="KI63" s="174"/>
      <c r="KJ63" s="174"/>
      <c r="KK63" s="174"/>
      <c r="KL63" s="174"/>
      <c r="KM63" s="174"/>
      <c r="KN63" s="174"/>
      <c r="KO63" s="174"/>
      <c r="KP63" s="174"/>
      <c r="KQ63" s="174"/>
      <c r="KR63" s="174"/>
      <c r="KS63" s="174"/>
      <c r="KT63" s="174"/>
      <c r="KU63" s="174"/>
      <c r="KV63" s="174"/>
      <c r="KW63" s="174"/>
    </row>
    <row r="64">
      <c r="A64" s="102" t="s">
        <v>105</v>
      </c>
      <c r="B64" s="93">
        <v>439.0</v>
      </c>
      <c r="C64" s="115"/>
      <c r="D64" s="215"/>
      <c r="E64" s="215"/>
      <c r="F64" s="215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96">
        <v>1.0</v>
      </c>
      <c r="CD64" s="310"/>
      <c r="CE64" s="94">
        <f t="shared" si="1"/>
        <v>1</v>
      </c>
      <c r="CF64" s="173">
        <f t="shared" si="2"/>
        <v>439</v>
      </c>
      <c r="CH64" s="115"/>
      <c r="CI64" s="215"/>
      <c r="CJ64" s="215"/>
      <c r="CK64" s="215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71"/>
      <c r="DL64" s="171"/>
      <c r="DM64" s="171"/>
      <c r="DN64" s="171"/>
      <c r="DO64" s="171"/>
      <c r="DP64" s="171"/>
      <c r="DQ64" s="171"/>
      <c r="DR64" s="171"/>
      <c r="DS64" s="171"/>
      <c r="DT64" s="171"/>
      <c r="DU64" s="171"/>
      <c r="DV64" s="171"/>
      <c r="DW64" s="171"/>
      <c r="DX64" s="171"/>
      <c r="DY64" s="171"/>
      <c r="DZ64" s="171"/>
      <c r="EA64" s="171"/>
      <c r="EB64" s="171"/>
      <c r="EC64" s="171"/>
      <c r="ED64" s="171"/>
      <c r="EE64" s="95"/>
      <c r="EF64" s="200">
        <f t="shared" si="8"/>
        <v>0</v>
      </c>
      <c r="EG64" s="173">
        <f t="shared" si="4"/>
        <v>0</v>
      </c>
      <c r="EH64" s="174"/>
      <c r="EI64" s="104"/>
      <c r="EJ64" s="108"/>
      <c r="EK64" s="108"/>
      <c r="EL64" s="108"/>
      <c r="EM64" s="108"/>
      <c r="EN64" s="108"/>
      <c r="EO64" s="108"/>
      <c r="EP64" s="319"/>
      <c r="EQ64" s="319"/>
      <c r="ER64" s="319"/>
      <c r="ES64" s="319"/>
      <c r="ET64" s="319"/>
      <c r="EU64" s="319"/>
      <c r="EV64" s="319"/>
      <c r="EW64" s="319"/>
      <c r="EX64" s="319"/>
      <c r="EY64" s="319"/>
      <c r="EZ64" s="319"/>
      <c r="FA64" s="319"/>
      <c r="FB64" s="319"/>
      <c r="FC64" s="319"/>
      <c r="FD64" s="319"/>
      <c r="FE64" s="319"/>
      <c r="FF64" s="319"/>
      <c r="FG64" s="319"/>
      <c r="FH64" s="319"/>
      <c r="FI64" s="319"/>
      <c r="FJ64" s="319"/>
      <c r="FK64" s="319"/>
      <c r="FL64" s="319"/>
      <c r="FM64" s="319"/>
      <c r="FN64" s="319"/>
      <c r="FO64" s="319"/>
      <c r="FP64" s="215"/>
      <c r="FQ64" s="215"/>
      <c r="FR64" s="215"/>
      <c r="FS64" s="215"/>
      <c r="FT64" s="215"/>
      <c r="FU64" s="215"/>
      <c r="FV64" s="215"/>
      <c r="FW64" s="215"/>
      <c r="FX64" s="215"/>
      <c r="FY64" s="215"/>
      <c r="FZ64" s="215"/>
      <c r="GA64" s="215"/>
      <c r="GB64" s="215"/>
      <c r="GC64" s="215"/>
      <c r="GD64" s="215"/>
      <c r="GE64" s="215"/>
      <c r="GF64" s="215"/>
      <c r="GG64" s="215"/>
      <c r="GH64" s="200">
        <f t="shared" si="5"/>
        <v>0</v>
      </c>
      <c r="GI64" s="173">
        <f t="shared" si="6"/>
        <v>0</v>
      </c>
      <c r="GJ64" s="174"/>
      <c r="GK64" s="115"/>
      <c r="GL64" s="215"/>
      <c r="GM64" s="215"/>
      <c r="GN64" s="215"/>
      <c r="GO64" s="215"/>
      <c r="GP64" s="215"/>
      <c r="GQ64" s="215"/>
      <c r="GR64" s="215"/>
      <c r="GS64" s="215"/>
      <c r="GT64" s="215"/>
      <c r="GU64" s="215"/>
      <c r="GV64" s="215"/>
      <c r="GW64" s="215"/>
      <c r="GX64" s="215"/>
      <c r="GY64" s="215"/>
      <c r="GZ64" s="215"/>
      <c r="HA64" s="215"/>
      <c r="HB64" s="327"/>
      <c r="HC64" s="327"/>
      <c r="HD64" s="215"/>
      <c r="HE64" s="215"/>
      <c r="HF64" s="215"/>
      <c r="HG64" s="215"/>
      <c r="HH64" s="215"/>
      <c r="HI64" s="215"/>
      <c r="HJ64" s="215"/>
      <c r="HK64" s="215"/>
      <c r="HL64" s="215"/>
      <c r="HM64" s="215"/>
      <c r="HN64" s="215"/>
      <c r="HO64" s="215"/>
      <c r="HP64" s="215"/>
      <c r="HQ64" s="215"/>
      <c r="HR64" s="215"/>
      <c r="HS64" s="215"/>
      <c r="HT64" s="215"/>
      <c r="HU64" s="215"/>
      <c r="HV64" s="215"/>
      <c r="HW64" s="215"/>
      <c r="HX64" s="215"/>
      <c r="HY64" s="215"/>
      <c r="HZ64" s="215"/>
      <c r="IA64" s="215"/>
      <c r="IB64" s="215"/>
      <c r="IC64" s="215"/>
      <c r="ID64" s="215"/>
      <c r="IE64" s="215"/>
      <c r="IF64" s="200"/>
      <c r="IG64" s="173"/>
      <c r="IH64" s="174"/>
      <c r="II64" s="329"/>
      <c r="IJ64" s="215"/>
      <c r="IK64" s="215"/>
      <c r="IL64" s="215"/>
      <c r="IM64" s="215"/>
      <c r="IN64" s="215"/>
      <c r="IO64" s="215"/>
      <c r="IP64" s="215"/>
      <c r="IQ64" s="215"/>
      <c r="IR64" s="215"/>
      <c r="IS64" s="215"/>
      <c r="IT64" s="215"/>
      <c r="IU64" s="215"/>
      <c r="IV64" s="215"/>
      <c r="IW64" s="215"/>
      <c r="IX64" s="215"/>
      <c r="IY64" s="215"/>
      <c r="IZ64" s="215"/>
      <c r="JA64" s="215"/>
      <c r="JB64" s="215"/>
      <c r="JC64" s="215"/>
      <c r="JD64" s="215"/>
      <c r="JE64" s="215"/>
      <c r="JF64" s="215"/>
      <c r="JG64" s="215"/>
      <c r="JH64" s="215"/>
      <c r="JI64" s="215"/>
      <c r="JJ64" s="215"/>
      <c r="JK64" s="215"/>
      <c r="JL64" s="215"/>
      <c r="JM64" s="215"/>
      <c r="JN64" s="215"/>
      <c r="JO64" s="215"/>
      <c r="JP64" s="215"/>
      <c r="JQ64" s="215"/>
      <c r="JR64" s="215"/>
      <c r="JS64" s="215"/>
      <c r="JT64" s="215"/>
      <c r="JU64" s="215"/>
      <c r="JV64" s="215"/>
      <c r="JW64" s="215"/>
      <c r="JX64" s="215"/>
      <c r="JY64" s="215"/>
      <c r="JZ64" s="215"/>
      <c r="KA64" s="215"/>
      <c r="KB64" s="215"/>
      <c r="KC64" s="172"/>
      <c r="KD64" s="173"/>
      <c r="KE64" s="174"/>
      <c r="KF64" s="174"/>
      <c r="KG64" s="174"/>
      <c r="KH64" s="174"/>
      <c r="KI64" s="174"/>
      <c r="KJ64" s="174"/>
      <c r="KK64" s="174"/>
      <c r="KL64" s="174"/>
      <c r="KM64" s="174"/>
      <c r="KN64" s="174"/>
      <c r="KO64" s="174"/>
      <c r="KP64" s="174"/>
      <c r="KQ64" s="174"/>
      <c r="KR64" s="174"/>
      <c r="KS64" s="174"/>
      <c r="KT64" s="174"/>
      <c r="KU64" s="174"/>
      <c r="KV64" s="174"/>
      <c r="KW64" s="174"/>
    </row>
    <row r="65">
      <c r="A65" s="102" t="s">
        <v>106</v>
      </c>
      <c r="B65" s="93">
        <v>799.0</v>
      </c>
      <c r="C65" s="115"/>
      <c r="D65" s="215"/>
      <c r="E65" s="215"/>
      <c r="F65" s="215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310"/>
      <c r="CE65" s="94">
        <f t="shared" si="1"/>
        <v>0</v>
      </c>
      <c r="CF65" s="173">
        <f t="shared" si="2"/>
        <v>0</v>
      </c>
      <c r="CH65" s="115"/>
      <c r="CI65" s="215"/>
      <c r="CJ65" s="215"/>
      <c r="CK65" s="215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71"/>
      <c r="DL65" s="171"/>
      <c r="DM65" s="171"/>
      <c r="DN65" s="171"/>
      <c r="DO65" s="171"/>
      <c r="DP65" s="171"/>
      <c r="DQ65" s="171"/>
      <c r="DR65" s="171"/>
      <c r="DS65" s="171"/>
      <c r="DT65" s="171"/>
      <c r="DU65" s="171"/>
      <c r="DV65" s="171"/>
      <c r="DW65" s="171"/>
      <c r="DX65" s="171"/>
      <c r="DY65" s="171"/>
      <c r="DZ65" s="171"/>
      <c r="EA65" s="171"/>
      <c r="EB65" s="171"/>
      <c r="EC65" s="171"/>
      <c r="ED65" s="171"/>
      <c r="EE65" s="95"/>
      <c r="EF65" s="200">
        <f t="shared" si="8"/>
        <v>0</v>
      </c>
      <c r="EG65" s="173">
        <f t="shared" si="4"/>
        <v>0</v>
      </c>
      <c r="EH65" s="174"/>
      <c r="EI65" s="104"/>
      <c r="EJ65" s="108"/>
      <c r="EK65" s="108"/>
      <c r="EL65" s="108"/>
      <c r="EM65" s="108"/>
      <c r="EN65" s="108"/>
      <c r="EO65" s="108"/>
      <c r="EP65" s="319"/>
      <c r="EQ65" s="319"/>
      <c r="ER65" s="319"/>
      <c r="ES65" s="319"/>
      <c r="ET65" s="319"/>
      <c r="EU65" s="319"/>
      <c r="EV65" s="319"/>
      <c r="EW65" s="319"/>
      <c r="EX65" s="319"/>
      <c r="EY65" s="319"/>
      <c r="EZ65" s="319"/>
      <c r="FA65" s="319"/>
      <c r="FB65" s="319"/>
      <c r="FC65" s="319"/>
      <c r="FD65" s="319"/>
      <c r="FE65" s="319"/>
      <c r="FF65" s="319"/>
      <c r="FG65" s="319"/>
      <c r="FH65" s="319"/>
      <c r="FI65" s="319"/>
      <c r="FJ65" s="319"/>
      <c r="FK65" s="319"/>
      <c r="FL65" s="319"/>
      <c r="FM65" s="319"/>
      <c r="FN65" s="319"/>
      <c r="FO65" s="319"/>
      <c r="FP65" s="215"/>
      <c r="FQ65" s="215"/>
      <c r="FR65" s="215"/>
      <c r="FS65" s="215"/>
      <c r="FT65" s="215"/>
      <c r="FU65" s="215"/>
      <c r="FV65" s="215"/>
      <c r="FW65" s="215"/>
      <c r="FX65" s="215"/>
      <c r="FY65" s="215"/>
      <c r="FZ65" s="215"/>
      <c r="GA65" s="215"/>
      <c r="GB65" s="215"/>
      <c r="GC65" s="215"/>
      <c r="GD65" s="215"/>
      <c r="GE65" s="215"/>
      <c r="GF65" s="215"/>
      <c r="GG65" s="215"/>
      <c r="GH65" s="200">
        <f t="shared" si="5"/>
        <v>0</v>
      </c>
      <c r="GI65" s="173">
        <f t="shared" si="6"/>
        <v>0</v>
      </c>
      <c r="GJ65" s="174"/>
      <c r="GK65" s="115"/>
      <c r="GL65" s="215"/>
      <c r="GM65" s="215"/>
      <c r="GN65" s="215"/>
      <c r="GO65" s="215"/>
      <c r="GP65" s="215"/>
      <c r="GQ65" s="215"/>
      <c r="GR65" s="215"/>
      <c r="GS65" s="215"/>
      <c r="GT65" s="215"/>
      <c r="GU65" s="215"/>
      <c r="GV65" s="215"/>
      <c r="GW65" s="215"/>
      <c r="GX65" s="215"/>
      <c r="GY65" s="215"/>
      <c r="GZ65" s="215"/>
      <c r="HA65" s="215"/>
      <c r="HB65" s="327"/>
      <c r="HC65" s="327"/>
      <c r="HD65" s="215"/>
      <c r="HE65" s="215"/>
      <c r="HF65" s="215"/>
      <c r="HG65" s="215"/>
      <c r="HH65" s="215"/>
      <c r="HI65" s="215"/>
      <c r="HJ65" s="215"/>
      <c r="HK65" s="215"/>
      <c r="HL65" s="215"/>
      <c r="HM65" s="215"/>
      <c r="HN65" s="215"/>
      <c r="HO65" s="215"/>
      <c r="HP65" s="215"/>
      <c r="HQ65" s="215"/>
      <c r="HR65" s="215"/>
      <c r="HS65" s="215"/>
      <c r="HT65" s="215"/>
      <c r="HU65" s="215"/>
      <c r="HV65" s="215"/>
      <c r="HW65" s="215"/>
      <c r="HX65" s="215"/>
      <c r="HY65" s="215"/>
      <c r="HZ65" s="215"/>
      <c r="IA65" s="215"/>
      <c r="IB65" s="215"/>
      <c r="IC65" s="215"/>
      <c r="ID65" s="215"/>
      <c r="IE65" s="215"/>
      <c r="IF65" s="200"/>
      <c r="IG65" s="173"/>
      <c r="IH65" s="174"/>
      <c r="II65" s="329"/>
      <c r="IJ65" s="215"/>
      <c r="IK65" s="215"/>
      <c r="IL65" s="215"/>
      <c r="IM65" s="215"/>
      <c r="IN65" s="215"/>
      <c r="IO65" s="215"/>
      <c r="IP65" s="215"/>
      <c r="IQ65" s="215"/>
      <c r="IR65" s="215"/>
      <c r="IS65" s="215"/>
      <c r="IT65" s="215"/>
      <c r="IU65" s="215"/>
      <c r="IV65" s="215"/>
      <c r="IW65" s="215"/>
      <c r="IX65" s="215"/>
      <c r="IY65" s="215"/>
      <c r="IZ65" s="215"/>
      <c r="JA65" s="215"/>
      <c r="JB65" s="215"/>
      <c r="JC65" s="215"/>
      <c r="JD65" s="215"/>
      <c r="JE65" s="215"/>
      <c r="JF65" s="215"/>
      <c r="JG65" s="215"/>
      <c r="JH65" s="215"/>
      <c r="JI65" s="215"/>
      <c r="JJ65" s="215"/>
      <c r="JK65" s="215"/>
      <c r="JL65" s="215"/>
      <c r="JM65" s="215"/>
      <c r="JN65" s="215"/>
      <c r="JO65" s="215"/>
      <c r="JP65" s="215"/>
      <c r="JQ65" s="215"/>
      <c r="JR65" s="215"/>
      <c r="JS65" s="215"/>
      <c r="JT65" s="215"/>
      <c r="JU65" s="215"/>
      <c r="JV65" s="215"/>
      <c r="JW65" s="215"/>
      <c r="JX65" s="215"/>
      <c r="JY65" s="215"/>
      <c r="JZ65" s="215"/>
      <c r="KA65" s="215"/>
      <c r="KB65" s="215"/>
      <c r="KC65" s="172"/>
      <c r="KD65" s="173"/>
      <c r="KE65" s="174"/>
      <c r="KF65" s="174"/>
      <c r="KG65" s="174"/>
      <c r="KH65" s="174"/>
      <c r="KI65" s="174"/>
      <c r="KJ65" s="174"/>
      <c r="KK65" s="174"/>
      <c r="KL65" s="174"/>
      <c r="KM65" s="174"/>
      <c r="KN65" s="174"/>
      <c r="KO65" s="174"/>
      <c r="KP65" s="174"/>
      <c r="KQ65" s="174"/>
      <c r="KR65" s="174"/>
      <c r="KS65" s="174"/>
      <c r="KT65" s="174"/>
      <c r="KU65" s="174"/>
      <c r="KV65" s="174"/>
      <c r="KW65" s="174"/>
    </row>
    <row r="66">
      <c r="A66" s="102" t="s">
        <v>107</v>
      </c>
      <c r="B66" s="93">
        <v>799.0</v>
      </c>
      <c r="C66" s="115"/>
      <c r="D66" s="215"/>
      <c r="E66" s="215"/>
      <c r="F66" s="215"/>
      <c r="G66" s="171"/>
      <c r="H66" s="171"/>
      <c r="I66" s="195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96">
        <v>1.0</v>
      </c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310"/>
      <c r="CE66" s="94">
        <f t="shared" si="1"/>
        <v>1</v>
      </c>
      <c r="CF66" s="173">
        <f t="shared" si="2"/>
        <v>799</v>
      </c>
      <c r="CH66" s="115"/>
      <c r="CI66" s="215"/>
      <c r="CJ66" s="215"/>
      <c r="CK66" s="215"/>
      <c r="CL66" s="171"/>
      <c r="CM66" s="171"/>
      <c r="CN66" s="195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71"/>
      <c r="DL66" s="171"/>
      <c r="DM66" s="171"/>
      <c r="DN66" s="171"/>
      <c r="DO66" s="171"/>
      <c r="DP66" s="171"/>
      <c r="DQ66" s="171"/>
      <c r="DR66" s="171"/>
      <c r="DS66" s="171"/>
      <c r="DT66" s="171"/>
      <c r="DU66" s="171"/>
      <c r="DV66" s="171"/>
      <c r="DW66" s="171"/>
      <c r="DX66" s="171"/>
      <c r="DY66" s="171"/>
      <c r="DZ66" s="171"/>
      <c r="EA66" s="171"/>
      <c r="EB66" s="171"/>
      <c r="EC66" s="171"/>
      <c r="ED66" s="171"/>
      <c r="EE66" s="95"/>
      <c r="EF66" s="200">
        <f t="shared" si="8"/>
        <v>0</v>
      </c>
      <c r="EG66" s="173">
        <f t="shared" si="4"/>
        <v>0</v>
      </c>
      <c r="EH66" s="174"/>
      <c r="EI66" s="104"/>
      <c r="EJ66" s="108"/>
      <c r="EK66" s="108"/>
      <c r="EL66" s="108"/>
      <c r="EM66" s="108"/>
      <c r="EN66" s="108"/>
      <c r="EO66" s="108"/>
      <c r="EP66" s="319"/>
      <c r="EQ66" s="319"/>
      <c r="ER66" s="319"/>
      <c r="ES66" s="319"/>
      <c r="ET66" s="319"/>
      <c r="EU66" s="319"/>
      <c r="EV66" s="319"/>
      <c r="EW66" s="319"/>
      <c r="EX66" s="319"/>
      <c r="EY66" s="319"/>
      <c r="EZ66" s="319"/>
      <c r="FA66" s="319"/>
      <c r="FB66" s="319"/>
      <c r="FC66" s="319"/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215"/>
      <c r="FQ66" s="215"/>
      <c r="FR66" s="215"/>
      <c r="FS66" s="215"/>
      <c r="FT66" s="215"/>
      <c r="FU66" s="215"/>
      <c r="FV66" s="215"/>
      <c r="FW66" s="215"/>
      <c r="FX66" s="215"/>
      <c r="FY66" s="215"/>
      <c r="FZ66" s="215"/>
      <c r="GA66" s="215"/>
      <c r="GB66" s="215"/>
      <c r="GC66" s="215"/>
      <c r="GD66" s="215"/>
      <c r="GE66" s="215"/>
      <c r="GF66" s="215"/>
      <c r="GG66" s="215"/>
      <c r="GH66" s="200">
        <f t="shared" si="5"/>
        <v>0</v>
      </c>
      <c r="GI66" s="173">
        <f t="shared" si="6"/>
        <v>0</v>
      </c>
      <c r="GJ66" s="174"/>
      <c r="GK66" s="115"/>
      <c r="GL66" s="215"/>
      <c r="GM66" s="215"/>
      <c r="GN66" s="215"/>
      <c r="GO66" s="215"/>
      <c r="GP66" s="215"/>
      <c r="GQ66" s="215"/>
      <c r="GR66" s="215"/>
      <c r="GS66" s="215"/>
      <c r="GT66" s="215"/>
      <c r="GU66" s="215"/>
      <c r="GV66" s="215"/>
      <c r="GW66" s="215"/>
      <c r="GX66" s="215"/>
      <c r="GY66" s="215"/>
      <c r="GZ66" s="215"/>
      <c r="HA66" s="215"/>
      <c r="HB66" s="327"/>
      <c r="HC66" s="327"/>
      <c r="HD66" s="215"/>
      <c r="HE66" s="215"/>
      <c r="HF66" s="215"/>
      <c r="HG66" s="215"/>
      <c r="HH66" s="215"/>
      <c r="HI66" s="215"/>
      <c r="HJ66" s="215"/>
      <c r="HK66" s="215"/>
      <c r="HL66" s="215"/>
      <c r="HM66" s="215"/>
      <c r="HN66" s="215"/>
      <c r="HO66" s="215"/>
      <c r="HP66" s="215"/>
      <c r="HQ66" s="215"/>
      <c r="HR66" s="215"/>
      <c r="HS66" s="215"/>
      <c r="HT66" s="215"/>
      <c r="HU66" s="215"/>
      <c r="HV66" s="215"/>
      <c r="HW66" s="215"/>
      <c r="HX66" s="215"/>
      <c r="HY66" s="215"/>
      <c r="HZ66" s="215"/>
      <c r="IA66" s="215"/>
      <c r="IB66" s="215"/>
      <c r="IC66" s="215"/>
      <c r="ID66" s="215"/>
      <c r="IE66" s="215"/>
      <c r="IF66" s="200"/>
      <c r="IG66" s="173"/>
      <c r="IH66" s="174"/>
      <c r="II66" s="329"/>
      <c r="IJ66" s="215"/>
      <c r="IK66" s="215"/>
      <c r="IL66" s="215"/>
      <c r="IM66" s="215"/>
      <c r="IN66" s="215"/>
      <c r="IO66" s="215"/>
      <c r="IP66" s="215"/>
      <c r="IQ66" s="215"/>
      <c r="IR66" s="215"/>
      <c r="IS66" s="215"/>
      <c r="IT66" s="215"/>
      <c r="IU66" s="215"/>
      <c r="IV66" s="215"/>
      <c r="IW66" s="215"/>
      <c r="IX66" s="215"/>
      <c r="IY66" s="215"/>
      <c r="IZ66" s="215"/>
      <c r="JA66" s="215"/>
      <c r="JB66" s="215"/>
      <c r="JC66" s="215"/>
      <c r="JD66" s="215"/>
      <c r="JE66" s="215"/>
      <c r="JF66" s="215"/>
      <c r="JG66" s="215"/>
      <c r="JH66" s="215"/>
      <c r="JI66" s="215"/>
      <c r="JJ66" s="215"/>
      <c r="JK66" s="215"/>
      <c r="JL66" s="215"/>
      <c r="JM66" s="215"/>
      <c r="JN66" s="215"/>
      <c r="JO66" s="215"/>
      <c r="JP66" s="215"/>
      <c r="JQ66" s="215"/>
      <c r="JR66" s="215"/>
      <c r="JS66" s="215"/>
      <c r="JT66" s="215"/>
      <c r="JU66" s="215"/>
      <c r="JV66" s="215"/>
      <c r="JW66" s="215"/>
      <c r="JX66" s="215"/>
      <c r="JY66" s="215"/>
      <c r="JZ66" s="215"/>
      <c r="KA66" s="215"/>
      <c r="KB66" s="215"/>
      <c r="KC66" s="172"/>
      <c r="KD66" s="173"/>
      <c r="KE66" s="174"/>
      <c r="KF66" s="174"/>
      <c r="KG66" s="174"/>
      <c r="KH66" s="174"/>
      <c r="KI66" s="174"/>
      <c r="KJ66" s="174"/>
      <c r="KK66" s="174"/>
      <c r="KL66" s="174"/>
      <c r="KM66" s="174"/>
      <c r="KN66" s="174"/>
      <c r="KO66" s="174"/>
      <c r="KP66" s="174"/>
      <c r="KQ66" s="174"/>
      <c r="KR66" s="174"/>
      <c r="KS66" s="174"/>
      <c r="KT66" s="174"/>
      <c r="KU66" s="174"/>
      <c r="KV66" s="174"/>
      <c r="KW66" s="174"/>
    </row>
    <row r="67">
      <c r="A67" s="102" t="s">
        <v>108</v>
      </c>
      <c r="B67" s="93">
        <v>799.0</v>
      </c>
      <c r="C67" s="115"/>
      <c r="D67" s="215"/>
      <c r="E67" s="215"/>
      <c r="F67" s="215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310"/>
      <c r="CE67" s="94">
        <f t="shared" si="1"/>
        <v>0</v>
      </c>
      <c r="CF67" s="173">
        <f t="shared" si="2"/>
        <v>0</v>
      </c>
      <c r="CH67" s="115"/>
      <c r="CI67" s="215"/>
      <c r="CJ67" s="215"/>
      <c r="CK67" s="215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95"/>
      <c r="EF67" s="200">
        <f t="shared" si="8"/>
        <v>0</v>
      </c>
      <c r="EG67" s="173">
        <f t="shared" si="4"/>
        <v>0</v>
      </c>
      <c r="EH67" s="174"/>
      <c r="EI67" s="104"/>
      <c r="EJ67" s="108"/>
      <c r="EK67" s="108"/>
      <c r="EL67" s="108"/>
      <c r="EM67" s="108"/>
      <c r="EN67" s="108"/>
      <c r="EO67" s="108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319"/>
      <c r="FJ67" s="319"/>
      <c r="FK67" s="319"/>
      <c r="FL67" s="319"/>
      <c r="FM67" s="319"/>
      <c r="FN67" s="319"/>
      <c r="FO67" s="319"/>
      <c r="FP67" s="215"/>
      <c r="FQ67" s="215"/>
      <c r="FR67" s="215"/>
      <c r="FS67" s="215"/>
      <c r="FT67" s="215"/>
      <c r="FU67" s="215"/>
      <c r="FV67" s="215"/>
      <c r="FW67" s="215"/>
      <c r="FX67" s="215"/>
      <c r="FY67" s="215"/>
      <c r="FZ67" s="215"/>
      <c r="GA67" s="215"/>
      <c r="GB67" s="215"/>
      <c r="GC67" s="215"/>
      <c r="GD67" s="215"/>
      <c r="GE67" s="215"/>
      <c r="GF67" s="215"/>
      <c r="GG67" s="215"/>
      <c r="GH67" s="200">
        <f t="shared" si="5"/>
        <v>0</v>
      </c>
      <c r="GI67" s="173">
        <f t="shared" si="6"/>
        <v>0</v>
      </c>
      <c r="GJ67" s="174"/>
      <c r="GK67" s="115"/>
      <c r="GL67" s="215"/>
      <c r="GM67" s="215"/>
      <c r="GN67" s="215"/>
      <c r="GO67" s="215"/>
      <c r="GP67" s="215"/>
      <c r="GQ67" s="215"/>
      <c r="GR67" s="215"/>
      <c r="GS67" s="215"/>
      <c r="GT67" s="215"/>
      <c r="GU67" s="215"/>
      <c r="GV67" s="215"/>
      <c r="GW67" s="215"/>
      <c r="GX67" s="215"/>
      <c r="GY67" s="215"/>
      <c r="GZ67" s="215"/>
      <c r="HA67" s="215"/>
      <c r="HB67" s="327"/>
      <c r="HC67" s="327"/>
      <c r="HD67" s="215"/>
      <c r="HE67" s="215"/>
      <c r="HF67" s="215"/>
      <c r="HG67" s="215"/>
      <c r="HH67" s="215"/>
      <c r="HI67" s="215"/>
      <c r="HJ67" s="215"/>
      <c r="HK67" s="215"/>
      <c r="HL67" s="215"/>
      <c r="HM67" s="215"/>
      <c r="HN67" s="215"/>
      <c r="HO67" s="215"/>
      <c r="HP67" s="215"/>
      <c r="HQ67" s="215"/>
      <c r="HR67" s="215"/>
      <c r="HS67" s="215"/>
      <c r="HT67" s="215"/>
      <c r="HU67" s="215"/>
      <c r="HV67" s="215"/>
      <c r="HW67" s="215"/>
      <c r="HX67" s="215"/>
      <c r="HY67" s="215"/>
      <c r="HZ67" s="215"/>
      <c r="IA67" s="215"/>
      <c r="IB67" s="215"/>
      <c r="IC67" s="215"/>
      <c r="ID67" s="215"/>
      <c r="IE67" s="215"/>
      <c r="IF67" s="200"/>
      <c r="IG67" s="173"/>
      <c r="IH67" s="174"/>
      <c r="II67" s="329"/>
      <c r="IJ67" s="215"/>
      <c r="IK67" s="215"/>
      <c r="IL67" s="215"/>
      <c r="IM67" s="215"/>
      <c r="IN67" s="215"/>
      <c r="IO67" s="215"/>
      <c r="IP67" s="215"/>
      <c r="IQ67" s="215"/>
      <c r="IR67" s="215"/>
      <c r="IS67" s="215"/>
      <c r="IT67" s="215"/>
      <c r="IU67" s="215"/>
      <c r="IV67" s="215"/>
      <c r="IW67" s="215"/>
      <c r="IX67" s="215"/>
      <c r="IY67" s="215"/>
      <c r="IZ67" s="215"/>
      <c r="JA67" s="215"/>
      <c r="JB67" s="215"/>
      <c r="JC67" s="215"/>
      <c r="JD67" s="215"/>
      <c r="JE67" s="215"/>
      <c r="JF67" s="215"/>
      <c r="JG67" s="215"/>
      <c r="JH67" s="215"/>
      <c r="JI67" s="215"/>
      <c r="JJ67" s="215"/>
      <c r="JK67" s="215"/>
      <c r="JL67" s="215"/>
      <c r="JM67" s="215"/>
      <c r="JN67" s="215"/>
      <c r="JO67" s="215"/>
      <c r="JP67" s="215"/>
      <c r="JQ67" s="215"/>
      <c r="JR67" s="215"/>
      <c r="JS67" s="215"/>
      <c r="JT67" s="215"/>
      <c r="JU67" s="215"/>
      <c r="JV67" s="215"/>
      <c r="JW67" s="215"/>
      <c r="JX67" s="215"/>
      <c r="JY67" s="215"/>
      <c r="JZ67" s="215"/>
      <c r="KA67" s="215"/>
      <c r="KB67" s="215"/>
      <c r="KC67" s="172"/>
      <c r="KD67" s="173"/>
      <c r="KE67" s="174"/>
      <c r="KF67" s="174"/>
      <c r="KG67" s="174"/>
      <c r="KH67" s="174"/>
      <c r="KI67" s="174"/>
      <c r="KJ67" s="174"/>
      <c r="KK67" s="174"/>
      <c r="KL67" s="174"/>
      <c r="KM67" s="174"/>
      <c r="KN67" s="174"/>
      <c r="KO67" s="174"/>
      <c r="KP67" s="174"/>
      <c r="KQ67" s="174"/>
      <c r="KR67" s="174"/>
      <c r="KS67" s="174"/>
      <c r="KT67" s="174"/>
      <c r="KU67" s="174"/>
      <c r="KV67" s="174"/>
      <c r="KW67" s="174"/>
    </row>
    <row r="68">
      <c r="A68" s="102" t="s">
        <v>109</v>
      </c>
      <c r="B68" s="96">
        <v>1299.0</v>
      </c>
      <c r="C68" s="115"/>
      <c r="D68" s="215"/>
      <c r="E68" s="215"/>
      <c r="F68" s="215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310"/>
      <c r="CE68" s="94">
        <f t="shared" si="1"/>
        <v>0</v>
      </c>
      <c r="CF68" s="173">
        <f t="shared" si="2"/>
        <v>0</v>
      </c>
      <c r="CH68" s="115"/>
      <c r="CI68" s="215"/>
      <c r="CJ68" s="215"/>
      <c r="CK68" s="215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71"/>
      <c r="DL68" s="171"/>
      <c r="DM68" s="171"/>
      <c r="DN68" s="171"/>
      <c r="DO68" s="171"/>
      <c r="DP68" s="171"/>
      <c r="DQ68" s="171"/>
      <c r="DR68" s="171"/>
      <c r="DS68" s="171"/>
      <c r="DT68" s="171"/>
      <c r="DU68" s="171"/>
      <c r="DV68" s="171"/>
      <c r="DW68" s="171"/>
      <c r="DX68" s="171"/>
      <c r="DY68" s="171"/>
      <c r="DZ68" s="171"/>
      <c r="EA68" s="171"/>
      <c r="EB68" s="171"/>
      <c r="EC68" s="171"/>
      <c r="ED68" s="171"/>
      <c r="EE68" s="95"/>
      <c r="EF68" s="200">
        <f t="shared" si="8"/>
        <v>0</v>
      </c>
      <c r="EG68" s="173">
        <f t="shared" si="4"/>
        <v>0</v>
      </c>
      <c r="EH68" s="174"/>
      <c r="EI68" s="104"/>
      <c r="EJ68" s="108"/>
      <c r="EK68" s="108"/>
      <c r="EL68" s="108"/>
      <c r="EM68" s="108"/>
      <c r="EN68" s="108"/>
      <c r="EO68" s="108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319"/>
      <c r="FJ68" s="319"/>
      <c r="FK68" s="319"/>
      <c r="FL68" s="319"/>
      <c r="FM68" s="319"/>
      <c r="FN68" s="319"/>
      <c r="FO68" s="319"/>
      <c r="FP68" s="215"/>
      <c r="FQ68" s="215"/>
      <c r="FR68" s="215"/>
      <c r="FS68" s="215"/>
      <c r="FT68" s="215"/>
      <c r="FU68" s="215"/>
      <c r="FV68" s="215"/>
      <c r="FW68" s="215"/>
      <c r="FX68" s="215"/>
      <c r="FY68" s="215"/>
      <c r="FZ68" s="215"/>
      <c r="GA68" s="215"/>
      <c r="GB68" s="215"/>
      <c r="GC68" s="215"/>
      <c r="GD68" s="215"/>
      <c r="GE68" s="215"/>
      <c r="GF68" s="215"/>
      <c r="GG68" s="215"/>
      <c r="GH68" s="200">
        <f t="shared" si="5"/>
        <v>0</v>
      </c>
      <c r="GI68" s="173">
        <f t="shared" si="6"/>
        <v>0</v>
      </c>
      <c r="GJ68" s="174"/>
      <c r="GK68" s="115"/>
      <c r="GL68" s="215"/>
      <c r="GM68" s="215"/>
      <c r="GN68" s="215"/>
      <c r="GO68" s="215"/>
      <c r="GP68" s="215"/>
      <c r="GQ68" s="215"/>
      <c r="GR68" s="215"/>
      <c r="GS68" s="215"/>
      <c r="GT68" s="215"/>
      <c r="GU68" s="215"/>
      <c r="GV68" s="215"/>
      <c r="GW68" s="215"/>
      <c r="GX68" s="215"/>
      <c r="GY68" s="215"/>
      <c r="GZ68" s="215"/>
      <c r="HA68" s="215"/>
      <c r="HB68" s="327"/>
      <c r="HC68" s="327"/>
      <c r="HD68" s="215"/>
      <c r="HE68" s="215"/>
      <c r="HF68" s="215"/>
      <c r="HG68" s="215"/>
      <c r="HH68" s="215"/>
      <c r="HI68" s="215"/>
      <c r="HJ68" s="215"/>
      <c r="HK68" s="215"/>
      <c r="HL68" s="215"/>
      <c r="HM68" s="215"/>
      <c r="HN68" s="215"/>
      <c r="HO68" s="215"/>
      <c r="HP68" s="215"/>
      <c r="HQ68" s="215"/>
      <c r="HR68" s="215"/>
      <c r="HS68" s="215"/>
      <c r="HT68" s="215"/>
      <c r="HU68" s="215"/>
      <c r="HV68" s="215"/>
      <c r="HW68" s="215"/>
      <c r="HX68" s="215"/>
      <c r="HY68" s="215"/>
      <c r="HZ68" s="215"/>
      <c r="IA68" s="215"/>
      <c r="IB68" s="215"/>
      <c r="IC68" s="215"/>
      <c r="ID68" s="215"/>
      <c r="IE68" s="215"/>
      <c r="IF68" s="200"/>
      <c r="IG68" s="173"/>
      <c r="IH68" s="174"/>
      <c r="II68" s="329"/>
      <c r="IJ68" s="215"/>
      <c r="IK68" s="215"/>
      <c r="IL68" s="215"/>
      <c r="IM68" s="215"/>
      <c r="IN68" s="215"/>
      <c r="IO68" s="215"/>
      <c r="IP68" s="215"/>
      <c r="IQ68" s="215"/>
      <c r="IR68" s="215"/>
      <c r="IS68" s="215"/>
      <c r="IT68" s="215"/>
      <c r="IU68" s="215"/>
      <c r="IV68" s="215"/>
      <c r="IW68" s="215"/>
      <c r="IX68" s="215"/>
      <c r="IY68" s="215"/>
      <c r="IZ68" s="215"/>
      <c r="JA68" s="215"/>
      <c r="JB68" s="215"/>
      <c r="JC68" s="215"/>
      <c r="JD68" s="215"/>
      <c r="JE68" s="215"/>
      <c r="JF68" s="215"/>
      <c r="JG68" s="215"/>
      <c r="JH68" s="215"/>
      <c r="JI68" s="215"/>
      <c r="JJ68" s="215"/>
      <c r="JK68" s="215"/>
      <c r="JL68" s="215"/>
      <c r="JM68" s="215"/>
      <c r="JN68" s="215"/>
      <c r="JO68" s="215"/>
      <c r="JP68" s="215"/>
      <c r="JQ68" s="215"/>
      <c r="JR68" s="215"/>
      <c r="JS68" s="215"/>
      <c r="JT68" s="215"/>
      <c r="JU68" s="215"/>
      <c r="JV68" s="215"/>
      <c r="JW68" s="215"/>
      <c r="JX68" s="215"/>
      <c r="JY68" s="215"/>
      <c r="JZ68" s="215"/>
      <c r="KA68" s="215"/>
      <c r="KB68" s="215"/>
      <c r="KC68" s="172"/>
      <c r="KD68" s="173"/>
      <c r="KE68" s="174"/>
      <c r="KF68" s="174"/>
      <c r="KG68" s="174"/>
      <c r="KH68" s="174"/>
      <c r="KI68" s="174"/>
      <c r="KJ68" s="174"/>
      <c r="KK68" s="174"/>
      <c r="KL68" s="174"/>
      <c r="KM68" s="174"/>
      <c r="KN68" s="174"/>
      <c r="KO68" s="174"/>
      <c r="KP68" s="174"/>
      <c r="KQ68" s="174"/>
      <c r="KR68" s="174"/>
      <c r="KS68" s="174"/>
      <c r="KT68" s="174"/>
      <c r="KU68" s="174"/>
      <c r="KV68" s="174"/>
      <c r="KW68" s="174"/>
    </row>
    <row r="69">
      <c r="A69" s="102" t="s">
        <v>110</v>
      </c>
      <c r="B69" s="96">
        <v>1299.0</v>
      </c>
      <c r="C69" s="115"/>
      <c r="D69" s="215"/>
      <c r="E69" s="215"/>
      <c r="F69" s="215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310"/>
      <c r="CE69" s="94">
        <f t="shared" si="1"/>
        <v>0</v>
      </c>
      <c r="CF69" s="173">
        <f t="shared" si="2"/>
        <v>0</v>
      </c>
      <c r="CH69" s="115"/>
      <c r="CI69" s="215"/>
      <c r="CJ69" s="215"/>
      <c r="CK69" s="215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1"/>
      <c r="DF69" s="171"/>
      <c r="DG69" s="171"/>
      <c r="DH69" s="171"/>
      <c r="DI69" s="171"/>
      <c r="DJ69" s="171"/>
      <c r="DK69" s="171"/>
      <c r="DL69" s="171"/>
      <c r="DM69" s="171"/>
      <c r="DN69" s="171"/>
      <c r="DO69" s="171"/>
      <c r="DP69" s="171"/>
      <c r="DQ69" s="171"/>
      <c r="DR69" s="171"/>
      <c r="DS69" s="171"/>
      <c r="DT69" s="171"/>
      <c r="DU69" s="171"/>
      <c r="DV69" s="171"/>
      <c r="DW69" s="171"/>
      <c r="DX69" s="171"/>
      <c r="DY69" s="171"/>
      <c r="DZ69" s="171"/>
      <c r="EA69" s="171"/>
      <c r="EB69" s="171"/>
      <c r="EC69" s="171"/>
      <c r="ED69" s="171"/>
      <c r="EE69" s="95"/>
      <c r="EF69" s="200">
        <f t="shared" si="8"/>
        <v>0</v>
      </c>
      <c r="EG69" s="173">
        <f t="shared" si="4"/>
        <v>0</v>
      </c>
      <c r="EH69" s="174"/>
      <c r="EI69" s="104"/>
      <c r="EJ69" s="108"/>
      <c r="EK69" s="108"/>
      <c r="EL69" s="108"/>
      <c r="EM69" s="108"/>
      <c r="EN69" s="108"/>
      <c r="EO69" s="108"/>
      <c r="EP69" s="319"/>
      <c r="EQ69" s="319"/>
      <c r="ER69" s="319"/>
      <c r="ES69" s="319"/>
      <c r="ET69" s="319"/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/>
      <c r="FF69" s="319"/>
      <c r="FG69" s="319"/>
      <c r="FH69" s="319"/>
      <c r="FI69" s="319"/>
      <c r="FJ69" s="319"/>
      <c r="FK69" s="319"/>
      <c r="FL69" s="319"/>
      <c r="FM69" s="319"/>
      <c r="FN69" s="319"/>
      <c r="FO69" s="319"/>
      <c r="FP69" s="215"/>
      <c r="FQ69" s="215"/>
      <c r="FR69" s="215"/>
      <c r="FS69" s="215"/>
      <c r="FT69" s="215"/>
      <c r="FU69" s="215"/>
      <c r="FV69" s="215"/>
      <c r="FW69" s="215"/>
      <c r="FX69" s="215"/>
      <c r="FY69" s="215"/>
      <c r="FZ69" s="215"/>
      <c r="GA69" s="215"/>
      <c r="GB69" s="215"/>
      <c r="GC69" s="215"/>
      <c r="GD69" s="215"/>
      <c r="GE69" s="215"/>
      <c r="GF69" s="215"/>
      <c r="GG69" s="215"/>
      <c r="GH69" s="200">
        <f t="shared" si="5"/>
        <v>0</v>
      </c>
      <c r="GI69" s="173">
        <f t="shared" si="6"/>
        <v>0</v>
      </c>
      <c r="GJ69" s="174"/>
      <c r="GK69" s="115"/>
      <c r="GL69" s="215"/>
      <c r="GM69" s="215"/>
      <c r="GN69" s="215"/>
      <c r="GO69" s="215"/>
      <c r="GP69" s="215"/>
      <c r="GQ69" s="215"/>
      <c r="GR69" s="215"/>
      <c r="GS69" s="215"/>
      <c r="GT69" s="215"/>
      <c r="GU69" s="215"/>
      <c r="GV69" s="215"/>
      <c r="GW69" s="215"/>
      <c r="GX69" s="215"/>
      <c r="GY69" s="215"/>
      <c r="GZ69" s="215"/>
      <c r="HA69" s="215"/>
      <c r="HB69" s="327"/>
      <c r="HC69" s="327"/>
      <c r="HD69" s="215"/>
      <c r="HE69" s="215"/>
      <c r="HF69" s="215"/>
      <c r="HG69" s="215"/>
      <c r="HH69" s="215"/>
      <c r="HI69" s="215"/>
      <c r="HJ69" s="215"/>
      <c r="HK69" s="215"/>
      <c r="HL69" s="215"/>
      <c r="HM69" s="215"/>
      <c r="HN69" s="215"/>
      <c r="HO69" s="215"/>
      <c r="HP69" s="215"/>
      <c r="HQ69" s="215"/>
      <c r="HR69" s="215"/>
      <c r="HS69" s="215"/>
      <c r="HT69" s="215"/>
      <c r="HU69" s="215"/>
      <c r="HV69" s="215"/>
      <c r="HW69" s="215"/>
      <c r="HX69" s="215"/>
      <c r="HY69" s="215"/>
      <c r="HZ69" s="215"/>
      <c r="IA69" s="215"/>
      <c r="IB69" s="215"/>
      <c r="IC69" s="215"/>
      <c r="ID69" s="215"/>
      <c r="IE69" s="215"/>
      <c r="IF69" s="200"/>
      <c r="IG69" s="173"/>
      <c r="IH69" s="174"/>
      <c r="II69" s="329"/>
      <c r="IJ69" s="215"/>
      <c r="IK69" s="215"/>
      <c r="IL69" s="215"/>
      <c r="IM69" s="215"/>
      <c r="IN69" s="215"/>
      <c r="IO69" s="215"/>
      <c r="IP69" s="215"/>
      <c r="IQ69" s="215"/>
      <c r="IR69" s="215"/>
      <c r="IS69" s="215"/>
      <c r="IT69" s="215"/>
      <c r="IU69" s="215"/>
      <c r="IV69" s="215"/>
      <c r="IW69" s="215"/>
      <c r="IX69" s="215"/>
      <c r="IY69" s="215"/>
      <c r="IZ69" s="215"/>
      <c r="JA69" s="215"/>
      <c r="JB69" s="215"/>
      <c r="JC69" s="215"/>
      <c r="JD69" s="215"/>
      <c r="JE69" s="215"/>
      <c r="JF69" s="215"/>
      <c r="JG69" s="215"/>
      <c r="JH69" s="215"/>
      <c r="JI69" s="215"/>
      <c r="JJ69" s="215"/>
      <c r="JK69" s="215"/>
      <c r="JL69" s="215"/>
      <c r="JM69" s="215"/>
      <c r="JN69" s="215"/>
      <c r="JO69" s="215"/>
      <c r="JP69" s="215"/>
      <c r="JQ69" s="215"/>
      <c r="JR69" s="215"/>
      <c r="JS69" s="215"/>
      <c r="JT69" s="215"/>
      <c r="JU69" s="215"/>
      <c r="JV69" s="215"/>
      <c r="JW69" s="215"/>
      <c r="JX69" s="215"/>
      <c r="JY69" s="215"/>
      <c r="JZ69" s="215"/>
      <c r="KA69" s="215"/>
      <c r="KB69" s="215"/>
      <c r="KC69" s="172"/>
      <c r="KD69" s="173"/>
      <c r="KE69" s="174"/>
      <c r="KF69" s="174"/>
      <c r="KG69" s="174"/>
      <c r="KH69" s="174"/>
      <c r="KI69" s="174"/>
      <c r="KJ69" s="174"/>
      <c r="KK69" s="174"/>
      <c r="KL69" s="174"/>
      <c r="KM69" s="174"/>
      <c r="KN69" s="174"/>
      <c r="KO69" s="174"/>
      <c r="KP69" s="174"/>
      <c r="KQ69" s="174"/>
      <c r="KR69" s="174"/>
      <c r="KS69" s="174"/>
      <c r="KT69" s="174"/>
      <c r="KU69" s="174"/>
      <c r="KV69" s="174"/>
      <c r="KW69" s="174"/>
    </row>
    <row r="70">
      <c r="A70" s="101" t="s">
        <v>111</v>
      </c>
      <c r="B70" s="96">
        <v>1299.0</v>
      </c>
      <c r="C70" s="115"/>
      <c r="D70" s="215"/>
      <c r="E70" s="215"/>
      <c r="F70" s="215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310"/>
      <c r="CE70" s="94">
        <f t="shared" si="1"/>
        <v>0</v>
      </c>
      <c r="CF70" s="173">
        <f t="shared" si="2"/>
        <v>0</v>
      </c>
      <c r="CH70" s="115"/>
      <c r="CI70" s="215"/>
      <c r="CJ70" s="215"/>
      <c r="CK70" s="215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  <c r="DA70" s="171"/>
      <c r="DB70" s="171"/>
      <c r="DC70" s="171"/>
      <c r="DD70" s="171"/>
      <c r="DE70" s="171"/>
      <c r="DF70" s="171"/>
      <c r="DG70" s="171"/>
      <c r="DH70" s="171"/>
      <c r="DI70" s="171"/>
      <c r="DJ70" s="171"/>
      <c r="DK70" s="171"/>
      <c r="DL70" s="171"/>
      <c r="DM70" s="171"/>
      <c r="DN70" s="171"/>
      <c r="DO70" s="171"/>
      <c r="DP70" s="171"/>
      <c r="DQ70" s="171"/>
      <c r="DR70" s="171"/>
      <c r="DS70" s="171"/>
      <c r="DT70" s="171"/>
      <c r="DU70" s="171"/>
      <c r="DV70" s="171"/>
      <c r="DW70" s="171"/>
      <c r="DX70" s="171"/>
      <c r="DY70" s="171"/>
      <c r="DZ70" s="171"/>
      <c r="EA70" s="171"/>
      <c r="EB70" s="171"/>
      <c r="EC70" s="171"/>
      <c r="ED70" s="171"/>
      <c r="EE70" s="95"/>
      <c r="EF70" s="200">
        <f t="shared" si="8"/>
        <v>0</v>
      </c>
      <c r="EG70" s="173">
        <f t="shared" si="4"/>
        <v>0</v>
      </c>
      <c r="EH70" s="174"/>
      <c r="EI70" s="104"/>
      <c r="EJ70" s="108"/>
      <c r="EK70" s="108"/>
      <c r="EL70" s="108"/>
      <c r="EM70" s="108"/>
      <c r="EN70" s="108"/>
      <c r="EO70" s="108"/>
      <c r="EP70" s="319"/>
      <c r="EQ70" s="319"/>
      <c r="ER70" s="319"/>
      <c r="ES70" s="319"/>
      <c r="ET70" s="319"/>
      <c r="EU70" s="319"/>
      <c r="EV70" s="319"/>
      <c r="EW70" s="319"/>
      <c r="EX70" s="319"/>
      <c r="EY70" s="319"/>
      <c r="EZ70" s="319"/>
      <c r="FA70" s="319"/>
      <c r="FB70" s="319"/>
      <c r="FC70" s="319"/>
      <c r="FD70" s="319"/>
      <c r="FE70" s="319"/>
      <c r="FF70" s="319"/>
      <c r="FG70" s="319"/>
      <c r="FH70" s="319"/>
      <c r="FI70" s="319"/>
      <c r="FJ70" s="319"/>
      <c r="FK70" s="319"/>
      <c r="FL70" s="319"/>
      <c r="FM70" s="319"/>
      <c r="FN70" s="319"/>
      <c r="FO70" s="319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00">
        <f t="shared" si="5"/>
        <v>0</v>
      </c>
      <c r="GI70" s="173">
        <f t="shared" si="6"/>
        <v>0</v>
      </c>
      <c r="GJ70" s="174"/>
      <c r="GK70" s="1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327"/>
      <c r="HC70" s="327"/>
      <c r="HD70" s="215"/>
      <c r="HE70" s="215"/>
      <c r="HF70" s="215"/>
      <c r="HG70" s="215"/>
      <c r="HH70" s="215"/>
      <c r="HI70" s="215"/>
      <c r="HJ70" s="215"/>
      <c r="HK70" s="215"/>
      <c r="HL70" s="215"/>
      <c r="HM70" s="215"/>
      <c r="HN70" s="215"/>
      <c r="HO70" s="215"/>
      <c r="HP70" s="215"/>
      <c r="HQ70" s="215"/>
      <c r="HR70" s="215"/>
      <c r="HS70" s="215"/>
      <c r="HT70" s="215"/>
      <c r="HU70" s="215"/>
      <c r="HV70" s="215"/>
      <c r="HW70" s="215"/>
      <c r="HX70" s="215"/>
      <c r="HY70" s="215"/>
      <c r="HZ70" s="215"/>
      <c r="IA70" s="215"/>
      <c r="IB70" s="215"/>
      <c r="IC70" s="215"/>
      <c r="ID70" s="215"/>
      <c r="IE70" s="215"/>
      <c r="IF70" s="200"/>
      <c r="IG70" s="173"/>
      <c r="IH70" s="174"/>
      <c r="II70" s="329"/>
      <c r="IJ70" s="215"/>
      <c r="IK70" s="215"/>
      <c r="IL70" s="215"/>
      <c r="IM70" s="215"/>
      <c r="IN70" s="215"/>
      <c r="IO70" s="215"/>
      <c r="IP70" s="215"/>
      <c r="IQ70" s="215"/>
      <c r="IR70" s="215"/>
      <c r="IS70" s="215"/>
      <c r="IT70" s="215"/>
      <c r="IU70" s="215"/>
      <c r="IV70" s="215"/>
      <c r="IW70" s="215"/>
      <c r="IX70" s="215"/>
      <c r="IY70" s="215"/>
      <c r="IZ70" s="215"/>
      <c r="JA70" s="215"/>
      <c r="JB70" s="215"/>
      <c r="JC70" s="215"/>
      <c r="JD70" s="215"/>
      <c r="JE70" s="215"/>
      <c r="JF70" s="215"/>
      <c r="JG70" s="215"/>
      <c r="JH70" s="215"/>
      <c r="JI70" s="215"/>
      <c r="JJ70" s="215"/>
      <c r="JK70" s="215"/>
      <c r="JL70" s="215"/>
      <c r="JM70" s="215"/>
      <c r="JN70" s="215"/>
      <c r="JO70" s="215"/>
      <c r="JP70" s="215"/>
      <c r="JQ70" s="215"/>
      <c r="JR70" s="215"/>
      <c r="JS70" s="215"/>
      <c r="JT70" s="215"/>
      <c r="JU70" s="215"/>
      <c r="JV70" s="215"/>
      <c r="JW70" s="215"/>
      <c r="JX70" s="215"/>
      <c r="JY70" s="215"/>
      <c r="JZ70" s="215"/>
      <c r="KA70" s="215"/>
      <c r="KB70" s="215"/>
      <c r="KC70" s="172"/>
      <c r="KD70" s="173"/>
      <c r="KE70" s="174"/>
      <c r="KF70" s="174"/>
      <c r="KG70" s="174"/>
      <c r="KH70" s="174"/>
      <c r="KI70" s="174"/>
      <c r="KJ70" s="174"/>
      <c r="KK70" s="174"/>
      <c r="KL70" s="174"/>
      <c r="KM70" s="174"/>
      <c r="KN70" s="174"/>
      <c r="KO70" s="174"/>
      <c r="KP70" s="174"/>
      <c r="KQ70" s="174"/>
      <c r="KR70" s="174"/>
      <c r="KS70" s="174"/>
      <c r="KT70" s="174"/>
      <c r="KU70" s="174"/>
      <c r="KV70" s="174"/>
      <c r="KW70" s="174"/>
    </row>
    <row r="71">
      <c r="A71" s="101" t="s">
        <v>112</v>
      </c>
      <c r="B71" s="93">
        <v>609.0</v>
      </c>
      <c r="C71" s="115"/>
      <c r="D71" s="215"/>
      <c r="E71" s="215"/>
      <c r="F71" s="215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96">
        <v>1.0</v>
      </c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310"/>
      <c r="CE71" s="94">
        <f t="shared" si="1"/>
        <v>1</v>
      </c>
      <c r="CF71" s="173">
        <f t="shared" si="2"/>
        <v>609</v>
      </c>
      <c r="CH71" s="115"/>
      <c r="CI71" s="215"/>
      <c r="CJ71" s="215"/>
      <c r="CK71" s="215"/>
      <c r="CL71" s="171"/>
      <c r="CM71" s="171"/>
      <c r="CN71" s="171"/>
      <c r="CO71" s="196">
        <v>1.0</v>
      </c>
      <c r="CP71" s="171"/>
      <c r="CQ71" s="171"/>
      <c r="CR71" s="171"/>
      <c r="CS71" s="171"/>
      <c r="CT71" s="171"/>
      <c r="CU71" s="171"/>
      <c r="CV71" s="171"/>
      <c r="CW71" s="196">
        <v>1.0</v>
      </c>
      <c r="CX71" s="171"/>
      <c r="CY71" s="171"/>
      <c r="CZ71" s="196">
        <v>1.0</v>
      </c>
      <c r="DA71" s="171"/>
      <c r="DB71" s="171"/>
      <c r="DC71" s="171"/>
      <c r="DD71" s="196">
        <v>1.0</v>
      </c>
      <c r="DE71" s="196">
        <v>1.0</v>
      </c>
      <c r="DF71" s="171"/>
      <c r="DG71" s="171"/>
      <c r="DH71" s="171"/>
      <c r="DI71" s="171"/>
      <c r="DJ71" s="171"/>
      <c r="DK71" s="171"/>
      <c r="DL71" s="171"/>
      <c r="DM71" s="171"/>
      <c r="DN71" s="171"/>
      <c r="DO71" s="171"/>
      <c r="DP71" s="171"/>
      <c r="DQ71" s="171"/>
      <c r="DR71" s="171"/>
      <c r="DS71" s="171"/>
      <c r="DT71" s="171"/>
      <c r="DU71" s="171"/>
      <c r="DV71" s="171"/>
      <c r="DW71" s="171"/>
      <c r="DX71" s="171"/>
      <c r="DY71" s="171"/>
      <c r="DZ71" s="171"/>
      <c r="EA71" s="171"/>
      <c r="EB71" s="171"/>
      <c r="EC71" s="171"/>
      <c r="ED71" s="171"/>
      <c r="EE71" s="95"/>
      <c r="EF71" s="200">
        <f t="shared" si="8"/>
        <v>5</v>
      </c>
      <c r="EG71" s="173">
        <f t="shared" si="4"/>
        <v>3045</v>
      </c>
      <c r="EH71" s="174"/>
      <c r="EI71" s="104"/>
      <c r="EJ71" s="108"/>
      <c r="EK71" s="318">
        <v>1.0</v>
      </c>
      <c r="EL71" s="108"/>
      <c r="EM71" s="108"/>
      <c r="EN71" s="108"/>
      <c r="EO71" s="108"/>
      <c r="EP71" s="319"/>
      <c r="EQ71" s="319"/>
      <c r="ER71" s="319"/>
      <c r="ES71" s="319"/>
      <c r="ET71" s="319"/>
      <c r="EU71" s="319"/>
      <c r="EV71" s="319"/>
      <c r="EW71" s="319"/>
      <c r="EX71" s="319"/>
      <c r="EY71" s="319"/>
      <c r="EZ71" s="319"/>
      <c r="FA71" s="319"/>
      <c r="FB71" s="319"/>
      <c r="FC71" s="319"/>
      <c r="FD71" s="319"/>
      <c r="FE71" s="319"/>
      <c r="FF71" s="319"/>
      <c r="FG71" s="319"/>
      <c r="FH71" s="319"/>
      <c r="FI71" s="319"/>
      <c r="FJ71" s="319"/>
      <c r="FK71" s="319"/>
      <c r="FL71" s="319"/>
      <c r="FM71" s="322">
        <v>1.0</v>
      </c>
      <c r="FN71" s="319"/>
      <c r="FO71" s="319"/>
      <c r="FP71" s="215"/>
      <c r="FQ71" s="215"/>
      <c r="FR71" s="215"/>
      <c r="FS71" s="215"/>
      <c r="FT71" s="215"/>
      <c r="FU71" s="215"/>
      <c r="FV71" s="215"/>
      <c r="FW71" s="215"/>
      <c r="FX71" s="215"/>
      <c r="FY71" s="215"/>
      <c r="FZ71" s="217">
        <v>1.0</v>
      </c>
      <c r="GA71" s="215"/>
      <c r="GB71" s="215"/>
      <c r="GC71" s="215"/>
      <c r="GD71" s="215"/>
      <c r="GE71" s="215"/>
      <c r="GF71" s="215"/>
      <c r="GG71" s="215"/>
      <c r="GH71" s="200">
        <f t="shared" si="5"/>
        <v>3</v>
      </c>
      <c r="GI71" s="173">
        <f t="shared" si="6"/>
        <v>1827</v>
      </c>
      <c r="GJ71" s="174"/>
      <c r="GK71" s="115"/>
      <c r="GL71" s="215"/>
      <c r="GM71" s="215"/>
      <c r="GN71" s="215"/>
      <c r="GO71" s="215"/>
      <c r="GP71" s="215"/>
      <c r="GQ71" s="215"/>
      <c r="GR71" s="215"/>
      <c r="GS71" s="215"/>
      <c r="GT71" s="215"/>
      <c r="GU71" s="215"/>
      <c r="GV71" s="215"/>
      <c r="GW71" s="215"/>
      <c r="GX71" s="215"/>
      <c r="GY71" s="215"/>
      <c r="GZ71" s="215"/>
      <c r="HA71" s="215"/>
      <c r="HB71" s="327"/>
      <c r="HC71" s="327"/>
      <c r="HD71" s="215"/>
      <c r="HE71" s="320">
        <v>1.0</v>
      </c>
      <c r="HF71" s="215"/>
      <c r="HG71" s="215"/>
      <c r="HH71" s="215"/>
      <c r="HI71" s="215"/>
      <c r="HJ71" s="215"/>
      <c r="HK71" s="215"/>
      <c r="HL71" s="215"/>
      <c r="HM71" s="215"/>
      <c r="HN71" s="215"/>
      <c r="HO71" s="215"/>
      <c r="HP71" s="215"/>
      <c r="HQ71" s="215"/>
      <c r="HR71" s="215"/>
      <c r="HS71" s="215"/>
      <c r="HT71" s="215"/>
      <c r="HU71" s="215"/>
      <c r="HV71" s="215"/>
      <c r="HW71" s="215"/>
      <c r="HX71" s="320">
        <v>1.0</v>
      </c>
      <c r="HY71" s="215"/>
      <c r="HZ71" s="215"/>
      <c r="IA71" s="215"/>
      <c r="IB71" s="215"/>
      <c r="IC71" s="215"/>
      <c r="ID71" s="215"/>
      <c r="IE71" s="215"/>
      <c r="IF71" s="200"/>
      <c r="IG71" s="173"/>
      <c r="IH71" s="174"/>
      <c r="II71" s="329"/>
      <c r="IJ71" s="215"/>
      <c r="IK71" s="215"/>
      <c r="IL71" s="215"/>
      <c r="IM71" s="215"/>
      <c r="IN71" s="215"/>
      <c r="IO71" s="215"/>
      <c r="IP71" s="215"/>
      <c r="IQ71" s="215"/>
      <c r="IR71" s="215"/>
      <c r="IS71" s="215"/>
      <c r="IT71" s="215"/>
      <c r="IU71" s="215"/>
      <c r="IV71" s="215"/>
      <c r="IW71" s="215"/>
      <c r="IX71" s="215"/>
      <c r="IY71" s="215"/>
      <c r="IZ71" s="215"/>
      <c r="JA71" s="215"/>
      <c r="JB71" s="215"/>
      <c r="JC71" s="215"/>
      <c r="JD71" s="215"/>
      <c r="JE71" s="215"/>
      <c r="JF71" s="215"/>
      <c r="JG71" s="215"/>
      <c r="JH71" s="215"/>
      <c r="JI71" s="215"/>
      <c r="JJ71" s="215"/>
      <c r="JK71" s="215"/>
      <c r="JL71" s="215"/>
      <c r="JM71" s="215"/>
      <c r="JN71" s="215"/>
      <c r="JO71" s="215"/>
      <c r="JP71" s="215"/>
      <c r="JQ71" s="215"/>
      <c r="JR71" s="215"/>
      <c r="JS71" s="215"/>
      <c r="JT71" s="215"/>
      <c r="JU71" s="215"/>
      <c r="JV71" s="217">
        <v>1.0</v>
      </c>
      <c r="JW71" s="217"/>
      <c r="JX71" s="215"/>
      <c r="JY71" s="215"/>
      <c r="JZ71" s="215"/>
      <c r="KA71" s="215"/>
      <c r="KB71" s="215"/>
      <c r="KC71" s="172"/>
      <c r="KD71" s="173"/>
      <c r="KE71" s="174"/>
      <c r="KF71" s="174"/>
      <c r="KG71" s="174"/>
      <c r="KH71" s="174"/>
      <c r="KI71" s="174"/>
      <c r="KJ71" s="174"/>
      <c r="KK71" s="174"/>
      <c r="KL71" s="174"/>
      <c r="KM71" s="174"/>
      <c r="KN71" s="174"/>
      <c r="KO71" s="174"/>
      <c r="KP71" s="174"/>
      <c r="KQ71" s="174"/>
      <c r="KR71" s="174"/>
      <c r="KS71" s="174"/>
      <c r="KT71" s="174"/>
      <c r="KU71" s="174"/>
      <c r="KV71" s="174"/>
      <c r="KW71" s="174"/>
    </row>
    <row r="72">
      <c r="A72" s="101" t="s">
        <v>113</v>
      </c>
      <c r="B72" s="187">
        <v>1599.0</v>
      </c>
      <c r="C72" s="115"/>
      <c r="D72" s="215"/>
      <c r="E72" s="215"/>
      <c r="F72" s="215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310"/>
      <c r="CE72" s="94">
        <f t="shared" si="1"/>
        <v>0</v>
      </c>
      <c r="CF72" s="173">
        <f t="shared" si="2"/>
        <v>0</v>
      </c>
      <c r="CH72" s="115"/>
      <c r="CI72" s="215"/>
      <c r="CJ72" s="215"/>
      <c r="CK72" s="215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  <c r="DA72" s="171"/>
      <c r="DB72" s="171"/>
      <c r="DC72" s="171"/>
      <c r="DD72" s="171"/>
      <c r="DE72" s="171"/>
      <c r="DF72" s="171"/>
      <c r="DG72" s="171"/>
      <c r="DH72" s="171"/>
      <c r="DI72" s="171"/>
      <c r="DJ72" s="171"/>
      <c r="DK72" s="171"/>
      <c r="DL72" s="171"/>
      <c r="DM72" s="171"/>
      <c r="DN72" s="171"/>
      <c r="DO72" s="171"/>
      <c r="DP72" s="171"/>
      <c r="DQ72" s="171"/>
      <c r="DR72" s="171"/>
      <c r="DS72" s="171"/>
      <c r="DT72" s="171"/>
      <c r="DU72" s="171"/>
      <c r="DV72" s="171"/>
      <c r="DW72" s="171"/>
      <c r="DX72" s="171"/>
      <c r="DY72" s="171"/>
      <c r="DZ72" s="171"/>
      <c r="EA72" s="171"/>
      <c r="EB72" s="171"/>
      <c r="EC72" s="171"/>
      <c r="ED72" s="171"/>
      <c r="EE72" s="95"/>
      <c r="EF72" s="200">
        <f t="shared" si="8"/>
        <v>0</v>
      </c>
      <c r="EG72" s="173">
        <f t="shared" si="4"/>
        <v>0</v>
      </c>
      <c r="EH72" s="174"/>
      <c r="EI72" s="104"/>
      <c r="EJ72" s="108"/>
      <c r="EK72" s="108"/>
      <c r="EL72" s="108"/>
      <c r="EM72" s="108"/>
      <c r="EN72" s="108"/>
      <c r="EO72" s="108"/>
      <c r="EP72" s="319"/>
      <c r="EQ72" s="319"/>
      <c r="ER72" s="319"/>
      <c r="ES72" s="319"/>
      <c r="ET72" s="319"/>
      <c r="EU72" s="319"/>
      <c r="EV72" s="319"/>
      <c r="EW72" s="319"/>
      <c r="EX72" s="319"/>
      <c r="EY72" s="319"/>
      <c r="EZ72" s="319"/>
      <c r="FA72" s="319"/>
      <c r="FB72" s="319"/>
      <c r="FC72" s="319"/>
      <c r="FD72" s="319"/>
      <c r="FE72" s="319"/>
      <c r="FF72" s="319"/>
      <c r="FG72" s="319"/>
      <c r="FH72" s="319"/>
      <c r="FI72" s="319"/>
      <c r="FJ72" s="319"/>
      <c r="FK72" s="319"/>
      <c r="FL72" s="319"/>
      <c r="FM72" s="319"/>
      <c r="FN72" s="319"/>
      <c r="FO72" s="319"/>
      <c r="FP72" s="215"/>
      <c r="FQ72" s="215"/>
      <c r="FR72" s="215"/>
      <c r="FS72" s="215"/>
      <c r="FT72" s="215"/>
      <c r="FU72" s="215"/>
      <c r="FV72" s="215"/>
      <c r="FW72" s="215"/>
      <c r="FX72" s="215"/>
      <c r="FY72" s="215"/>
      <c r="FZ72" s="215"/>
      <c r="GA72" s="215"/>
      <c r="GB72" s="215"/>
      <c r="GC72" s="215"/>
      <c r="GD72" s="215"/>
      <c r="GE72" s="215"/>
      <c r="GF72" s="215"/>
      <c r="GG72" s="215"/>
      <c r="GH72" s="200">
        <f t="shared" si="5"/>
        <v>0</v>
      </c>
      <c r="GI72" s="173">
        <f t="shared" si="6"/>
        <v>0</v>
      </c>
      <c r="GJ72" s="174"/>
      <c r="GK72" s="115"/>
      <c r="GL72" s="215"/>
      <c r="GM72" s="215"/>
      <c r="GN72" s="215"/>
      <c r="GO72" s="215"/>
      <c r="GP72" s="215"/>
      <c r="GQ72" s="215"/>
      <c r="GR72" s="215"/>
      <c r="GS72" s="215"/>
      <c r="GT72" s="215"/>
      <c r="GU72" s="215"/>
      <c r="GV72" s="215"/>
      <c r="GW72" s="215"/>
      <c r="GX72" s="215"/>
      <c r="GY72" s="215"/>
      <c r="GZ72" s="215"/>
      <c r="HA72" s="215"/>
      <c r="HB72" s="327"/>
      <c r="HC72" s="327"/>
      <c r="HD72" s="215"/>
      <c r="HE72" s="215"/>
      <c r="HF72" s="215"/>
      <c r="HG72" s="215"/>
      <c r="HH72" s="215"/>
      <c r="HI72" s="215"/>
      <c r="HJ72" s="215"/>
      <c r="HK72" s="215"/>
      <c r="HL72" s="215"/>
      <c r="HM72" s="215"/>
      <c r="HN72" s="215"/>
      <c r="HO72" s="215"/>
      <c r="HP72" s="215"/>
      <c r="HQ72" s="215"/>
      <c r="HR72" s="215"/>
      <c r="HS72" s="215"/>
      <c r="HT72" s="215"/>
      <c r="HU72" s="215"/>
      <c r="HV72" s="215"/>
      <c r="HW72" s="215"/>
      <c r="HX72" s="215"/>
      <c r="HY72" s="215"/>
      <c r="HZ72" s="215"/>
      <c r="IA72" s="215"/>
      <c r="IB72" s="215"/>
      <c r="IC72" s="215"/>
      <c r="ID72" s="215"/>
      <c r="IE72" s="215"/>
      <c r="IF72" s="200"/>
      <c r="IG72" s="173"/>
      <c r="IH72" s="174"/>
      <c r="II72" s="329"/>
      <c r="IJ72" s="215"/>
      <c r="IK72" s="215"/>
      <c r="IL72" s="215"/>
      <c r="IM72" s="215"/>
      <c r="IN72" s="215"/>
      <c r="IO72" s="215"/>
      <c r="IP72" s="215"/>
      <c r="IQ72" s="215"/>
      <c r="IR72" s="215"/>
      <c r="IS72" s="215"/>
      <c r="IT72" s="215"/>
      <c r="IU72" s="215"/>
      <c r="IV72" s="215"/>
      <c r="IW72" s="215"/>
      <c r="IX72" s="215"/>
      <c r="IY72" s="215"/>
      <c r="IZ72" s="215"/>
      <c r="JA72" s="215"/>
      <c r="JB72" s="215"/>
      <c r="JC72" s="215"/>
      <c r="JD72" s="215"/>
      <c r="JE72" s="215"/>
      <c r="JF72" s="215"/>
      <c r="JG72" s="215"/>
      <c r="JH72" s="215"/>
      <c r="JI72" s="215"/>
      <c r="JJ72" s="215"/>
      <c r="JK72" s="215"/>
      <c r="JL72" s="215"/>
      <c r="JM72" s="215"/>
      <c r="JN72" s="215"/>
      <c r="JO72" s="215"/>
      <c r="JP72" s="215"/>
      <c r="JQ72" s="215"/>
      <c r="JR72" s="215"/>
      <c r="JS72" s="215"/>
      <c r="JT72" s="215"/>
      <c r="JU72" s="215"/>
      <c r="JV72" s="215"/>
      <c r="JW72" s="215"/>
      <c r="JX72" s="215"/>
      <c r="JY72" s="215"/>
      <c r="JZ72" s="215"/>
      <c r="KA72" s="215"/>
      <c r="KB72" s="215"/>
      <c r="KC72" s="172"/>
      <c r="KD72" s="173"/>
      <c r="KE72" s="174"/>
      <c r="KF72" s="174"/>
      <c r="KG72" s="174"/>
      <c r="KH72" s="174"/>
      <c r="KI72" s="174"/>
      <c r="KJ72" s="174"/>
      <c r="KK72" s="174"/>
      <c r="KL72" s="174"/>
      <c r="KM72" s="174"/>
      <c r="KN72" s="174"/>
      <c r="KO72" s="174"/>
      <c r="KP72" s="174"/>
      <c r="KQ72" s="174"/>
      <c r="KR72" s="174"/>
      <c r="KS72" s="174"/>
      <c r="KT72" s="174"/>
      <c r="KU72" s="174"/>
      <c r="KV72" s="174"/>
      <c r="KW72" s="174"/>
    </row>
    <row r="73">
      <c r="A73" s="101" t="s">
        <v>114</v>
      </c>
      <c r="B73" s="224">
        <v>1599.0</v>
      </c>
      <c r="C73" s="115"/>
      <c r="D73" s="215"/>
      <c r="E73" s="215"/>
      <c r="F73" s="215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310"/>
      <c r="CE73" s="94">
        <f t="shared" si="1"/>
        <v>0</v>
      </c>
      <c r="CF73" s="173">
        <f t="shared" si="2"/>
        <v>0</v>
      </c>
      <c r="CH73" s="115"/>
      <c r="CI73" s="215"/>
      <c r="CJ73" s="215"/>
      <c r="CK73" s="215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  <c r="DA73" s="171"/>
      <c r="DB73" s="171"/>
      <c r="DC73" s="171"/>
      <c r="DD73" s="171"/>
      <c r="DE73" s="171"/>
      <c r="DF73" s="171"/>
      <c r="DG73" s="171"/>
      <c r="DH73" s="171"/>
      <c r="DI73" s="171"/>
      <c r="DJ73" s="171"/>
      <c r="DK73" s="171"/>
      <c r="DL73" s="171"/>
      <c r="DM73" s="171"/>
      <c r="DN73" s="171"/>
      <c r="DO73" s="171"/>
      <c r="DP73" s="171"/>
      <c r="DQ73" s="171"/>
      <c r="DR73" s="171"/>
      <c r="DS73" s="171"/>
      <c r="DT73" s="171"/>
      <c r="DU73" s="171"/>
      <c r="DV73" s="171"/>
      <c r="DW73" s="171"/>
      <c r="DX73" s="171"/>
      <c r="DY73" s="171"/>
      <c r="DZ73" s="171"/>
      <c r="EA73" s="171"/>
      <c r="EB73" s="171"/>
      <c r="EC73" s="171"/>
      <c r="ED73" s="171"/>
      <c r="EE73" s="95"/>
      <c r="EF73" s="200">
        <f t="shared" si="8"/>
        <v>0</v>
      </c>
      <c r="EG73" s="173">
        <f t="shared" si="4"/>
        <v>0</v>
      </c>
      <c r="EH73" s="174"/>
      <c r="EI73" s="104"/>
      <c r="EJ73" s="108"/>
      <c r="EK73" s="108"/>
      <c r="EL73" s="108"/>
      <c r="EM73" s="108"/>
      <c r="EN73" s="108"/>
      <c r="EO73" s="108"/>
      <c r="EP73" s="319"/>
      <c r="EQ73" s="319"/>
      <c r="ER73" s="319"/>
      <c r="ES73" s="319"/>
      <c r="ET73" s="319"/>
      <c r="EU73" s="319"/>
      <c r="EV73" s="319"/>
      <c r="EW73" s="319"/>
      <c r="EX73" s="319"/>
      <c r="EY73" s="319"/>
      <c r="EZ73" s="319"/>
      <c r="FA73" s="319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/>
      <c r="FL73" s="319"/>
      <c r="FM73" s="319"/>
      <c r="FN73" s="319"/>
      <c r="FO73" s="319"/>
      <c r="FP73" s="215"/>
      <c r="FQ73" s="215"/>
      <c r="FR73" s="215"/>
      <c r="FS73" s="215"/>
      <c r="FT73" s="215"/>
      <c r="FU73" s="215"/>
      <c r="FV73" s="215"/>
      <c r="FW73" s="215"/>
      <c r="FX73" s="215"/>
      <c r="FY73" s="215"/>
      <c r="FZ73" s="215"/>
      <c r="GA73" s="215"/>
      <c r="GB73" s="215"/>
      <c r="GC73" s="215"/>
      <c r="GD73" s="215"/>
      <c r="GE73" s="215"/>
      <c r="GF73" s="215"/>
      <c r="GG73" s="215"/>
      <c r="GH73" s="200">
        <f t="shared" si="5"/>
        <v>0</v>
      </c>
      <c r="GI73" s="173">
        <f t="shared" si="6"/>
        <v>0</v>
      </c>
      <c r="GJ73" s="174"/>
      <c r="GK73" s="115"/>
      <c r="GL73" s="215"/>
      <c r="GM73" s="215"/>
      <c r="GN73" s="215"/>
      <c r="GO73" s="215"/>
      <c r="GP73" s="215"/>
      <c r="GQ73" s="215"/>
      <c r="GR73" s="215"/>
      <c r="GS73" s="215"/>
      <c r="GT73" s="215"/>
      <c r="GU73" s="215"/>
      <c r="GV73" s="215"/>
      <c r="GW73" s="215"/>
      <c r="GX73" s="215"/>
      <c r="GY73" s="215"/>
      <c r="GZ73" s="215"/>
      <c r="HA73" s="215"/>
      <c r="HB73" s="327"/>
      <c r="HC73" s="327"/>
      <c r="HD73" s="215"/>
      <c r="HE73" s="215"/>
      <c r="HF73" s="215"/>
      <c r="HG73" s="215"/>
      <c r="HH73" s="215"/>
      <c r="HI73" s="215"/>
      <c r="HJ73" s="215"/>
      <c r="HK73" s="215"/>
      <c r="HL73" s="215"/>
      <c r="HM73" s="215"/>
      <c r="HN73" s="215"/>
      <c r="HO73" s="215"/>
      <c r="HP73" s="215"/>
      <c r="HQ73" s="215"/>
      <c r="HR73" s="215"/>
      <c r="HS73" s="215"/>
      <c r="HT73" s="215"/>
      <c r="HU73" s="215"/>
      <c r="HV73" s="215"/>
      <c r="HW73" s="215"/>
      <c r="HX73" s="215"/>
      <c r="HY73" s="215"/>
      <c r="HZ73" s="215"/>
      <c r="IA73" s="215"/>
      <c r="IB73" s="215"/>
      <c r="IC73" s="215"/>
      <c r="ID73" s="215"/>
      <c r="IE73" s="215"/>
      <c r="IF73" s="200"/>
      <c r="IG73" s="173"/>
      <c r="IH73" s="174"/>
      <c r="II73" s="329"/>
      <c r="IJ73" s="215"/>
      <c r="IK73" s="215"/>
      <c r="IL73" s="215"/>
      <c r="IM73" s="215"/>
      <c r="IN73" s="215"/>
      <c r="IO73" s="215"/>
      <c r="IP73" s="215"/>
      <c r="IQ73" s="215"/>
      <c r="IR73" s="215"/>
      <c r="IS73" s="215"/>
      <c r="IT73" s="215"/>
      <c r="IU73" s="215"/>
      <c r="IV73" s="215"/>
      <c r="IW73" s="215"/>
      <c r="IX73" s="215"/>
      <c r="IY73" s="215"/>
      <c r="IZ73" s="215"/>
      <c r="JA73" s="215"/>
      <c r="JB73" s="215"/>
      <c r="JC73" s="215"/>
      <c r="JD73" s="215"/>
      <c r="JE73" s="215"/>
      <c r="JF73" s="215"/>
      <c r="JG73" s="215"/>
      <c r="JH73" s="215"/>
      <c r="JI73" s="215"/>
      <c r="JJ73" s="215"/>
      <c r="JK73" s="215"/>
      <c r="JL73" s="215"/>
      <c r="JM73" s="215"/>
      <c r="JN73" s="215"/>
      <c r="JO73" s="215"/>
      <c r="JP73" s="215"/>
      <c r="JQ73" s="215"/>
      <c r="JR73" s="215"/>
      <c r="JS73" s="215"/>
      <c r="JT73" s="215"/>
      <c r="JU73" s="215"/>
      <c r="JV73" s="215"/>
      <c r="JW73" s="215"/>
      <c r="JX73" s="215"/>
      <c r="JY73" s="215"/>
      <c r="JZ73" s="215"/>
      <c r="KA73" s="215"/>
      <c r="KB73" s="215"/>
      <c r="KC73" s="172"/>
      <c r="KD73" s="173"/>
      <c r="KE73" s="174"/>
      <c r="KF73" s="174"/>
      <c r="KG73" s="174"/>
      <c r="KH73" s="174"/>
      <c r="KI73" s="174"/>
      <c r="KJ73" s="174"/>
      <c r="KK73" s="174"/>
      <c r="KL73" s="174"/>
      <c r="KM73" s="174"/>
      <c r="KN73" s="174"/>
      <c r="KO73" s="174"/>
      <c r="KP73" s="174"/>
      <c r="KQ73" s="174"/>
      <c r="KR73" s="174"/>
      <c r="KS73" s="174"/>
      <c r="KT73" s="174"/>
      <c r="KU73" s="174"/>
      <c r="KV73" s="174"/>
      <c r="KW73" s="174"/>
    </row>
    <row r="74">
      <c r="A74" s="101" t="s">
        <v>115</v>
      </c>
      <c r="B74" s="225">
        <v>1599.0</v>
      </c>
      <c r="C74" s="115"/>
      <c r="D74" s="215"/>
      <c r="E74" s="215"/>
      <c r="F74" s="215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  <c r="AV74" s="171"/>
      <c r="AW74" s="171"/>
      <c r="AX74" s="171"/>
      <c r="AY74" s="171"/>
      <c r="AZ74" s="171"/>
      <c r="BA74" s="171"/>
      <c r="BB74" s="171"/>
      <c r="BC74" s="171"/>
      <c r="BD74" s="171"/>
      <c r="BE74" s="171"/>
      <c r="BF74" s="171"/>
      <c r="BG74" s="171"/>
      <c r="BH74" s="171"/>
      <c r="BI74" s="171"/>
      <c r="BJ74" s="171"/>
      <c r="BK74" s="171"/>
      <c r="BL74" s="171"/>
      <c r="BM74" s="171"/>
      <c r="BN74" s="171"/>
      <c r="BO74" s="171"/>
      <c r="BP74" s="171"/>
      <c r="BQ74" s="171"/>
      <c r="BR74" s="171"/>
      <c r="BS74" s="171"/>
      <c r="BT74" s="171"/>
      <c r="BU74" s="171"/>
      <c r="BV74" s="171"/>
      <c r="BW74" s="171"/>
      <c r="BX74" s="171"/>
      <c r="BY74" s="171"/>
      <c r="BZ74" s="171"/>
      <c r="CA74" s="171"/>
      <c r="CB74" s="171"/>
      <c r="CC74" s="171"/>
      <c r="CD74" s="310"/>
      <c r="CE74" s="94">
        <f t="shared" si="1"/>
        <v>0</v>
      </c>
      <c r="CF74" s="173">
        <f t="shared" si="2"/>
        <v>0</v>
      </c>
      <c r="CH74" s="115"/>
      <c r="CI74" s="215"/>
      <c r="CJ74" s="215"/>
      <c r="CK74" s="215"/>
      <c r="CL74" s="171"/>
      <c r="CM74" s="171"/>
      <c r="CN74" s="171"/>
      <c r="CO74" s="171"/>
      <c r="CP74" s="171"/>
      <c r="CQ74" s="171"/>
      <c r="CR74" s="171"/>
      <c r="CS74" s="171"/>
      <c r="CT74" s="171"/>
      <c r="CU74" s="171"/>
      <c r="CV74" s="171"/>
      <c r="CW74" s="171"/>
      <c r="CX74" s="171"/>
      <c r="CY74" s="171"/>
      <c r="CZ74" s="171"/>
      <c r="DA74" s="171"/>
      <c r="DB74" s="171"/>
      <c r="DC74" s="171"/>
      <c r="DD74" s="171"/>
      <c r="DE74" s="171"/>
      <c r="DF74" s="171"/>
      <c r="DG74" s="171"/>
      <c r="DH74" s="171"/>
      <c r="DI74" s="171"/>
      <c r="DJ74" s="171"/>
      <c r="DK74" s="171"/>
      <c r="DL74" s="171"/>
      <c r="DM74" s="171"/>
      <c r="DN74" s="171"/>
      <c r="DO74" s="171"/>
      <c r="DP74" s="171"/>
      <c r="DQ74" s="171"/>
      <c r="DR74" s="171"/>
      <c r="DS74" s="171"/>
      <c r="DT74" s="171"/>
      <c r="DU74" s="171"/>
      <c r="DV74" s="171"/>
      <c r="DW74" s="171"/>
      <c r="DX74" s="171"/>
      <c r="DY74" s="171"/>
      <c r="DZ74" s="171"/>
      <c r="EA74" s="171"/>
      <c r="EB74" s="171"/>
      <c r="EC74" s="171"/>
      <c r="ED74" s="171"/>
      <c r="EE74" s="95"/>
      <c r="EF74" s="200">
        <f t="shared" si="8"/>
        <v>0</v>
      </c>
      <c r="EG74" s="173">
        <f t="shared" si="4"/>
        <v>0</v>
      </c>
      <c r="EH74" s="174"/>
      <c r="EI74" s="104"/>
      <c r="EJ74" s="108"/>
      <c r="EK74" s="108"/>
      <c r="EL74" s="108"/>
      <c r="EM74" s="108"/>
      <c r="EN74" s="108"/>
      <c r="EO74" s="108"/>
      <c r="EP74" s="319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215"/>
      <c r="FQ74" s="215"/>
      <c r="FR74" s="215"/>
      <c r="FS74" s="215"/>
      <c r="FT74" s="215"/>
      <c r="FU74" s="215"/>
      <c r="FV74" s="215"/>
      <c r="FW74" s="215"/>
      <c r="FX74" s="215"/>
      <c r="FY74" s="215"/>
      <c r="FZ74" s="215"/>
      <c r="GA74" s="215"/>
      <c r="GB74" s="215"/>
      <c r="GC74" s="215"/>
      <c r="GD74" s="215"/>
      <c r="GE74" s="215"/>
      <c r="GF74" s="215"/>
      <c r="GG74" s="215"/>
      <c r="GH74" s="200">
        <f t="shared" si="5"/>
        <v>0</v>
      </c>
      <c r="GI74" s="173">
        <f t="shared" si="6"/>
        <v>0</v>
      </c>
      <c r="GJ74" s="174"/>
      <c r="GK74" s="115"/>
      <c r="GL74" s="215"/>
      <c r="GM74" s="215"/>
      <c r="GN74" s="215"/>
      <c r="GO74" s="215"/>
      <c r="GP74" s="215"/>
      <c r="GQ74" s="215"/>
      <c r="GR74" s="215"/>
      <c r="GS74" s="215"/>
      <c r="GT74" s="215"/>
      <c r="GU74" s="215"/>
      <c r="GV74" s="215"/>
      <c r="GW74" s="215"/>
      <c r="GX74" s="215"/>
      <c r="GY74" s="215"/>
      <c r="GZ74" s="215"/>
      <c r="HA74" s="215"/>
      <c r="HB74" s="327"/>
      <c r="HC74" s="327"/>
      <c r="HD74" s="215"/>
      <c r="HE74" s="215"/>
      <c r="HF74" s="215"/>
      <c r="HG74" s="215"/>
      <c r="HH74" s="215"/>
      <c r="HI74" s="215"/>
      <c r="HJ74" s="215"/>
      <c r="HK74" s="215"/>
      <c r="HL74" s="215"/>
      <c r="HM74" s="215"/>
      <c r="HN74" s="215"/>
      <c r="HO74" s="215"/>
      <c r="HP74" s="215"/>
      <c r="HQ74" s="215"/>
      <c r="HR74" s="215"/>
      <c r="HS74" s="215"/>
      <c r="HT74" s="215"/>
      <c r="HU74" s="215"/>
      <c r="HV74" s="215"/>
      <c r="HW74" s="215"/>
      <c r="HX74" s="215"/>
      <c r="HY74" s="215"/>
      <c r="HZ74" s="215"/>
      <c r="IA74" s="215"/>
      <c r="IB74" s="215"/>
      <c r="IC74" s="215"/>
      <c r="ID74" s="215"/>
      <c r="IE74" s="215"/>
      <c r="IF74" s="200"/>
      <c r="IG74" s="173"/>
      <c r="IH74" s="174"/>
      <c r="II74" s="329"/>
      <c r="IJ74" s="215"/>
      <c r="IK74" s="215"/>
      <c r="IL74" s="215"/>
      <c r="IM74" s="215"/>
      <c r="IN74" s="215"/>
      <c r="IO74" s="215"/>
      <c r="IP74" s="215"/>
      <c r="IQ74" s="215"/>
      <c r="IR74" s="215"/>
      <c r="IS74" s="215"/>
      <c r="IT74" s="215"/>
      <c r="IU74" s="215"/>
      <c r="IV74" s="215"/>
      <c r="IW74" s="215"/>
      <c r="IX74" s="215"/>
      <c r="IY74" s="215"/>
      <c r="IZ74" s="215"/>
      <c r="JA74" s="215"/>
      <c r="JB74" s="215"/>
      <c r="JC74" s="215"/>
      <c r="JD74" s="215"/>
      <c r="JE74" s="215"/>
      <c r="JF74" s="215"/>
      <c r="JG74" s="215"/>
      <c r="JH74" s="215"/>
      <c r="JI74" s="215"/>
      <c r="JJ74" s="215"/>
      <c r="JK74" s="215"/>
      <c r="JL74" s="215"/>
      <c r="JM74" s="215"/>
      <c r="JN74" s="215"/>
      <c r="JO74" s="215"/>
      <c r="JP74" s="215"/>
      <c r="JQ74" s="215"/>
      <c r="JR74" s="215"/>
      <c r="JS74" s="215"/>
      <c r="JT74" s="215"/>
      <c r="JU74" s="215"/>
      <c r="JV74" s="215"/>
      <c r="JW74" s="215"/>
      <c r="JX74" s="215"/>
      <c r="JY74" s="215"/>
      <c r="JZ74" s="215"/>
      <c r="KA74" s="215"/>
      <c r="KB74" s="215"/>
      <c r="KC74" s="172"/>
      <c r="KD74" s="173"/>
      <c r="KE74" s="174"/>
      <c r="KF74" s="174"/>
      <c r="KG74" s="174"/>
      <c r="KH74" s="174"/>
      <c r="KI74" s="174"/>
      <c r="KJ74" s="174"/>
      <c r="KK74" s="174"/>
      <c r="KL74" s="174"/>
      <c r="KM74" s="174"/>
      <c r="KN74" s="174"/>
      <c r="KO74" s="174"/>
      <c r="KP74" s="174"/>
      <c r="KQ74" s="174"/>
      <c r="KR74" s="174"/>
      <c r="KS74" s="174"/>
      <c r="KT74" s="174"/>
      <c r="KU74" s="174"/>
      <c r="KV74" s="174"/>
      <c r="KW74" s="174"/>
    </row>
    <row r="75">
      <c r="A75" s="101" t="s">
        <v>116</v>
      </c>
      <c r="B75" s="108"/>
      <c r="C75" s="115"/>
      <c r="D75" s="215"/>
      <c r="E75" s="215"/>
      <c r="F75" s="116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  <c r="AV75" s="171"/>
      <c r="AW75" s="171"/>
      <c r="AX75" s="171"/>
      <c r="AY75" s="171"/>
      <c r="AZ75" s="171"/>
      <c r="BA75" s="171"/>
      <c r="BB75" s="171"/>
      <c r="BC75" s="171"/>
      <c r="BD75" s="171"/>
      <c r="BE75" s="171"/>
      <c r="BF75" s="171"/>
      <c r="BG75" s="171"/>
      <c r="BH75" s="171"/>
      <c r="BI75" s="171"/>
      <c r="BJ75" s="171"/>
      <c r="BK75" s="171"/>
      <c r="BL75" s="171"/>
      <c r="BM75" s="171"/>
      <c r="BN75" s="171"/>
      <c r="BO75" s="171"/>
      <c r="BP75" s="171"/>
      <c r="BQ75" s="171"/>
      <c r="BR75" s="171"/>
      <c r="BS75" s="171"/>
      <c r="BT75" s="171"/>
      <c r="BU75" s="171"/>
      <c r="BV75" s="171"/>
      <c r="BW75" s="171"/>
      <c r="BX75" s="171"/>
      <c r="BY75" s="171"/>
      <c r="BZ75" s="171"/>
      <c r="CA75" s="171"/>
      <c r="CB75" s="171"/>
      <c r="CC75" s="171"/>
      <c r="CD75" s="310"/>
      <c r="CE75" s="94">
        <f t="shared" si="1"/>
        <v>0</v>
      </c>
      <c r="CF75" s="173">
        <f t="shared" si="2"/>
        <v>0</v>
      </c>
      <c r="CH75" s="115"/>
      <c r="CI75" s="215"/>
      <c r="CJ75" s="215"/>
      <c r="CK75" s="116"/>
      <c r="CL75" s="171"/>
      <c r="CM75" s="171"/>
      <c r="CN75" s="171"/>
      <c r="CO75" s="171"/>
      <c r="CP75" s="171"/>
      <c r="CQ75" s="171"/>
      <c r="CR75" s="171"/>
      <c r="CS75" s="171"/>
      <c r="CT75" s="171"/>
      <c r="CU75" s="171"/>
      <c r="CV75" s="171"/>
      <c r="CW75" s="171"/>
      <c r="CX75" s="171"/>
      <c r="CY75" s="171"/>
      <c r="CZ75" s="171"/>
      <c r="DA75" s="171"/>
      <c r="DB75" s="171"/>
      <c r="DC75" s="171"/>
      <c r="DD75" s="171"/>
      <c r="DE75" s="171"/>
      <c r="DF75" s="171"/>
      <c r="DG75" s="171"/>
      <c r="DH75" s="171"/>
      <c r="DI75" s="171"/>
      <c r="DJ75" s="171"/>
      <c r="DK75" s="171"/>
      <c r="DL75" s="171"/>
      <c r="DM75" s="171"/>
      <c r="DN75" s="171"/>
      <c r="DO75" s="171"/>
      <c r="DP75" s="171"/>
      <c r="DQ75" s="171"/>
      <c r="DR75" s="171"/>
      <c r="DS75" s="171"/>
      <c r="DT75" s="171"/>
      <c r="DU75" s="171"/>
      <c r="DV75" s="171"/>
      <c r="DW75" s="171"/>
      <c r="DX75" s="171"/>
      <c r="DY75" s="171"/>
      <c r="DZ75" s="171"/>
      <c r="EA75" s="171"/>
      <c r="EB75" s="171"/>
      <c r="EC75" s="171"/>
      <c r="ED75" s="171"/>
      <c r="EE75" s="95"/>
      <c r="EF75" s="200">
        <f t="shared" si="8"/>
        <v>0</v>
      </c>
      <c r="EG75" s="173">
        <f t="shared" si="4"/>
        <v>0</v>
      </c>
      <c r="EH75" s="174"/>
      <c r="EI75" s="104"/>
      <c r="EJ75" s="108"/>
      <c r="EK75" s="108"/>
      <c r="EL75" s="108"/>
      <c r="EM75" s="108"/>
      <c r="EN75" s="108"/>
      <c r="EO75" s="108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19"/>
      <c r="FD75" s="319"/>
      <c r="FE75" s="319"/>
      <c r="FF75" s="319"/>
      <c r="FG75" s="319"/>
      <c r="FH75" s="319"/>
      <c r="FI75" s="319"/>
      <c r="FJ75" s="319"/>
      <c r="FK75" s="319"/>
      <c r="FL75" s="319"/>
      <c r="FM75" s="319"/>
      <c r="FN75" s="319"/>
      <c r="FO75" s="319"/>
      <c r="FP75" s="215"/>
      <c r="FQ75" s="215"/>
      <c r="FR75" s="215"/>
      <c r="FS75" s="215"/>
      <c r="FT75" s="215"/>
      <c r="FU75" s="215"/>
      <c r="FV75" s="215"/>
      <c r="FW75" s="215"/>
      <c r="FX75" s="215"/>
      <c r="FY75" s="215"/>
      <c r="FZ75" s="215"/>
      <c r="GA75" s="215"/>
      <c r="GB75" s="215"/>
      <c r="GC75" s="215"/>
      <c r="GD75" s="215"/>
      <c r="GE75" s="215"/>
      <c r="GF75" s="215"/>
      <c r="GG75" s="217"/>
      <c r="GH75" s="200">
        <f t="shared" si="5"/>
        <v>0</v>
      </c>
      <c r="GI75" s="173">
        <f t="shared" si="6"/>
        <v>0</v>
      </c>
      <c r="GJ75" s="174"/>
      <c r="GK75" s="222"/>
      <c r="GL75" s="215"/>
      <c r="GM75" s="215"/>
      <c r="GN75" s="215"/>
      <c r="GO75" s="215"/>
      <c r="GP75" s="215"/>
      <c r="GQ75" s="215"/>
      <c r="GR75" s="215"/>
      <c r="GS75" s="215"/>
      <c r="GT75" s="215"/>
      <c r="GU75" s="215"/>
      <c r="GV75" s="215"/>
      <c r="GW75" s="215"/>
      <c r="GX75" s="215"/>
      <c r="GY75" s="215"/>
      <c r="GZ75" s="215"/>
      <c r="HA75" s="215"/>
      <c r="HB75" s="327"/>
      <c r="HC75" s="327"/>
      <c r="HD75" s="215"/>
      <c r="HE75" s="215"/>
      <c r="HF75" s="215"/>
      <c r="HG75" s="215"/>
      <c r="HH75" s="215"/>
      <c r="HI75" s="215"/>
      <c r="HJ75" s="215"/>
      <c r="HK75" s="215"/>
      <c r="HL75" s="215"/>
      <c r="HM75" s="215"/>
      <c r="HN75" s="215"/>
      <c r="HO75" s="215"/>
      <c r="HP75" s="215"/>
      <c r="HQ75" s="215"/>
      <c r="HR75" s="215"/>
      <c r="HS75" s="215"/>
      <c r="HT75" s="215"/>
      <c r="HU75" s="215"/>
      <c r="HV75" s="215"/>
      <c r="HW75" s="215"/>
      <c r="HX75" s="215"/>
      <c r="HY75" s="215"/>
      <c r="HZ75" s="215"/>
      <c r="IA75" s="215"/>
      <c r="IB75" s="215"/>
      <c r="IC75" s="215"/>
      <c r="ID75" s="215"/>
      <c r="IE75" s="215"/>
      <c r="IF75" s="200"/>
      <c r="IG75" s="173"/>
      <c r="IH75" s="174"/>
      <c r="II75" s="329"/>
      <c r="IJ75" s="215"/>
      <c r="IK75" s="215"/>
      <c r="IL75" s="215"/>
      <c r="IM75" s="215"/>
      <c r="IN75" s="215"/>
      <c r="IO75" s="215"/>
      <c r="IP75" s="215"/>
      <c r="IQ75" s="215"/>
      <c r="IR75" s="215"/>
      <c r="IS75" s="215"/>
      <c r="IT75" s="215"/>
      <c r="IU75" s="215"/>
      <c r="IV75" s="215"/>
      <c r="IW75" s="215"/>
      <c r="IX75" s="215"/>
      <c r="IY75" s="215"/>
      <c r="IZ75" s="215"/>
      <c r="JA75" s="215"/>
      <c r="JB75" s="215"/>
      <c r="JC75" s="215"/>
      <c r="JD75" s="215"/>
      <c r="JE75" s="215"/>
      <c r="JF75" s="215"/>
      <c r="JG75" s="215"/>
      <c r="JH75" s="215"/>
      <c r="JI75" s="215"/>
      <c r="JJ75" s="215"/>
      <c r="JK75" s="215"/>
      <c r="JL75" s="215"/>
      <c r="JM75" s="215"/>
      <c r="JN75" s="215"/>
      <c r="JO75" s="215"/>
      <c r="JP75" s="215"/>
      <c r="JQ75" s="215"/>
      <c r="JR75" s="215"/>
      <c r="JS75" s="215"/>
      <c r="JT75" s="215"/>
      <c r="JU75" s="215"/>
      <c r="JV75" s="215"/>
      <c r="JW75" s="215"/>
      <c r="JX75" s="215"/>
      <c r="JY75" s="215"/>
      <c r="JZ75" s="215"/>
      <c r="KA75" s="215"/>
      <c r="KB75" s="215"/>
      <c r="KC75" s="172"/>
      <c r="KD75" s="173"/>
      <c r="KE75" s="174"/>
      <c r="KF75" s="174"/>
      <c r="KG75" s="174"/>
      <c r="KH75" s="174"/>
      <c r="KI75" s="174"/>
      <c r="KJ75" s="174"/>
      <c r="KK75" s="174"/>
      <c r="KL75" s="174"/>
      <c r="KM75" s="174"/>
      <c r="KN75" s="174"/>
      <c r="KO75" s="174"/>
      <c r="KP75" s="174"/>
      <c r="KQ75" s="174"/>
      <c r="KR75" s="174"/>
      <c r="KS75" s="174"/>
      <c r="KT75" s="174"/>
      <c r="KU75" s="174"/>
      <c r="KV75" s="174"/>
      <c r="KW75" s="174"/>
    </row>
    <row r="76">
      <c r="A76" s="109"/>
      <c r="B76" s="108"/>
      <c r="C76" s="115"/>
      <c r="D76" s="215"/>
      <c r="E76" s="215"/>
      <c r="F76" s="116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171"/>
      <c r="BE76" s="171"/>
      <c r="BF76" s="171"/>
      <c r="BG76" s="171"/>
      <c r="BH76" s="171"/>
      <c r="BI76" s="171"/>
      <c r="BJ76" s="171"/>
      <c r="BK76" s="171"/>
      <c r="BL76" s="171"/>
      <c r="BM76" s="171"/>
      <c r="BN76" s="171"/>
      <c r="BO76" s="171"/>
      <c r="BP76" s="171"/>
      <c r="BQ76" s="171"/>
      <c r="BR76" s="171"/>
      <c r="BS76" s="171"/>
      <c r="BT76" s="171"/>
      <c r="BU76" s="171"/>
      <c r="BV76" s="171"/>
      <c r="BW76" s="171"/>
      <c r="BX76" s="171"/>
      <c r="BY76" s="171"/>
      <c r="BZ76" s="171"/>
      <c r="CA76" s="171"/>
      <c r="CB76" s="171"/>
      <c r="CC76" s="171"/>
      <c r="CD76" s="310"/>
      <c r="CE76" s="94">
        <f t="shared" si="1"/>
        <v>0</v>
      </c>
      <c r="CF76" s="173">
        <f t="shared" si="2"/>
        <v>0</v>
      </c>
      <c r="CH76" s="115"/>
      <c r="CI76" s="215"/>
      <c r="CJ76" s="215"/>
      <c r="CK76" s="116"/>
      <c r="CL76" s="171"/>
      <c r="CM76" s="171"/>
      <c r="CN76" s="171"/>
      <c r="CO76" s="171"/>
      <c r="CP76" s="171"/>
      <c r="CQ76" s="171"/>
      <c r="CR76" s="171"/>
      <c r="CS76" s="171"/>
      <c r="CT76" s="171"/>
      <c r="CU76" s="171"/>
      <c r="CV76" s="171"/>
      <c r="CW76" s="171"/>
      <c r="CX76" s="171"/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71"/>
      <c r="DL76" s="171"/>
      <c r="DM76" s="171"/>
      <c r="DN76" s="171"/>
      <c r="DO76" s="171"/>
      <c r="DP76" s="171"/>
      <c r="DQ76" s="171"/>
      <c r="DR76" s="171"/>
      <c r="DS76" s="171"/>
      <c r="DT76" s="171"/>
      <c r="DU76" s="171"/>
      <c r="DV76" s="171"/>
      <c r="DW76" s="171"/>
      <c r="DX76" s="171"/>
      <c r="DY76" s="171"/>
      <c r="DZ76" s="171"/>
      <c r="EA76" s="171"/>
      <c r="EB76" s="171"/>
      <c r="EC76" s="171"/>
      <c r="ED76" s="171"/>
      <c r="EE76" s="95"/>
      <c r="EF76" s="200">
        <f t="shared" si="8"/>
        <v>0</v>
      </c>
      <c r="EG76" s="173">
        <f t="shared" si="4"/>
        <v>0</v>
      </c>
      <c r="EH76" s="174"/>
      <c r="EI76" s="104"/>
      <c r="EJ76" s="108"/>
      <c r="EK76" s="108"/>
      <c r="EL76" s="108"/>
      <c r="EM76" s="108"/>
      <c r="EN76" s="108"/>
      <c r="EO76" s="108"/>
      <c r="EP76" s="319"/>
      <c r="EQ76" s="319"/>
      <c r="ER76" s="319"/>
      <c r="ES76" s="319"/>
      <c r="ET76" s="319"/>
      <c r="EU76" s="319"/>
      <c r="EV76" s="319"/>
      <c r="EW76" s="319"/>
      <c r="EX76" s="319"/>
      <c r="EY76" s="319"/>
      <c r="EZ76" s="319"/>
      <c r="FA76" s="319"/>
      <c r="FB76" s="319"/>
      <c r="FC76" s="319"/>
      <c r="FD76" s="319"/>
      <c r="FE76" s="319"/>
      <c r="FF76" s="319"/>
      <c r="FG76" s="319"/>
      <c r="FH76" s="319"/>
      <c r="FI76" s="319"/>
      <c r="FJ76" s="319"/>
      <c r="FK76" s="319"/>
      <c r="FL76" s="319"/>
      <c r="FM76" s="319"/>
      <c r="FN76" s="319"/>
      <c r="FO76" s="319"/>
      <c r="FP76" s="215"/>
      <c r="FQ76" s="215"/>
      <c r="FR76" s="215"/>
      <c r="FS76" s="215"/>
      <c r="FT76" s="215"/>
      <c r="FU76" s="215"/>
      <c r="FV76" s="215"/>
      <c r="FW76" s="215"/>
      <c r="FX76" s="215"/>
      <c r="FY76" s="215"/>
      <c r="FZ76" s="215"/>
      <c r="GA76" s="215"/>
      <c r="GB76" s="215"/>
      <c r="GC76" s="215"/>
      <c r="GD76" s="215"/>
      <c r="GE76" s="215"/>
      <c r="GF76" s="215"/>
      <c r="GG76" s="215"/>
      <c r="GH76" s="200">
        <f t="shared" si="5"/>
        <v>0</v>
      </c>
      <c r="GI76" s="173">
        <f t="shared" si="6"/>
        <v>0</v>
      </c>
      <c r="GJ76" s="174"/>
      <c r="GK76" s="115"/>
      <c r="GL76" s="215"/>
      <c r="GM76" s="215"/>
      <c r="GN76" s="215"/>
      <c r="GO76" s="215"/>
      <c r="GP76" s="215"/>
      <c r="GQ76" s="215"/>
      <c r="GR76" s="215"/>
      <c r="GS76" s="215"/>
      <c r="GT76" s="215"/>
      <c r="GU76" s="215"/>
      <c r="GV76" s="215"/>
      <c r="GW76" s="215"/>
      <c r="GX76" s="215"/>
      <c r="GY76" s="215"/>
      <c r="GZ76" s="215"/>
      <c r="HA76" s="215"/>
      <c r="HB76" s="327"/>
      <c r="HC76" s="327"/>
      <c r="HD76" s="215"/>
      <c r="HE76" s="215"/>
      <c r="HF76" s="215"/>
      <c r="HG76" s="215"/>
      <c r="HH76" s="215"/>
      <c r="HI76" s="215"/>
      <c r="HJ76" s="215"/>
      <c r="HK76" s="215"/>
      <c r="HL76" s="215"/>
      <c r="HM76" s="215"/>
      <c r="HN76" s="215"/>
      <c r="HO76" s="215"/>
      <c r="HP76" s="215"/>
      <c r="HQ76" s="215"/>
      <c r="HR76" s="215"/>
      <c r="HS76" s="215"/>
      <c r="HT76" s="215"/>
      <c r="HU76" s="215"/>
      <c r="HV76" s="215"/>
      <c r="HW76" s="215"/>
      <c r="HX76" s="215"/>
      <c r="HY76" s="215"/>
      <c r="HZ76" s="215"/>
      <c r="IA76" s="215"/>
      <c r="IB76" s="215"/>
      <c r="IC76" s="215"/>
      <c r="ID76" s="215"/>
      <c r="IE76" s="215"/>
      <c r="IF76" s="200"/>
      <c r="IG76" s="173"/>
      <c r="IH76" s="174"/>
      <c r="II76" s="329"/>
      <c r="IJ76" s="215"/>
      <c r="IK76" s="215"/>
      <c r="IL76" s="215"/>
      <c r="IM76" s="215"/>
      <c r="IN76" s="215"/>
      <c r="IO76" s="215"/>
      <c r="IP76" s="215"/>
      <c r="IQ76" s="215"/>
      <c r="IR76" s="215"/>
      <c r="IS76" s="215"/>
      <c r="IT76" s="215"/>
      <c r="IU76" s="215"/>
      <c r="IV76" s="215"/>
      <c r="IW76" s="215"/>
      <c r="IX76" s="215"/>
      <c r="IY76" s="215"/>
      <c r="IZ76" s="215"/>
      <c r="JA76" s="215"/>
      <c r="JB76" s="215"/>
      <c r="JC76" s="215"/>
      <c r="JD76" s="215"/>
      <c r="JE76" s="215"/>
      <c r="JF76" s="215"/>
      <c r="JG76" s="215"/>
      <c r="JH76" s="215"/>
      <c r="JI76" s="215"/>
      <c r="JJ76" s="215"/>
      <c r="JK76" s="215"/>
      <c r="JL76" s="215"/>
      <c r="JM76" s="215"/>
      <c r="JN76" s="215"/>
      <c r="JO76" s="215"/>
      <c r="JP76" s="215"/>
      <c r="JQ76" s="215"/>
      <c r="JR76" s="215"/>
      <c r="JS76" s="215"/>
      <c r="JT76" s="215"/>
      <c r="JU76" s="215"/>
      <c r="JV76" s="215"/>
      <c r="JW76" s="215"/>
      <c r="JX76" s="215"/>
      <c r="JY76" s="215"/>
      <c r="JZ76" s="215"/>
      <c r="KA76" s="215"/>
      <c r="KB76" s="215"/>
      <c r="KC76" s="172"/>
      <c r="KD76" s="173"/>
      <c r="KE76" s="174"/>
      <c r="KF76" s="174"/>
      <c r="KG76" s="174"/>
      <c r="KH76" s="174"/>
      <c r="KI76" s="174"/>
      <c r="KJ76" s="174"/>
      <c r="KK76" s="174"/>
      <c r="KL76" s="174"/>
      <c r="KM76" s="174"/>
      <c r="KN76" s="174"/>
      <c r="KO76" s="174"/>
      <c r="KP76" s="174"/>
      <c r="KQ76" s="174"/>
      <c r="KR76" s="174"/>
      <c r="KS76" s="174"/>
      <c r="KT76" s="174"/>
      <c r="KU76" s="174"/>
      <c r="KV76" s="174"/>
      <c r="KW76" s="174"/>
    </row>
    <row r="77">
      <c r="A77" s="110" t="s">
        <v>117</v>
      </c>
      <c r="B77" s="96">
        <v>379.0</v>
      </c>
      <c r="C77" s="115"/>
      <c r="D77" s="215"/>
      <c r="E77" s="215"/>
      <c r="F77" s="116"/>
      <c r="G77" s="196">
        <v>2.0</v>
      </c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  <c r="BL77" s="171"/>
      <c r="BM77" s="196">
        <v>2.0</v>
      </c>
      <c r="BN77" s="171"/>
      <c r="BO77" s="171"/>
      <c r="BP77" s="171"/>
      <c r="BQ77" s="171"/>
      <c r="BR77" s="171"/>
      <c r="BS77" s="171"/>
      <c r="BT77" s="171"/>
      <c r="BU77" s="171"/>
      <c r="BV77" s="171"/>
      <c r="BW77" s="171"/>
      <c r="BX77" s="171"/>
      <c r="BY77" s="171"/>
      <c r="BZ77" s="171"/>
      <c r="CA77" s="171"/>
      <c r="CB77" s="171"/>
      <c r="CC77" s="171"/>
      <c r="CD77" s="310"/>
      <c r="CE77" s="94">
        <f t="shared" si="1"/>
        <v>4</v>
      </c>
      <c r="CF77" s="173">
        <f t="shared" si="2"/>
        <v>1516</v>
      </c>
      <c r="CH77" s="115"/>
      <c r="CI77" s="215"/>
      <c r="CJ77" s="215"/>
      <c r="CK77" s="116"/>
      <c r="CL77" s="171"/>
      <c r="CM77" s="171"/>
      <c r="CN77" s="171"/>
      <c r="CO77" s="171"/>
      <c r="CP77" s="171"/>
      <c r="CQ77" s="171"/>
      <c r="CR77" s="171"/>
      <c r="CS77" s="171"/>
      <c r="CT77" s="171"/>
      <c r="CU77" s="171"/>
      <c r="CV77" s="171"/>
      <c r="CW77" s="171"/>
      <c r="CX77" s="171"/>
      <c r="CY77" s="171"/>
      <c r="CZ77" s="171"/>
      <c r="DA77" s="171"/>
      <c r="DB77" s="171"/>
      <c r="DC77" s="171"/>
      <c r="DD77" s="171"/>
      <c r="DE77" s="171"/>
      <c r="DF77" s="171"/>
      <c r="DG77" s="171"/>
      <c r="DH77" s="171"/>
      <c r="DI77" s="171"/>
      <c r="DJ77" s="171"/>
      <c r="DK77" s="171"/>
      <c r="DL77" s="171"/>
      <c r="DM77" s="171"/>
      <c r="DN77" s="171"/>
      <c r="DO77" s="171"/>
      <c r="DP77" s="171"/>
      <c r="DQ77" s="171"/>
      <c r="DR77" s="171"/>
      <c r="DS77" s="171"/>
      <c r="DT77" s="171"/>
      <c r="DU77" s="171"/>
      <c r="DV77" s="171"/>
      <c r="DW77" s="171"/>
      <c r="DX77" s="171"/>
      <c r="DY77" s="171"/>
      <c r="DZ77" s="171"/>
      <c r="EA77" s="171"/>
      <c r="EB77" s="171"/>
      <c r="EC77" s="171"/>
      <c r="ED77" s="171"/>
      <c r="EE77" s="95"/>
      <c r="EF77" s="200">
        <f t="shared" si="8"/>
        <v>0</v>
      </c>
      <c r="EG77" s="173">
        <f t="shared" si="4"/>
        <v>0</v>
      </c>
      <c r="EH77" s="174"/>
      <c r="EI77" s="104"/>
      <c r="EJ77" s="108"/>
      <c r="EK77" s="108"/>
      <c r="EL77" s="108"/>
      <c r="EM77" s="108"/>
      <c r="EN77" s="108"/>
      <c r="EO77" s="108"/>
      <c r="EP77" s="319"/>
      <c r="EQ77" s="319"/>
      <c r="ER77" s="319"/>
      <c r="ES77" s="319"/>
      <c r="ET77" s="319"/>
      <c r="EU77" s="319"/>
      <c r="EV77" s="319"/>
      <c r="EW77" s="319"/>
      <c r="EX77" s="319"/>
      <c r="EY77" s="319"/>
      <c r="EZ77" s="319"/>
      <c r="FA77" s="319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215"/>
      <c r="FQ77" s="215"/>
      <c r="FR77" s="215"/>
      <c r="FS77" s="215"/>
      <c r="FT77" s="215"/>
      <c r="FU77" s="215"/>
      <c r="FV77" s="215"/>
      <c r="FW77" s="215"/>
      <c r="FX77" s="215"/>
      <c r="FY77" s="215"/>
      <c r="FZ77" s="215"/>
      <c r="GA77" s="215"/>
      <c r="GB77" s="215"/>
      <c r="GC77" s="215"/>
      <c r="GD77" s="215"/>
      <c r="GE77" s="215"/>
      <c r="GF77" s="215"/>
      <c r="GG77" s="215"/>
      <c r="GH77" s="200">
        <f t="shared" si="5"/>
        <v>0</v>
      </c>
      <c r="GI77" s="173">
        <f t="shared" si="6"/>
        <v>0</v>
      </c>
      <c r="GJ77" s="174"/>
      <c r="GK77" s="115"/>
      <c r="GL77" s="215"/>
      <c r="GM77" s="215"/>
      <c r="GN77" s="215"/>
      <c r="GO77" s="332">
        <v>1.0</v>
      </c>
      <c r="GP77" s="215"/>
      <c r="GQ77" s="215"/>
      <c r="GR77" s="215"/>
      <c r="GS77" s="215"/>
      <c r="GT77" s="215"/>
      <c r="GU77" s="215"/>
      <c r="GV77" s="215"/>
      <c r="GW77" s="215"/>
      <c r="GX77" s="215"/>
      <c r="GY77" s="215"/>
      <c r="GZ77" s="215"/>
      <c r="HA77" s="215"/>
      <c r="HB77" s="327"/>
      <c r="HC77" s="327"/>
      <c r="HD77" s="215"/>
      <c r="HE77" s="215"/>
      <c r="HF77" s="215"/>
      <c r="HG77" s="215"/>
      <c r="HH77" s="215"/>
      <c r="HI77" s="215"/>
      <c r="HJ77" s="215"/>
      <c r="HK77" s="215"/>
      <c r="HL77" s="215"/>
      <c r="HM77" s="215"/>
      <c r="HN77" s="215"/>
      <c r="HO77" s="215"/>
      <c r="HP77" s="215"/>
      <c r="HQ77" s="215"/>
      <c r="HR77" s="215"/>
      <c r="HS77" s="215"/>
      <c r="HT77" s="215"/>
      <c r="HU77" s="215"/>
      <c r="HV77" s="215"/>
      <c r="HW77" s="215"/>
      <c r="HX77" s="215"/>
      <c r="HY77" s="215"/>
      <c r="HZ77" s="215"/>
      <c r="IA77" s="215"/>
      <c r="IB77" s="215"/>
      <c r="IC77" s="215"/>
      <c r="ID77" s="215"/>
      <c r="IE77" s="215"/>
      <c r="IF77" s="200"/>
      <c r="IG77" s="173"/>
      <c r="IH77" s="174"/>
      <c r="II77" s="329"/>
      <c r="IJ77" s="215"/>
      <c r="IK77" s="215"/>
      <c r="IL77" s="215"/>
      <c r="IM77" s="215"/>
      <c r="IN77" s="215"/>
      <c r="IO77" s="215"/>
      <c r="IP77" s="215"/>
      <c r="IQ77" s="215"/>
      <c r="IR77" s="215"/>
      <c r="IS77" s="215"/>
      <c r="IT77" s="215"/>
      <c r="IU77" s="215"/>
      <c r="IV77" s="215"/>
      <c r="IW77" s="215"/>
      <c r="IX77" s="215"/>
      <c r="IY77" s="215"/>
      <c r="IZ77" s="215"/>
      <c r="JA77" s="215"/>
      <c r="JB77" s="215"/>
      <c r="JC77" s="215"/>
      <c r="JD77" s="215"/>
      <c r="JE77" s="215"/>
      <c r="JF77" s="215"/>
      <c r="JG77" s="215"/>
      <c r="JH77" s="215"/>
      <c r="JI77" s="215"/>
      <c r="JJ77" s="215"/>
      <c r="JK77" s="215"/>
      <c r="JL77" s="215"/>
      <c r="JM77" s="215"/>
      <c r="JN77" s="215"/>
      <c r="JO77" s="215"/>
      <c r="JP77" s="215"/>
      <c r="JQ77" s="215"/>
      <c r="JR77" s="215"/>
      <c r="JS77" s="215"/>
      <c r="JT77" s="215"/>
      <c r="JU77" s="215"/>
      <c r="JV77" s="215"/>
      <c r="JW77" s="215"/>
      <c r="JX77" s="215"/>
      <c r="JY77" s="215"/>
      <c r="JZ77" s="215"/>
      <c r="KA77" s="215"/>
      <c r="KB77" s="215"/>
      <c r="KC77" s="172"/>
      <c r="KD77" s="173"/>
      <c r="KE77" s="174"/>
      <c r="KF77" s="174"/>
      <c r="KG77" s="174"/>
      <c r="KH77" s="174"/>
      <c r="KI77" s="174"/>
      <c r="KJ77" s="174"/>
      <c r="KK77" s="174"/>
      <c r="KL77" s="174"/>
      <c r="KM77" s="174"/>
      <c r="KN77" s="174"/>
      <c r="KO77" s="174"/>
      <c r="KP77" s="174"/>
      <c r="KQ77" s="174"/>
      <c r="KR77" s="174"/>
      <c r="KS77" s="174"/>
      <c r="KT77" s="174"/>
      <c r="KU77" s="174"/>
      <c r="KV77" s="174"/>
      <c r="KW77" s="174"/>
    </row>
    <row r="78">
      <c r="A78" s="110" t="s">
        <v>118</v>
      </c>
      <c r="B78" s="96">
        <v>799.0</v>
      </c>
      <c r="C78" s="115"/>
      <c r="D78" s="215"/>
      <c r="E78" s="215"/>
      <c r="F78" s="116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  <c r="BD78" s="171"/>
      <c r="BE78" s="171"/>
      <c r="BF78" s="171"/>
      <c r="BG78" s="171"/>
      <c r="BH78" s="171"/>
      <c r="BI78" s="171"/>
      <c r="BJ78" s="171"/>
      <c r="BK78" s="171"/>
      <c r="BL78" s="171"/>
      <c r="BM78" s="171"/>
      <c r="BN78" s="171"/>
      <c r="BO78" s="171"/>
      <c r="BP78" s="171"/>
      <c r="BQ78" s="171"/>
      <c r="BR78" s="171"/>
      <c r="BS78" s="171"/>
      <c r="BT78" s="171"/>
      <c r="BU78" s="171"/>
      <c r="BV78" s="171"/>
      <c r="BW78" s="171"/>
      <c r="BX78" s="171"/>
      <c r="BY78" s="171"/>
      <c r="BZ78" s="171"/>
      <c r="CA78" s="171"/>
      <c r="CB78" s="171"/>
      <c r="CC78" s="171"/>
      <c r="CD78" s="310"/>
      <c r="CE78" s="94">
        <f t="shared" si="1"/>
        <v>0</v>
      </c>
      <c r="CF78" s="173">
        <f t="shared" si="2"/>
        <v>0</v>
      </c>
      <c r="CH78" s="115"/>
      <c r="CI78" s="215"/>
      <c r="CJ78" s="215"/>
      <c r="CK78" s="116"/>
      <c r="CL78" s="171"/>
      <c r="CM78" s="171"/>
      <c r="CN78" s="171"/>
      <c r="CO78" s="171"/>
      <c r="CP78" s="171"/>
      <c r="CQ78" s="171"/>
      <c r="CR78" s="171"/>
      <c r="CS78" s="171"/>
      <c r="CT78" s="171"/>
      <c r="CU78" s="171"/>
      <c r="CV78" s="171"/>
      <c r="CW78" s="171"/>
      <c r="CX78" s="171"/>
      <c r="CY78" s="171"/>
      <c r="CZ78" s="171"/>
      <c r="DA78" s="171"/>
      <c r="DB78" s="171"/>
      <c r="DC78" s="171"/>
      <c r="DD78" s="171"/>
      <c r="DE78" s="171"/>
      <c r="DF78" s="171"/>
      <c r="DG78" s="171"/>
      <c r="DH78" s="171"/>
      <c r="DI78" s="171"/>
      <c r="DJ78" s="171"/>
      <c r="DK78" s="171"/>
      <c r="DL78" s="171"/>
      <c r="DM78" s="171"/>
      <c r="DN78" s="171"/>
      <c r="DO78" s="171"/>
      <c r="DP78" s="171"/>
      <c r="DQ78" s="171"/>
      <c r="DR78" s="171"/>
      <c r="DS78" s="171"/>
      <c r="DT78" s="171"/>
      <c r="DU78" s="171"/>
      <c r="DV78" s="171"/>
      <c r="DW78" s="171"/>
      <c r="DX78" s="171"/>
      <c r="DY78" s="171"/>
      <c r="DZ78" s="171"/>
      <c r="EA78" s="171"/>
      <c r="EB78" s="171"/>
      <c r="EC78" s="171"/>
      <c r="ED78" s="171"/>
      <c r="EE78" s="95"/>
      <c r="EF78" s="200">
        <f t="shared" si="8"/>
        <v>0</v>
      </c>
      <c r="EG78" s="173">
        <f t="shared" si="4"/>
        <v>0</v>
      </c>
      <c r="EH78" s="174"/>
      <c r="EI78" s="104"/>
      <c r="EJ78" s="108"/>
      <c r="EK78" s="108"/>
      <c r="EL78" s="108"/>
      <c r="EM78" s="108"/>
      <c r="EN78" s="108"/>
      <c r="EO78" s="108"/>
      <c r="EP78" s="319"/>
      <c r="EQ78" s="319"/>
      <c r="ER78" s="319"/>
      <c r="ES78" s="319"/>
      <c r="ET78" s="319"/>
      <c r="EU78" s="319"/>
      <c r="EV78" s="319"/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215"/>
      <c r="FQ78" s="215"/>
      <c r="FR78" s="215"/>
      <c r="FS78" s="215"/>
      <c r="FT78" s="215"/>
      <c r="FU78" s="215"/>
      <c r="FV78" s="215"/>
      <c r="FW78" s="215"/>
      <c r="FX78" s="215"/>
      <c r="FY78" s="215"/>
      <c r="FZ78" s="215"/>
      <c r="GA78" s="215"/>
      <c r="GB78" s="215"/>
      <c r="GC78" s="215"/>
      <c r="GD78" s="215"/>
      <c r="GE78" s="215"/>
      <c r="GF78" s="215"/>
      <c r="GG78" s="215"/>
      <c r="GH78" s="200">
        <f t="shared" si="5"/>
        <v>0</v>
      </c>
      <c r="GI78" s="173">
        <f t="shared" si="6"/>
        <v>0</v>
      </c>
      <c r="GJ78" s="174"/>
      <c r="GK78" s="115"/>
      <c r="GL78" s="215"/>
      <c r="GM78" s="215"/>
      <c r="GN78" s="215"/>
      <c r="GO78" s="215"/>
      <c r="GP78" s="215"/>
      <c r="GQ78" s="215"/>
      <c r="GR78" s="215"/>
      <c r="GS78" s="215"/>
      <c r="GT78" s="215"/>
      <c r="GU78" s="215"/>
      <c r="GV78" s="215"/>
      <c r="GW78" s="215"/>
      <c r="GX78" s="215"/>
      <c r="GY78" s="215"/>
      <c r="GZ78" s="215"/>
      <c r="HA78" s="215"/>
      <c r="HB78" s="327"/>
      <c r="HC78" s="327"/>
      <c r="HD78" s="215"/>
      <c r="HE78" s="215"/>
      <c r="HF78" s="215"/>
      <c r="HG78" s="215"/>
      <c r="HH78" s="215"/>
      <c r="HI78" s="215"/>
      <c r="HJ78" s="215"/>
      <c r="HK78" s="215"/>
      <c r="HL78" s="215"/>
      <c r="HM78" s="215"/>
      <c r="HN78" s="215"/>
      <c r="HO78" s="215"/>
      <c r="HP78" s="215"/>
      <c r="HQ78" s="215"/>
      <c r="HR78" s="215"/>
      <c r="HS78" s="215"/>
      <c r="HT78" s="215"/>
      <c r="HU78" s="215"/>
      <c r="HV78" s="215"/>
      <c r="HW78" s="215"/>
      <c r="HX78" s="215"/>
      <c r="HY78" s="215"/>
      <c r="HZ78" s="215"/>
      <c r="IA78" s="215"/>
      <c r="IB78" s="215"/>
      <c r="IC78" s="215"/>
      <c r="ID78" s="215"/>
      <c r="IE78" s="215"/>
      <c r="IF78" s="200"/>
      <c r="IG78" s="173"/>
      <c r="IH78" s="174"/>
      <c r="II78" s="329"/>
      <c r="IJ78" s="215"/>
      <c r="IK78" s="215"/>
      <c r="IL78" s="215"/>
      <c r="IM78" s="215"/>
      <c r="IN78" s="215"/>
      <c r="IO78" s="215"/>
      <c r="IP78" s="215"/>
      <c r="IQ78" s="215"/>
      <c r="IR78" s="215"/>
      <c r="IS78" s="215"/>
      <c r="IT78" s="215"/>
      <c r="IU78" s="215"/>
      <c r="IV78" s="215"/>
      <c r="IW78" s="215"/>
      <c r="IX78" s="215"/>
      <c r="IY78" s="215"/>
      <c r="IZ78" s="215"/>
      <c r="JA78" s="215"/>
      <c r="JB78" s="215"/>
      <c r="JC78" s="215"/>
      <c r="JD78" s="215"/>
      <c r="JE78" s="215"/>
      <c r="JF78" s="215"/>
      <c r="JG78" s="215"/>
      <c r="JH78" s="215"/>
      <c r="JI78" s="215"/>
      <c r="JJ78" s="215"/>
      <c r="JK78" s="215"/>
      <c r="JL78" s="215"/>
      <c r="JM78" s="215"/>
      <c r="JN78" s="215"/>
      <c r="JO78" s="215"/>
      <c r="JP78" s="215"/>
      <c r="JQ78" s="215"/>
      <c r="JR78" s="215"/>
      <c r="JS78" s="215"/>
      <c r="JT78" s="215"/>
      <c r="JU78" s="215"/>
      <c r="JV78" s="215"/>
      <c r="JW78" s="215"/>
      <c r="JX78" s="215"/>
      <c r="JY78" s="215"/>
      <c r="JZ78" s="215"/>
      <c r="KA78" s="215"/>
      <c r="KB78" s="215"/>
      <c r="KC78" s="172"/>
      <c r="KD78" s="173"/>
      <c r="KE78" s="174"/>
      <c r="KF78" s="174"/>
      <c r="KG78" s="174"/>
      <c r="KH78" s="174"/>
      <c r="KI78" s="174"/>
      <c r="KJ78" s="174"/>
      <c r="KK78" s="174"/>
      <c r="KL78" s="174"/>
      <c r="KM78" s="174"/>
      <c r="KN78" s="174"/>
      <c r="KO78" s="174"/>
      <c r="KP78" s="174"/>
      <c r="KQ78" s="174"/>
      <c r="KR78" s="174"/>
      <c r="KS78" s="174"/>
      <c r="KT78" s="174"/>
      <c r="KU78" s="174"/>
      <c r="KV78" s="174"/>
      <c r="KW78" s="174"/>
    </row>
    <row r="79">
      <c r="A79" s="110" t="s">
        <v>119</v>
      </c>
      <c r="B79" s="96">
        <v>439.0</v>
      </c>
      <c r="C79" s="115"/>
      <c r="D79" s="215"/>
      <c r="E79" s="215"/>
      <c r="F79" s="116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  <c r="AV79" s="171"/>
      <c r="AW79" s="171"/>
      <c r="AX79" s="171"/>
      <c r="AY79" s="171"/>
      <c r="AZ79" s="171"/>
      <c r="BA79" s="171"/>
      <c r="BB79" s="171"/>
      <c r="BC79" s="171"/>
      <c r="BD79" s="171"/>
      <c r="BE79" s="171"/>
      <c r="BF79" s="171"/>
      <c r="BG79" s="171"/>
      <c r="BH79" s="171"/>
      <c r="BI79" s="171"/>
      <c r="BJ79" s="171"/>
      <c r="BK79" s="171"/>
      <c r="BL79" s="171"/>
      <c r="BM79" s="171"/>
      <c r="BN79" s="171"/>
      <c r="BO79" s="171"/>
      <c r="BP79" s="171"/>
      <c r="BQ79" s="171"/>
      <c r="BR79" s="171"/>
      <c r="BS79" s="171"/>
      <c r="BT79" s="171"/>
      <c r="BU79" s="171"/>
      <c r="BV79" s="171"/>
      <c r="BW79" s="171"/>
      <c r="BX79" s="171"/>
      <c r="BY79" s="171"/>
      <c r="BZ79" s="171"/>
      <c r="CA79" s="171"/>
      <c r="CB79" s="171"/>
      <c r="CC79" s="171"/>
      <c r="CD79" s="310"/>
      <c r="CE79" s="94">
        <f t="shared" si="1"/>
        <v>0</v>
      </c>
      <c r="CF79" s="173">
        <f t="shared" si="2"/>
        <v>0</v>
      </c>
      <c r="CH79" s="115"/>
      <c r="CI79" s="215"/>
      <c r="CJ79" s="215"/>
      <c r="CK79" s="116"/>
      <c r="CL79" s="171"/>
      <c r="CM79" s="171"/>
      <c r="CN79" s="171"/>
      <c r="CO79" s="171"/>
      <c r="CP79" s="171"/>
      <c r="CQ79" s="171"/>
      <c r="CR79" s="171"/>
      <c r="CS79" s="171"/>
      <c r="CT79" s="171"/>
      <c r="CU79" s="171"/>
      <c r="CV79" s="171"/>
      <c r="CW79" s="171"/>
      <c r="CX79" s="171"/>
      <c r="CY79" s="171"/>
      <c r="CZ79" s="171"/>
      <c r="DA79" s="171"/>
      <c r="DB79" s="171"/>
      <c r="DC79" s="171"/>
      <c r="DD79" s="171"/>
      <c r="DE79" s="171"/>
      <c r="DF79" s="171"/>
      <c r="DG79" s="171"/>
      <c r="DH79" s="171"/>
      <c r="DI79" s="171"/>
      <c r="DJ79" s="171"/>
      <c r="DK79" s="171"/>
      <c r="DL79" s="171"/>
      <c r="DM79" s="171"/>
      <c r="DN79" s="171"/>
      <c r="DO79" s="171"/>
      <c r="DP79" s="171"/>
      <c r="DQ79" s="171"/>
      <c r="DR79" s="171"/>
      <c r="DS79" s="171"/>
      <c r="DT79" s="171"/>
      <c r="DU79" s="171"/>
      <c r="DV79" s="171"/>
      <c r="DW79" s="171"/>
      <c r="DX79" s="171"/>
      <c r="DY79" s="171"/>
      <c r="DZ79" s="171"/>
      <c r="EA79" s="171"/>
      <c r="EB79" s="171"/>
      <c r="EC79" s="171"/>
      <c r="ED79" s="171"/>
      <c r="EE79" s="95"/>
      <c r="EF79" s="200">
        <f t="shared" si="8"/>
        <v>0</v>
      </c>
      <c r="EG79" s="173">
        <f t="shared" si="4"/>
        <v>0</v>
      </c>
      <c r="EH79" s="174"/>
      <c r="EI79" s="104"/>
      <c r="EJ79" s="108"/>
      <c r="EK79" s="108"/>
      <c r="EL79" s="108"/>
      <c r="EM79" s="108"/>
      <c r="EN79" s="108"/>
      <c r="EO79" s="108"/>
      <c r="EP79" s="319"/>
      <c r="EQ79" s="319"/>
      <c r="ER79" s="319"/>
      <c r="ES79" s="319"/>
      <c r="ET79" s="319"/>
      <c r="EU79" s="319"/>
      <c r="EV79" s="319"/>
      <c r="EW79" s="319"/>
      <c r="EX79" s="319"/>
      <c r="EY79" s="319"/>
      <c r="EZ79" s="319"/>
      <c r="FA79" s="319"/>
      <c r="FB79" s="319"/>
      <c r="FC79" s="319"/>
      <c r="FD79" s="319"/>
      <c r="FE79" s="319"/>
      <c r="FF79" s="319"/>
      <c r="FG79" s="319"/>
      <c r="FH79" s="319"/>
      <c r="FI79" s="319"/>
      <c r="FJ79" s="319"/>
      <c r="FK79" s="319"/>
      <c r="FL79" s="319"/>
      <c r="FM79" s="319"/>
      <c r="FN79" s="319"/>
      <c r="FO79" s="319"/>
      <c r="FP79" s="215"/>
      <c r="FQ79" s="215"/>
      <c r="FR79" s="215"/>
      <c r="FS79" s="215"/>
      <c r="FT79" s="215"/>
      <c r="FU79" s="215"/>
      <c r="FV79" s="215"/>
      <c r="FW79" s="215"/>
      <c r="FX79" s="215"/>
      <c r="FY79" s="215"/>
      <c r="FZ79" s="215"/>
      <c r="GA79" s="215"/>
      <c r="GB79" s="215"/>
      <c r="GC79" s="215"/>
      <c r="GD79" s="215"/>
      <c r="GE79" s="215"/>
      <c r="GF79" s="215"/>
      <c r="GG79" s="215"/>
      <c r="GH79" s="200">
        <f t="shared" si="5"/>
        <v>0</v>
      </c>
      <c r="GI79" s="173">
        <f t="shared" si="6"/>
        <v>0</v>
      </c>
      <c r="GJ79" s="174"/>
      <c r="GK79" s="115"/>
      <c r="GL79" s="215"/>
      <c r="GM79" s="215"/>
      <c r="GN79" s="215"/>
      <c r="GO79" s="215"/>
      <c r="GP79" s="215"/>
      <c r="GQ79" s="215"/>
      <c r="GR79" s="215"/>
      <c r="GS79" s="215"/>
      <c r="GT79" s="215"/>
      <c r="GU79" s="215"/>
      <c r="GV79" s="215"/>
      <c r="GW79" s="215"/>
      <c r="GX79" s="215"/>
      <c r="GY79" s="215"/>
      <c r="GZ79" s="215"/>
      <c r="HA79" s="215"/>
      <c r="HB79" s="327"/>
      <c r="HC79" s="327"/>
      <c r="HD79" s="215"/>
      <c r="HE79" s="215"/>
      <c r="HF79" s="215"/>
      <c r="HG79" s="215"/>
      <c r="HH79" s="215"/>
      <c r="HI79" s="215"/>
      <c r="HJ79" s="215"/>
      <c r="HK79" s="215"/>
      <c r="HL79" s="215"/>
      <c r="HM79" s="215"/>
      <c r="HN79" s="215"/>
      <c r="HO79" s="215"/>
      <c r="HP79" s="215"/>
      <c r="HQ79" s="215"/>
      <c r="HR79" s="215"/>
      <c r="HS79" s="215"/>
      <c r="HT79" s="215"/>
      <c r="HU79" s="215"/>
      <c r="HV79" s="215"/>
      <c r="HW79" s="215"/>
      <c r="HX79" s="215"/>
      <c r="HY79" s="215"/>
      <c r="HZ79" s="215"/>
      <c r="IA79" s="215"/>
      <c r="IB79" s="215"/>
      <c r="IC79" s="215"/>
      <c r="ID79" s="215"/>
      <c r="IE79" s="215"/>
      <c r="IF79" s="200"/>
      <c r="IG79" s="173"/>
      <c r="IH79" s="174"/>
      <c r="II79" s="329"/>
      <c r="IJ79" s="215"/>
      <c r="IK79" s="215"/>
      <c r="IL79" s="215"/>
      <c r="IM79" s="215"/>
      <c r="IN79" s="215"/>
      <c r="IO79" s="215"/>
      <c r="IP79" s="215"/>
      <c r="IQ79" s="215"/>
      <c r="IR79" s="215"/>
      <c r="IS79" s="215"/>
      <c r="IT79" s="215"/>
      <c r="IU79" s="215"/>
      <c r="IV79" s="215"/>
      <c r="IW79" s="215"/>
      <c r="IX79" s="215"/>
      <c r="IY79" s="215"/>
      <c r="IZ79" s="215"/>
      <c r="JA79" s="215"/>
      <c r="JB79" s="215"/>
      <c r="JC79" s="215"/>
      <c r="JD79" s="215"/>
      <c r="JE79" s="215"/>
      <c r="JF79" s="215"/>
      <c r="JG79" s="215"/>
      <c r="JH79" s="215"/>
      <c r="JI79" s="215"/>
      <c r="JJ79" s="215"/>
      <c r="JK79" s="215"/>
      <c r="JL79" s="215"/>
      <c r="JM79" s="215"/>
      <c r="JN79" s="215"/>
      <c r="JO79" s="215"/>
      <c r="JP79" s="215"/>
      <c r="JQ79" s="215"/>
      <c r="JR79" s="215"/>
      <c r="JS79" s="215"/>
      <c r="JT79" s="215"/>
      <c r="JU79" s="215"/>
      <c r="JV79" s="215"/>
      <c r="JW79" s="215"/>
      <c r="JX79" s="215"/>
      <c r="JY79" s="215"/>
      <c r="JZ79" s="215"/>
      <c r="KA79" s="215"/>
      <c r="KB79" s="215"/>
      <c r="KC79" s="172"/>
      <c r="KD79" s="173"/>
      <c r="KE79" s="174"/>
      <c r="KF79" s="174"/>
      <c r="KG79" s="174"/>
      <c r="KH79" s="174"/>
      <c r="KI79" s="174"/>
      <c r="KJ79" s="174"/>
      <c r="KK79" s="174"/>
      <c r="KL79" s="174"/>
      <c r="KM79" s="174"/>
      <c r="KN79" s="174"/>
      <c r="KO79" s="174"/>
      <c r="KP79" s="174"/>
      <c r="KQ79" s="174"/>
      <c r="KR79" s="174"/>
      <c r="KS79" s="174"/>
      <c r="KT79" s="174"/>
      <c r="KU79" s="174"/>
      <c r="KV79" s="174"/>
      <c r="KW79" s="174"/>
    </row>
    <row r="80">
      <c r="A80" s="110" t="s">
        <v>120</v>
      </c>
      <c r="B80" s="96">
        <v>599.0</v>
      </c>
      <c r="C80" s="115"/>
      <c r="D80" s="215"/>
      <c r="E80" s="215"/>
      <c r="F80" s="116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  <c r="AV80" s="171"/>
      <c r="AW80" s="171"/>
      <c r="AX80" s="171"/>
      <c r="AY80" s="171"/>
      <c r="AZ80" s="171"/>
      <c r="BA80" s="171"/>
      <c r="BB80" s="171"/>
      <c r="BC80" s="171"/>
      <c r="BD80" s="171"/>
      <c r="BE80" s="171"/>
      <c r="BF80" s="171"/>
      <c r="BG80" s="171"/>
      <c r="BH80" s="171"/>
      <c r="BI80" s="171"/>
      <c r="BJ80" s="171"/>
      <c r="BK80" s="171"/>
      <c r="BL80" s="171"/>
      <c r="BM80" s="171"/>
      <c r="BN80" s="171"/>
      <c r="BO80" s="171"/>
      <c r="BP80" s="171"/>
      <c r="BQ80" s="171"/>
      <c r="BR80" s="171"/>
      <c r="BS80" s="171"/>
      <c r="BT80" s="171"/>
      <c r="BU80" s="171"/>
      <c r="BV80" s="171"/>
      <c r="BW80" s="171"/>
      <c r="BX80" s="171"/>
      <c r="BY80" s="171"/>
      <c r="BZ80" s="171"/>
      <c r="CA80" s="171"/>
      <c r="CB80" s="171"/>
      <c r="CC80" s="171"/>
      <c r="CD80" s="310"/>
      <c r="CE80" s="94">
        <f t="shared" si="1"/>
        <v>0</v>
      </c>
      <c r="CF80" s="173">
        <f t="shared" si="2"/>
        <v>0</v>
      </c>
      <c r="CH80" s="115"/>
      <c r="CI80" s="215"/>
      <c r="CJ80" s="215"/>
      <c r="CK80" s="116"/>
      <c r="CL80" s="171"/>
      <c r="CM80" s="171"/>
      <c r="CN80" s="171"/>
      <c r="CO80" s="171"/>
      <c r="CP80" s="171"/>
      <c r="CQ80" s="171"/>
      <c r="CR80" s="171"/>
      <c r="CS80" s="171"/>
      <c r="CT80" s="171"/>
      <c r="CU80" s="171"/>
      <c r="CV80" s="171"/>
      <c r="CW80" s="171"/>
      <c r="CX80" s="171"/>
      <c r="CY80" s="171"/>
      <c r="CZ80" s="171"/>
      <c r="DA80" s="171"/>
      <c r="DB80" s="171"/>
      <c r="DC80" s="171"/>
      <c r="DD80" s="171"/>
      <c r="DE80" s="171"/>
      <c r="DF80" s="171"/>
      <c r="DG80" s="171"/>
      <c r="DH80" s="171"/>
      <c r="DI80" s="171"/>
      <c r="DJ80" s="171"/>
      <c r="DK80" s="171"/>
      <c r="DL80" s="171"/>
      <c r="DM80" s="171"/>
      <c r="DN80" s="171"/>
      <c r="DO80" s="171"/>
      <c r="DP80" s="171"/>
      <c r="DQ80" s="171"/>
      <c r="DR80" s="171"/>
      <c r="DS80" s="171"/>
      <c r="DT80" s="171"/>
      <c r="DU80" s="171"/>
      <c r="DV80" s="171"/>
      <c r="DW80" s="171"/>
      <c r="DX80" s="171"/>
      <c r="DY80" s="171"/>
      <c r="DZ80" s="171"/>
      <c r="EA80" s="171"/>
      <c r="EB80" s="171"/>
      <c r="EC80" s="171"/>
      <c r="ED80" s="171"/>
      <c r="EE80" s="95"/>
      <c r="EF80" s="200">
        <f t="shared" si="8"/>
        <v>0</v>
      </c>
      <c r="EG80" s="173">
        <f t="shared" si="4"/>
        <v>0</v>
      </c>
      <c r="EH80" s="174"/>
      <c r="EI80" s="104"/>
      <c r="EJ80" s="108"/>
      <c r="EK80" s="108"/>
      <c r="EL80" s="108"/>
      <c r="EM80" s="108"/>
      <c r="EN80" s="108"/>
      <c r="EO80" s="108"/>
      <c r="EP80" s="319"/>
      <c r="EQ80" s="319"/>
      <c r="ER80" s="319"/>
      <c r="ES80" s="319"/>
      <c r="ET80" s="319"/>
      <c r="EU80" s="319"/>
      <c r="EV80" s="319"/>
      <c r="EW80" s="319"/>
      <c r="EX80" s="319"/>
      <c r="EY80" s="319"/>
      <c r="EZ80" s="319"/>
      <c r="FA80" s="319"/>
      <c r="FB80" s="319"/>
      <c r="FC80" s="319"/>
      <c r="FD80" s="319"/>
      <c r="FE80" s="319"/>
      <c r="FF80" s="319"/>
      <c r="FG80" s="319"/>
      <c r="FH80" s="319"/>
      <c r="FI80" s="319"/>
      <c r="FJ80" s="319"/>
      <c r="FK80" s="319"/>
      <c r="FL80" s="319"/>
      <c r="FM80" s="319"/>
      <c r="FN80" s="319"/>
      <c r="FO80" s="319"/>
      <c r="FP80" s="215"/>
      <c r="FQ80" s="215"/>
      <c r="FR80" s="215"/>
      <c r="FS80" s="215"/>
      <c r="FT80" s="215"/>
      <c r="FU80" s="215"/>
      <c r="FV80" s="215"/>
      <c r="FW80" s="215"/>
      <c r="FX80" s="215"/>
      <c r="FY80" s="215"/>
      <c r="FZ80" s="215"/>
      <c r="GA80" s="215"/>
      <c r="GB80" s="215"/>
      <c r="GC80" s="215"/>
      <c r="GD80" s="215"/>
      <c r="GE80" s="215"/>
      <c r="GF80" s="215"/>
      <c r="GG80" s="215"/>
      <c r="GH80" s="200">
        <f t="shared" si="5"/>
        <v>0</v>
      </c>
      <c r="GI80" s="173">
        <f t="shared" si="6"/>
        <v>0</v>
      </c>
      <c r="GJ80" s="174"/>
      <c r="GK80" s="115"/>
      <c r="GL80" s="215"/>
      <c r="GM80" s="215"/>
      <c r="GN80" s="215"/>
      <c r="GO80" s="215"/>
      <c r="GP80" s="215"/>
      <c r="GQ80" s="215"/>
      <c r="GR80" s="215"/>
      <c r="GS80" s="215"/>
      <c r="GT80" s="215"/>
      <c r="GU80" s="215"/>
      <c r="GV80" s="215"/>
      <c r="GW80" s="215"/>
      <c r="GX80" s="215"/>
      <c r="GY80" s="215"/>
      <c r="GZ80" s="215"/>
      <c r="HA80" s="215"/>
      <c r="HB80" s="327"/>
      <c r="HC80" s="327"/>
      <c r="HD80" s="215"/>
      <c r="HE80" s="215"/>
      <c r="HF80" s="215"/>
      <c r="HG80" s="215"/>
      <c r="HH80" s="215"/>
      <c r="HI80" s="215"/>
      <c r="HJ80" s="215"/>
      <c r="HK80" s="215"/>
      <c r="HL80" s="215"/>
      <c r="HM80" s="215"/>
      <c r="HN80" s="215"/>
      <c r="HO80" s="215"/>
      <c r="HP80" s="215"/>
      <c r="HQ80" s="215"/>
      <c r="HR80" s="215"/>
      <c r="HS80" s="215"/>
      <c r="HT80" s="215"/>
      <c r="HU80" s="215"/>
      <c r="HV80" s="215"/>
      <c r="HW80" s="215"/>
      <c r="HX80" s="215"/>
      <c r="HY80" s="215"/>
      <c r="HZ80" s="215"/>
      <c r="IA80" s="215"/>
      <c r="IB80" s="215"/>
      <c r="IC80" s="215"/>
      <c r="ID80" s="215"/>
      <c r="IE80" s="215"/>
      <c r="IF80" s="200"/>
      <c r="IG80" s="173"/>
      <c r="IH80" s="174"/>
      <c r="II80" s="329"/>
      <c r="IJ80" s="215"/>
      <c r="IK80" s="215"/>
      <c r="IL80" s="215"/>
      <c r="IM80" s="215"/>
      <c r="IN80" s="215"/>
      <c r="IO80" s="215"/>
      <c r="IP80" s="215"/>
      <c r="IQ80" s="215"/>
      <c r="IR80" s="215"/>
      <c r="IS80" s="215"/>
      <c r="IT80" s="215"/>
      <c r="IU80" s="215"/>
      <c r="IV80" s="215"/>
      <c r="IW80" s="215"/>
      <c r="IX80" s="215"/>
      <c r="IY80" s="215"/>
      <c r="IZ80" s="215"/>
      <c r="JA80" s="215"/>
      <c r="JB80" s="215"/>
      <c r="JC80" s="215"/>
      <c r="JD80" s="215"/>
      <c r="JE80" s="215"/>
      <c r="JF80" s="215"/>
      <c r="JG80" s="215"/>
      <c r="JH80" s="215"/>
      <c r="JI80" s="215"/>
      <c r="JJ80" s="215"/>
      <c r="JK80" s="215"/>
      <c r="JL80" s="215"/>
      <c r="JM80" s="215"/>
      <c r="JN80" s="215"/>
      <c r="JO80" s="215"/>
      <c r="JP80" s="215"/>
      <c r="JQ80" s="215"/>
      <c r="JR80" s="215"/>
      <c r="JS80" s="215"/>
      <c r="JT80" s="215"/>
      <c r="JU80" s="215"/>
      <c r="JV80" s="215"/>
      <c r="JW80" s="215"/>
      <c r="JX80" s="215"/>
      <c r="JY80" s="215"/>
      <c r="JZ80" s="215"/>
      <c r="KA80" s="215"/>
      <c r="KB80" s="215"/>
      <c r="KC80" s="172"/>
      <c r="KD80" s="173"/>
      <c r="KE80" s="174"/>
      <c r="KF80" s="174"/>
      <c r="KG80" s="174"/>
      <c r="KH80" s="174"/>
      <c r="KI80" s="174"/>
      <c r="KJ80" s="174"/>
      <c r="KK80" s="174"/>
      <c r="KL80" s="174"/>
      <c r="KM80" s="174"/>
      <c r="KN80" s="174"/>
      <c r="KO80" s="174"/>
      <c r="KP80" s="174"/>
      <c r="KQ80" s="174"/>
      <c r="KR80" s="174"/>
      <c r="KS80" s="174"/>
      <c r="KT80" s="174"/>
      <c r="KU80" s="174"/>
      <c r="KV80" s="174"/>
      <c r="KW80" s="174"/>
    </row>
    <row r="81">
      <c r="A81" s="110" t="s">
        <v>121</v>
      </c>
      <c r="B81" s="96">
        <v>229.0</v>
      </c>
      <c r="C81" s="115"/>
      <c r="D81" s="215"/>
      <c r="E81" s="215"/>
      <c r="F81" s="116"/>
      <c r="G81" s="196">
        <v>1.0</v>
      </c>
      <c r="H81" s="171"/>
      <c r="I81" s="171"/>
      <c r="J81" s="195"/>
      <c r="K81" s="171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204">
        <v>1.0</v>
      </c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  <c r="BW81" s="195"/>
      <c r="BX81" s="195"/>
      <c r="BY81" s="195"/>
      <c r="BZ81" s="195"/>
      <c r="CA81" s="195"/>
      <c r="CB81" s="195"/>
      <c r="CC81" s="195"/>
      <c r="CD81" s="310"/>
      <c r="CE81" s="94">
        <f t="shared" si="1"/>
        <v>2</v>
      </c>
      <c r="CF81" s="173">
        <f t="shared" si="2"/>
        <v>458</v>
      </c>
      <c r="CH81" s="115"/>
      <c r="CI81" s="215"/>
      <c r="CJ81" s="215"/>
      <c r="CK81" s="116"/>
      <c r="CL81" s="171"/>
      <c r="CM81" s="171"/>
      <c r="CN81" s="171"/>
      <c r="CO81" s="195"/>
      <c r="CP81" s="171"/>
      <c r="CQ81" s="195"/>
      <c r="CR81" s="195"/>
      <c r="CS81" s="195"/>
      <c r="CT81" s="195"/>
      <c r="CU81" s="195"/>
      <c r="CV81" s="195"/>
      <c r="CW81" s="195"/>
      <c r="CX81" s="195"/>
      <c r="CY81" s="195"/>
      <c r="CZ81" s="195"/>
      <c r="DA81" s="204">
        <v>4.0</v>
      </c>
      <c r="DB81" s="195"/>
      <c r="DC81" s="195"/>
      <c r="DD81" s="195"/>
      <c r="DE81" s="195"/>
      <c r="DF81" s="195"/>
      <c r="DG81" s="195"/>
      <c r="DH81" s="195"/>
      <c r="DI81" s="195"/>
      <c r="DJ81" s="195"/>
      <c r="DK81" s="195"/>
      <c r="DL81" s="195"/>
      <c r="DM81" s="195"/>
      <c r="DN81" s="195"/>
      <c r="DO81" s="195"/>
      <c r="DP81" s="195"/>
      <c r="DQ81" s="195"/>
      <c r="DR81" s="195"/>
      <c r="DS81" s="195"/>
      <c r="DT81" s="195"/>
      <c r="DU81" s="195"/>
      <c r="DV81" s="195"/>
      <c r="DW81" s="195"/>
      <c r="DX81" s="195"/>
      <c r="DY81" s="195"/>
      <c r="DZ81" s="195"/>
      <c r="EA81" s="195"/>
      <c r="EB81" s="195"/>
      <c r="EC81" s="195"/>
      <c r="ED81" s="171"/>
      <c r="EE81" s="95"/>
      <c r="EF81" s="200">
        <f t="shared" si="8"/>
        <v>4</v>
      </c>
      <c r="EG81" s="173">
        <f t="shared" si="4"/>
        <v>916</v>
      </c>
      <c r="EH81" s="174"/>
      <c r="EI81" s="104"/>
      <c r="EJ81" s="318">
        <v>3.0</v>
      </c>
      <c r="EK81" s="108"/>
      <c r="EL81" s="108"/>
      <c r="EM81" s="108"/>
      <c r="EN81" s="108"/>
      <c r="EO81" s="108"/>
      <c r="EP81" s="319"/>
      <c r="EQ81" s="319"/>
      <c r="ER81" s="319"/>
      <c r="ES81" s="319"/>
      <c r="ET81" s="319"/>
      <c r="EU81" s="319"/>
      <c r="EV81" s="319"/>
      <c r="EW81" s="319"/>
      <c r="EX81" s="319"/>
      <c r="EY81" s="319"/>
      <c r="EZ81" s="322">
        <v>1.0</v>
      </c>
      <c r="FA81" s="319"/>
      <c r="FB81" s="319"/>
      <c r="FC81" s="319"/>
      <c r="FD81" s="319"/>
      <c r="FE81" s="319"/>
      <c r="FF81" s="319"/>
      <c r="FG81" s="319"/>
      <c r="FH81" s="319"/>
      <c r="FI81" s="319"/>
      <c r="FJ81" s="319"/>
      <c r="FK81" s="319"/>
      <c r="FL81" s="319"/>
      <c r="FM81" s="319"/>
      <c r="FN81" s="322">
        <v>1.0</v>
      </c>
      <c r="FO81" s="319"/>
      <c r="FP81" s="215"/>
      <c r="FQ81" s="215"/>
      <c r="FR81" s="215"/>
      <c r="FS81" s="215"/>
      <c r="FT81" s="215"/>
      <c r="FU81" s="215"/>
      <c r="FV81" s="215"/>
      <c r="FW81" s="215"/>
      <c r="FX81" s="217">
        <v>1.0</v>
      </c>
      <c r="FY81" s="215"/>
      <c r="FZ81" s="215"/>
      <c r="GA81" s="215"/>
      <c r="GB81" s="215"/>
      <c r="GC81" s="215"/>
      <c r="GD81" s="215"/>
      <c r="GE81" s="215"/>
      <c r="GF81" s="215"/>
      <c r="GG81" s="215"/>
      <c r="GH81" s="200">
        <f t="shared" si="5"/>
        <v>6</v>
      </c>
      <c r="GI81" s="173">
        <f t="shared" si="6"/>
        <v>1374</v>
      </c>
      <c r="GJ81" s="174"/>
      <c r="GK81" s="222"/>
      <c r="GL81" s="215"/>
      <c r="GM81" s="215"/>
      <c r="GN81" s="332">
        <v>2.0</v>
      </c>
      <c r="GO81" s="215"/>
      <c r="GP81" s="215"/>
      <c r="GQ81" s="215"/>
      <c r="GR81" s="215"/>
      <c r="GS81" s="215"/>
      <c r="GT81" s="215"/>
      <c r="GU81" s="215"/>
      <c r="GV81" s="215"/>
      <c r="GW81" s="215"/>
      <c r="GX81" s="215"/>
      <c r="GY81" s="215"/>
      <c r="GZ81" s="215"/>
      <c r="HA81" s="215"/>
      <c r="HB81" s="327"/>
      <c r="HC81" s="327"/>
      <c r="HD81" s="215"/>
      <c r="HE81" s="215"/>
      <c r="HF81" s="215"/>
      <c r="HG81" s="215"/>
      <c r="HH81" s="215"/>
      <c r="HI81" s="215"/>
      <c r="HJ81" s="215"/>
      <c r="HK81" s="215"/>
      <c r="HL81" s="215"/>
      <c r="HM81" s="215"/>
      <c r="HN81" s="215"/>
      <c r="HO81" s="215"/>
      <c r="HP81" s="215"/>
      <c r="HQ81" s="215"/>
      <c r="HR81" s="215"/>
      <c r="HS81" s="215"/>
      <c r="HT81" s="215"/>
      <c r="HU81" s="215"/>
      <c r="HV81" s="320">
        <v>1.0</v>
      </c>
      <c r="HW81" s="215"/>
      <c r="HX81" s="215"/>
      <c r="HY81" s="215"/>
      <c r="HZ81" s="215"/>
      <c r="IA81" s="215"/>
      <c r="IB81" s="215"/>
      <c r="IC81" s="217">
        <v>2.0</v>
      </c>
      <c r="ID81" s="215"/>
      <c r="IE81" s="215"/>
      <c r="IF81" s="200"/>
      <c r="IG81" s="173"/>
      <c r="IH81" s="174"/>
      <c r="II81" s="329"/>
      <c r="IJ81" s="321">
        <v>1.0</v>
      </c>
      <c r="IK81" s="215"/>
      <c r="IL81" s="215"/>
      <c r="IM81" s="215"/>
      <c r="IN81" s="215"/>
      <c r="IO81" s="215"/>
      <c r="IP81" s="215"/>
      <c r="IQ81" s="215"/>
      <c r="IR81" s="215"/>
      <c r="IS81" s="215"/>
      <c r="IT81" s="215"/>
      <c r="IU81" s="215"/>
      <c r="IV81" s="215"/>
      <c r="IW81" s="215"/>
      <c r="IX81" s="215"/>
      <c r="IY81" s="215"/>
      <c r="IZ81" s="215"/>
      <c r="JA81" s="215"/>
      <c r="JB81" s="215"/>
      <c r="JC81" s="215"/>
      <c r="JD81" s="215"/>
      <c r="JE81" s="215"/>
      <c r="JF81" s="215"/>
      <c r="JG81" s="215"/>
      <c r="JH81" s="215"/>
      <c r="JI81" s="215"/>
      <c r="JJ81" s="215"/>
      <c r="JK81" s="215"/>
      <c r="JL81" s="215"/>
      <c r="JM81" s="215"/>
      <c r="JN81" s="215"/>
      <c r="JO81" s="215"/>
      <c r="JP81" s="215"/>
      <c r="JQ81" s="215"/>
      <c r="JR81" s="215"/>
      <c r="JS81" s="215"/>
      <c r="JT81" s="215"/>
      <c r="JU81" s="215"/>
      <c r="JV81" s="215"/>
      <c r="JW81" s="215"/>
      <c r="JX81" s="215"/>
      <c r="JY81" s="215"/>
      <c r="JZ81" s="215"/>
      <c r="KA81" s="215"/>
      <c r="KB81" s="215"/>
      <c r="KC81" s="172"/>
      <c r="KD81" s="173"/>
      <c r="KE81" s="174"/>
      <c r="KF81" s="174"/>
      <c r="KG81" s="174"/>
      <c r="KH81" s="174"/>
      <c r="KI81" s="174"/>
      <c r="KJ81" s="174"/>
      <c r="KK81" s="174"/>
      <c r="KL81" s="174"/>
      <c r="KM81" s="174"/>
      <c r="KN81" s="174"/>
      <c r="KO81" s="174"/>
      <c r="KP81" s="174"/>
      <c r="KQ81" s="174"/>
      <c r="KR81" s="174"/>
      <c r="KS81" s="174"/>
      <c r="KT81" s="174"/>
      <c r="KU81" s="174"/>
      <c r="KV81" s="174"/>
      <c r="KW81" s="174"/>
    </row>
    <row r="82">
      <c r="A82" s="110" t="s">
        <v>122</v>
      </c>
      <c r="B82" s="96">
        <v>219.0</v>
      </c>
      <c r="C82" s="115"/>
      <c r="D82" s="215"/>
      <c r="E82" s="215"/>
      <c r="F82" s="116"/>
      <c r="G82" s="171"/>
      <c r="H82" s="196">
        <v>1.0</v>
      </c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  <c r="BD82" s="171"/>
      <c r="BE82" s="171"/>
      <c r="BF82" s="171"/>
      <c r="BG82" s="171"/>
      <c r="BH82" s="171"/>
      <c r="BI82" s="171"/>
      <c r="BJ82" s="171"/>
      <c r="BK82" s="171"/>
      <c r="BL82" s="171"/>
      <c r="BM82" s="171"/>
      <c r="BN82" s="171"/>
      <c r="BO82" s="171"/>
      <c r="BP82" s="171"/>
      <c r="BQ82" s="171"/>
      <c r="BR82" s="171"/>
      <c r="BS82" s="171"/>
      <c r="BT82" s="171"/>
      <c r="BU82" s="171"/>
      <c r="BV82" s="171"/>
      <c r="BW82" s="171"/>
      <c r="BX82" s="171"/>
      <c r="BY82" s="171"/>
      <c r="BZ82" s="171"/>
      <c r="CA82" s="171"/>
      <c r="CB82" s="171"/>
      <c r="CC82" s="171"/>
      <c r="CD82" s="310"/>
      <c r="CE82" s="94">
        <f t="shared" si="1"/>
        <v>1</v>
      </c>
      <c r="CF82" s="173">
        <f t="shared" si="2"/>
        <v>219</v>
      </c>
      <c r="CH82" s="115"/>
      <c r="CI82" s="215"/>
      <c r="CJ82" s="215"/>
      <c r="CK82" s="116"/>
      <c r="CL82" s="171"/>
      <c r="CM82" s="171"/>
      <c r="CN82" s="171"/>
      <c r="CO82" s="171"/>
      <c r="CP82" s="171"/>
      <c r="CQ82" s="171"/>
      <c r="CR82" s="171"/>
      <c r="CS82" s="171"/>
      <c r="CT82" s="171"/>
      <c r="CU82" s="171"/>
      <c r="CV82" s="171"/>
      <c r="CW82" s="171"/>
      <c r="CX82" s="171"/>
      <c r="CY82" s="171"/>
      <c r="CZ82" s="171"/>
      <c r="DA82" s="171"/>
      <c r="DB82" s="171"/>
      <c r="DC82" s="171"/>
      <c r="DD82" s="171"/>
      <c r="DE82" s="171"/>
      <c r="DF82" s="171"/>
      <c r="DG82" s="171"/>
      <c r="DH82" s="171"/>
      <c r="DI82" s="171"/>
      <c r="DJ82" s="171"/>
      <c r="DK82" s="171"/>
      <c r="DL82" s="171"/>
      <c r="DM82" s="171"/>
      <c r="DN82" s="171"/>
      <c r="DO82" s="171"/>
      <c r="DP82" s="171"/>
      <c r="DQ82" s="171"/>
      <c r="DR82" s="171"/>
      <c r="DS82" s="171"/>
      <c r="DT82" s="171"/>
      <c r="DU82" s="171"/>
      <c r="DV82" s="171"/>
      <c r="DW82" s="171"/>
      <c r="DX82" s="171"/>
      <c r="DY82" s="171"/>
      <c r="DZ82" s="171"/>
      <c r="EA82" s="171"/>
      <c r="EB82" s="171"/>
      <c r="EC82" s="171"/>
      <c r="ED82" s="171"/>
      <c r="EE82" s="95"/>
      <c r="EF82" s="200">
        <f t="shared" si="8"/>
        <v>0</v>
      </c>
      <c r="EG82" s="173">
        <f t="shared" si="4"/>
        <v>0</v>
      </c>
      <c r="EH82" s="174"/>
      <c r="EI82" s="104"/>
      <c r="EJ82" s="108"/>
      <c r="EK82" s="108"/>
      <c r="EL82" s="108"/>
      <c r="EM82" s="108"/>
      <c r="EN82" s="108"/>
      <c r="EO82" s="108"/>
      <c r="EP82" s="319"/>
      <c r="EQ82" s="319"/>
      <c r="ER82" s="319"/>
      <c r="ES82" s="319"/>
      <c r="ET82" s="319"/>
      <c r="EU82" s="319"/>
      <c r="EV82" s="319"/>
      <c r="EW82" s="319"/>
      <c r="EX82" s="319"/>
      <c r="EY82" s="319"/>
      <c r="EZ82" s="319"/>
      <c r="FA82" s="319"/>
      <c r="FB82" s="319"/>
      <c r="FC82" s="319"/>
      <c r="FD82" s="319"/>
      <c r="FE82" s="319"/>
      <c r="FF82" s="319"/>
      <c r="FG82" s="319"/>
      <c r="FH82" s="319"/>
      <c r="FI82" s="319"/>
      <c r="FJ82" s="319"/>
      <c r="FK82" s="319"/>
      <c r="FL82" s="319"/>
      <c r="FM82" s="319"/>
      <c r="FN82" s="319"/>
      <c r="FO82" s="319"/>
      <c r="FP82" s="215"/>
      <c r="FQ82" s="215"/>
      <c r="FR82" s="215"/>
      <c r="FS82" s="215"/>
      <c r="FT82" s="215"/>
      <c r="FU82" s="215"/>
      <c r="FV82" s="215"/>
      <c r="FW82" s="215"/>
      <c r="FX82" s="215"/>
      <c r="FY82" s="215"/>
      <c r="FZ82" s="215"/>
      <c r="GA82" s="215"/>
      <c r="GB82" s="215"/>
      <c r="GC82" s="215"/>
      <c r="GD82" s="215"/>
      <c r="GE82" s="215"/>
      <c r="GF82" s="215"/>
      <c r="GG82" s="215"/>
      <c r="GH82" s="200">
        <f t="shared" si="5"/>
        <v>0</v>
      </c>
      <c r="GI82" s="173">
        <f t="shared" si="6"/>
        <v>0</v>
      </c>
      <c r="GJ82" s="174"/>
      <c r="GK82" s="222"/>
      <c r="GL82" s="215"/>
      <c r="GM82" s="215"/>
      <c r="GN82" s="215"/>
      <c r="GO82" s="215"/>
      <c r="GP82" s="215"/>
      <c r="GQ82" s="215"/>
      <c r="GR82" s="215"/>
      <c r="GS82" s="215"/>
      <c r="GT82" s="215"/>
      <c r="GU82" s="215"/>
      <c r="GV82" s="215"/>
      <c r="GW82" s="215"/>
      <c r="GX82" s="215"/>
      <c r="GY82" s="215"/>
      <c r="GZ82" s="215"/>
      <c r="HA82" s="215"/>
      <c r="HB82" s="327"/>
      <c r="HC82" s="327"/>
      <c r="HD82" s="215"/>
      <c r="HE82" s="215"/>
      <c r="HF82" s="215"/>
      <c r="HG82" s="215"/>
      <c r="HH82" s="215"/>
      <c r="HI82" s="215"/>
      <c r="HJ82" s="215"/>
      <c r="HK82" s="215"/>
      <c r="HL82" s="215"/>
      <c r="HM82" s="215"/>
      <c r="HN82" s="215"/>
      <c r="HO82" s="215"/>
      <c r="HP82" s="215"/>
      <c r="HQ82" s="215"/>
      <c r="HR82" s="215"/>
      <c r="HS82" s="215"/>
      <c r="HT82" s="215"/>
      <c r="HU82" s="215"/>
      <c r="HV82" s="215"/>
      <c r="HW82" s="215"/>
      <c r="HX82" s="215"/>
      <c r="HY82" s="215"/>
      <c r="HZ82" s="215"/>
      <c r="IA82" s="215"/>
      <c r="IB82" s="215"/>
      <c r="IC82" s="215"/>
      <c r="ID82" s="215"/>
      <c r="IE82" s="215"/>
      <c r="IF82" s="200"/>
      <c r="IG82" s="173"/>
      <c r="IH82" s="174"/>
      <c r="II82" s="329"/>
      <c r="IJ82" s="215"/>
      <c r="IK82" s="215"/>
      <c r="IL82" s="215"/>
      <c r="IM82" s="215"/>
      <c r="IN82" s="215"/>
      <c r="IO82" s="215"/>
      <c r="IP82" s="215"/>
      <c r="IQ82" s="215"/>
      <c r="IR82" s="215"/>
      <c r="IS82" s="215"/>
      <c r="IT82" s="215"/>
      <c r="IU82" s="215"/>
      <c r="IV82" s="215"/>
      <c r="IW82" s="215"/>
      <c r="IX82" s="215"/>
      <c r="IY82" s="215"/>
      <c r="IZ82" s="215"/>
      <c r="JA82" s="215"/>
      <c r="JB82" s="215"/>
      <c r="JC82" s="215"/>
      <c r="JD82" s="215"/>
      <c r="JE82" s="215"/>
      <c r="JF82" s="215"/>
      <c r="JG82" s="215"/>
      <c r="JH82" s="215"/>
      <c r="JI82" s="215"/>
      <c r="JJ82" s="215"/>
      <c r="JK82" s="215"/>
      <c r="JL82" s="215"/>
      <c r="JM82" s="215"/>
      <c r="JN82" s="215"/>
      <c r="JO82" s="215"/>
      <c r="JP82" s="215"/>
      <c r="JQ82" s="215"/>
      <c r="JR82" s="215"/>
      <c r="JS82" s="215"/>
      <c r="JT82" s="215"/>
      <c r="JU82" s="215"/>
      <c r="JV82" s="215"/>
      <c r="JW82" s="215"/>
      <c r="JX82" s="215"/>
      <c r="JY82" s="215"/>
      <c r="JZ82" s="215"/>
      <c r="KA82" s="215"/>
      <c r="KB82" s="215"/>
      <c r="KC82" s="172"/>
      <c r="KD82" s="173"/>
      <c r="KE82" s="174"/>
      <c r="KF82" s="174"/>
      <c r="KG82" s="174"/>
      <c r="KH82" s="174"/>
      <c r="KI82" s="174"/>
      <c r="KJ82" s="174"/>
      <c r="KK82" s="174"/>
      <c r="KL82" s="174"/>
      <c r="KM82" s="174"/>
      <c r="KN82" s="174"/>
      <c r="KO82" s="174"/>
      <c r="KP82" s="174"/>
      <c r="KQ82" s="174"/>
      <c r="KR82" s="174"/>
      <c r="KS82" s="174"/>
      <c r="KT82" s="174"/>
      <c r="KU82" s="174"/>
      <c r="KV82" s="174"/>
      <c r="KW82" s="174"/>
    </row>
    <row r="83">
      <c r="A83" s="110" t="s">
        <v>123</v>
      </c>
      <c r="B83" s="96">
        <v>1299.0</v>
      </c>
      <c r="C83" s="115"/>
      <c r="D83" s="215"/>
      <c r="E83" s="215"/>
      <c r="F83" s="116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196">
        <v>1.0</v>
      </c>
      <c r="BC83" s="171"/>
      <c r="BD83" s="171"/>
      <c r="BE83" s="171"/>
      <c r="BF83" s="171"/>
      <c r="BG83" s="171"/>
      <c r="BH83" s="171"/>
      <c r="BI83" s="171"/>
      <c r="BJ83" s="171"/>
      <c r="BK83" s="171"/>
      <c r="BL83" s="171"/>
      <c r="BM83" s="171"/>
      <c r="BN83" s="171"/>
      <c r="BO83" s="171"/>
      <c r="BP83" s="171"/>
      <c r="BQ83" s="171"/>
      <c r="BR83" s="171"/>
      <c r="BS83" s="171"/>
      <c r="BT83" s="171"/>
      <c r="BU83" s="171"/>
      <c r="BV83" s="171"/>
      <c r="BW83" s="171"/>
      <c r="BX83" s="171"/>
      <c r="BY83" s="171"/>
      <c r="BZ83" s="171"/>
      <c r="CA83" s="171"/>
      <c r="CB83" s="171"/>
      <c r="CC83" s="171"/>
      <c r="CD83" s="310"/>
      <c r="CE83" s="94">
        <f t="shared" si="1"/>
        <v>1</v>
      </c>
      <c r="CF83" s="173">
        <f t="shared" si="2"/>
        <v>1299</v>
      </c>
      <c r="CH83" s="115"/>
      <c r="CI83" s="215"/>
      <c r="CJ83" s="215"/>
      <c r="CK83" s="116"/>
      <c r="CL83" s="171"/>
      <c r="CM83" s="171"/>
      <c r="CN83" s="171"/>
      <c r="CO83" s="171"/>
      <c r="CP83" s="171"/>
      <c r="CQ83" s="171"/>
      <c r="CR83" s="171"/>
      <c r="CS83" s="171"/>
      <c r="CT83" s="171"/>
      <c r="CU83" s="171"/>
      <c r="CV83" s="171"/>
      <c r="CW83" s="171"/>
      <c r="CX83" s="171"/>
      <c r="CY83" s="171"/>
      <c r="CZ83" s="171"/>
      <c r="DA83" s="171"/>
      <c r="DB83" s="171"/>
      <c r="DC83" s="171"/>
      <c r="DD83" s="171"/>
      <c r="DE83" s="171"/>
      <c r="DF83" s="171"/>
      <c r="DG83" s="171"/>
      <c r="DH83" s="171"/>
      <c r="DI83" s="171"/>
      <c r="DJ83" s="171"/>
      <c r="DK83" s="171"/>
      <c r="DL83" s="171"/>
      <c r="DM83" s="171"/>
      <c r="DN83" s="171"/>
      <c r="DO83" s="171"/>
      <c r="DP83" s="171"/>
      <c r="DQ83" s="171"/>
      <c r="DR83" s="171"/>
      <c r="DS83" s="171"/>
      <c r="DT83" s="171"/>
      <c r="DU83" s="171"/>
      <c r="DV83" s="171"/>
      <c r="DW83" s="171"/>
      <c r="DX83" s="171"/>
      <c r="DY83" s="171"/>
      <c r="DZ83" s="171"/>
      <c r="EA83" s="171"/>
      <c r="EB83" s="171"/>
      <c r="EC83" s="171"/>
      <c r="ED83" s="171"/>
      <c r="EE83" s="95"/>
      <c r="EF83" s="200">
        <f t="shared" si="8"/>
        <v>0</v>
      </c>
      <c r="EG83" s="173">
        <f t="shared" si="4"/>
        <v>0</v>
      </c>
      <c r="EH83" s="174"/>
      <c r="EI83" s="104"/>
      <c r="EJ83" s="108"/>
      <c r="EK83" s="108"/>
      <c r="EL83" s="108"/>
      <c r="EM83" s="108"/>
      <c r="EN83" s="108"/>
      <c r="EO83" s="108"/>
      <c r="EP83" s="319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319"/>
      <c r="FD83" s="319"/>
      <c r="FE83" s="319"/>
      <c r="FF83" s="319"/>
      <c r="FG83" s="319"/>
      <c r="FH83" s="319"/>
      <c r="FI83" s="319"/>
      <c r="FJ83" s="319"/>
      <c r="FK83" s="319"/>
      <c r="FL83" s="319"/>
      <c r="FM83" s="319"/>
      <c r="FN83" s="319"/>
      <c r="FO83" s="319"/>
      <c r="FP83" s="215"/>
      <c r="FQ83" s="215"/>
      <c r="FR83" s="215"/>
      <c r="FS83" s="215"/>
      <c r="FT83" s="215"/>
      <c r="FU83" s="215"/>
      <c r="FV83" s="215"/>
      <c r="FW83" s="215"/>
      <c r="FX83" s="215"/>
      <c r="FY83" s="215"/>
      <c r="FZ83" s="215"/>
      <c r="GA83" s="215"/>
      <c r="GB83" s="215"/>
      <c r="GC83" s="215"/>
      <c r="GD83" s="215"/>
      <c r="GE83" s="215"/>
      <c r="GF83" s="215"/>
      <c r="GG83" s="215"/>
      <c r="GH83" s="200">
        <f t="shared" si="5"/>
        <v>0</v>
      </c>
      <c r="GI83" s="173">
        <f t="shared" si="6"/>
        <v>0</v>
      </c>
      <c r="GJ83" s="174"/>
      <c r="GK83" s="115"/>
      <c r="GL83" s="215"/>
      <c r="GM83" s="215"/>
      <c r="GN83" s="215"/>
      <c r="GO83" s="215"/>
      <c r="GP83" s="215"/>
      <c r="GQ83" s="215"/>
      <c r="GR83" s="215"/>
      <c r="GS83" s="215"/>
      <c r="GT83" s="215"/>
      <c r="GU83" s="215"/>
      <c r="GV83" s="215"/>
      <c r="GW83" s="215"/>
      <c r="GX83" s="215"/>
      <c r="GY83" s="215"/>
      <c r="GZ83" s="215"/>
      <c r="HA83" s="215"/>
      <c r="HB83" s="327"/>
      <c r="HC83" s="327"/>
      <c r="HD83" s="215"/>
      <c r="HE83" s="215"/>
      <c r="HF83" s="215"/>
      <c r="HG83" s="215"/>
      <c r="HH83" s="215"/>
      <c r="HI83" s="215"/>
      <c r="HJ83" s="215"/>
      <c r="HK83" s="215"/>
      <c r="HL83" s="215"/>
      <c r="HM83" s="215"/>
      <c r="HN83" s="215"/>
      <c r="HO83" s="215"/>
      <c r="HP83" s="215"/>
      <c r="HQ83" s="215"/>
      <c r="HR83" s="215"/>
      <c r="HS83" s="215"/>
      <c r="HT83" s="215"/>
      <c r="HU83" s="215"/>
      <c r="HV83" s="215"/>
      <c r="HW83" s="215"/>
      <c r="HX83" s="215"/>
      <c r="HY83" s="215"/>
      <c r="HZ83" s="215"/>
      <c r="IA83" s="215"/>
      <c r="IB83" s="215"/>
      <c r="IC83" s="215"/>
      <c r="ID83" s="215"/>
      <c r="IE83" s="215"/>
      <c r="IF83" s="200"/>
      <c r="IG83" s="173"/>
      <c r="IH83" s="174"/>
      <c r="II83" s="329"/>
      <c r="IJ83" s="215"/>
      <c r="IK83" s="215"/>
      <c r="IL83" s="215"/>
      <c r="IM83" s="215"/>
      <c r="IN83" s="215"/>
      <c r="IO83" s="215"/>
      <c r="IP83" s="215"/>
      <c r="IQ83" s="215"/>
      <c r="IR83" s="215"/>
      <c r="IS83" s="215"/>
      <c r="IT83" s="215"/>
      <c r="IU83" s="215"/>
      <c r="IV83" s="215"/>
      <c r="IW83" s="215"/>
      <c r="IX83" s="215"/>
      <c r="IY83" s="215"/>
      <c r="IZ83" s="215"/>
      <c r="JA83" s="215"/>
      <c r="JB83" s="215"/>
      <c r="JC83" s="215"/>
      <c r="JD83" s="215"/>
      <c r="JE83" s="215"/>
      <c r="JF83" s="215"/>
      <c r="JG83" s="215"/>
      <c r="JH83" s="215"/>
      <c r="JI83" s="215"/>
      <c r="JJ83" s="215"/>
      <c r="JK83" s="215"/>
      <c r="JL83" s="215"/>
      <c r="JM83" s="215"/>
      <c r="JN83" s="215"/>
      <c r="JO83" s="215"/>
      <c r="JP83" s="215"/>
      <c r="JQ83" s="215"/>
      <c r="JR83" s="215"/>
      <c r="JS83" s="215"/>
      <c r="JT83" s="215"/>
      <c r="JU83" s="215"/>
      <c r="JV83" s="215"/>
      <c r="JW83" s="215"/>
      <c r="JX83" s="215"/>
      <c r="JY83" s="215"/>
      <c r="JZ83" s="215"/>
      <c r="KA83" s="215"/>
      <c r="KB83" s="215"/>
      <c r="KC83" s="172"/>
      <c r="KD83" s="173"/>
      <c r="KE83" s="174"/>
      <c r="KF83" s="174"/>
      <c r="KG83" s="174"/>
      <c r="KH83" s="174"/>
      <c r="KI83" s="174"/>
      <c r="KJ83" s="174"/>
      <c r="KK83" s="174"/>
      <c r="KL83" s="174"/>
      <c r="KM83" s="174"/>
      <c r="KN83" s="174"/>
      <c r="KO83" s="174"/>
      <c r="KP83" s="174"/>
      <c r="KQ83" s="174"/>
      <c r="KR83" s="174"/>
      <c r="KS83" s="174"/>
      <c r="KT83" s="174"/>
      <c r="KU83" s="174"/>
      <c r="KV83" s="174"/>
      <c r="KW83" s="174"/>
    </row>
    <row r="84">
      <c r="A84" s="102" t="s">
        <v>124</v>
      </c>
      <c r="B84" s="96">
        <v>1299.0</v>
      </c>
      <c r="C84" s="115"/>
      <c r="D84" s="215"/>
      <c r="E84" s="215"/>
      <c r="F84" s="116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171"/>
      <c r="BE84" s="171"/>
      <c r="BF84" s="171"/>
      <c r="BG84" s="171"/>
      <c r="BH84" s="171"/>
      <c r="BI84" s="171"/>
      <c r="BJ84" s="171"/>
      <c r="BK84" s="171"/>
      <c r="BL84" s="171"/>
      <c r="BM84" s="171"/>
      <c r="BN84" s="171"/>
      <c r="BO84" s="171"/>
      <c r="BP84" s="171"/>
      <c r="BQ84" s="171"/>
      <c r="BR84" s="171"/>
      <c r="BS84" s="171"/>
      <c r="BT84" s="171"/>
      <c r="BU84" s="171"/>
      <c r="BV84" s="171"/>
      <c r="BW84" s="171"/>
      <c r="BX84" s="171"/>
      <c r="BY84" s="171"/>
      <c r="BZ84" s="171"/>
      <c r="CA84" s="171"/>
      <c r="CB84" s="171"/>
      <c r="CC84" s="171"/>
      <c r="CD84" s="310"/>
      <c r="CE84" s="94">
        <f t="shared" si="1"/>
        <v>0</v>
      </c>
      <c r="CF84" s="173">
        <f t="shared" si="2"/>
        <v>0</v>
      </c>
      <c r="CH84" s="115"/>
      <c r="CI84" s="215"/>
      <c r="CJ84" s="215"/>
      <c r="CK84" s="116"/>
      <c r="CL84" s="171"/>
      <c r="CM84" s="171"/>
      <c r="CN84" s="171"/>
      <c r="CO84" s="171"/>
      <c r="CP84" s="171"/>
      <c r="CQ84" s="171"/>
      <c r="CR84" s="171"/>
      <c r="CS84" s="171"/>
      <c r="CT84" s="171"/>
      <c r="CU84" s="171"/>
      <c r="CV84" s="171"/>
      <c r="CW84" s="171"/>
      <c r="CX84" s="171"/>
      <c r="CY84" s="171"/>
      <c r="CZ84" s="171"/>
      <c r="DA84" s="171"/>
      <c r="DB84" s="171"/>
      <c r="DC84" s="171"/>
      <c r="DD84" s="171"/>
      <c r="DE84" s="171"/>
      <c r="DF84" s="171"/>
      <c r="DG84" s="171"/>
      <c r="DH84" s="171"/>
      <c r="DI84" s="171"/>
      <c r="DJ84" s="171"/>
      <c r="DK84" s="171"/>
      <c r="DL84" s="171"/>
      <c r="DM84" s="171"/>
      <c r="DN84" s="171"/>
      <c r="DO84" s="171"/>
      <c r="DP84" s="171"/>
      <c r="DQ84" s="171"/>
      <c r="DR84" s="171"/>
      <c r="DS84" s="171"/>
      <c r="DT84" s="171"/>
      <c r="DU84" s="171"/>
      <c r="DV84" s="171"/>
      <c r="DW84" s="171"/>
      <c r="DX84" s="171"/>
      <c r="DY84" s="171"/>
      <c r="DZ84" s="171"/>
      <c r="EA84" s="171"/>
      <c r="EB84" s="171"/>
      <c r="EC84" s="171"/>
      <c r="ED84" s="171"/>
      <c r="EE84" s="95"/>
      <c r="EF84" s="200">
        <f t="shared" si="8"/>
        <v>0</v>
      </c>
      <c r="EG84" s="173">
        <f t="shared" si="4"/>
        <v>0</v>
      </c>
      <c r="EH84" s="174"/>
      <c r="EI84" s="104"/>
      <c r="EJ84" s="108"/>
      <c r="EK84" s="108"/>
      <c r="EL84" s="108"/>
      <c r="EM84" s="108"/>
      <c r="EN84" s="108"/>
      <c r="EO84" s="108"/>
      <c r="EP84" s="319"/>
      <c r="EQ84" s="319"/>
      <c r="ER84" s="319"/>
      <c r="ES84" s="319"/>
      <c r="ET84" s="319"/>
      <c r="EU84" s="319"/>
      <c r="EV84" s="319"/>
      <c r="EW84" s="319"/>
      <c r="EX84" s="319"/>
      <c r="EY84" s="319"/>
      <c r="EZ84" s="319"/>
      <c r="FA84" s="319"/>
      <c r="FB84" s="319"/>
      <c r="FC84" s="319"/>
      <c r="FD84" s="319"/>
      <c r="FE84" s="319"/>
      <c r="FF84" s="319"/>
      <c r="FG84" s="319"/>
      <c r="FH84" s="319"/>
      <c r="FI84" s="319"/>
      <c r="FJ84" s="319"/>
      <c r="FK84" s="319"/>
      <c r="FL84" s="319"/>
      <c r="FM84" s="319"/>
      <c r="FN84" s="319"/>
      <c r="FO84" s="319"/>
      <c r="FP84" s="215"/>
      <c r="FQ84" s="215"/>
      <c r="FR84" s="215"/>
      <c r="FS84" s="215"/>
      <c r="FT84" s="215"/>
      <c r="FU84" s="215"/>
      <c r="FV84" s="215"/>
      <c r="FW84" s="215"/>
      <c r="FX84" s="215"/>
      <c r="FY84" s="215"/>
      <c r="FZ84" s="215"/>
      <c r="GA84" s="215"/>
      <c r="GB84" s="215"/>
      <c r="GC84" s="215"/>
      <c r="GD84" s="215"/>
      <c r="GE84" s="215"/>
      <c r="GF84" s="215"/>
      <c r="GG84" s="215"/>
      <c r="GH84" s="200">
        <f t="shared" si="5"/>
        <v>0</v>
      </c>
      <c r="GI84" s="173">
        <f t="shared" si="6"/>
        <v>0</v>
      </c>
      <c r="GJ84" s="174"/>
      <c r="GK84" s="115"/>
      <c r="GL84" s="215"/>
      <c r="GM84" s="215"/>
      <c r="GN84" s="215"/>
      <c r="GO84" s="215"/>
      <c r="GP84" s="215"/>
      <c r="GQ84" s="215"/>
      <c r="GR84" s="215"/>
      <c r="GS84" s="215"/>
      <c r="GT84" s="215"/>
      <c r="GU84" s="215"/>
      <c r="GV84" s="215"/>
      <c r="GW84" s="215"/>
      <c r="GX84" s="215"/>
      <c r="GY84" s="215"/>
      <c r="GZ84" s="215"/>
      <c r="HA84" s="215"/>
      <c r="HB84" s="327"/>
      <c r="HC84" s="327"/>
      <c r="HD84" s="215"/>
      <c r="HE84" s="215"/>
      <c r="HF84" s="215"/>
      <c r="HG84" s="215"/>
      <c r="HH84" s="215"/>
      <c r="HI84" s="215"/>
      <c r="HJ84" s="215"/>
      <c r="HK84" s="215"/>
      <c r="HL84" s="215"/>
      <c r="HM84" s="215"/>
      <c r="HN84" s="215"/>
      <c r="HO84" s="215"/>
      <c r="HP84" s="215"/>
      <c r="HQ84" s="215"/>
      <c r="HR84" s="215"/>
      <c r="HS84" s="215"/>
      <c r="HT84" s="215"/>
      <c r="HU84" s="215"/>
      <c r="HV84" s="215"/>
      <c r="HW84" s="215"/>
      <c r="HX84" s="215"/>
      <c r="HY84" s="215"/>
      <c r="HZ84" s="215"/>
      <c r="IA84" s="215"/>
      <c r="IB84" s="215"/>
      <c r="IC84" s="215"/>
      <c r="ID84" s="215"/>
      <c r="IE84" s="215"/>
      <c r="IF84" s="200"/>
      <c r="IG84" s="173"/>
      <c r="IH84" s="174"/>
      <c r="II84" s="329"/>
      <c r="IJ84" s="215"/>
      <c r="IK84" s="215"/>
      <c r="IL84" s="215"/>
      <c r="IM84" s="215"/>
      <c r="IN84" s="215"/>
      <c r="IO84" s="215"/>
      <c r="IP84" s="215"/>
      <c r="IQ84" s="215"/>
      <c r="IR84" s="215"/>
      <c r="IS84" s="215"/>
      <c r="IT84" s="215"/>
      <c r="IU84" s="215"/>
      <c r="IV84" s="215"/>
      <c r="IW84" s="215"/>
      <c r="IX84" s="215"/>
      <c r="IY84" s="215"/>
      <c r="IZ84" s="215"/>
      <c r="JA84" s="215"/>
      <c r="JB84" s="215"/>
      <c r="JC84" s="215"/>
      <c r="JD84" s="215"/>
      <c r="JE84" s="215"/>
      <c r="JF84" s="215"/>
      <c r="JG84" s="215"/>
      <c r="JH84" s="215"/>
      <c r="JI84" s="215"/>
      <c r="JJ84" s="215"/>
      <c r="JK84" s="215"/>
      <c r="JL84" s="215"/>
      <c r="JM84" s="215"/>
      <c r="JN84" s="215"/>
      <c r="JO84" s="215"/>
      <c r="JP84" s="215"/>
      <c r="JQ84" s="215"/>
      <c r="JR84" s="215"/>
      <c r="JS84" s="215"/>
      <c r="JT84" s="215"/>
      <c r="JU84" s="215"/>
      <c r="JV84" s="215"/>
      <c r="JW84" s="215"/>
      <c r="JX84" s="215"/>
      <c r="JY84" s="215"/>
      <c r="JZ84" s="215"/>
      <c r="KA84" s="215"/>
      <c r="KB84" s="215"/>
      <c r="KC84" s="172"/>
      <c r="KD84" s="173"/>
      <c r="KE84" s="174"/>
      <c r="KF84" s="174"/>
      <c r="KG84" s="174"/>
      <c r="KH84" s="174"/>
      <c r="KI84" s="174"/>
      <c r="KJ84" s="174"/>
      <c r="KK84" s="174"/>
      <c r="KL84" s="174"/>
      <c r="KM84" s="174"/>
      <c r="KN84" s="174"/>
      <c r="KO84" s="174"/>
      <c r="KP84" s="174"/>
      <c r="KQ84" s="174"/>
      <c r="KR84" s="174"/>
      <c r="KS84" s="174"/>
      <c r="KT84" s="174"/>
      <c r="KU84" s="174"/>
      <c r="KV84" s="174"/>
      <c r="KW84" s="174"/>
    </row>
    <row r="85">
      <c r="A85" s="111" t="s">
        <v>125</v>
      </c>
      <c r="B85" s="96">
        <v>1299.0</v>
      </c>
      <c r="C85" s="115"/>
      <c r="D85" s="215"/>
      <c r="E85" s="215"/>
      <c r="F85" s="116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  <c r="BE85" s="171"/>
      <c r="BF85" s="171"/>
      <c r="BG85" s="171"/>
      <c r="BH85" s="171"/>
      <c r="BI85" s="171"/>
      <c r="BJ85" s="171"/>
      <c r="BK85" s="171"/>
      <c r="BL85" s="171"/>
      <c r="BM85" s="171"/>
      <c r="BN85" s="171"/>
      <c r="BO85" s="171"/>
      <c r="BP85" s="171"/>
      <c r="BQ85" s="171"/>
      <c r="BR85" s="171"/>
      <c r="BS85" s="171"/>
      <c r="BT85" s="171"/>
      <c r="BU85" s="171"/>
      <c r="BV85" s="171"/>
      <c r="BW85" s="171"/>
      <c r="BX85" s="171"/>
      <c r="BY85" s="171"/>
      <c r="BZ85" s="171"/>
      <c r="CA85" s="171"/>
      <c r="CB85" s="171"/>
      <c r="CC85" s="171"/>
      <c r="CD85" s="310"/>
      <c r="CE85" s="94">
        <f t="shared" si="1"/>
        <v>0</v>
      </c>
      <c r="CF85" s="173">
        <f t="shared" si="2"/>
        <v>0</v>
      </c>
      <c r="CH85" s="115"/>
      <c r="CI85" s="215"/>
      <c r="CJ85" s="215"/>
      <c r="CK85" s="116"/>
      <c r="CL85" s="171"/>
      <c r="CM85" s="171"/>
      <c r="CN85" s="171"/>
      <c r="CO85" s="171"/>
      <c r="CP85" s="171"/>
      <c r="CQ85" s="171"/>
      <c r="CR85" s="171"/>
      <c r="CS85" s="171"/>
      <c r="CT85" s="171"/>
      <c r="CU85" s="171"/>
      <c r="CV85" s="171"/>
      <c r="CW85" s="171"/>
      <c r="CX85" s="171"/>
      <c r="CY85" s="171"/>
      <c r="CZ85" s="171"/>
      <c r="DA85" s="171"/>
      <c r="DB85" s="171"/>
      <c r="DC85" s="171"/>
      <c r="DD85" s="171"/>
      <c r="DE85" s="171"/>
      <c r="DF85" s="171"/>
      <c r="DG85" s="171"/>
      <c r="DH85" s="171"/>
      <c r="DI85" s="171"/>
      <c r="DJ85" s="171"/>
      <c r="DK85" s="171"/>
      <c r="DL85" s="171"/>
      <c r="DM85" s="171"/>
      <c r="DN85" s="171"/>
      <c r="DO85" s="171"/>
      <c r="DP85" s="171"/>
      <c r="DQ85" s="171"/>
      <c r="DR85" s="171"/>
      <c r="DS85" s="171"/>
      <c r="DT85" s="171"/>
      <c r="DU85" s="171"/>
      <c r="DV85" s="171"/>
      <c r="DW85" s="171"/>
      <c r="DX85" s="171"/>
      <c r="DY85" s="171"/>
      <c r="DZ85" s="171"/>
      <c r="EA85" s="171"/>
      <c r="EB85" s="171"/>
      <c r="EC85" s="171"/>
      <c r="ED85" s="171"/>
      <c r="EE85" s="95"/>
      <c r="EF85" s="200">
        <f t="shared" si="8"/>
        <v>0</v>
      </c>
      <c r="EG85" s="173">
        <f t="shared" si="4"/>
        <v>0</v>
      </c>
      <c r="EH85" s="174"/>
      <c r="EI85" s="104"/>
      <c r="EJ85" s="108"/>
      <c r="EK85" s="108"/>
      <c r="EL85" s="108"/>
      <c r="EM85" s="108"/>
      <c r="EN85" s="108"/>
      <c r="EO85" s="108"/>
      <c r="EP85" s="319"/>
      <c r="EQ85" s="319"/>
      <c r="ER85" s="319"/>
      <c r="ES85" s="319"/>
      <c r="ET85" s="319"/>
      <c r="EU85" s="319"/>
      <c r="EV85" s="319"/>
      <c r="EW85" s="319"/>
      <c r="EX85" s="319"/>
      <c r="EY85" s="319"/>
      <c r="EZ85" s="319"/>
      <c r="FA85" s="319"/>
      <c r="FB85" s="319"/>
      <c r="FC85" s="319"/>
      <c r="FD85" s="319"/>
      <c r="FE85" s="319"/>
      <c r="FF85" s="319"/>
      <c r="FG85" s="319"/>
      <c r="FH85" s="319"/>
      <c r="FI85" s="319"/>
      <c r="FJ85" s="319"/>
      <c r="FK85" s="319"/>
      <c r="FL85" s="319"/>
      <c r="FM85" s="319"/>
      <c r="FN85" s="319"/>
      <c r="FO85" s="319"/>
      <c r="FP85" s="215"/>
      <c r="FQ85" s="215"/>
      <c r="FR85" s="215"/>
      <c r="FS85" s="215"/>
      <c r="FT85" s="215"/>
      <c r="FU85" s="215"/>
      <c r="FV85" s="215"/>
      <c r="FW85" s="215"/>
      <c r="FX85" s="215"/>
      <c r="FY85" s="215"/>
      <c r="FZ85" s="215"/>
      <c r="GA85" s="215"/>
      <c r="GB85" s="215"/>
      <c r="GC85" s="215"/>
      <c r="GD85" s="215"/>
      <c r="GE85" s="215"/>
      <c r="GF85" s="215"/>
      <c r="GG85" s="215"/>
      <c r="GH85" s="200">
        <f t="shared" si="5"/>
        <v>0</v>
      </c>
      <c r="GI85" s="173">
        <f t="shared" si="6"/>
        <v>0</v>
      </c>
      <c r="GJ85" s="174"/>
      <c r="GK85" s="115"/>
      <c r="GL85" s="215"/>
      <c r="GM85" s="215"/>
      <c r="GN85" s="215"/>
      <c r="GO85" s="215"/>
      <c r="GP85" s="215"/>
      <c r="GQ85" s="215"/>
      <c r="GR85" s="215"/>
      <c r="GS85" s="215"/>
      <c r="GT85" s="215"/>
      <c r="GU85" s="215"/>
      <c r="GV85" s="215"/>
      <c r="GW85" s="215"/>
      <c r="GX85" s="215"/>
      <c r="GY85" s="215"/>
      <c r="GZ85" s="215"/>
      <c r="HA85" s="215"/>
      <c r="HB85" s="327"/>
      <c r="HC85" s="327"/>
      <c r="HD85" s="215"/>
      <c r="HE85" s="215"/>
      <c r="HF85" s="215"/>
      <c r="HG85" s="215"/>
      <c r="HH85" s="215"/>
      <c r="HI85" s="215"/>
      <c r="HJ85" s="215"/>
      <c r="HK85" s="215"/>
      <c r="HL85" s="215"/>
      <c r="HM85" s="215"/>
      <c r="HN85" s="215"/>
      <c r="HO85" s="215"/>
      <c r="HP85" s="215"/>
      <c r="HQ85" s="215"/>
      <c r="HR85" s="215"/>
      <c r="HS85" s="215"/>
      <c r="HT85" s="215"/>
      <c r="HU85" s="215"/>
      <c r="HV85" s="215"/>
      <c r="HW85" s="215"/>
      <c r="HX85" s="215"/>
      <c r="HY85" s="215"/>
      <c r="HZ85" s="215"/>
      <c r="IA85" s="215"/>
      <c r="IB85" s="215"/>
      <c r="IC85" s="215"/>
      <c r="ID85" s="215"/>
      <c r="IE85" s="215"/>
      <c r="IF85" s="200"/>
      <c r="IG85" s="173"/>
      <c r="IH85" s="174"/>
      <c r="II85" s="329"/>
      <c r="IJ85" s="215"/>
      <c r="IK85" s="215"/>
      <c r="IL85" s="215"/>
      <c r="IM85" s="215"/>
      <c r="IN85" s="215"/>
      <c r="IO85" s="215"/>
      <c r="IP85" s="215"/>
      <c r="IQ85" s="215"/>
      <c r="IR85" s="215"/>
      <c r="IS85" s="215"/>
      <c r="IT85" s="215"/>
      <c r="IU85" s="215"/>
      <c r="IV85" s="215"/>
      <c r="IW85" s="215"/>
      <c r="IX85" s="215"/>
      <c r="IY85" s="215"/>
      <c r="IZ85" s="215"/>
      <c r="JA85" s="215"/>
      <c r="JB85" s="215"/>
      <c r="JC85" s="215"/>
      <c r="JD85" s="215"/>
      <c r="JE85" s="215"/>
      <c r="JF85" s="215"/>
      <c r="JG85" s="215"/>
      <c r="JH85" s="215"/>
      <c r="JI85" s="215"/>
      <c r="JJ85" s="215"/>
      <c r="JK85" s="215"/>
      <c r="JL85" s="215"/>
      <c r="JM85" s="215"/>
      <c r="JN85" s="215"/>
      <c r="JO85" s="215"/>
      <c r="JP85" s="215"/>
      <c r="JQ85" s="215"/>
      <c r="JR85" s="215"/>
      <c r="JS85" s="215"/>
      <c r="JT85" s="215"/>
      <c r="JU85" s="215"/>
      <c r="JV85" s="215"/>
      <c r="JW85" s="215"/>
      <c r="JX85" s="215"/>
      <c r="JY85" s="215"/>
      <c r="JZ85" s="215"/>
      <c r="KA85" s="215"/>
      <c r="KB85" s="215"/>
      <c r="KC85" s="172"/>
      <c r="KD85" s="173"/>
      <c r="KE85" s="174"/>
      <c r="KF85" s="174"/>
      <c r="KG85" s="174"/>
      <c r="KH85" s="174"/>
      <c r="KI85" s="174"/>
      <c r="KJ85" s="174"/>
      <c r="KK85" s="174"/>
      <c r="KL85" s="174"/>
      <c r="KM85" s="174"/>
      <c r="KN85" s="174"/>
      <c r="KO85" s="174"/>
      <c r="KP85" s="174"/>
      <c r="KQ85" s="174"/>
      <c r="KR85" s="174"/>
      <c r="KS85" s="174"/>
      <c r="KT85" s="174"/>
      <c r="KU85" s="174"/>
      <c r="KV85" s="174"/>
      <c r="KW85" s="174"/>
    </row>
    <row r="86">
      <c r="A86" s="112" t="s">
        <v>126</v>
      </c>
      <c r="B86" s="96">
        <v>1299.0</v>
      </c>
      <c r="C86" s="226"/>
      <c r="D86" s="227"/>
      <c r="E86" s="227"/>
      <c r="F86" s="120"/>
      <c r="G86" s="228"/>
      <c r="H86" s="228"/>
      <c r="I86" s="228"/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  <c r="AI86" s="228"/>
      <c r="AJ86" s="228"/>
      <c r="AK86" s="228"/>
      <c r="AL86" s="228"/>
      <c r="AM86" s="228"/>
      <c r="AN86" s="228"/>
      <c r="AO86" s="228"/>
      <c r="AP86" s="228"/>
      <c r="AQ86" s="228"/>
      <c r="AR86" s="228"/>
      <c r="AS86" s="228"/>
      <c r="AT86" s="228"/>
      <c r="AU86" s="228"/>
      <c r="AV86" s="228"/>
      <c r="AW86" s="228"/>
      <c r="AX86" s="228"/>
      <c r="AY86" s="228"/>
      <c r="AZ86" s="228"/>
      <c r="BA86" s="228"/>
      <c r="BB86" s="228"/>
      <c r="BC86" s="228"/>
      <c r="BD86" s="228"/>
      <c r="BE86" s="228"/>
      <c r="BF86" s="228"/>
      <c r="BG86" s="228"/>
      <c r="BH86" s="228"/>
      <c r="BI86" s="228"/>
      <c r="BJ86" s="228"/>
      <c r="BK86" s="228"/>
      <c r="BL86" s="228"/>
      <c r="BM86" s="228"/>
      <c r="BN86" s="228"/>
      <c r="BO86" s="228"/>
      <c r="BP86" s="228"/>
      <c r="BQ86" s="228"/>
      <c r="BR86" s="228"/>
      <c r="BS86" s="228"/>
      <c r="BT86" s="228"/>
      <c r="BU86" s="228"/>
      <c r="BV86" s="228"/>
      <c r="BW86" s="228"/>
      <c r="BX86" s="228"/>
      <c r="BY86" s="228"/>
      <c r="BZ86" s="228"/>
      <c r="CA86" s="228"/>
      <c r="CB86" s="228"/>
      <c r="CC86" s="228"/>
      <c r="CD86" s="310"/>
      <c r="CE86" s="94">
        <f t="shared" si="1"/>
        <v>0</v>
      </c>
      <c r="CF86" s="173">
        <f t="shared" si="2"/>
        <v>0</v>
      </c>
      <c r="CH86" s="226"/>
      <c r="CI86" s="227"/>
      <c r="CJ86" s="227"/>
      <c r="CK86" s="120"/>
      <c r="CL86" s="228"/>
      <c r="CM86" s="228"/>
      <c r="CN86" s="228"/>
      <c r="CO86" s="228"/>
      <c r="CP86" s="228"/>
      <c r="CQ86" s="228"/>
      <c r="CR86" s="228"/>
      <c r="CS86" s="228"/>
      <c r="CT86" s="228"/>
      <c r="CU86" s="228"/>
      <c r="CV86" s="228"/>
      <c r="CW86" s="228"/>
      <c r="CX86" s="228"/>
      <c r="CY86" s="228"/>
      <c r="CZ86" s="228"/>
      <c r="DA86" s="228"/>
      <c r="DB86" s="228"/>
      <c r="DC86" s="228"/>
      <c r="DD86" s="228"/>
      <c r="DE86" s="228"/>
      <c r="DF86" s="228"/>
      <c r="DG86" s="228"/>
      <c r="DH86" s="228"/>
      <c r="DI86" s="228"/>
      <c r="DJ86" s="228"/>
      <c r="DK86" s="228"/>
      <c r="DL86" s="228"/>
      <c r="DM86" s="228"/>
      <c r="DN86" s="228"/>
      <c r="DO86" s="228"/>
      <c r="DP86" s="228"/>
      <c r="DQ86" s="228"/>
      <c r="DR86" s="228"/>
      <c r="DS86" s="228"/>
      <c r="DT86" s="228"/>
      <c r="DU86" s="228"/>
      <c r="DV86" s="228"/>
      <c r="DW86" s="228"/>
      <c r="DX86" s="228"/>
      <c r="DY86" s="228"/>
      <c r="DZ86" s="228"/>
      <c r="EA86" s="228"/>
      <c r="EB86" s="228"/>
      <c r="EC86" s="228"/>
      <c r="ED86" s="171"/>
      <c r="EE86" s="95"/>
      <c r="EF86" s="200">
        <f t="shared" si="8"/>
        <v>0</v>
      </c>
      <c r="EG86" s="173">
        <f t="shared" si="4"/>
        <v>0</v>
      </c>
      <c r="EH86" s="174"/>
      <c r="EI86" s="104"/>
      <c r="EJ86" s="108"/>
      <c r="EK86" s="108"/>
      <c r="EL86" s="108"/>
      <c r="EM86" s="108"/>
      <c r="EN86" s="108"/>
      <c r="EO86" s="108"/>
      <c r="EP86" s="319"/>
      <c r="EQ86" s="319"/>
      <c r="ER86" s="319"/>
      <c r="ES86" s="319"/>
      <c r="ET86" s="319"/>
      <c r="EU86" s="319"/>
      <c r="EV86" s="319"/>
      <c r="EW86" s="319"/>
      <c r="EX86" s="319"/>
      <c r="EY86" s="319"/>
      <c r="EZ86" s="319"/>
      <c r="FA86" s="319"/>
      <c r="FB86" s="319"/>
      <c r="FC86" s="319"/>
      <c r="FD86" s="319"/>
      <c r="FE86" s="319"/>
      <c r="FF86" s="319"/>
      <c r="FG86" s="319"/>
      <c r="FH86" s="319"/>
      <c r="FI86" s="319"/>
      <c r="FJ86" s="319"/>
      <c r="FK86" s="319"/>
      <c r="FL86" s="319"/>
      <c r="FM86" s="319"/>
      <c r="FN86" s="319"/>
      <c r="FO86" s="319"/>
      <c r="FP86" s="227"/>
      <c r="FQ86" s="227"/>
      <c r="FR86" s="227"/>
      <c r="FS86" s="227"/>
      <c r="FT86" s="227"/>
      <c r="FU86" s="227"/>
      <c r="FV86" s="227"/>
      <c r="FW86" s="227"/>
      <c r="FX86" s="227"/>
      <c r="FY86" s="227"/>
      <c r="FZ86" s="227"/>
      <c r="GA86" s="227"/>
      <c r="GB86" s="227"/>
      <c r="GC86" s="227"/>
      <c r="GD86" s="227"/>
      <c r="GE86" s="227"/>
      <c r="GF86" s="227"/>
      <c r="GG86" s="227"/>
      <c r="GH86" s="200">
        <f t="shared" si="5"/>
        <v>0</v>
      </c>
      <c r="GI86" s="173">
        <f t="shared" si="6"/>
        <v>0</v>
      </c>
      <c r="GJ86" s="174"/>
      <c r="GK86" s="226"/>
      <c r="GL86" s="227"/>
      <c r="GM86" s="227"/>
      <c r="GN86" s="227"/>
      <c r="GO86" s="227"/>
      <c r="GP86" s="227"/>
      <c r="GQ86" s="227"/>
      <c r="GR86" s="227"/>
      <c r="GS86" s="227"/>
      <c r="GT86" s="227"/>
      <c r="GU86" s="227"/>
      <c r="GV86" s="227"/>
      <c r="GW86" s="227"/>
      <c r="GX86" s="227"/>
      <c r="GY86" s="227"/>
      <c r="GZ86" s="227"/>
      <c r="HA86" s="227"/>
      <c r="HB86" s="333"/>
      <c r="HC86" s="333"/>
      <c r="HD86" s="227"/>
      <c r="HE86" s="227"/>
      <c r="HF86" s="227"/>
      <c r="HG86" s="227"/>
      <c r="HH86" s="227"/>
      <c r="HI86" s="227"/>
      <c r="HJ86" s="227"/>
      <c r="HK86" s="227"/>
      <c r="HL86" s="227"/>
      <c r="HM86" s="227"/>
      <c r="HN86" s="227"/>
      <c r="HO86" s="227"/>
      <c r="HP86" s="227"/>
      <c r="HQ86" s="227"/>
      <c r="HR86" s="227"/>
      <c r="HS86" s="227"/>
      <c r="HT86" s="227"/>
      <c r="HU86" s="227"/>
      <c r="HV86" s="227"/>
      <c r="HW86" s="227"/>
      <c r="HX86" s="227"/>
      <c r="HY86" s="227"/>
      <c r="HZ86" s="227"/>
      <c r="IA86" s="227"/>
      <c r="IB86" s="227"/>
      <c r="IC86" s="227"/>
      <c r="ID86" s="227"/>
      <c r="IE86" s="227"/>
      <c r="IF86" s="200"/>
      <c r="IG86" s="173"/>
      <c r="IH86" s="174"/>
      <c r="II86" s="334"/>
      <c r="IJ86" s="227"/>
      <c r="IK86" s="227"/>
      <c r="IL86" s="227"/>
      <c r="IM86" s="227"/>
      <c r="IN86" s="227"/>
      <c r="IO86" s="227"/>
      <c r="IP86" s="227"/>
      <c r="IQ86" s="227"/>
      <c r="IR86" s="227"/>
      <c r="IS86" s="227"/>
      <c r="IT86" s="227"/>
      <c r="IU86" s="227"/>
      <c r="IV86" s="227"/>
      <c r="IW86" s="227"/>
      <c r="IX86" s="227"/>
      <c r="IY86" s="227"/>
      <c r="IZ86" s="227"/>
      <c r="JA86" s="227"/>
      <c r="JB86" s="227"/>
      <c r="JC86" s="227"/>
      <c r="JD86" s="227"/>
      <c r="JE86" s="227"/>
      <c r="JF86" s="227"/>
      <c r="JG86" s="227"/>
      <c r="JH86" s="227"/>
      <c r="JI86" s="227"/>
      <c r="JJ86" s="227"/>
      <c r="JK86" s="227"/>
      <c r="JL86" s="227"/>
      <c r="JM86" s="227"/>
      <c r="JN86" s="227"/>
      <c r="JO86" s="227"/>
      <c r="JP86" s="227"/>
      <c r="JQ86" s="227"/>
      <c r="JR86" s="227"/>
      <c r="JS86" s="227"/>
      <c r="JT86" s="227"/>
      <c r="JU86" s="227"/>
      <c r="JV86" s="227"/>
      <c r="JW86" s="227"/>
      <c r="JX86" s="227"/>
      <c r="JY86" s="227"/>
      <c r="JZ86" s="227"/>
      <c r="KA86" s="227"/>
      <c r="KB86" s="227"/>
      <c r="KC86" s="172"/>
      <c r="KD86" s="173"/>
      <c r="KE86" s="174"/>
      <c r="KF86" s="174"/>
      <c r="KG86" s="174"/>
      <c r="KH86" s="174"/>
      <c r="KI86" s="174"/>
      <c r="KJ86" s="174"/>
      <c r="KK86" s="174"/>
      <c r="KL86" s="174"/>
      <c r="KM86" s="174"/>
      <c r="KN86" s="174"/>
      <c r="KO86" s="174"/>
      <c r="KP86" s="174"/>
      <c r="KQ86" s="174"/>
      <c r="KR86" s="174"/>
      <c r="KS86" s="174"/>
      <c r="KT86" s="174"/>
      <c r="KU86" s="174"/>
      <c r="KV86" s="174"/>
      <c r="KW86" s="174"/>
    </row>
    <row r="87">
      <c r="A87" s="113"/>
      <c r="B87" s="114"/>
      <c r="C87" s="115"/>
      <c r="D87" s="215"/>
      <c r="E87" s="215"/>
      <c r="F87" s="116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  <c r="BE87" s="171"/>
      <c r="BF87" s="171"/>
      <c r="BG87" s="171"/>
      <c r="BH87" s="171"/>
      <c r="BI87" s="171"/>
      <c r="BJ87" s="171"/>
      <c r="BK87" s="171"/>
      <c r="BL87" s="171"/>
      <c r="BM87" s="171"/>
      <c r="BN87" s="171"/>
      <c r="BO87" s="171"/>
      <c r="BP87" s="171"/>
      <c r="BQ87" s="171"/>
      <c r="BR87" s="171"/>
      <c r="BS87" s="171"/>
      <c r="BT87" s="171"/>
      <c r="BU87" s="171"/>
      <c r="BV87" s="171"/>
      <c r="BW87" s="171"/>
      <c r="BX87" s="171"/>
      <c r="BY87" s="171"/>
      <c r="BZ87" s="171"/>
      <c r="CA87" s="171"/>
      <c r="CB87" s="171"/>
      <c r="CC87" s="171"/>
      <c r="CD87" s="310"/>
      <c r="CE87" s="94">
        <f t="shared" si="1"/>
        <v>0</v>
      </c>
      <c r="CF87" s="173">
        <f t="shared" si="2"/>
        <v>0</v>
      </c>
      <c r="CH87" s="115"/>
      <c r="CI87" s="215"/>
      <c r="CJ87" s="215"/>
      <c r="CK87" s="116"/>
      <c r="CL87" s="171"/>
      <c r="CM87" s="171"/>
      <c r="CN87" s="171"/>
      <c r="CO87" s="171"/>
      <c r="CP87" s="171"/>
      <c r="CQ87" s="171"/>
      <c r="CR87" s="171"/>
      <c r="CS87" s="171"/>
      <c r="CT87" s="171"/>
      <c r="CU87" s="171"/>
      <c r="CV87" s="171"/>
      <c r="CW87" s="171"/>
      <c r="CX87" s="171"/>
      <c r="CY87" s="171"/>
      <c r="CZ87" s="171"/>
      <c r="DA87" s="171"/>
      <c r="DB87" s="171"/>
      <c r="DC87" s="171"/>
      <c r="DD87" s="171"/>
      <c r="DE87" s="171"/>
      <c r="DF87" s="171"/>
      <c r="DG87" s="171"/>
      <c r="DH87" s="171"/>
      <c r="DI87" s="171"/>
      <c r="DJ87" s="171"/>
      <c r="DK87" s="171"/>
      <c r="DL87" s="171"/>
      <c r="DM87" s="171"/>
      <c r="DN87" s="171"/>
      <c r="DO87" s="171"/>
      <c r="DP87" s="171"/>
      <c r="DQ87" s="171"/>
      <c r="DR87" s="171"/>
      <c r="DS87" s="171"/>
      <c r="DT87" s="171"/>
      <c r="DU87" s="171"/>
      <c r="DV87" s="171"/>
      <c r="DW87" s="171"/>
      <c r="DX87" s="171"/>
      <c r="DY87" s="171"/>
      <c r="DZ87" s="171"/>
      <c r="EA87" s="171"/>
      <c r="EB87" s="171"/>
      <c r="EC87" s="171"/>
      <c r="ED87" s="171"/>
      <c r="EE87" s="95"/>
      <c r="EF87" s="200">
        <f t="shared" si="8"/>
        <v>0</v>
      </c>
      <c r="EG87" s="173">
        <f t="shared" si="4"/>
        <v>0</v>
      </c>
      <c r="EH87" s="174"/>
      <c r="EI87" s="104"/>
      <c r="EJ87" s="108"/>
      <c r="EK87" s="108"/>
      <c r="EL87" s="108"/>
      <c r="EM87" s="108"/>
      <c r="EN87" s="108"/>
      <c r="EO87" s="108"/>
      <c r="EP87" s="319"/>
      <c r="EQ87" s="319"/>
      <c r="ER87" s="319"/>
      <c r="ES87" s="319"/>
      <c r="ET87" s="319"/>
      <c r="EU87" s="319"/>
      <c r="EV87" s="319"/>
      <c r="EW87" s="319"/>
      <c r="EX87" s="319"/>
      <c r="EY87" s="319"/>
      <c r="EZ87" s="319"/>
      <c r="FA87" s="319"/>
      <c r="FB87" s="319"/>
      <c r="FC87" s="319"/>
      <c r="FD87" s="319"/>
      <c r="FE87" s="319"/>
      <c r="FF87" s="319"/>
      <c r="FG87" s="319"/>
      <c r="FH87" s="319"/>
      <c r="FI87" s="319"/>
      <c r="FJ87" s="319"/>
      <c r="FK87" s="319"/>
      <c r="FL87" s="319"/>
      <c r="FM87" s="319"/>
      <c r="FN87" s="319"/>
      <c r="FO87" s="319"/>
      <c r="FP87" s="215"/>
      <c r="FQ87" s="215"/>
      <c r="FR87" s="215"/>
      <c r="FS87" s="215"/>
      <c r="FT87" s="215"/>
      <c r="FU87" s="215"/>
      <c r="FV87" s="215"/>
      <c r="FW87" s="215"/>
      <c r="FX87" s="215"/>
      <c r="FY87" s="215"/>
      <c r="FZ87" s="215"/>
      <c r="GA87" s="215"/>
      <c r="GB87" s="215"/>
      <c r="GC87" s="215"/>
      <c r="GD87" s="215"/>
      <c r="GE87" s="215"/>
      <c r="GF87" s="215"/>
      <c r="GG87" s="215"/>
      <c r="GH87" s="200">
        <f t="shared" si="5"/>
        <v>0</v>
      </c>
      <c r="GI87" s="173">
        <f t="shared" si="6"/>
        <v>0</v>
      </c>
      <c r="GJ87" s="174"/>
      <c r="GK87" s="115"/>
      <c r="GL87" s="215"/>
      <c r="GM87" s="215"/>
      <c r="GN87" s="215"/>
      <c r="GO87" s="215"/>
      <c r="GP87" s="215"/>
      <c r="GQ87" s="215"/>
      <c r="GR87" s="215"/>
      <c r="GS87" s="215"/>
      <c r="GT87" s="215"/>
      <c r="GU87" s="215"/>
      <c r="GV87" s="215"/>
      <c r="GW87" s="215"/>
      <c r="GX87" s="215"/>
      <c r="GY87" s="215"/>
      <c r="GZ87" s="215"/>
      <c r="HA87" s="215"/>
      <c r="HB87" s="327"/>
      <c r="HC87" s="327"/>
      <c r="HD87" s="215"/>
      <c r="HE87" s="215"/>
      <c r="HF87" s="215"/>
      <c r="HG87" s="215"/>
      <c r="HH87" s="215"/>
      <c r="HI87" s="215"/>
      <c r="HJ87" s="215"/>
      <c r="HK87" s="215"/>
      <c r="HL87" s="215"/>
      <c r="HM87" s="215"/>
      <c r="HN87" s="215"/>
      <c r="HO87" s="215"/>
      <c r="HP87" s="215"/>
      <c r="HQ87" s="215"/>
      <c r="HR87" s="215"/>
      <c r="HS87" s="215"/>
      <c r="HT87" s="215"/>
      <c r="HU87" s="215"/>
      <c r="HV87" s="215"/>
      <c r="HW87" s="215"/>
      <c r="HX87" s="215"/>
      <c r="HY87" s="215"/>
      <c r="HZ87" s="215"/>
      <c r="IA87" s="215"/>
      <c r="IB87" s="215"/>
      <c r="IC87" s="215"/>
      <c r="ID87" s="215"/>
      <c r="IE87" s="215"/>
      <c r="IF87" s="200"/>
      <c r="IG87" s="173"/>
      <c r="IH87" s="174"/>
      <c r="II87" s="329"/>
      <c r="IJ87" s="215"/>
      <c r="IK87" s="215"/>
      <c r="IL87" s="215"/>
      <c r="IM87" s="215"/>
      <c r="IN87" s="215"/>
      <c r="IO87" s="215"/>
      <c r="IP87" s="215"/>
      <c r="IQ87" s="215"/>
      <c r="IR87" s="215"/>
      <c r="IS87" s="215"/>
      <c r="IT87" s="215"/>
      <c r="IU87" s="215"/>
      <c r="IV87" s="215"/>
      <c r="IW87" s="215"/>
      <c r="IX87" s="215"/>
      <c r="IY87" s="215"/>
      <c r="IZ87" s="215"/>
      <c r="JA87" s="215"/>
      <c r="JB87" s="215"/>
      <c r="JC87" s="215"/>
      <c r="JD87" s="215"/>
      <c r="JE87" s="215"/>
      <c r="JF87" s="215"/>
      <c r="JG87" s="215"/>
      <c r="JH87" s="215"/>
      <c r="JI87" s="215"/>
      <c r="JJ87" s="215"/>
      <c r="JK87" s="215"/>
      <c r="JL87" s="215"/>
      <c r="JM87" s="215"/>
      <c r="JN87" s="215"/>
      <c r="JO87" s="215"/>
      <c r="JP87" s="215"/>
      <c r="JQ87" s="215"/>
      <c r="JR87" s="215"/>
      <c r="JS87" s="215"/>
      <c r="JT87" s="215"/>
      <c r="JU87" s="215"/>
      <c r="JV87" s="215"/>
      <c r="JW87" s="215"/>
      <c r="JX87" s="215"/>
      <c r="JY87" s="215"/>
      <c r="JZ87" s="215"/>
      <c r="KA87" s="215"/>
      <c r="KB87" s="215"/>
      <c r="KC87" s="172"/>
      <c r="KD87" s="173"/>
      <c r="KE87" s="174"/>
      <c r="KF87" s="174"/>
      <c r="KG87" s="174"/>
      <c r="KH87" s="174"/>
      <c r="KI87" s="174"/>
      <c r="KJ87" s="174"/>
      <c r="KK87" s="174"/>
      <c r="KL87" s="174"/>
      <c r="KM87" s="174"/>
      <c r="KN87" s="174"/>
      <c r="KO87" s="174"/>
      <c r="KP87" s="174"/>
      <c r="KQ87" s="174"/>
      <c r="KR87" s="174"/>
      <c r="KS87" s="174"/>
      <c r="KT87" s="174"/>
      <c r="KU87" s="174"/>
      <c r="KV87" s="174"/>
      <c r="KW87" s="174"/>
    </row>
    <row r="88" hidden="1">
      <c r="A88" s="94" t="s">
        <v>127</v>
      </c>
      <c r="B88" s="96">
        <v>679.0</v>
      </c>
      <c r="C88" s="115"/>
      <c r="D88" s="230"/>
      <c r="E88" s="230"/>
      <c r="F88" s="231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232"/>
      <c r="AN88" s="232"/>
      <c r="AO88" s="232"/>
      <c r="AP88" s="232"/>
      <c r="AQ88" s="232"/>
      <c r="AR88" s="232"/>
      <c r="AS88" s="232"/>
      <c r="AT88" s="232"/>
      <c r="AU88" s="232"/>
      <c r="AV88" s="232"/>
      <c r="AW88" s="232"/>
      <c r="AX88" s="232"/>
      <c r="AY88" s="232"/>
      <c r="AZ88" s="232"/>
      <c r="BA88" s="232"/>
      <c r="BB88" s="232"/>
      <c r="BC88" s="232"/>
      <c r="BD88" s="232"/>
      <c r="BE88" s="232"/>
      <c r="BF88" s="232"/>
      <c r="BG88" s="232"/>
      <c r="BH88" s="232"/>
      <c r="BI88" s="232"/>
      <c r="BJ88" s="232"/>
      <c r="BK88" s="232"/>
      <c r="BL88" s="232"/>
      <c r="BM88" s="232"/>
      <c r="BN88" s="232"/>
      <c r="BO88" s="232"/>
      <c r="BP88" s="232"/>
      <c r="BQ88" s="232"/>
      <c r="BR88" s="232"/>
      <c r="BS88" s="232"/>
      <c r="BT88" s="232"/>
      <c r="BU88" s="232"/>
      <c r="BV88" s="232"/>
      <c r="BW88" s="232"/>
      <c r="BX88" s="232"/>
      <c r="BY88" s="232"/>
      <c r="BZ88" s="232"/>
      <c r="CA88" s="232"/>
      <c r="CB88" s="232"/>
      <c r="CC88" s="232"/>
      <c r="CD88" s="310"/>
      <c r="CE88" s="94">
        <f t="shared" si="1"/>
        <v>0</v>
      </c>
      <c r="CF88" s="173">
        <f t="shared" si="2"/>
        <v>0</v>
      </c>
      <c r="CH88" s="115"/>
      <c r="CI88" s="230"/>
      <c r="CJ88" s="230"/>
      <c r="CK88" s="231"/>
      <c r="CL88" s="232"/>
      <c r="CM88" s="232"/>
      <c r="CN88" s="232"/>
      <c r="CO88" s="232"/>
      <c r="CP88" s="232"/>
      <c r="CQ88" s="232"/>
      <c r="CR88" s="232"/>
      <c r="CS88" s="232"/>
      <c r="CT88" s="232"/>
      <c r="CU88" s="232"/>
      <c r="CV88" s="232"/>
      <c r="CW88" s="232"/>
      <c r="CX88" s="232"/>
      <c r="CY88" s="232"/>
      <c r="CZ88" s="232"/>
      <c r="DA88" s="232"/>
      <c r="DB88" s="232"/>
      <c r="DC88" s="232"/>
      <c r="DD88" s="232"/>
      <c r="DE88" s="232"/>
      <c r="DF88" s="232"/>
      <c r="DG88" s="232"/>
      <c r="DH88" s="232"/>
      <c r="DI88" s="232"/>
      <c r="DJ88" s="232"/>
      <c r="DK88" s="232"/>
      <c r="DL88" s="232"/>
      <c r="DM88" s="232"/>
      <c r="DN88" s="232"/>
      <c r="DO88" s="232"/>
      <c r="DP88" s="232"/>
      <c r="DQ88" s="232"/>
      <c r="DR88" s="232"/>
      <c r="DS88" s="232"/>
      <c r="DT88" s="232"/>
      <c r="DU88" s="232"/>
      <c r="DV88" s="232"/>
      <c r="DW88" s="232"/>
      <c r="DX88" s="232"/>
      <c r="DY88" s="232"/>
      <c r="DZ88" s="232"/>
      <c r="EA88" s="232"/>
      <c r="EB88" s="232"/>
      <c r="EC88" s="232"/>
      <c r="ED88" s="171"/>
      <c r="EE88" s="95"/>
      <c r="EF88" s="200">
        <f t="shared" si="8"/>
        <v>0</v>
      </c>
      <c r="EG88" s="173">
        <f t="shared" si="4"/>
        <v>0</v>
      </c>
      <c r="EH88" s="174"/>
      <c r="EI88" s="104"/>
      <c r="EJ88" s="108"/>
      <c r="EK88" s="108"/>
      <c r="EL88" s="108"/>
      <c r="EM88" s="108"/>
      <c r="EN88" s="108"/>
      <c r="EO88" s="108"/>
      <c r="EP88" s="319"/>
      <c r="EQ88" s="319"/>
      <c r="ER88" s="319"/>
      <c r="ES88" s="319"/>
      <c r="ET88" s="319"/>
      <c r="EU88" s="319"/>
      <c r="EV88" s="319"/>
      <c r="EW88" s="319"/>
      <c r="EX88" s="319"/>
      <c r="EY88" s="319"/>
      <c r="EZ88" s="319"/>
      <c r="FA88" s="319"/>
      <c r="FB88" s="319"/>
      <c r="FC88" s="319"/>
      <c r="FD88" s="319"/>
      <c r="FE88" s="319"/>
      <c r="FF88" s="319"/>
      <c r="FG88" s="319"/>
      <c r="FH88" s="319"/>
      <c r="FI88" s="319"/>
      <c r="FJ88" s="319"/>
      <c r="FK88" s="319"/>
      <c r="FL88" s="319"/>
      <c r="FM88" s="319"/>
      <c r="FN88" s="319"/>
      <c r="FO88" s="319"/>
      <c r="FP88" s="230"/>
      <c r="FQ88" s="230"/>
      <c r="FR88" s="230"/>
      <c r="FS88" s="230"/>
      <c r="FT88" s="230"/>
      <c r="FU88" s="230"/>
      <c r="FV88" s="230"/>
      <c r="FW88" s="230"/>
      <c r="FX88" s="230"/>
      <c r="FY88" s="230"/>
      <c r="FZ88" s="230"/>
      <c r="GA88" s="230"/>
      <c r="GB88" s="230"/>
      <c r="GC88" s="230"/>
      <c r="GD88" s="230"/>
      <c r="GE88" s="230"/>
      <c r="GF88" s="230"/>
      <c r="GG88" s="230"/>
      <c r="GH88" s="200">
        <f t="shared" si="5"/>
        <v>0</v>
      </c>
      <c r="GI88" s="173">
        <f t="shared" si="6"/>
        <v>0</v>
      </c>
      <c r="GJ88" s="174"/>
      <c r="GK88" s="115"/>
      <c r="GL88" s="230"/>
      <c r="GM88" s="230"/>
      <c r="GN88" s="230"/>
      <c r="GO88" s="230"/>
      <c r="GP88" s="230"/>
      <c r="GQ88" s="230"/>
      <c r="GR88" s="230"/>
      <c r="GS88" s="230"/>
      <c r="GT88" s="230"/>
      <c r="GU88" s="230"/>
      <c r="GV88" s="230"/>
      <c r="GW88" s="230"/>
      <c r="GX88" s="230"/>
      <c r="GY88" s="230"/>
      <c r="GZ88" s="230"/>
      <c r="HA88" s="230"/>
      <c r="HB88" s="335"/>
      <c r="HC88" s="335"/>
      <c r="HD88" s="230"/>
      <c r="HE88" s="230"/>
      <c r="HF88" s="230"/>
      <c r="HG88" s="230"/>
      <c r="HH88" s="230"/>
      <c r="HI88" s="230"/>
      <c r="HJ88" s="230"/>
      <c r="HK88" s="230"/>
      <c r="HL88" s="230"/>
      <c r="HM88" s="230"/>
      <c r="HN88" s="230"/>
      <c r="HO88" s="230"/>
      <c r="HP88" s="230"/>
      <c r="HQ88" s="230"/>
      <c r="HR88" s="230"/>
      <c r="HS88" s="230"/>
      <c r="HT88" s="230"/>
      <c r="HU88" s="230"/>
      <c r="HV88" s="230"/>
      <c r="HW88" s="230"/>
      <c r="HX88" s="230"/>
      <c r="HY88" s="230"/>
      <c r="HZ88" s="230"/>
      <c r="IA88" s="230"/>
      <c r="IB88" s="230"/>
      <c r="IC88" s="230"/>
      <c r="ID88" s="215"/>
      <c r="IE88" s="215"/>
      <c r="IF88" s="200"/>
      <c r="IG88" s="173"/>
      <c r="IH88" s="174"/>
      <c r="II88" s="329"/>
      <c r="IJ88" s="230"/>
      <c r="IK88" s="230"/>
      <c r="IL88" s="230"/>
      <c r="IM88" s="230"/>
      <c r="IN88" s="230"/>
      <c r="IO88" s="230"/>
      <c r="IP88" s="230"/>
      <c r="IQ88" s="230"/>
      <c r="IR88" s="230"/>
      <c r="IS88" s="230"/>
      <c r="IT88" s="230"/>
      <c r="IU88" s="230"/>
      <c r="IV88" s="230"/>
      <c r="IW88" s="230"/>
      <c r="IX88" s="230"/>
      <c r="IY88" s="230"/>
      <c r="IZ88" s="230"/>
      <c r="JA88" s="230"/>
      <c r="JB88" s="230"/>
      <c r="JC88" s="230"/>
      <c r="JD88" s="230"/>
      <c r="JE88" s="230"/>
      <c r="JF88" s="230"/>
      <c r="JG88" s="230"/>
      <c r="JH88" s="230"/>
      <c r="JI88" s="230"/>
      <c r="JJ88" s="230"/>
      <c r="JK88" s="230"/>
      <c r="JL88" s="230"/>
      <c r="JM88" s="230"/>
      <c r="JN88" s="230"/>
      <c r="JO88" s="230"/>
      <c r="JP88" s="230"/>
      <c r="JQ88" s="230"/>
      <c r="JR88" s="230"/>
      <c r="JS88" s="230"/>
      <c r="JT88" s="230"/>
      <c r="JU88" s="230"/>
      <c r="JV88" s="230"/>
      <c r="JW88" s="230"/>
      <c r="JX88" s="230"/>
      <c r="JY88" s="230"/>
      <c r="JZ88" s="230"/>
      <c r="KA88" s="230"/>
      <c r="KB88" s="230"/>
      <c r="KC88" s="172"/>
      <c r="KD88" s="173"/>
      <c r="KE88" s="174"/>
      <c r="KF88" s="174"/>
      <c r="KG88" s="174"/>
      <c r="KH88" s="174"/>
      <c r="KI88" s="174"/>
      <c r="KJ88" s="174"/>
      <c r="KK88" s="174"/>
      <c r="KL88" s="174"/>
      <c r="KM88" s="174"/>
      <c r="KN88" s="174"/>
      <c r="KO88" s="174"/>
      <c r="KP88" s="174"/>
      <c r="KQ88" s="174"/>
      <c r="KR88" s="174"/>
      <c r="KS88" s="174"/>
      <c r="KT88" s="174"/>
      <c r="KU88" s="174"/>
      <c r="KV88" s="174"/>
      <c r="KW88" s="174"/>
    </row>
    <row r="89" hidden="1">
      <c r="A89" s="94" t="s">
        <v>128</v>
      </c>
      <c r="B89" s="96">
        <v>679.0</v>
      </c>
      <c r="C89" s="104"/>
      <c r="D89" s="230"/>
      <c r="E89" s="230"/>
      <c r="F89" s="231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  <c r="AP89" s="232"/>
      <c r="AQ89" s="232"/>
      <c r="AR89" s="232"/>
      <c r="AS89" s="232"/>
      <c r="AT89" s="232"/>
      <c r="AU89" s="232"/>
      <c r="AV89" s="232"/>
      <c r="AW89" s="232"/>
      <c r="AX89" s="232"/>
      <c r="AY89" s="232"/>
      <c r="AZ89" s="232"/>
      <c r="BA89" s="232"/>
      <c r="BB89" s="232"/>
      <c r="BC89" s="232"/>
      <c r="BD89" s="232"/>
      <c r="BE89" s="232"/>
      <c r="BF89" s="232"/>
      <c r="BG89" s="232"/>
      <c r="BH89" s="232"/>
      <c r="BI89" s="232"/>
      <c r="BJ89" s="232"/>
      <c r="BK89" s="232"/>
      <c r="BL89" s="232"/>
      <c r="BM89" s="232"/>
      <c r="BN89" s="232"/>
      <c r="BO89" s="232"/>
      <c r="BP89" s="232"/>
      <c r="BQ89" s="232"/>
      <c r="BR89" s="232"/>
      <c r="BS89" s="232"/>
      <c r="BT89" s="232"/>
      <c r="BU89" s="232"/>
      <c r="BV89" s="232"/>
      <c r="BW89" s="232"/>
      <c r="BX89" s="232"/>
      <c r="BY89" s="232"/>
      <c r="BZ89" s="232"/>
      <c r="CA89" s="232"/>
      <c r="CB89" s="232"/>
      <c r="CC89" s="232"/>
      <c r="CD89" s="310"/>
      <c r="CE89" s="94">
        <f t="shared" si="1"/>
        <v>0</v>
      </c>
      <c r="CF89" s="173">
        <f t="shared" si="2"/>
        <v>0</v>
      </c>
      <c r="CH89" s="104"/>
      <c r="CI89" s="230"/>
      <c r="CJ89" s="230"/>
      <c r="CK89" s="231"/>
      <c r="CL89" s="232"/>
      <c r="CM89" s="232"/>
      <c r="CN89" s="232"/>
      <c r="CO89" s="232"/>
      <c r="CP89" s="232"/>
      <c r="CQ89" s="232"/>
      <c r="CR89" s="232"/>
      <c r="CS89" s="232"/>
      <c r="CT89" s="232"/>
      <c r="CU89" s="232"/>
      <c r="CV89" s="232"/>
      <c r="CW89" s="232"/>
      <c r="CX89" s="232"/>
      <c r="CY89" s="232"/>
      <c r="CZ89" s="232"/>
      <c r="DA89" s="232"/>
      <c r="DB89" s="232"/>
      <c r="DC89" s="232"/>
      <c r="DD89" s="232"/>
      <c r="DE89" s="232"/>
      <c r="DF89" s="232"/>
      <c r="DG89" s="232"/>
      <c r="DH89" s="232"/>
      <c r="DI89" s="232"/>
      <c r="DJ89" s="232"/>
      <c r="DK89" s="232"/>
      <c r="DL89" s="232"/>
      <c r="DM89" s="232"/>
      <c r="DN89" s="232"/>
      <c r="DO89" s="232"/>
      <c r="DP89" s="232"/>
      <c r="DQ89" s="232"/>
      <c r="DR89" s="232"/>
      <c r="DS89" s="232"/>
      <c r="DT89" s="232"/>
      <c r="DU89" s="232"/>
      <c r="DV89" s="232"/>
      <c r="DW89" s="232"/>
      <c r="DX89" s="232"/>
      <c r="DY89" s="232"/>
      <c r="DZ89" s="232"/>
      <c r="EA89" s="232"/>
      <c r="EB89" s="232"/>
      <c r="EC89" s="232"/>
      <c r="ED89" s="171"/>
      <c r="EE89" s="95"/>
      <c r="EF89" s="200">
        <f t="shared" si="8"/>
        <v>0</v>
      </c>
      <c r="EG89" s="173">
        <f t="shared" si="4"/>
        <v>0</v>
      </c>
      <c r="EH89" s="174"/>
      <c r="EI89" s="104"/>
      <c r="EJ89" s="108"/>
      <c r="EK89" s="108"/>
      <c r="EL89" s="108"/>
      <c r="EM89" s="108"/>
      <c r="EN89" s="108"/>
      <c r="EO89" s="108"/>
      <c r="EP89" s="319"/>
      <c r="EQ89" s="319"/>
      <c r="ER89" s="319"/>
      <c r="ES89" s="319"/>
      <c r="ET89" s="319"/>
      <c r="EU89" s="319"/>
      <c r="EV89" s="319"/>
      <c r="EW89" s="319"/>
      <c r="EX89" s="319"/>
      <c r="EY89" s="319"/>
      <c r="EZ89" s="319"/>
      <c r="FA89" s="319"/>
      <c r="FB89" s="319"/>
      <c r="FC89" s="319"/>
      <c r="FD89" s="319"/>
      <c r="FE89" s="319"/>
      <c r="FF89" s="319"/>
      <c r="FG89" s="319"/>
      <c r="FH89" s="319"/>
      <c r="FI89" s="319"/>
      <c r="FJ89" s="319"/>
      <c r="FK89" s="319"/>
      <c r="FL89" s="319"/>
      <c r="FM89" s="319"/>
      <c r="FN89" s="319"/>
      <c r="FO89" s="319"/>
      <c r="FP89" s="230"/>
      <c r="FQ89" s="230"/>
      <c r="FR89" s="230"/>
      <c r="FS89" s="230"/>
      <c r="FT89" s="230"/>
      <c r="FU89" s="230"/>
      <c r="FV89" s="230"/>
      <c r="FW89" s="230"/>
      <c r="FX89" s="230"/>
      <c r="FY89" s="230"/>
      <c r="FZ89" s="230"/>
      <c r="GA89" s="230"/>
      <c r="GB89" s="230"/>
      <c r="GC89" s="230"/>
      <c r="GD89" s="230"/>
      <c r="GE89" s="230"/>
      <c r="GF89" s="230"/>
      <c r="GG89" s="230"/>
      <c r="GH89" s="200">
        <f t="shared" si="5"/>
        <v>0</v>
      </c>
      <c r="GI89" s="173">
        <f t="shared" si="6"/>
        <v>0</v>
      </c>
      <c r="GJ89" s="174"/>
      <c r="GK89" s="104"/>
      <c r="GL89" s="230"/>
      <c r="GM89" s="230"/>
      <c r="GN89" s="230"/>
      <c r="GO89" s="230"/>
      <c r="GP89" s="230"/>
      <c r="GQ89" s="230"/>
      <c r="GR89" s="230"/>
      <c r="GS89" s="230"/>
      <c r="GT89" s="230"/>
      <c r="GU89" s="230"/>
      <c r="GV89" s="230"/>
      <c r="GW89" s="230"/>
      <c r="GX89" s="230"/>
      <c r="GY89" s="230"/>
      <c r="GZ89" s="230"/>
      <c r="HA89" s="230"/>
      <c r="HB89" s="335"/>
      <c r="HC89" s="335"/>
      <c r="HD89" s="230"/>
      <c r="HE89" s="230"/>
      <c r="HF89" s="230"/>
      <c r="HG89" s="230"/>
      <c r="HH89" s="230"/>
      <c r="HI89" s="230"/>
      <c r="HJ89" s="230"/>
      <c r="HK89" s="230"/>
      <c r="HL89" s="230"/>
      <c r="HM89" s="230"/>
      <c r="HN89" s="230"/>
      <c r="HO89" s="230"/>
      <c r="HP89" s="230"/>
      <c r="HQ89" s="230"/>
      <c r="HR89" s="230"/>
      <c r="HS89" s="230"/>
      <c r="HT89" s="230"/>
      <c r="HU89" s="230"/>
      <c r="HV89" s="230"/>
      <c r="HW89" s="230"/>
      <c r="HX89" s="230"/>
      <c r="HY89" s="230"/>
      <c r="HZ89" s="230"/>
      <c r="IA89" s="230"/>
      <c r="IB89" s="230"/>
      <c r="IC89" s="230"/>
      <c r="ID89" s="215"/>
      <c r="IE89" s="215"/>
      <c r="IF89" s="200"/>
      <c r="IG89" s="173"/>
      <c r="IH89" s="174"/>
      <c r="II89" s="208"/>
      <c r="IJ89" s="230"/>
      <c r="IK89" s="230"/>
      <c r="IL89" s="230"/>
      <c r="IM89" s="230"/>
      <c r="IN89" s="230"/>
      <c r="IO89" s="230"/>
      <c r="IP89" s="230"/>
      <c r="IQ89" s="230"/>
      <c r="IR89" s="230"/>
      <c r="IS89" s="230"/>
      <c r="IT89" s="230"/>
      <c r="IU89" s="230"/>
      <c r="IV89" s="230"/>
      <c r="IW89" s="230"/>
      <c r="IX89" s="230"/>
      <c r="IY89" s="230"/>
      <c r="IZ89" s="230"/>
      <c r="JA89" s="230"/>
      <c r="JB89" s="230"/>
      <c r="JC89" s="230"/>
      <c r="JD89" s="230"/>
      <c r="JE89" s="230"/>
      <c r="JF89" s="230"/>
      <c r="JG89" s="230"/>
      <c r="JH89" s="230"/>
      <c r="JI89" s="230"/>
      <c r="JJ89" s="230"/>
      <c r="JK89" s="230"/>
      <c r="JL89" s="230"/>
      <c r="JM89" s="230"/>
      <c r="JN89" s="230"/>
      <c r="JO89" s="230"/>
      <c r="JP89" s="230"/>
      <c r="JQ89" s="230"/>
      <c r="JR89" s="230"/>
      <c r="JS89" s="230"/>
      <c r="JT89" s="230"/>
      <c r="JU89" s="230"/>
      <c r="JV89" s="230"/>
      <c r="JW89" s="230"/>
      <c r="JX89" s="230"/>
      <c r="JY89" s="230"/>
      <c r="JZ89" s="230"/>
      <c r="KA89" s="230"/>
      <c r="KB89" s="230"/>
      <c r="KC89" s="172"/>
      <c r="KD89" s="173"/>
      <c r="KE89" s="174"/>
      <c r="KF89" s="174"/>
      <c r="KG89" s="174"/>
      <c r="KH89" s="174"/>
      <c r="KI89" s="174"/>
      <c r="KJ89" s="174"/>
      <c r="KK89" s="174"/>
      <c r="KL89" s="174"/>
      <c r="KM89" s="174"/>
      <c r="KN89" s="174"/>
      <c r="KO89" s="174"/>
      <c r="KP89" s="174"/>
      <c r="KQ89" s="174"/>
      <c r="KR89" s="174"/>
      <c r="KS89" s="174"/>
      <c r="KT89" s="174"/>
      <c r="KU89" s="174"/>
      <c r="KV89" s="174"/>
      <c r="KW89" s="174"/>
    </row>
    <row r="90" hidden="1">
      <c r="A90" s="94" t="s">
        <v>129</v>
      </c>
      <c r="B90" s="96">
        <v>679.0</v>
      </c>
      <c r="C90" s="104"/>
      <c r="D90" s="230"/>
      <c r="E90" s="230"/>
      <c r="F90" s="231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  <c r="AP90" s="232"/>
      <c r="AQ90" s="232"/>
      <c r="AR90" s="232"/>
      <c r="AS90" s="232"/>
      <c r="AT90" s="232"/>
      <c r="AU90" s="232"/>
      <c r="AV90" s="232"/>
      <c r="AW90" s="232"/>
      <c r="AX90" s="232"/>
      <c r="AY90" s="232"/>
      <c r="AZ90" s="232"/>
      <c r="BA90" s="232"/>
      <c r="BB90" s="232"/>
      <c r="BC90" s="232"/>
      <c r="BD90" s="232"/>
      <c r="BE90" s="232"/>
      <c r="BF90" s="232"/>
      <c r="BG90" s="232"/>
      <c r="BH90" s="232"/>
      <c r="BI90" s="232"/>
      <c r="BJ90" s="232"/>
      <c r="BK90" s="232"/>
      <c r="BL90" s="232"/>
      <c r="BM90" s="232"/>
      <c r="BN90" s="232"/>
      <c r="BO90" s="232"/>
      <c r="BP90" s="232"/>
      <c r="BQ90" s="232"/>
      <c r="BR90" s="232"/>
      <c r="BS90" s="232"/>
      <c r="BT90" s="232"/>
      <c r="BU90" s="232"/>
      <c r="BV90" s="232"/>
      <c r="BW90" s="232"/>
      <c r="BX90" s="232"/>
      <c r="BY90" s="232"/>
      <c r="BZ90" s="232"/>
      <c r="CA90" s="232"/>
      <c r="CB90" s="232"/>
      <c r="CC90" s="232"/>
      <c r="CD90" s="310"/>
      <c r="CE90" s="94">
        <f t="shared" si="1"/>
        <v>0</v>
      </c>
      <c r="CF90" s="173">
        <f t="shared" si="2"/>
        <v>0</v>
      </c>
      <c r="CH90" s="104"/>
      <c r="CI90" s="230"/>
      <c r="CJ90" s="230"/>
      <c r="CK90" s="231"/>
      <c r="CL90" s="232"/>
      <c r="CM90" s="232"/>
      <c r="CN90" s="232"/>
      <c r="CO90" s="232"/>
      <c r="CP90" s="232"/>
      <c r="CQ90" s="232"/>
      <c r="CR90" s="232"/>
      <c r="CS90" s="232"/>
      <c r="CT90" s="232"/>
      <c r="CU90" s="232"/>
      <c r="CV90" s="232"/>
      <c r="CW90" s="232"/>
      <c r="CX90" s="232"/>
      <c r="CY90" s="232"/>
      <c r="CZ90" s="232"/>
      <c r="DA90" s="232"/>
      <c r="DB90" s="232"/>
      <c r="DC90" s="232"/>
      <c r="DD90" s="232"/>
      <c r="DE90" s="232"/>
      <c r="DF90" s="232"/>
      <c r="DG90" s="232"/>
      <c r="DH90" s="232"/>
      <c r="DI90" s="232"/>
      <c r="DJ90" s="232"/>
      <c r="DK90" s="232"/>
      <c r="DL90" s="232"/>
      <c r="DM90" s="232"/>
      <c r="DN90" s="232"/>
      <c r="DO90" s="232"/>
      <c r="DP90" s="232"/>
      <c r="DQ90" s="232"/>
      <c r="DR90" s="232"/>
      <c r="DS90" s="232"/>
      <c r="DT90" s="232"/>
      <c r="DU90" s="232"/>
      <c r="DV90" s="232"/>
      <c r="DW90" s="232"/>
      <c r="DX90" s="232"/>
      <c r="DY90" s="232"/>
      <c r="DZ90" s="232"/>
      <c r="EA90" s="232"/>
      <c r="EB90" s="232"/>
      <c r="EC90" s="232"/>
      <c r="ED90" s="171"/>
      <c r="EE90" s="95"/>
      <c r="EF90" s="200">
        <f t="shared" si="8"/>
        <v>0</v>
      </c>
      <c r="EG90" s="173">
        <f t="shared" si="4"/>
        <v>0</v>
      </c>
      <c r="EH90" s="174"/>
      <c r="EI90" s="104"/>
      <c r="EJ90" s="108"/>
      <c r="EK90" s="108"/>
      <c r="EL90" s="108"/>
      <c r="EM90" s="108"/>
      <c r="EN90" s="108"/>
      <c r="EO90" s="108"/>
      <c r="EP90" s="319"/>
      <c r="EQ90" s="319"/>
      <c r="ER90" s="319"/>
      <c r="ES90" s="319"/>
      <c r="ET90" s="319"/>
      <c r="EU90" s="319"/>
      <c r="EV90" s="319"/>
      <c r="EW90" s="319"/>
      <c r="EX90" s="319"/>
      <c r="EY90" s="319"/>
      <c r="EZ90" s="319"/>
      <c r="FA90" s="319"/>
      <c r="FB90" s="319"/>
      <c r="FC90" s="319"/>
      <c r="FD90" s="319"/>
      <c r="FE90" s="319"/>
      <c r="FF90" s="319"/>
      <c r="FG90" s="319"/>
      <c r="FH90" s="319"/>
      <c r="FI90" s="319"/>
      <c r="FJ90" s="319"/>
      <c r="FK90" s="319"/>
      <c r="FL90" s="319"/>
      <c r="FM90" s="319"/>
      <c r="FN90" s="319"/>
      <c r="FO90" s="319"/>
      <c r="FP90" s="230"/>
      <c r="FQ90" s="230"/>
      <c r="FR90" s="230"/>
      <c r="FS90" s="230"/>
      <c r="FT90" s="230"/>
      <c r="FU90" s="230"/>
      <c r="FV90" s="230"/>
      <c r="FW90" s="230"/>
      <c r="FX90" s="230"/>
      <c r="FY90" s="230"/>
      <c r="FZ90" s="230"/>
      <c r="GA90" s="230"/>
      <c r="GB90" s="230"/>
      <c r="GC90" s="230"/>
      <c r="GD90" s="230"/>
      <c r="GE90" s="230"/>
      <c r="GF90" s="230"/>
      <c r="GG90" s="230"/>
      <c r="GH90" s="200">
        <f t="shared" si="5"/>
        <v>0</v>
      </c>
      <c r="GI90" s="173">
        <f t="shared" si="6"/>
        <v>0</v>
      </c>
      <c r="GJ90" s="174"/>
      <c r="GK90" s="104"/>
      <c r="GL90" s="230"/>
      <c r="GM90" s="230"/>
      <c r="GN90" s="230"/>
      <c r="GO90" s="230"/>
      <c r="GP90" s="230"/>
      <c r="GQ90" s="230"/>
      <c r="GR90" s="230"/>
      <c r="GS90" s="230"/>
      <c r="GT90" s="230"/>
      <c r="GU90" s="230"/>
      <c r="GV90" s="230"/>
      <c r="GW90" s="230"/>
      <c r="GX90" s="230"/>
      <c r="GY90" s="230"/>
      <c r="GZ90" s="230"/>
      <c r="HA90" s="230"/>
      <c r="HB90" s="335"/>
      <c r="HC90" s="335"/>
      <c r="HD90" s="230"/>
      <c r="HE90" s="230"/>
      <c r="HF90" s="230"/>
      <c r="HG90" s="230"/>
      <c r="HH90" s="230"/>
      <c r="HI90" s="230"/>
      <c r="HJ90" s="230"/>
      <c r="HK90" s="230"/>
      <c r="HL90" s="230"/>
      <c r="HM90" s="230"/>
      <c r="HN90" s="230"/>
      <c r="HO90" s="230"/>
      <c r="HP90" s="230"/>
      <c r="HQ90" s="230"/>
      <c r="HR90" s="230"/>
      <c r="HS90" s="230"/>
      <c r="HT90" s="230"/>
      <c r="HU90" s="230"/>
      <c r="HV90" s="230"/>
      <c r="HW90" s="230"/>
      <c r="HX90" s="230"/>
      <c r="HY90" s="230"/>
      <c r="HZ90" s="230"/>
      <c r="IA90" s="230"/>
      <c r="IB90" s="230"/>
      <c r="IC90" s="230"/>
      <c r="ID90" s="215"/>
      <c r="IE90" s="215"/>
      <c r="IF90" s="200"/>
      <c r="IG90" s="173"/>
      <c r="IH90" s="174"/>
      <c r="II90" s="208"/>
      <c r="IJ90" s="230"/>
      <c r="IK90" s="230"/>
      <c r="IL90" s="230"/>
      <c r="IM90" s="230"/>
      <c r="IN90" s="230"/>
      <c r="IO90" s="230"/>
      <c r="IP90" s="230"/>
      <c r="IQ90" s="230"/>
      <c r="IR90" s="230"/>
      <c r="IS90" s="230"/>
      <c r="IT90" s="230"/>
      <c r="IU90" s="230"/>
      <c r="IV90" s="230"/>
      <c r="IW90" s="230"/>
      <c r="IX90" s="230"/>
      <c r="IY90" s="230"/>
      <c r="IZ90" s="230"/>
      <c r="JA90" s="230"/>
      <c r="JB90" s="230"/>
      <c r="JC90" s="230"/>
      <c r="JD90" s="230"/>
      <c r="JE90" s="230"/>
      <c r="JF90" s="230"/>
      <c r="JG90" s="230"/>
      <c r="JH90" s="230"/>
      <c r="JI90" s="230"/>
      <c r="JJ90" s="230"/>
      <c r="JK90" s="230"/>
      <c r="JL90" s="230"/>
      <c r="JM90" s="230"/>
      <c r="JN90" s="230"/>
      <c r="JO90" s="230"/>
      <c r="JP90" s="230"/>
      <c r="JQ90" s="230"/>
      <c r="JR90" s="230"/>
      <c r="JS90" s="230"/>
      <c r="JT90" s="230"/>
      <c r="JU90" s="230"/>
      <c r="JV90" s="230"/>
      <c r="JW90" s="230"/>
      <c r="JX90" s="230"/>
      <c r="JY90" s="230"/>
      <c r="JZ90" s="230"/>
      <c r="KA90" s="230"/>
      <c r="KB90" s="230"/>
      <c r="KC90" s="172"/>
      <c r="KD90" s="173"/>
      <c r="KE90" s="174"/>
      <c r="KF90" s="174"/>
      <c r="KG90" s="174"/>
      <c r="KH90" s="174"/>
      <c r="KI90" s="174"/>
      <c r="KJ90" s="174"/>
      <c r="KK90" s="174"/>
      <c r="KL90" s="174"/>
      <c r="KM90" s="174"/>
      <c r="KN90" s="174"/>
      <c r="KO90" s="174"/>
      <c r="KP90" s="174"/>
      <c r="KQ90" s="174"/>
      <c r="KR90" s="174"/>
      <c r="KS90" s="174"/>
      <c r="KT90" s="174"/>
      <c r="KU90" s="174"/>
      <c r="KV90" s="174"/>
      <c r="KW90" s="174"/>
    </row>
    <row r="91" hidden="1">
      <c r="A91" s="115"/>
      <c r="B91" s="116"/>
      <c r="C91" s="104"/>
      <c r="D91" s="230"/>
      <c r="E91" s="230"/>
      <c r="F91" s="231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  <c r="AP91" s="232"/>
      <c r="AQ91" s="232"/>
      <c r="AR91" s="232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232"/>
      <c r="BH91" s="232"/>
      <c r="BI91" s="232"/>
      <c r="BJ91" s="232"/>
      <c r="BK91" s="232"/>
      <c r="BL91" s="232"/>
      <c r="BM91" s="232"/>
      <c r="BN91" s="232"/>
      <c r="BO91" s="232"/>
      <c r="BP91" s="232"/>
      <c r="BQ91" s="232"/>
      <c r="BR91" s="232"/>
      <c r="BS91" s="232"/>
      <c r="BT91" s="232"/>
      <c r="BU91" s="232"/>
      <c r="BV91" s="232"/>
      <c r="BW91" s="232"/>
      <c r="BX91" s="232"/>
      <c r="BY91" s="232"/>
      <c r="BZ91" s="232"/>
      <c r="CA91" s="232"/>
      <c r="CB91" s="232"/>
      <c r="CC91" s="232"/>
      <c r="CD91" s="310"/>
      <c r="CE91" s="94">
        <f t="shared" si="1"/>
        <v>0</v>
      </c>
      <c r="CF91" s="173">
        <f t="shared" si="2"/>
        <v>0</v>
      </c>
      <c r="CH91" s="104"/>
      <c r="CI91" s="230"/>
      <c r="CJ91" s="230"/>
      <c r="CK91" s="231"/>
      <c r="CL91" s="232"/>
      <c r="CM91" s="232"/>
      <c r="CN91" s="232"/>
      <c r="CO91" s="232"/>
      <c r="CP91" s="232"/>
      <c r="CQ91" s="232"/>
      <c r="CR91" s="232"/>
      <c r="CS91" s="232"/>
      <c r="CT91" s="232"/>
      <c r="CU91" s="232"/>
      <c r="CV91" s="232"/>
      <c r="CW91" s="232"/>
      <c r="CX91" s="232"/>
      <c r="CY91" s="232"/>
      <c r="CZ91" s="232"/>
      <c r="DA91" s="232"/>
      <c r="DB91" s="232"/>
      <c r="DC91" s="232"/>
      <c r="DD91" s="232"/>
      <c r="DE91" s="232"/>
      <c r="DF91" s="232"/>
      <c r="DG91" s="232"/>
      <c r="DH91" s="232"/>
      <c r="DI91" s="232"/>
      <c r="DJ91" s="232"/>
      <c r="DK91" s="232"/>
      <c r="DL91" s="232"/>
      <c r="DM91" s="232"/>
      <c r="DN91" s="232"/>
      <c r="DO91" s="232"/>
      <c r="DP91" s="232"/>
      <c r="DQ91" s="232"/>
      <c r="DR91" s="232"/>
      <c r="DS91" s="232"/>
      <c r="DT91" s="232"/>
      <c r="DU91" s="232"/>
      <c r="DV91" s="232"/>
      <c r="DW91" s="232"/>
      <c r="DX91" s="232"/>
      <c r="DY91" s="232"/>
      <c r="DZ91" s="232"/>
      <c r="EA91" s="232"/>
      <c r="EB91" s="232"/>
      <c r="EC91" s="232"/>
      <c r="ED91" s="171"/>
      <c r="EE91" s="95"/>
      <c r="EF91" s="200">
        <f t="shared" si="8"/>
        <v>0</v>
      </c>
      <c r="EG91" s="173">
        <f t="shared" si="4"/>
        <v>0</v>
      </c>
      <c r="EH91" s="174"/>
      <c r="EI91" s="104"/>
      <c r="EJ91" s="108"/>
      <c r="EK91" s="108"/>
      <c r="EL91" s="108"/>
      <c r="EM91" s="108"/>
      <c r="EN91" s="108"/>
      <c r="EO91" s="108"/>
      <c r="EP91" s="319"/>
      <c r="EQ91" s="319"/>
      <c r="ER91" s="319"/>
      <c r="ES91" s="319"/>
      <c r="ET91" s="319"/>
      <c r="EU91" s="319"/>
      <c r="EV91" s="319"/>
      <c r="EW91" s="319"/>
      <c r="EX91" s="319"/>
      <c r="EY91" s="319"/>
      <c r="EZ91" s="319"/>
      <c r="FA91" s="319"/>
      <c r="FB91" s="319"/>
      <c r="FC91" s="319"/>
      <c r="FD91" s="319"/>
      <c r="FE91" s="319"/>
      <c r="FF91" s="319"/>
      <c r="FG91" s="319"/>
      <c r="FH91" s="319"/>
      <c r="FI91" s="319"/>
      <c r="FJ91" s="319"/>
      <c r="FK91" s="319"/>
      <c r="FL91" s="319"/>
      <c r="FM91" s="319"/>
      <c r="FN91" s="319"/>
      <c r="FO91" s="319"/>
      <c r="FP91" s="230"/>
      <c r="FQ91" s="230"/>
      <c r="FR91" s="230"/>
      <c r="FS91" s="230"/>
      <c r="FT91" s="230"/>
      <c r="FU91" s="230"/>
      <c r="FV91" s="230"/>
      <c r="FW91" s="230"/>
      <c r="FX91" s="230"/>
      <c r="FY91" s="230"/>
      <c r="FZ91" s="230"/>
      <c r="GA91" s="230"/>
      <c r="GB91" s="230"/>
      <c r="GC91" s="230"/>
      <c r="GD91" s="230"/>
      <c r="GE91" s="230"/>
      <c r="GF91" s="230"/>
      <c r="GG91" s="230"/>
      <c r="GH91" s="200">
        <f t="shared" si="5"/>
        <v>0</v>
      </c>
      <c r="GI91" s="173">
        <f t="shared" si="6"/>
        <v>0</v>
      </c>
      <c r="GJ91" s="174"/>
      <c r="GK91" s="104"/>
      <c r="GL91" s="230"/>
      <c r="GM91" s="230"/>
      <c r="GN91" s="230"/>
      <c r="GO91" s="230"/>
      <c r="GP91" s="230"/>
      <c r="GQ91" s="230"/>
      <c r="GR91" s="230"/>
      <c r="GS91" s="230"/>
      <c r="GT91" s="230"/>
      <c r="GU91" s="230"/>
      <c r="GV91" s="230"/>
      <c r="GW91" s="230"/>
      <c r="GX91" s="230"/>
      <c r="GY91" s="230"/>
      <c r="GZ91" s="230"/>
      <c r="HA91" s="230"/>
      <c r="HB91" s="335"/>
      <c r="HC91" s="335"/>
      <c r="HD91" s="230"/>
      <c r="HE91" s="230"/>
      <c r="HF91" s="230"/>
      <c r="HG91" s="230"/>
      <c r="HH91" s="230"/>
      <c r="HI91" s="230"/>
      <c r="HJ91" s="230"/>
      <c r="HK91" s="230"/>
      <c r="HL91" s="230"/>
      <c r="HM91" s="230"/>
      <c r="HN91" s="230"/>
      <c r="HO91" s="230"/>
      <c r="HP91" s="230"/>
      <c r="HQ91" s="230"/>
      <c r="HR91" s="230"/>
      <c r="HS91" s="230"/>
      <c r="HT91" s="230"/>
      <c r="HU91" s="230"/>
      <c r="HV91" s="230"/>
      <c r="HW91" s="230"/>
      <c r="HX91" s="230"/>
      <c r="HY91" s="230"/>
      <c r="HZ91" s="230"/>
      <c r="IA91" s="230"/>
      <c r="IB91" s="230"/>
      <c r="IC91" s="230"/>
      <c r="ID91" s="215"/>
      <c r="IE91" s="215"/>
      <c r="IF91" s="200"/>
      <c r="IG91" s="173"/>
      <c r="IH91" s="174"/>
      <c r="II91" s="208"/>
      <c r="IJ91" s="230"/>
      <c r="IK91" s="230"/>
      <c r="IL91" s="230"/>
      <c r="IM91" s="230"/>
      <c r="IN91" s="230"/>
      <c r="IO91" s="230"/>
      <c r="IP91" s="230"/>
      <c r="IQ91" s="230"/>
      <c r="IR91" s="230"/>
      <c r="IS91" s="230"/>
      <c r="IT91" s="230"/>
      <c r="IU91" s="230"/>
      <c r="IV91" s="230"/>
      <c r="IW91" s="230"/>
      <c r="IX91" s="230"/>
      <c r="IY91" s="230"/>
      <c r="IZ91" s="230"/>
      <c r="JA91" s="230"/>
      <c r="JB91" s="230"/>
      <c r="JC91" s="230"/>
      <c r="JD91" s="230"/>
      <c r="JE91" s="230"/>
      <c r="JF91" s="230"/>
      <c r="JG91" s="230"/>
      <c r="JH91" s="230"/>
      <c r="JI91" s="230"/>
      <c r="JJ91" s="230"/>
      <c r="JK91" s="230"/>
      <c r="JL91" s="230"/>
      <c r="JM91" s="230"/>
      <c r="JN91" s="230"/>
      <c r="JO91" s="230"/>
      <c r="JP91" s="230"/>
      <c r="JQ91" s="230"/>
      <c r="JR91" s="230"/>
      <c r="JS91" s="230"/>
      <c r="JT91" s="230"/>
      <c r="JU91" s="230"/>
      <c r="JV91" s="230"/>
      <c r="JW91" s="230"/>
      <c r="JX91" s="230"/>
      <c r="JY91" s="230"/>
      <c r="JZ91" s="230"/>
      <c r="KA91" s="230"/>
      <c r="KB91" s="230"/>
      <c r="KC91" s="172"/>
      <c r="KD91" s="173"/>
      <c r="KE91" s="174"/>
      <c r="KF91" s="174"/>
      <c r="KG91" s="174"/>
      <c r="KH91" s="174"/>
      <c r="KI91" s="174"/>
      <c r="KJ91" s="174"/>
      <c r="KK91" s="174"/>
      <c r="KL91" s="174"/>
      <c r="KM91" s="174"/>
      <c r="KN91" s="174"/>
      <c r="KO91" s="174"/>
      <c r="KP91" s="174"/>
      <c r="KQ91" s="174"/>
      <c r="KR91" s="174"/>
      <c r="KS91" s="174"/>
      <c r="KT91" s="174"/>
      <c r="KU91" s="174"/>
      <c r="KV91" s="174"/>
      <c r="KW91" s="174"/>
    </row>
    <row r="92" hidden="1">
      <c r="A92" s="94" t="s">
        <v>130</v>
      </c>
      <c r="B92" s="96">
        <v>490.0</v>
      </c>
      <c r="C92" s="104"/>
      <c r="D92" s="230"/>
      <c r="E92" s="230"/>
      <c r="F92" s="231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  <c r="AP92" s="232"/>
      <c r="AQ92" s="232"/>
      <c r="AR92" s="232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232"/>
      <c r="BH92" s="232"/>
      <c r="BI92" s="232"/>
      <c r="BJ92" s="232"/>
      <c r="BK92" s="232"/>
      <c r="BL92" s="232"/>
      <c r="BM92" s="232"/>
      <c r="BN92" s="232"/>
      <c r="BO92" s="232"/>
      <c r="BP92" s="232"/>
      <c r="BQ92" s="232"/>
      <c r="BR92" s="232"/>
      <c r="BS92" s="232"/>
      <c r="BT92" s="232"/>
      <c r="BU92" s="232"/>
      <c r="BV92" s="232"/>
      <c r="BW92" s="232"/>
      <c r="BX92" s="232"/>
      <c r="BY92" s="232"/>
      <c r="BZ92" s="232"/>
      <c r="CA92" s="232"/>
      <c r="CB92" s="232"/>
      <c r="CC92" s="232"/>
      <c r="CD92" s="310"/>
      <c r="CE92" s="94">
        <f t="shared" si="1"/>
        <v>0</v>
      </c>
      <c r="CF92" s="173">
        <f t="shared" si="2"/>
        <v>0</v>
      </c>
      <c r="CH92" s="104"/>
      <c r="CI92" s="230"/>
      <c r="CJ92" s="230"/>
      <c r="CK92" s="231"/>
      <c r="CL92" s="232"/>
      <c r="CM92" s="232"/>
      <c r="CN92" s="232"/>
      <c r="CO92" s="232"/>
      <c r="CP92" s="232"/>
      <c r="CQ92" s="232"/>
      <c r="CR92" s="232"/>
      <c r="CS92" s="232"/>
      <c r="CT92" s="232"/>
      <c r="CU92" s="232"/>
      <c r="CV92" s="232"/>
      <c r="CW92" s="232"/>
      <c r="CX92" s="232"/>
      <c r="CY92" s="232"/>
      <c r="CZ92" s="232"/>
      <c r="DA92" s="232"/>
      <c r="DB92" s="232"/>
      <c r="DC92" s="232"/>
      <c r="DD92" s="232"/>
      <c r="DE92" s="232"/>
      <c r="DF92" s="232"/>
      <c r="DG92" s="232"/>
      <c r="DH92" s="232"/>
      <c r="DI92" s="232"/>
      <c r="DJ92" s="232"/>
      <c r="DK92" s="232"/>
      <c r="DL92" s="232"/>
      <c r="DM92" s="232"/>
      <c r="DN92" s="232"/>
      <c r="DO92" s="232"/>
      <c r="DP92" s="232"/>
      <c r="DQ92" s="232"/>
      <c r="DR92" s="232"/>
      <c r="DS92" s="232"/>
      <c r="DT92" s="232"/>
      <c r="DU92" s="232"/>
      <c r="DV92" s="232"/>
      <c r="DW92" s="232"/>
      <c r="DX92" s="232"/>
      <c r="DY92" s="232"/>
      <c r="DZ92" s="232"/>
      <c r="EA92" s="232"/>
      <c r="EB92" s="232"/>
      <c r="EC92" s="232"/>
      <c r="ED92" s="171"/>
      <c r="EE92" s="95"/>
      <c r="EF92" s="200">
        <f t="shared" si="8"/>
        <v>0</v>
      </c>
      <c r="EG92" s="173">
        <f t="shared" si="4"/>
        <v>0</v>
      </c>
      <c r="EH92" s="174"/>
      <c r="EI92" s="104"/>
      <c r="EJ92" s="108"/>
      <c r="EK92" s="108"/>
      <c r="EL92" s="108"/>
      <c r="EM92" s="108"/>
      <c r="EN92" s="108"/>
      <c r="EO92" s="108"/>
      <c r="EP92" s="319"/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319"/>
      <c r="FD92" s="319"/>
      <c r="FE92" s="319"/>
      <c r="FF92" s="319"/>
      <c r="FG92" s="319"/>
      <c r="FH92" s="319"/>
      <c r="FI92" s="319"/>
      <c r="FJ92" s="319"/>
      <c r="FK92" s="319"/>
      <c r="FL92" s="319"/>
      <c r="FM92" s="319"/>
      <c r="FN92" s="319"/>
      <c r="FO92" s="319"/>
      <c r="FP92" s="230"/>
      <c r="FQ92" s="230"/>
      <c r="FR92" s="230"/>
      <c r="FS92" s="230"/>
      <c r="FT92" s="230"/>
      <c r="FU92" s="230"/>
      <c r="FV92" s="230"/>
      <c r="FW92" s="230"/>
      <c r="FX92" s="230"/>
      <c r="FY92" s="230"/>
      <c r="FZ92" s="230"/>
      <c r="GA92" s="230"/>
      <c r="GB92" s="230"/>
      <c r="GC92" s="230"/>
      <c r="GD92" s="230"/>
      <c r="GE92" s="230"/>
      <c r="GF92" s="230"/>
      <c r="GG92" s="230"/>
      <c r="GH92" s="200">
        <f t="shared" si="5"/>
        <v>0</v>
      </c>
      <c r="GI92" s="173">
        <f t="shared" si="6"/>
        <v>0</v>
      </c>
      <c r="GJ92" s="174"/>
      <c r="GK92" s="104"/>
      <c r="GL92" s="230"/>
      <c r="GM92" s="230"/>
      <c r="GN92" s="230"/>
      <c r="GO92" s="230"/>
      <c r="GP92" s="230"/>
      <c r="GQ92" s="230"/>
      <c r="GR92" s="230"/>
      <c r="GS92" s="230"/>
      <c r="GT92" s="230"/>
      <c r="GU92" s="230"/>
      <c r="GV92" s="230"/>
      <c r="GW92" s="230"/>
      <c r="GX92" s="230"/>
      <c r="GY92" s="230"/>
      <c r="GZ92" s="230"/>
      <c r="HA92" s="230"/>
      <c r="HB92" s="335"/>
      <c r="HC92" s="335"/>
      <c r="HD92" s="230"/>
      <c r="HE92" s="230"/>
      <c r="HF92" s="230"/>
      <c r="HG92" s="230"/>
      <c r="HH92" s="230"/>
      <c r="HI92" s="230"/>
      <c r="HJ92" s="230"/>
      <c r="HK92" s="230"/>
      <c r="HL92" s="230"/>
      <c r="HM92" s="230"/>
      <c r="HN92" s="230"/>
      <c r="HO92" s="230"/>
      <c r="HP92" s="230"/>
      <c r="HQ92" s="230"/>
      <c r="HR92" s="230"/>
      <c r="HS92" s="230"/>
      <c r="HT92" s="230"/>
      <c r="HU92" s="230"/>
      <c r="HV92" s="230"/>
      <c r="HW92" s="230"/>
      <c r="HX92" s="230"/>
      <c r="HY92" s="230"/>
      <c r="HZ92" s="230"/>
      <c r="IA92" s="230"/>
      <c r="IB92" s="230"/>
      <c r="IC92" s="230"/>
      <c r="ID92" s="215"/>
      <c r="IE92" s="215"/>
      <c r="IF92" s="200"/>
      <c r="IG92" s="173"/>
      <c r="IH92" s="174"/>
      <c r="II92" s="208"/>
      <c r="IJ92" s="230"/>
      <c r="IK92" s="230"/>
      <c r="IL92" s="230"/>
      <c r="IM92" s="230"/>
      <c r="IN92" s="230"/>
      <c r="IO92" s="230"/>
      <c r="IP92" s="230"/>
      <c r="IQ92" s="230"/>
      <c r="IR92" s="230"/>
      <c r="IS92" s="230"/>
      <c r="IT92" s="230"/>
      <c r="IU92" s="230"/>
      <c r="IV92" s="230"/>
      <c r="IW92" s="230"/>
      <c r="IX92" s="230"/>
      <c r="IY92" s="230"/>
      <c r="IZ92" s="230"/>
      <c r="JA92" s="230"/>
      <c r="JB92" s="230"/>
      <c r="JC92" s="230"/>
      <c r="JD92" s="230"/>
      <c r="JE92" s="230"/>
      <c r="JF92" s="230"/>
      <c r="JG92" s="230"/>
      <c r="JH92" s="230"/>
      <c r="JI92" s="230"/>
      <c r="JJ92" s="230"/>
      <c r="JK92" s="230"/>
      <c r="JL92" s="230"/>
      <c r="JM92" s="230"/>
      <c r="JN92" s="230"/>
      <c r="JO92" s="230"/>
      <c r="JP92" s="230"/>
      <c r="JQ92" s="230"/>
      <c r="JR92" s="230"/>
      <c r="JS92" s="230"/>
      <c r="JT92" s="230"/>
      <c r="JU92" s="230"/>
      <c r="JV92" s="230"/>
      <c r="JW92" s="230"/>
      <c r="JX92" s="230"/>
      <c r="JY92" s="230"/>
      <c r="JZ92" s="230"/>
      <c r="KA92" s="230"/>
      <c r="KB92" s="230"/>
      <c r="KC92" s="172"/>
      <c r="KD92" s="173"/>
      <c r="KE92" s="174"/>
      <c r="KF92" s="174"/>
      <c r="KG92" s="174"/>
      <c r="KH92" s="174"/>
      <c r="KI92" s="174"/>
      <c r="KJ92" s="174"/>
      <c r="KK92" s="174"/>
      <c r="KL92" s="174"/>
      <c r="KM92" s="174"/>
      <c r="KN92" s="174"/>
      <c r="KO92" s="174"/>
      <c r="KP92" s="174"/>
      <c r="KQ92" s="174"/>
      <c r="KR92" s="174"/>
      <c r="KS92" s="174"/>
      <c r="KT92" s="174"/>
      <c r="KU92" s="174"/>
      <c r="KV92" s="174"/>
      <c r="KW92" s="174"/>
    </row>
    <row r="93" hidden="1">
      <c r="A93" s="94" t="s">
        <v>131</v>
      </c>
      <c r="B93" s="96">
        <v>490.0</v>
      </c>
      <c r="C93" s="104"/>
      <c r="D93" s="230"/>
      <c r="E93" s="230"/>
      <c r="F93" s="231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  <c r="AP93" s="232"/>
      <c r="AQ93" s="232"/>
      <c r="AR93" s="232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232"/>
      <c r="BH93" s="232"/>
      <c r="BI93" s="232"/>
      <c r="BJ93" s="232"/>
      <c r="BK93" s="232"/>
      <c r="BL93" s="232"/>
      <c r="BM93" s="232"/>
      <c r="BN93" s="232"/>
      <c r="BO93" s="232"/>
      <c r="BP93" s="232"/>
      <c r="BQ93" s="232"/>
      <c r="BR93" s="232"/>
      <c r="BS93" s="232"/>
      <c r="BT93" s="232"/>
      <c r="BU93" s="232"/>
      <c r="BV93" s="232"/>
      <c r="BW93" s="232"/>
      <c r="BX93" s="232"/>
      <c r="BY93" s="232"/>
      <c r="BZ93" s="232"/>
      <c r="CA93" s="232"/>
      <c r="CB93" s="232"/>
      <c r="CC93" s="232"/>
      <c r="CD93" s="310"/>
      <c r="CE93" s="94">
        <f t="shared" si="1"/>
        <v>0</v>
      </c>
      <c r="CF93" s="173">
        <f t="shared" si="2"/>
        <v>0</v>
      </c>
      <c r="CH93" s="104"/>
      <c r="CI93" s="230"/>
      <c r="CJ93" s="230"/>
      <c r="CK93" s="231"/>
      <c r="CL93" s="232"/>
      <c r="CM93" s="232"/>
      <c r="CN93" s="232"/>
      <c r="CO93" s="232"/>
      <c r="CP93" s="232"/>
      <c r="CQ93" s="232"/>
      <c r="CR93" s="232"/>
      <c r="CS93" s="232"/>
      <c r="CT93" s="232"/>
      <c r="CU93" s="232"/>
      <c r="CV93" s="232"/>
      <c r="CW93" s="232"/>
      <c r="CX93" s="232"/>
      <c r="CY93" s="232"/>
      <c r="CZ93" s="232"/>
      <c r="DA93" s="232"/>
      <c r="DB93" s="232"/>
      <c r="DC93" s="232"/>
      <c r="DD93" s="232"/>
      <c r="DE93" s="232"/>
      <c r="DF93" s="232"/>
      <c r="DG93" s="232"/>
      <c r="DH93" s="232"/>
      <c r="DI93" s="232"/>
      <c r="DJ93" s="232"/>
      <c r="DK93" s="232"/>
      <c r="DL93" s="232"/>
      <c r="DM93" s="232"/>
      <c r="DN93" s="232"/>
      <c r="DO93" s="232"/>
      <c r="DP93" s="232"/>
      <c r="DQ93" s="232"/>
      <c r="DR93" s="232"/>
      <c r="DS93" s="232"/>
      <c r="DT93" s="232"/>
      <c r="DU93" s="232"/>
      <c r="DV93" s="232"/>
      <c r="DW93" s="232"/>
      <c r="DX93" s="232"/>
      <c r="DY93" s="232"/>
      <c r="DZ93" s="232"/>
      <c r="EA93" s="232"/>
      <c r="EB93" s="232"/>
      <c r="EC93" s="232"/>
      <c r="ED93" s="171"/>
      <c r="EE93" s="95"/>
      <c r="EF93" s="200">
        <f t="shared" si="8"/>
        <v>0</v>
      </c>
      <c r="EG93" s="173">
        <f t="shared" si="4"/>
        <v>0</v>
      </c>
      <c r="EH93" s="174"/>
      <c r="EI93" s="104"/>
      <c r="EJ93" s="108"/>
      <c r="EK93" s="108"/>
      <c r="EL93" s="108"/>
      <c r="EM93" s="108"/>
      <c r="EN93" s="108"/>
      <c r="EO93" s="108"/>
      <c r="EP93" s="319"/>
      <c r="EQ93" s="319"/>
      <c r="ER93" s="319"/>
      <c r="ES93" s="319"/>
      <c r="ET93" s="319"/>
      <c r="EU93" s="319"/>
      <c r="EV93" s="319"/>
      <c r="EW93" s="319"/>
      <c r="EX93" s="319"/>
      <c r="EY93" s="319"/>
      <c r="EZ93" s="319"/>
      <c r="FA93" s="319"/>
      <c r="FB93" s="319"/>
      <c r="FC93" s="319"/>
      <c r="FD93" s="319"/>
      <c r="FE93" s="319"/>
      <c r="FF93" s="319"/>
      <c r="FG93" s="319"/>
      <c r="FH93" s="319"/>
      <c r="FI93" s="319"/>
      <c r="FJ93" s="319"/>
      <c r="FK93" s="319"/>
      <c r="FL93" s="319"/>
      <c r="FM93" s="319"/>
      <c r="FN93" s="319"/>
      <c r="FO93" s="319"/>
      <c r="FP93" s="230"/>
      <c r="FQ93" s="230"/>
      <c r="FR93" s="230"/>
      <c r="FS93" s="230"/>
      <c r="FT93" s="230"/>
      <c r="FU93" s="230"/>
      <c r="FV93" s="230"/>
      <c r="FW93" s="230"/>
      <c r="FX93" s="230"/>
      <c r="FY93" s="230"/>
      <c r="FZ93" s="230"/>
      <c r="GA93" s="230"/>
      <c r="GB93" s="230"/>
      <c r="GC93" s="230"/>
      <c r="GD93" s="230"/>
      <c r="GE93" s="230"/>
      <c r="GF93" s="230"/>
      <c r="GG93" s="230"/>
      <c r="GH93" s="200">
        <f t="shared" si="5"/>
        <v>0</v>
      </c>
      <c r="GI93" s="173">
        <f t="shared" si="6"/>
        <v>0</v>
      </c>
      <c r="GJ93" s="174"/>
      <c r="GK93" s="104"/>
      <c r="GL93" s="230"/>
      <c r="GM93" s="230"/>
      <c r="GN93" s="230"/>
      <c r="GO93" s="230"/>
      <c r="GP93" s="230"/>
      <c r="GQ93" s="230"/>
      <c r="GR93" s="230"/>
      <c r="GS93" s="230"/>
      <c r="GT93" s="230"/>
      <c r="GU93" s="230"/>
      <c r="GV93" s="230"/>
      <c r="GW93" s="230"/>
      <c r="GX93" s="230"/>
      <c r="GY93" s="230"/>
      <c r="GZ93" s="230"/>
      <c r="HA93" s="230"/>
      <c r="HB93" s="335"/>
      <c r="HC93" s="335"/>
      <c r="HD93" s="230"/>
      <c r="HE93" s="230"/>
      <c r="HF93" s="230"/>
      <c r="HG93" s="230"/>
      <c r="HH93" s="230"/>
      <c r="HI93" s="230"/>
      <c r="HJ93" s="230"/>
      <c r="HK93" s="230"/>
      <c r="HL93" s="230"/>
      <c r="HM93" s="230"/>
      <c r="HN93" s="230"/>
      <c r="HO93" s="230"/>
      <c r="HP93" s="230"/>
      <c r="HQ93" s="230"/>
      <c r="HR93" s="230"/>
      <c r="HS93" s="230"/>
      <c r="HT93" s="230"/>
      <c r="HU93" s="230"/>
      <c r="HV93" s="230"/>
      <c r="HW93" s="230"/>
      <c r="HX93" s="230"/>
      <c r="HY93" s="230"/>
      <c r="HZ93" s="230"/>
      <c r="IA93" s="230"/>
      <c r="IB93" s="230"/>
      <c r="IC93" s="230"/>
      <c r="ID93" s="215"/>
      <c r="IE93" s="215"/>
      <c r="IF93" s="200"/>
      <c r="IG93" s="173"/>
      <c r="IH93" s="174"/>
      <c r="II93" s="208"/>
      <c r="IJ93" s="230"/>
      <c r="IK93" s="230"/>
      <c r="IL93" s="230"/>
      <c r="IM93" s="230"/>
      <c r="IN93" s="230"/>
      <c r="IO93" s="230"/>
      <c r="IP93" s="230"/>
      <c r="IQ93" s="230"/>
      <c r="IR93" s="230"/>
      <c r="IS93" s="230"/>
      <c r="IT93" s="230"/>
      <c r="IU93" s="230"/>
      <c r="IV93" s="230"/>
      <c r="IW93" s="230"/>
      <c r="IX93" s="230"/>
      <c r="IY93" s="230"/>
      <c r="IZ93" s="230"/>
      <c r="JA93" s="230"/>
      <c r="JB93" s="230"/>
      <c r="JC93" s="230"/>
      <c r="JD93" s="230"/>
      <c r="JE93" s="230"/>
      <c r="JF93" s="230"/>
      <c r="JG93" s="230"/>
      <c r="JH93" s="230"/>
      <c r="JI93" s="230"/>
      <c r="JJ93" s="230"/>
      <c r="JK93" s="230"/>
      <c r="JL93" s="230"/>
      <c r="JM93" s="230"/>
      <c r="JN93" s="230"/>
      <c r="JO93" s="230"/>
      <c r="JP93" s="230"/>
      <c r="JQ93" s="230"/>
      <c r="JR93" s="230"/>
      <c r="JS93" s="230"/>
      <c r="JT93" s="230"/>
      <c r="JU93" s="230"/>
      <c r="JV93" s="230"/>
      <c r="JW93" s="230"/>
      <c r="JX93" s="230"/>
      <c r="JY93" s="230"/>
      <c r="JZ93" s="230"/>
      <c r="KA93" s="230"/>
      <c r="KB93" s="230"/>
      <c r="KC93" s="172"/>
      <c r="KD93" s="173"/>
      <c r="KE93" s="174"/>
      <c r="KF93" s="174"/>
      <c r="KG93" s="174"/>
      <c r="KH93" s="174"/>
      <c r="KI93" s="174"/>
      <c r="KJ93" s="174"/>
      <c r="KK93" s="174"/>
      <c r="KL93" s="174"/>
      <c r="KM93" s="174"/>
      <c r="KN93" s="174"/>
      <c r="KO93" s="174"/>
      <c r="KP93" s="174"/>
      <c r="KQ93" s="174"/>
      <c r="KR93" s="174"/>
      <c r="KS93" s="174"/>
      <c r="KT93" s="174"/>
      <c r="KU93" s="174"/>
      <c r="KV93" s="174"/>
      <c r="KW93" s="174"/>
    </row>
    <row r="94" hidden="1">
      <c r="A94" s="94" t="s">
        <v>132</v>
      </c>
      <c r="B94" s="96">
        <v>450.0</v>
      </c>
      <c r="C94" s="104"/>
      <c r="D94" s="230"/>
      <c r="E94" s="230"/>
      <c r="F94" s="231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  <c r="AP94" s="232"/>
      <c r="AQ94" s="232"/>
      <c r="AR94" s="232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232"/>
      <c r="BH94" s="232"/>
      <c r="BI94" s="232"/>
      <c r="BJ94" s="232"/>
      <c r="BK94" s="232"/>
      <c r="BL94" s="232"/>
      <c r="BM94" s="232"/>
      <c r="BN94" s="232"/>
      <c r="BO94" s="232"/>
      <c r="BP94" s="232"/>
      <c r="BQ94" s="232"/>
      <c r="BR94" s="232"/>
      <c r="BS94" s="232"/>
      <c r="BT94" s="232"/>
      <c r="BU94" s="232"/>
      <c r="BV94" s="232"/>
      <c r="BW94" s="232"/>
      <c r="BX94" s="232"/>
      <c r="BY94" s="232"/>
      <c r="BZ94" s="232"/>
      <c r="CA94" s="232"/>
      <c r="CB94" s="232"/>
      <c r="CC94" s="232"/>
      <c r="CD94" s="310"/>
      <c r="CE94" s="94">
        <f t="shared" si="1"/>
        <v>0</v>
      </c>
      <c r="CF94" s="173">
        <f t="shared" si="2"/>
        <v>0</v>
      </c>
      <c r="CH94" s="104"/>
      <c r="CI94" s="230"/>
      <c r="CJ94" s="230"/>
      <c r="CK94" s="231"/>
      <c r="CL94" s="232"/>
      <c r="CM94" s="232"/>
      <c r="CN94" s="232"/>
      <c r="CO94" s="232"/>
      <c r="CP94" s="232"/>
      <c r="CQ94" s="232"/>
      <c r="CR94" s="232"/>
      <c r="CS94" s="232"/>
      <c r="CT94" s="232"/>
      <c r="CU94" s="232"/>
      <c r="CV94" s="232"/>
      <c r="CW94" s="232"/>
      <c r="CX94" s="232"/>
      <c r="CY94" s="232"/>
      <c r="CZ94" s="232"/>
      <c r="DA94" s="232"/>
      <c r="DB94" s="232"/>
      <c r="DC94" s="232"/>
      <c r="DD94" s="232"/>
      <c r="DE94" s="232"/>
      <c r="DF94" s="232"/>
      <c r="DG94" s="232"/>
      <c r="DH94" s="232"/>
      <c r="DI94" s="232"/>
      <c r="DJ94" s="232"/>
      <c r="DK94" s="232"/>
      <c r="DL94" s="232"/>
      <c r="DM94" s="232"/>
      <c r="DN94" s="232"/>
      <c r="DO94" s="232"/>
      <c r="DP94" s="232"/>
      <c r="DQ94" s="232"/>
      <c r="DR94" s="232"/>
      <c r="DS94" s="232"/>
      <c r="DT94" s="232"/>
      <c r="DU94" s="232"/>
      <c r="DV94" s="232"/>
      <c r="DW94" s="232"/>
      <c r="DX94" s="232"/>
      <c r="DY94" s="232"/>
      <c r="DZ94" s="232"/>
      <c r="EA94" s="232"/>
      <c r="EB94" s="232"/>
      <c r="EC94" s="232"/>
      <c r="ED94" s="171"/>
      <c r="EE94" s="95"/>
      <c r="EF94" s="200">
        <f t="shared" si="8"/>
        <v>0</v>
      </c>
      <c r="EG94" s="173">
        <f t="shared" si="4"/>
        <v>0</v>
      </c>
      <c r="EH94" s="174"/>
      <c r="EI94" s="104"/>
      <c r="EJ94" s="108"/>
      <c r="EK94" s="108"/>
      <c r="EL94" s="108"/>
      <c r="EM94" s="108"/>
      <c r="EN94" s="108"/>
      <c r="EO94" s="108"/>
      <c r="EP94" s="319"/>
      <c r="EQ94" s="319"/>
      <c r="ER94" s="319"/>
      <c r="ES94" s="319"/>
      <c r="ET94" s="319"/>
      <c r="EU94" s="319"/>
      <c r="EV94" s="319"/>
      <c r="EW94" s="319"/>
      <c r="EX94" s="319"/>
      <c r="EY94" s="319"/>
      <c r="EZ94" s="319"/>
      <c r="FA94" s="319"/>
      <c r="FB94" s="319"/>
      <c r="FC94" s="319"/>
      <c r="FD94" s="319"/>
      <c r="FE94" s="319"/>
      <c r="FF94" s="319"/>
      <c r="FG94" s="319"/>
      <c r="FH94" s="319"/>
      <c r="FI94" s="319"/>
      <c r="FJ94" s="319"/>
      <c r="FK94" s="319"/>
      <c r="FL94" s="319"/>
      <c r="FM94" s="319"/>
      <c r="FN94" s="319"/>
      <c r="FO94" s="319"/>
      <c r="FP94" s="230"/>
      <c r="FQ94" s="230"/>
      <c r="FR94" s="230"/>
      <c r="FS94" s="230"/>
      <c r="FT94" s="230"/>
      <c r="FU94" s="230"/>
      <c r="FV94" s="230"/>
      <c r="FW94" s="230"/>
      <c r="FX94" s="230"/>
      <c r="FY94" s="230"/>
      <c r="FZ94" s="230"/>
      <c r="GA94" s="230"/>
      <c r="GB94" s="230"/>
      <c r="GC94" s="230"/>
      <c r="GD94" s="230"/>
      <c r="GE94" s="230"/>
      <c r="GF94" s="230"/>
      <c r="GG94" s="230"/>
      <c r="GH94" s="200">
        <f t="shared" si="5"/>
        <v>0</v>
      </c>
      <c r="GI94" s="173">
        <f t="shared" si="6"/>
        <v>0</v>
      </c>
      <c r="GJ94" s="174"/>
      <c r="GK94" s="104"/>
      <c r="GL94" s="230"/>
      <c r="GM94" s="230"/>
      <c r="GN94" s="230"/>
      <c r="GO94" s="230"/>
      <c r="GP94" s="230"/>
      <c r="GQ94" s="230"/>
      <c r="GR94" s="230"/>
      <c r="GS94" s="230"/>
      <c r="GT94" s="230"/>
      <c r="GU94" s="230"/>
      <c r="GV94" s="230"/>
      <c r="GW94" s="230"/>
      <c r="GX94" s="230"/>
      <c r="GY94" s="230"/>
      <c r="GZ94" s="230"/>
      <c r="HA94" s="230"/>
      <c r="HB94" s="335"/>
      <c r="HC94" s="335"/>
      <c r="HD94" s="230"/>
      <c r="HE94" s="230"/>
      <c r="HF94" s="230"/>
      <c r="HG94" s="230"/>
      <c r="HH94" s="230"/>
      <c r="HI94" s="230"/>
      <c r="HJ94" s="230"/>
      <c r="HK94" s="230"/>
      <c r="HL94" s="230"/>
      <c r="HM94" s="230"/>
      <c r="HN94" s="230"/>
      <c r="HO94" s="230"/>
      <c r="HP94" s="230"/>
      <c r="HQ94" s="230"/>
      <c r="HR94" s="230"/>
      <c r="HS94" s="230"/>
      <c r="HT94" s="230"/>
      <c r="HU94" s="230"/>
      <c r="HV94" s="230"/>
      <c r="HW94" s="230"/>
      <c r="HX94" s="230"/>
      <c r="HY94" s="230"/>
      <c r="HZ94" s="230"/>
      <c r="IA94" s="230"/>
      <c r="IB94" s="230"/>
      <c r="IC94" s="230"/>
      <c r="ID94" s="215"/>
      <c r="IE94" s="215"/>
      <c r="IF94" s="200"/>
      <c r="IG94" s="173"/>
      <c r="IH94" s="174"/>
      <c r="II94" s="208"/>
      <c r="IJ94" s="230"/>
      <c r="IK94" s="230"/>
      <c r="IL94" s="230"/>
      <c r="IM94" s="230"/>
      <c r="IN94" s="230"/>
      <c r="IO94" s="230"/>
      <c r="IP94" s="230"/>
      <c r="IQ94" s="230"/>
      <c r="IR94" s="230"/>
      <c r="IS94" s="230"/>
      <c r="IT94" s="230"/>
      <c r="IU94" s="230"/>
      <c r="IV94" s="230"/>
      <c r="IW94" s="230"/>
      <c r="IX94" s="230"/>
      <c r="IY94" s="230"/>
      <c r="IZ94" s="230"/>
      <c r="JA94" s="230"/>
      <c r="JB94" s="230"/>
      <c r="JC94" s="230"/>
      <c r="JD94" s="230"/>
      <c r="JE94" s="230"/>
      <c r="JF94" s="230"/>
      <c r="JG94" s="230"/>
      <c r="JH94" s="230"/>
      <c r="JI94" s="230"/>
      <c r="JJ94" s="230"/>
      <c r="JK94" s="230"/>
      <c r="JL94" s="230"/>
      <c r="JM94" s="230"/>
      <c r="JN94" s="230"/>
      <c r="JO94" s="230"/>
      <c r="JP94" s="230"/>
      <c r="JQ94" s="230"/>
      <c r="JR94" s="230"/>
      <c r="JS94" s="230"/>
      <c r="JT94" s="230"/>
      <c r="JU94" s="230"/>
      <c r="JV94" s="230"/>
      <c r="JW94" s="230"/>
      <c r="JX94" s="230"/>
      <c r="JY94" s="230"/>
      <c r="JZ94" s="230"/>
      <c r="KA94" s="230"/>
      <c r="KB94" s="230"/>
      <c r="KC94" s="172"/>
      <c r="KD94" s="173"/>
      <c r="KE94" s="174"/>
      <c r="KF94" s="174"/>
      <c r="KG94" s="174"/>
      <c r="KH94" s="174"/>
      <c r="KI94" s="174"/>
      <c r="KJ94" s="174"/>
      <c r="KK94" s="174"/>
      <c r="KL94" s="174"/>
      <c r="KM94" s="174"/>
      <c r="KN94" s="174"/>
      <c r="KO94" s="174"/>
      <c r="KP94" s="174"/>
      <c r="KQ94" s="174"/>
      <c r="KR94" s="174"/>
      <c r="KS94" s="174"/>
      <c r="KT94" s="174"/>
      <c r="KU94" s="174"/>
      <c r="KV94" s="174"/>
      <c r="KW94" s="174"/>
    </row>
    <row r="95" hidden="1">
      <c r="A95" s="117" t="s">
        <v>265</v>
      </c>
      <c r="B95" s="118">
        <v>450.0</v>
      </c>
      <c r="C95" s="104"/>
      <c r="D95" s="230"/>
      <c r="E95" s="230"/>
      <c r="F95" s="231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  <c r="AP95" s="232"/>
      <c r="AQ95" s="232"/>
      <c r="AR95" s="232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232"/>
      <c r="BH95" s="232"/>
      <c r="BI95" s="232"/>
      <c r="BJ95" s="232"/>
      <c r="BK95" s="232"/>
      <c r="BL95" s="232"/>
      <c r="BM95" s="232"/>
      <c r="BN95" s="232"/>
      <c r="BO95" s="232"/>
      <c r="BP95" s="232"/>
      <c r="BQ95" s="232"/>
      <c r="BR95" s="232"/>
      <c r="BS95" s="232"/>
      <c r="BT95" s="232"/>
      <c r="BU95" s="232"/>
      <c r="BV95" s="232"/>
      <c r="BW95" s="232"/>
      <c r="BX95" s="232"/>
      <c r="BY95" s="232"/>
      <c r="BZ95" s="232"/>
      <c r="CA95" s="232"/>
      <c r="CB95" s="232"/>
      <c r="CC95" s="232"/>
      <c r="CD95" s="310"/>
      <c r="CE95" s="94">
        <f t="shared" si="1"/>
        <v>0</v>
      </c>
      <c r="CF95" s="173">
        <f t="shared" si="2"/>
        <v>0</v>
      </c>
      <c r="CH95" s="104"/>
      <c r="CI95" s="230"/>
      <c r="CJ95" s="230"/>
      <c r="CK95" s="231"/>
      <c r="CL95" s="232"/>
      <c r="CM95" s="232"/>
      <c r="CN95" s="232"/>
      <c r="CO95" s="232"/>
      <c r="CP95" s="232"/>
      <c r="CQ95" s="232"/>
      <c r="CR95" s="232"/>
      <c r="CS95" s="232"/>
      <c r="CT95" s="232"/>
      <c r="CU95" s="232"/>
      <c r="CV95" s="232"/>
      <c r="CW95" s="232"/>
      <c r="CX95" s="232"/>
      <c r="CY95" s="232"/>
      <c r="CZ95" s="232"/>
      <c r="DA95" s="232"/>
      <c r="DB95" s="232"/>
      <c r="DC95" s="232"/>
      <c r="DD95" s="232"/>
      <c r="DE95" s="232"/>
      <c r="DF95" s="232"/>
      <c r="DG95" s="232"/>
      <c r="DH95" s="232"/>
      <c r="DI95" s="232"/>
      <c r="DJ95" s="232"/>
      <c r="DK95" s="232"/>
      <c r="DL95" s="232"/>
      <c r="DM95" s="232"/>
      <c r="DN95" s="232"/>
      <c r="DO95" s="232"/>
      <c r="DP95" s="232"/>
      <c r="DQ95" s="232"/>
      <c r="DR95" s="232"/>
      <c r="DS95" s="232"/>
      <c r="DT95" s="232"/>
      <c r="DU95" s="232"/>
      <c r="DV95" s="232"/>
      <c r="DW95" s="232"/>
      <c r="DX95" s="232"/>
      <c r="DY95" s="232"/>
      <c r="DZ95" s="232"/>
      <c r="EA95" s="232"/>
      <c r="EB95" s="232"/>
      <c r="EC95" s="232"/>
      <c r="ED95" s="171"/>
      <c r="EE95" s="95"/>
      <c r="EF95" s="200">
        <f t="shared" si="8"/>
        <v>0</v>
      </c>
      <c r="EG95" s="173">
        <f t="shared" si="4"/>
        <v>0</v>
      </c>
      <c r="EH95" s="174"/>
      <c r="EI95" s="104"/>
      <c r="EJ95" s="108"/>
      <c r="EK95" s="108"/>
      <c r="EL95" s="108"/>
      <c r="EM95" s="108"/>
      <c r="EN95" s="108"/>
      <c r="EO95" s="108"/>
      <c r="EP95" s="319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319"/>
      <c r="FD95" s="319"/>
      <c r="FE95" s="319"/>
      <c r="FF95" s="319"/>
      <c r="FG95" s="319"/>
      <c r="FH95" s="319"/>
      <c r="FI95" s="319"/>
      <c r="FJ95" s="319"/>
      <c r="FK95" s="319"/>
      <c r="FL95" s="319"/>
      <c r="FM95" s="319"/>
      <c r="FN95" s="319"/>
      <c r="FO95" s="319"/>
      <c r="FP95" s="230"/>
      <c r="FQ95" s="230"/>
      <c r="FR95" s="230"/>
      <c r="FS95" s="230"/>
      <c r="FT95" s="230"/>
      <c r="FU95" s="230"/>
      <c r="FV95" s="230"/>
      <c r="FW95" s="230"/>
      <c r="FX95" s="230"/>
      <c r="FY95" s="230"/>
      <c r="FZ95" s="230"/>
      <c r="GA95" s="230"/>
      <c r="GB95" s="230"/>
      <c r="GC95" s="230"/>
      <c r="GD95" s="230"/>
      <c r="GE95" s="230"/>
      <c r="GF95" s="230"/>
      <c r="GG95" s="230"/>
      <c r="GH95" s="200">
        <f t="shared" si="5"/>
        <v>0</v>
      </c>
      <c r="GI95" s="173">
        <f t="shared" si="6"/>
        <v>0</v>
      </c>
      <c r="GJ95" s="174"/>
      <c r="GK95" s="104"/>
      <c r="GL95" s="230"/>
      <c r="GM95" s="230"/>
      <c r="GN95" s="230"/>
      <c r="GO95" s="230"/>
      <c r="GP95" s="230"/>
      <c r="GQ95" s="230"/>
      <c r="GR95" s="230"/>
      <c r="GS95" s="230"/>
      <c r="GT95" s="230"/>
      <c r="GU95" s="230"/>
      <c r="GV95" s="230"/>
      <c r="GW95" s="230"/>
      <c r="GX95" s="230"/>
      <c r="GY95" s="230"/>
      <c r="GZ95" s="230"/>
      <c r="HA95" s="230"/>
      <c r="HB95" s="335"/>
      <c r="HC95" s="335"/>
      <c r="HD95" s="230"/>
      <c r="HE95" s="230"/>
      <c r="HF95" s="230"/>
      <c r="HG95" s="230"/>
      <c r="HH95" s="230"/>
      <c r="HI95" s="230"/>
      <c r="HJ95" s="230"/>
      <c r="HK95" s="230"/>
      <c r="HL95" s="230"/>
      <c r="HM95" s="230"/>
      <c r="HN95" s="230"/>
      <c r="HO95" s="230"/>
      <c r="HP95" s="230"/>
      <c r="HQ95" s="230"/>
      <c r="HR95" s="230"/>
      <c r="HS95" s="230"/>
      <c r="HT95" s="230"/>
      <c r="HU95" s="230"/>
      <c r="HV95" s="230"/>
      <c r="HW95" s="230"/>
      <c r="HX95" s="230"/>
      <c r="HY95" s="230"/>
      <c r="HZ95" s="230"/>
      <c r="IA95" s="230"/>
      <c r="IB95" s="230"/>
      <c r="IC95" s="230"/>
      <c r="ID95" s="215"/>
      <c r="IE95" s="215"/>
      <c r="IF95" s="200"/>
      <c r="IG95" s="173"/>
      <c r="IH95" s="174"/>
      <c r="II95" s="208"/>
      <c r="IJ95" s="230"/>
      <c r="IK95" s="230"/>
      <c r="IL95" s="230"/>
      <c r="IM95" s="230"/>
      <c r="IN95" s="230"/>
      <c r="IO95" s="230"/>
      <c r="IP95" s="230"/>
      <c r="IQ95" s="230"/>
      <c r="IR95" s="230"/>
      <c r="IS95" s="230"/>
      <c r="IT95" s="230"/>
      <c r="IU95" s="230"/>
      <c r="IV95" s="230"/>
      <c r="IW95" s="230"/>
      <c r="IX95" s="230"/>
      <c r="IY95" s="230"/>
      <c r="IZ95" s="230"/>
      <c r="JA95" s="230"/>
      <c r="JB95" s="230"/>
      <c r="JC95" s="230"/>
      <c r="JD95" s="230"/>
      <c r="JE95" s="230"/>
      <c r="JF95" s="230"/>
      <c r="JG95" s="230"/>
      <c r="JH95" s="230"/>
      <c r="JI95" s="230"/>
      <c r="JJ95" s="230"/>
      <c r="JK95" s="230"/>
      <c r="JL95" s="230"/>
      <c r="JM95" s="230"/>
      <c r="JN95" s="230"/>
      <c r="JO95" s="230"/>
      <c r="JP95" s="230"/>
      <c r="JQ95" s="230"/>
      <c r="JR95" s="230"/>
      <c r="JS95" s="230"/>
      <c r="JT95" s="230"/>
      <c r="JU95" s="230"/>
      <c r="JV95" s="230"/>
      <c r="JW95" s="230"/>
      <c r="JX95" s="230"/>
      <c r="JY95" s="230"/>
      <c r="JZ95" s="230"/>
      <c r="KA95" s="230"/>
      <c r="KB95" s="230"/>
      <c r="KC95" s="172"/>
      <c r="KD95" s="173"/>
      <c r="KE95" s="174"/>
      <c r="KF95" s="174"/>
      <c r="KG95" s="174"/>
      <c r="KH95" s="174"/>
      <c r="KI95" s="174"/>
      <c r="KJ95" s="174"/>
      <c r="KK95" s="174"/>
      <c r="KL95" s="174"/>
      <c r="KM95" s="174"/>
      <c r="KN95" s="174"/>
      <c r="KO95" s="174"/>
      <c r="KP95" s="174"/>
      <c r="KQ95" s="174"/>
      <c r="KR95" s="174"/>
      <c r="KS95" s="174"/>
      <c r="KT95" s="174"/>
      <c r="KU95" s="174"/>
      <c r="KV95" s="174"/>
      <c r="KW95" s="174"/>
    </row>
    <row r="96">
      <c r="A96" s="234"/>
      <c r="B96" s="120"/>
      <c r="C96" s="104"/>
      <c r="D96" s="235"/>
      <c r="E96" s="235"/>
      <c r="F96" s="236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  <c r="AA96" s="237"/>
      <c r="AB96" s="237"/>
      <c r="AC96" s="237"/>
      <c r="AD96" s="237"/>
      <c r="AE96" s="237"/>
      <c r="AF96" s="237"/>
      <c r="AG96" s="237"/>
      <c r="AH96" s="237"/>
      <c r="AI96" s="237"/>
      <c r="AJ96" s="237"/>
      <c r="AK96" s="237"/>
      <c r="AL96" s="237"/>
      <c r="AM96" s="237"/>
      <c r="AN96" s="237"/>
      <c r="AO96" s="237"/>
      <c r="AP96" s="237"/>
      <c r="AQ96" s="237"/>
      <c r="AR96" s="237"/>
      <c r="AS96" s="237"/>
      <c r="AT96" s="237"/>
      <c r="AU96" s="237"/>
      <c r="AV96" s="237"/>
      <c r="AW96" s="237"/>
      <c r="AX96" s="237"/>
      <c r="AY96" s="237"/>
      <c r="AZ96" s="237"/>
      <c r="BA96" s="237"/>
      <c r="BB96" s="237"/>
      <c r="BC96" s="237"/>
      <c r="BD96" s="237"/>
      <c r="BE96" s="237"/>
      <c r="BF96" s="237"/>
      <c r="BG96" s="237"/>
      <c r="BH96" s="237"/>
      <c r="BI96" s="237"/>
      <c r="BJ96" s="237"/>
      <c r="BK96" s="237"/>
      <c r="BL96" s="237"/>
      <c r="BM96" s="237"/>
      <c r="BN96" s="237"/>
      <c r="BO96" s="237"/>
      <c r="BP96" s="237"/>
      <c r="BQ96" s="237"/>
      <c r="BR96" s="237"/>
      <c r="BS96" s="237"/>
      <c r="BT96" s="237"/>
      <c r="BU96" s="237"/>
      <c r="BV96" s="237"/>
      <c r="BW96" s="237"/>
      <c r="BX96" s="237"/>
      <c r="BY96" s="237"/>
      <c r="BZ96" s="237"/>
      <c r="CA96" s="237"/>
      <c r="CB96" s="237"/>
      <c r="CC96" s="237"/>
      <c r="CD96" s="336"/>
      <c r="CE96" s="94">
        <f t="shared" si="1"/>
        <v>0</v>
      </c>
      <c r="CF96" s="173">
        <f t="shared" si="2"/>
        <v>0</v>
      </c>
      <c r="CH96" s="104"/>
      <c r="CI96" s="237"/>
      <c r="CJ96" s="237"/>
      <c r="CK96" s="237"/>
      <c r="CL96" s="237"/>
      <c r="CM96" s="237"/>
      <c r="CN96" s="237"/>
      <c r="CO96" s="237"/>
      <c r="CP96" s="237"/>
      <c r="CQ96" s="237"/>
      <c r="CR96" s="237"/>
      <c r="CS96" s="237"/>
      <c r="CT96" s="237"/>
      <c r="CU96" s="237"/>
      <c r="CV96" s="237"/>
      <c r="CW96" s="237"/>
      <c r="CX96" s="237"/>
      <c r="CY96" s="237"/>
      <c r="CZ96" s="237"/>
      <c r="DA96" s="237"/>
      <c r="DB96" s="237"/>
      <c r="DC96" s="237"/>
      <c r="DD96" s="237"/>
      <c r="DE96" s="237"/>
      <c r="DF96" s="237"/>
      <c r="DG96" s="237"/>
      <c r="DH96" s="237"/>
      <c r="DI96" s="237"/>
      <c r="DJ96" s="237"/>
      <c r="DK96" s="237"/>
      <c r="DL96" s="237"/>
      <c r="DM96" s="237"/>
      <c r="DN96" s="237"/>
      <c r="DO96" s="237"/>
      <c r="DP96" s="237"/>
      <c r="DQ96" s="237"/>
      <c r="DR96" s="237"/>
      <c r="DS96" s="237"/>
      <c r="DT96" s="237"/>
      <c r="DU96" s="237"/>
      <c r="DV96" s="237"/>
      <c r="DW96" s="237"/>
      <c r="DX96" s="237"/>
      <c r="DY96" s="237"/>
      <c r="DZ96" s="237"/>
      <c r="EA96" s="237"/>
      <c r="EB96" s="237"/>
      <c r="EC96" s="237"/>
      <c r="ED96" s="228"/>
      <c r="EE96" s="95"/>
      <c r="EF96" s="200">
        <f t="shared" si="8"/>
        <v>0</v>
      </c>
      <c r="EG96" s="173">
        <f t="shared" si="4"/>
        <v>0</v>
      </c>
      <c r="EH96" s="174"/>
      <c r="EI96" s="104"/>
      <c r="EJ96" s="108"/>
      <c r="EK96" s="108"/>
      <c r="EL96" s="108"/>
      <c r="EM96" s="108"/>
      <c r="EN96" s="108"/>
      <c r="EO96" s="108"/>
      <c r="EP96" s="319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319"/>
      <c r="FD96" s="319"/>
      <c r="FE96" s="319"/>
      <c r="FF96" s="319"/>
      <c r="FG96" s="319"/>
      <c r="FH96" s="319"/>
      <c r="FI96" s="319"/>
      <c r="FJ96" s="319"/>
      <c r="FK96" s="319"/>
      <c r="FL96" s="319"/>
      <c r="FM96" s="319"/>
      <c r="FN96" s="319"/>
      <c r="FO96" s="319"/>
      <c r="FP96" s="235"/>
      <c r="FQ96" s="235"/>
      <c r="FR96" s="235"/>
      <c r="FS96" s="235"/>
      <c r="FT96" s="235"/>
      <c r="FU96" s="235"/>
      <c r="FV96" s="235"/>
      <c r="FW96" s="235"/>
      <c r="FX96" s="235"/>
      <c r="FY96" s="235"/>
      <c r="FZ96" s="235"/>
      <c r="GA96" s="235"/>
      <c r="GB96" s="235"/>
      <c r="GC96" s="235"/>
      <c r="GD96" s="235"/>
      <c r="GE96" s="235"/>
      <c r="GF96" s="235"/>
      <c r="GG96" s="235"/>
      <c r="GH96" s="200">
        <f t="shared" si="5"/>
        <v>0</v>
      </c>
      <c r="GI96" s="173">
        <f t="shared" si="6"/>
        <v>0</v>
      </c>
      <c r="GJ96" s="174"/>
      <c r="GK96" s="104"/>
      <c r="GL96" s="235"/>
      <c r="GM96" s="235"/>
      <c r="GN96" s="235"/>
      <c r="GO96" s="235"/>
      <c r="GP96" s="235"/>
      <c r="GQ96" s="235"/>
      <c r="GR96" s="235"/>
      <c r="GS96" s="235"/>
      <c r="GT96" s="235"/>
      <c r="GU96" s="235"/>
      <c r="GV96" s="235"/>
      <c r="GW96" s="235"/>
      <c r="GX96" s="235"/>
      <c r="GY96" s="235"/>
      <c r="GZ96" s="235"/>
      <c r="HA96" s="235"/>
      <c r="HB96" s="337"/>
      <c r="HC96" s="337"/>
      <c r="HD96" s="235"/>
      <c r="HE96" s="235"/>
      <c r="HF96" s="235"/>
      <c r="HG96" s="235"/>
      <c r="HH96" s="235"/>
      <c r="HI96" s="235"/>
      <c r="HJ96" s="235"/>
      <c r="HK96" s="235"/>
      <c r="HL96" s="235"/>
      <c r="HM96" s="235"/>
      <c r="HN96" s="235"/>
      <c r="HO96" s="235"/>
      <c r="HP96" s="235"/>
      <c r="HQ96" s="235"/>
      <c r="HR96" s="235"/>
      <c r="HS96" s="235"/>
      <c r="HT96" s="235"/>
      <c r="HU96" s="235"/>
      <c r="HV96" s="235"/>
      <c r="HW96" s="235"/>
      <c r="HX96" s="235"/>
      <c r="HY96" s="235"/>
      <c r="HZ96" s="235"/>
      <c r="IA96" s="235"/>
      <c r="IB96" s="235"/>
      <c r="IC96" s="235"/>
      <c r="ID96" s="215"/>
      <c r="IE96" s="215"/>
      <c r="IF96" s="200"/>
      <c r="IG96" s="173"/>
      <c r="IH96" s="174"/>
      <c r="II96" s="208"/>
      <c r="IJ96" s="230"/>
      <c r="IK96" s="230"/>
      <c r="IL96" s="230"/>
      <c r="IM96" s="230"/>
      <c r="IN96" s="230"/>
      <c r="IO96" s="230"/>
      <c r="IP96" s="230"/>
      <c r="IQ96" s="230"/>
      <c r="IR96" s="230"/>
      <c r="IS96" s="230"/>
      <c r="IT96" s="230"/>
      <c r="IU96" s="230"/>
      <c r="IV96" s="230"/>
      <c r="IW96" s="230"/>
      <c r="IX96" s="230"/>
      <c r="IY96" s="230"/>
      <c r="IZ96" s="230"/>
      <c r="JA96" s="230"/>
      <c r="JB96" s="230"/>
      <c r="JC96" s="230"/>
      <c r="JD96" s="230"/>
      <c r="JE96" s="230"/>
      <c r="JF96" s="230"/>
      <c r="JG96" s="230"/>
      <c r="JH96" s="230"/>
      <c r="JI96" s="230"/>
      <c r="JJ96" s="230"/>
      <c r="JK96" s="230"/>
      <c r="JL96" s="230"/>
      <c r="JM96" s="230"/>
      <c r="JN96" s="230"/>
      <c r="JO96" s="230"/>
      <c r="JP96" s="230"/>
      <c r="JQ96" s="230"/>
      <c r="JR96" s="230"/>
      <c r="JS96" s="230"/>
      <c r="JT96" s="230"/>
      <c r="JU96" s="230"/>
      <c r="JV96" s="230"/>
      <c r="JW96" s="230"/>
      <c r="JX96" s="230"/>
      <c r="JY96" s="230"/>
      <c r="JZ96" s="230"/>
      <c r="KA96" s="230"/>
      <c r="KB96" s="230"/>
      <c r="KC96" s="172"/>
      <c r="KD96" s="173"/>
      <c r="KE96" s="174"/>
      <c r="KF96" s="174"/>
      <c r="KG96" s="174"/>
      <c r="KH96" s="174"/>
      <c r="KI96" s="174"/>
      <c r="KJ96" s="174"/>
      <c r="KK96" s="174"/>
      <c r="KL96" s="174"/>
      <c r="KM96" s="174"/>
      <c r="KN96" s="174"/>
      <c r="KO96" s="174"/>
      <c r="KP96" s="174"/>
      <c r="KQ96" s="174"/>
      <c r="KR96" s="174"/>
      <c r="KS96" s="174"/>
      <c r="KT96" s="174"/>
      <c r="KU96" s="174"/>
      <c r="KV96" s="174"/>
      <c r="KW96" s="174"/>
    </row>
    <row r="97">
      <c r="A97" s="238" t="s">
        <v>134</v>
      </c>
      <c r="B97" s="118">
        <v>1054.0</v>
      </c>
      <c r="C97" s="338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  <c r="AD97" s="339"/>
      <c r="AE97" s="339"/>
      <c r="AF97" s="339"/>
      <c r="AG97" s="339"/>
      <c r="AH97" s="339"/>
      <c r="AI97" s="339"/>
      <c r="AJ97" s="339"/>
      <c r="AK97" s="339"/>
      <c r="AL97" s="339"/>
      <c r="AM97" s="339"/>
      <c r="AN97" s="339"/>
      <c r="AO97" s="339"/>
      <c r="AP97" s="339"/>
      <c r="AQ97" s="339"/>
      <c r="AR97" s="339"/>
      <c r="AS97" s="339"/>
      <c r="AT97" s="339"/>
      <c r="AU97" s="339"/>
      <c r="AV97" s="339"/>
      <c r="AW97" s="339"/>
      <c r="AX97" s="339"/>
      <c r="AY97" s="339"/>
      <c r="AZ97" s="339"/>
      <c r="BA97" s="339"/>
      <c r="BB97" s="339"/>
      <c r="BC97" s="339"/>
      <c r="BD97" s="339"/>
      <c r="BE97" s="339"/>
      <c r="BF97" s="339"/>
      <c r="BG97" s="339"/>
      <c r="BH97" s="339"/>
      <c r="BI97" s="339"/>
      <c r="BJ97" s="339"/>
      <c r="BK97" s="339"/>
      <c r="BL97" s="339"/>
      <c r="BM97" s="339"/>
      <c r="BN97" s="339"/>
      <c r="BO97" s="339"/>
      <c r="BP97" s="339"/>
      <c r="BQ97" s="339"/>
      <c r="BR97" s="339"/>
      <c r="BS97" s="339"/>
      <c r="BT97" s="339"/>
      <c r="BU97" s="339"/>
      <c r="BV97" s="339"/>
      <c r="BW97" s="339"/>
      <c r="BX97" s="339"/>
      <c r="BY97" s="339"/>
      <c r="BZ97" s="339"/>
      <c r="CA97" s="339"/>
      <c r="CB97" s="339"/>
      <c r="CC97" s="339"/>
      <c r="CD97" s="340"/>
      <c r="CE97" s="94">
        <f t="shared" si="1"/>
        <v>0</v>
      </c>
      <c r="CF97" s="213">
        <f t="shared" si="2"/>
        <v>0</v>
      </c>
      <c r="CG97" s="341"/>
      <c r="CH97" s="342"/>
      <c r="CI97" s="339"/>
      <c r="CJ97" s="339"/>
      <c r="CK97" s="339"/>
      <c r="CL97" s="339"/>
      <c r="CM97" s="339"/>
      <c r="CN97" s="339"/>
      <c r="CO97" s="339"/>
      <c r="CP97" s="339"/>
      <c r="CQ97" s="339"/>
      <c r="CR97" s="340"/>
      <c r="CS97" s="340"/>
      <c r="CT97" s="340"/>
      <c r="CU97" s="340"/>
      <c r="CV97" s="340"/>
      <c r="CW97" s="340"/>
      <c r="CX97" s="340"/>
      <c r="CY97" s="340"/>
      <c r="CZ97" s="340"/>
      <c r="DA97" s="340"/>
      <c r="DB97" s="340"/>
      <c r="DC97" s="340"/>
      <c r="DD97" s="340"/>
      <c r="DE97" s="340"/>
      <c r="DF97" s="340"/>
      <c r="DG97" s="340"/>
      <c r="DH97" s="340"/>
      <c r="DI97" s="340"/>
      <c r="DJ97" s="340"/>
      <c r="DK97" s="340"/>
      <c r="DL97" s="340"/>
      <c r="DM97" s="340"/>
      <c r="DN97" s="340"/>
      <c r="DO97" s="340"/>
      <c r="DP97" s="340"/>
      <c r="DQ97" s="340"/>
      <c r="DR97" s="340"/>
      <c r="DS97" s="340"/>
      <c r="DT97" s="340"/>
      <c r="DU97" s="340"/>
      <c r="DV97" s="340"/>
      <c r="DW97" s="340"/>
      <c r="DX97" s="340"/>
      <c r="DY97" s="340"/>
      <c r="DZ97" s="340"/>
      <c r="EA97" s="340"/>
      <c r="EB97" s="340"/>
      <c r="EC97" s="340"/>
      <c r="ED97" s="343"/>
      <c r="EE97" s="96"/>
      <c r="EF97" s="200">
        <f t="shared" si="8"/>
        <v>0</v>
      </c>
      <c r="EG97" s="213">
        <f t="shared" si="4"/>
        <v>0</v>
      </c>
      <c r="EH97" s="243"/>
      <c r="EI97" s="340"/>
      <c r="EJ97" s="340"/>
      <c r="EK97" s="340"/>
      <c r="EL97" s="340"/>
      <c r="EM97" s="340"/>
      <c r="EN97" s="340"/>
      <c r="EO97" s="340"/>
      <c r="EP97" s="340"/>
      <c r="EQ97" s="340"/>
      <c r="ER97" s="340"/>
      <c r="ES97" s="340"/>
      <c r="ET97" s="340"/>
      <c r="EU97" s="340"/>
      <c r="EV97" s="340"/>
      <c r="EW97" s="340"/>
      <c r="EX97" s="340"/>
      <c r="EY97" s="340"/>
      <c r="EZ97" s="340"/>
      <c r="FA97" s="340"/>
      <c r="FB97" s="340"/>
      <c r="FC97" s="340"/>
      <c r="FD97" s="340"/>
      <c r="FE97" s="340"/>
      <c r="FF97" s="340"/>
      <c r="FG97" s="340"/>
      <c r="FH97" s="340"/>
      <c r="FI97" s="340"/>
      <c r="FJ97" s="340"/>
      <c r="FK97" s="340"/>
      <c r="FL97" s="340"/>
      <c r="FM97" s="340"/>
      <c r="FN97" s="340"/>
      <c r="FO97" s="340"/>
      <c r="FP97" s="340"/>
      <c r="FQ97" s="340"/>
      <c r="FR97" s="340"/>
      <c r="FS97" s="340"/>
      <c r="FT97" s="340"/>
      <c r="FU97" s="340"/>
      <c r="FV97" s="340"/>
      <c r="FW97" s="340"/>
      <c r="FX97" s="340"/>
      <c r="FY97" s="340"/>
      <c r="FZ97" s="340"/>
      <c r="GA97" s="340"/>
      <c r="GB97" s="340"/>
      <c r="GC97" s="340"/>
      <c r="GD97" s="340"/>
      <c r="GE97" s="340"/>
      <c r="GF97" s="340"/>
      <c r="GG97" s="340"/>
      <c r="GH97" s="200">
        <f t="shared" si="5"/>
        <v>0</v>
      </c>
      <c r="GI97" s="173">
        <f t="shared" si="6"/>
        <v>0</v>
      </c>
      <c r="GJ97" s="243"/>
      <c r="GK97" s="340"/>
      <c r="GL97" s="340"/>
      <c r="GM97" s="340"/>
      <c r="GN97" s="340"/>
      <c r="GO97" s="340"/>
      <c r="GP97" s="340"/>
      <c r="GQ97" s="340"/>
      <c r="GR97" s="340"/>
      <c r="GS97" s="340"/>
      <c r="GT97" s="340"/>
      <c r="GU97" s="340"/>
      <c r="GV97" s="340"/>
      <c r="GW97" s="340"/>
      <c r="GX97" s="340"/>
      <c r="GY97" s="340"/>
      <c r="GZ97" s="340"/>
      <c r="HA97" s="340"/>
      <c r="HB97" s="340"/>
      <c r="HC97" s="340"/>
      <c r="HD97" s="340"/>
      <c r="HE97" s="340"/>
      <c r="HF97" s="340"/>
      <c r="HG97" s="340"/>
      <c r="HH97" s="340"/>
      <c r="HI97" s="340"/>
      <c r="HJ97" s="340"/>
      <c r="HK97" s="340"/>
      <c r="HL97" s="340"/>
      <c r="HM97" s="340"/>
      <c r="HN97" s="340"/>
      <c r="HO97" s="340"/>
      <c r="HP97" s="340"/>
      <c r="HQ97" s="340"/>
      <c r="HR97" s="340"/>
      <c r="HS97" s="340"/>
      <c r="HT97" s="340"/>
      <c r="HU97" s="340"/>
      <c r="HV97" s="340"/>
      <c r="HW97" s="340"/>
      <c r="HX97" s="340"/>
      <c r="HY97" s="340"/>
      <c r="HZ97" s="340"/>
      <c r="IA97" s="340"/>
      <c r="IB97" s="340"/>
      <c r="IC97" s="340"/>
      <c r="ID97" s="215"/>
      <c r="IE97" s="215"/>
      <c r="IF97" s="200"/>
      <c r="IG97" s="173"/>
      <c r="IH97" s="174"/>
      <c r="II97" s="208"/>
      <c r="IJ97" s="235"/>
      <c r="IK97" s="235"/>
      <c r="IL97" s="235"/>
      <c r="IM97" s="235"/>
      <c r="IN97" s="235"/>
      <c r="IO97" s="235"/>
      <c r="IP97" s="235"/>
      <c r="IQ97" s="235"/>
      <c r="IR97" s="235"/>
      <c r="IS97" s="235"/>
      <c r="IT97" s="235"/>
      <c r="IU97" s="235"/>
      <c r="IV97" s="235"/>
      <c r="IW97" s="235"/>
      <c r="IX97" s="235"/>
      <c r="IY97" s="235"/>
      <c r="IZ97" s="235"/>
      <c r="JA97" s="235"/>
      <c r="JB97" s="235"/>
      <c r="JC97" s="235"/>
      <c r="JD97" s="235"/>
      <c r="JE97" s="235"/>
      <c r="JF97" s="235"/>
      <c r="JG97" s="235"/>
      <c r="JH97" s="235"/>
      <c r="JI97" s="235"/>
      <c r="JJ97" s="235"/>
      <c r="JK97" s="235"/>
      <c r="JL97" s="235"/>
      <c r="JM97" s="235"/>
      <c r="JN97" s="235"/>
      <c r="JO97" s="235"/>
      <c r="JP97" s="235"/>
      <c r="JQ97" s="235"/>
      <c r="JR97" s="235"/>
      <c r="JS97" s="235"/>
      <c r="JT97" s="235"/>
      <c r="JU97" s="235"/>
      <c r="JV97" s="235"/>
      <c r="JW97" s="235"/>
      <c r="JX97" s="235"/>
      <c r="JY97" s="235"/>
      <c r="JZ97" s="235"/>
      <c r="KA97" s="235"/>
      <c r="KB97" s="235"/>
      <c r="KC97" s="172"/>
      <c r="KD97" s="173"/>
      <c r="KE97" s="174"/>
      <c r="KF97" s="174"/>
      <c r="KG97" s="174"/>
      <c r="KH97" s="174"/>
      <c r="KI97" s="174"/>
      <c r="KJ97" s="174"/>
      <c r="KK97" s="174"/>
      <c r="KL97" s="174"/>
      <c r="KM97" s="174"/>
      <c r="KN97" s="174"/>
      <c r="KO97" s="174"/>
      <c r="KP97" s="174"/>
      <c r="KQ97" s="174"/>
      <c r="KR97" s="174"/>
      <c r="KS97" s="174"/>
      <c r="KT97" s="174"/>
      <c r="KU97" s="174"/>
      <c r="KV97" s="174"/>
      <c r="KW97" s="174"/>
    </row>
    <row r="98">
      <c r="A98" s="249" t="s">
        <v>266</v>
      </c>
      <c r="B98" s="344">
        <v>329.0</v>
      </c>
      <c r="C98" s="338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39"/>
      <c r="AP98" s="339"/>
      <c r="AQ98" s="339"/>
      <c r="AR98" s="339"/>
      <c r="AS98" s="339"/>
      <c r="AT98" s="339"/>
      <c r="AU98" s="339"/>
      <c r="AV98" s="339"/>
      <c r="AW98" s="339"/>
      <c r="AX98" s="339"/>
      <c r="AY98" s="339"/>
      <c r="AZ98" s="339"/>
      <c r="BA98" s="339"/>
      <c r="BB98" s="339"/>
      <c r="BC98" s="339"/>
      <c r="BD98" s="339"/>
      <c r="BE98" s="339"/>
      <c r="BF98" s="339"/>
      <c r="BG98" s="339"/>
      <c r="BH98" s="339"/>
      <c r="BI98" s="339"/>
      <c r="BJ98" s="339"/>
      <c r="BK98" s="339"/>
      <c r="BL98" s="339"/>
      <c r="BM98" s="339"/>
      <c r="BN98" s="339"/>
      <c r="BO98" s="339"/>
      <c r="BP98" s="339"/>
      <c r="BQ98" s="339"/>
      <c r="BR98" s="339"/>
      <c r="BS98" s="339"/>
      <c r="BT98" s="339"/>
      <c r="BU98" s="339"/>
      <c r="BV98" s="339"/>
      <c r="BW98" s="339"/>
      <c r="BX98" s="339"/>
      <c r="BY98" s="339"/>
      <c r="BZ98" s="339"/>
      <c r="CA98" s="339"/>
      <c r="CB98" s="339"/>
      <c r="CC98" s="339"/>
      <c r="CD98" s="340"/>
      <c r="CE98" s="345"/>
      <c r="CF98" s="252"/>
      <c r="CG98" s="341"/>
      <c r="CH98" s="342"/>
      <c r="CI98" s="339"/>
      <c r="CJ98" s="339"/>
      <c r="CK98" s="339"/>
      <c r="CL98" s="339"/>
      <c r="CM98" s="339"/>
      <c r="CN98" s="339"/>
      <c r="CO98" s="339"/>
      <c r="CP98" s="339"/>
      <c r="CQ98" s="339"/>
      <c r="CR98" s="340"/>
      <c r="CS98" s="340"/>
      <c r="CT98" s="340"/>
      <c r="CU98" s="340"/>
      <c r="CV98" s="340"/>
      <c r="CW98" s="340"/>
      <c r="CX98" s="340"/>
      <c r="CY98" s="340"/>
      <c r="CZ98" s="340"/>
      <c r="DA98" s="340"/>
      <c r="DB98" s="340"/>
      <c r="DC98" s="340"/>
      <c r="DD98" s="340"/>
      <c r="DE98" s="340"/>
      <c r="DF98" s="340"/>
      <c r="DG98" s="340"/>
      <c r="DH98" s="340"/>
      <c r="DI98" s="340"/>
      <c r="DJ98" s="340"/>
      <c r="DK98" s="340"/>
      <c r="DL98" s="340"/>
      <c r="DM98" s="340"/>
      <c r="DN98" s="340"/>
      <c r="DO98" s="340"/>
      <c r="DP98" s="340"/>
      <c r="DQ98" s="340"/>
      <c r="DR98" s="340"/>
      <c r="DS98" s="340"/>
      <c r="DT98" s="340"/>
      <c r="DU98" s="340"/>
      <c r="DV98" s="340"/>
      <c r="DW98" s="340"/>
      <c r="DX98" s="340"/>
      <c r="DY98" s="340"/>
      <c r="DZ98" s="340"/>
      <c r="EA98" s="340"/>
      <c r="EB98" s="340"/>
      <c r="EC98" s="340"/>
      <c r="ED98" s="340"/>
      <c r="EE98" s="346"/>
      <c r="EF98" s="347"/>
      <c r="EG98" s="213"/>
      <c r="EH98" s="243"/>
      <c r="EI98" s="340"/>
      <c r="EJ98" s="340"/>
      <c r="EK98" s="340"/>
      <c r="EL98" s="340"/>
      <c r="EM98" s="340"/>
      <c r="EN98" s="340"/>
      <c r="EO98" s="340"/>
      <c r="EP98" s="340"/>
      <c r="EQ98" s="340"/>
      <c r="ER98" s="340"/>
      <c r="ES98" s="340"/>
      <c r="ET98" s="340"/>
      <c r="EU98" s="340"/>
      <c r="EV98" s="340"/>
      <c r="EW98" s="340"/>
      <c r="EX98" s="340"/>
      <c r="EY98" s="340"/>
      <c r="EZ98" s="340"/>
      <c r="FA98" s="340"/>
      <c r="FB98" s="340"/>
      <c r="FC98" s="340"/>
      <c r="FD98" s="340"/>
      <c r="FE98" s="340"/>
      <c r="FF98" s="340"/>
      <c r="FG98" s="340"/>
      <c r="FH98" s="340"/>
      <c r="FI98" s="340"/>
      <c r="FJ98" s="340"/>
      <c r="FK98" s="340"/>
      <c r="FL98" s="340"/>
      <c r="FM98" s="340"/>
      <c r="FN98" s="340"/>
      <c r="FO98" s="340"/>
      <c r="FP98" s="332">
        <v>1.0</v>
      </c>
      <c r="FQ98" s="332">
        <v>1.0</v>
      </c>
      <c r="FR98" s="340"/>
      <c r="FS98" s="340"/>
      <c r="FT98" s="340"/>
      <c r="FU98" s="340"/>
      <c r="FV98" s="340"/>
      <c r="FW98" s="340"/>
      <c r="FX98" s="340"/>
      <c r="FY98" s="332">
        <v>1.0</v>
      </c>
      <c r="FZ98" s="332"/>
      <c r="GA98" s="332"/>
      <c r="GB98" s="332"/>
      <c r="GC98" s="332">
        <v>1.0</v>
      </c>
      <c r="GD98" s="332"/>
      <c r="GE98" s="332"/>
      <c r="GF98" s="332">
        <v>1.0</v>
      </c>
      <c r="GG98" s="340"/>
      <c r="GH98" s="200">
        <f t="shared" si="5"/>
        <v>5</v>
      </c>
      <c r="GI98" s="173">
        <f t="shared" si="6"/>
        <v>1645</v>
      </c>
      <c r="GJ98" s="243"/>
      <c r="GK98" s="340"/>
      <c r="GL98" s="332">
        <v>1.0</v>
      </c>
      <c r="GM98" s="340"/>
      <c r="GN98" s="340"/>
      <c r="GO98" s="332">
        <v>1.0</v>
      </c>
      <c r="GP98" s="340"/>
      <c r="GQ98" s="340"/>
      <c r="GR98" s="340"/>
      <c r="GS98" s="340"/>
      <c r="GT98" s="340"/>
      <c r="GU98" s="340"/>
      <c r="GV98" s="340"/>
      <c r="GW98" s="340"/>
      <c r="GX98" s="320">
        <v>1.0</v>
      </c>
      <c r="GY98" s="340"/>
      <c r="GZ98" s="340"/>
      <c r="HA98" s="340"/>
      <c r="HB98" s="340"/>
      <c r="HC98" s="340"/>
      <c r="HD98" s="340"/>
      <c r="HE98" s="340"/>
      <c r="HF98" s="340"/>
      <c r="HG98" s="340"/>
      <c r="HH98" s="340"/>
      <c r="HI98" s="340"/>
      <c r="HJ98" s="340"/>
      <c r="HK98" s="340"/>
      <c r="HL98" s="340"/>
      <c r="HM98" s="340"/>
      <c r="HN98" s="340"/>
      <c r="HO98" s="340"/>
      <c r="HP98" s="340"/>
      <c r="HQ98" s="340"/>
      <c r="HR98" s="340"/>
      <c r="HS98" s="340"/>
      <c r="HT98" s="340"/>
      <c r="HU98" s="340"/>
      <c r="HV98" s="340"/>
      <c r="HW98" s="340"/>
      <c r="HX98" s="340"/>
      <c r="HY98" s="340"/>
      <c r="HZ98" s="340"/>
      <c r="IA98" s="320">
        <v>1.0</v>
      </c>
      <c r="IB98" s="320">
        <v>3.0</v>
      </c>
      <c r="IC98" s="340"/>
      <c r="ID98" s="215"/>
      <c r="IE98" s="215"/>
      <c r="IF98" s="200"/>
      <c r="IG98" s="173"/>
      <c r="IH98" s="174"/>
      <c r="II98" s="208"/>
      <c r="IJ98" s="230"/>
      <c r="IK98" s="230"/>
      <c r="IL98" s="230"/>
      <c r="IM98" s="230"/>
      <c r="IN98" s="230"/>
      <c r="IO98" s="230"/>
      <c r="IP98" s="230"/>
      <c r="IQ98" s="230"/>
      <c r="IR98" s="230"/>
      <c r="IS98" s="230"/>
      <c r="IT98" s="230"/>
      <c r="IU98" s="230"/>
      <c r="IV98" s="230"/>
      <c r="IW98" s="230"/>
      <c r="IX98" s="230"/>
      <c r="IY98" s="230"/>
      <c r="IZ98" s="230"/>
      <c r="JA98" s="230"/>
      <c r="JB98" s="230"/>
      <c r="JC98" s="230"/>
      <c r="JD98" s="230"/>
      <c r="JE98" s="230"/>
      <c r="JF98" s="230"/>
      <c r="JG98" s="230"/>
      <c r="JH98" s="230"/>
      <c r="JI98" s="230"/>
      <c r="JJ98" s="230"/>
      <c r="JK98" s="230"/>
      <c r="JL98" s="230"/>
      <c r="JM98" s="230"/>
      <c r="JN98" s="230"/>
      <c r="JO98" s="230"/>
      <c r="JP98" s="230"/>
      <c r="JQ98" s="230"/>
      <c r="JR98" s="230"/>
      <c r="JS98" s="230"/>
      <c r="JT98" s="230"/>
      <c r="JU98" s="230"/>
      <c r="JV98" s="230"/>
      <c r="JW98" s="230"/>
      <c r="JX98" s="230"/>
      <c r="JY98" s="230"/>
      <c r="JZ98" s="230"/>
      <c r="KA98" s="230"/>
      <c r="KB98" s="230"/>
      <c r="KC98" s="89"/>
      <c r="KD98" s="182"/>
      <c r="KE98" s="183"/>
      <c r="KF98" s="183"/>
      <c r="KG98" s="183"/>
      <c r="KH98" s="183"/>
      <c r="KI98" s="183"/>
      <c r="KJ98" s="183"/>
      <c r="KK98" s="183"/>
      <c r="KL98" s="183"/>
      <c r="KM98" s="183"/>
      <c r="KN98" s="183"/>
      <c r="KO98" s="183"/>
      <c r="KP98" s="183"/>
      <c r="KQ98" s="183"/>
      <c r="KR98" s="183"/>
      <c r="KS98" s="183"/>
      <c r="KT98" s="183"/>
      <c r="KU98" s="183"/>
      <c r="KV98" s="183"/>
      <c r="KW98" s="183"/>
    </row>
    <row r="99">
      <c r="A99" s="249" t="s">
        <v>267</v>
      </c>
      <c r="B99" s="344">
        <v>439.0</v>
      </c>
      <c r="C99" s="338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39"/>
      <c r="AP99" s="339"/>
      <c r="AQ99" s="339"/>
      <c r="AR99" s="339"/>
      <c r="AS99" s="339"/>
      <c r="AT99" s="339"/>
      <c r="AU99" s="339"/>
      <c r="AV99" s="339"/>
      <c r="AW99" s="339"/>
      <c r="AX99" s="339"/>
      <c r="AY99" s="339"/>
      <c r="AZ99" s="339"/>
      <c r="BA99" s="339"/>
      <c r="BB99" s="339"/>
      <c r="BC99" s="339"/>
      <c r="BD99" s="339"/>
      <c r="BE99" s="339"/>
      <c r="BF99" s="339"/>
      <c r="BG99" s="339"/>
      <c r="BH99" s="339"/>
      <c r="BI99" s="339"/>
      <c r="BJ99" s="339"/>
      <c r="BK99" s="339"/>
      <c r="BL99" s="339"/>
      <c r="BM99" s="339"/>
      <c r="BN99" s="339"/>
      <c r="BO99" s="339"/>
      <c r="BP99" s="339"/>
      <c r="BQ99" s="339"/>
      <c r="BR99" s="339"/>
      <c r="BS99" s="339"/>
      <c r="BT99" s="339"/>
      <c r="BU99" s="339"/>
      <c r="BV99" s="339"/>
      <c r="BW99" s="339"/>
      <c r="BX99" s="339"/>
      <c r="BY99" s="339"/>
      <c r="BZ99" s="339"/>
      <c r="CA99" s="339"/>
      <c r="CB99" s="339"/>
      <c r="CC99" s="339"/>
      <c r="CD99" s="340"/>
      <c r="CE99" s="345"/>
      <c r="CF99" s="252"/>
      <c r="CG99" s="341"/>
      <c r="CH99" s="342"/>
      <c r="CI99" s="339"/>
      <c r="CJ99" s="339"/>
      <c r="CK99" s="339"/>
      <c r="CL99" s="339"/>
      <c r="CM99" s="339"/>
      <c r="CN99" s="339"/>
      <c r="CO99" s="339"/>
      <c r="CP99" s="339"/>
      <c r="CQ99" s="339"/>
      <c r="CR99" s="340"/>
      <c r="CS99" s="340"/>
      <c r="CT99" s="340"/>
      <c r="CU99" s="340"/>
      <c r="CV99" s="340"/>
      <c r="CW99" s="340"/>
      <c r="CX99" s="340"/>
      <c r="CY99" s="340"/>
      <c r="CZ99" s="340"/>
      <c r="DA99" s="340"/>
      <c r="DB99" s="340"/>
      <c r="DC99" s="340"/>
      <c r="DD99" s="340"/>
      <c r="DE99" s="340"/>
      <c r="DF99" s="340"/>
      <c r="DG99" s="340"/>
      <c r="DH99" s="340"/>
      <c r="DI99" s="340"/>
      <c r="DJ99" s="340"/>
      <c r="DK99" s="340"/>
      <c r="DL99" s="340"/>
      <c r="DM99" s="340"/>
      <c r="DN99" s="340"/>
      <c r="DO99" s="340"/>
      <c r="DP99" s="340"/>
      <c r="DQ99" s="340"/>
      <c r="DR99" s="340"/>
      <c r="DS99" s="340"/>
      <c r="DT99" s="340"/>
      <c r="DU99" s="340"/>
      <c r="DV99" s="340"/>
      <c r="DW99" s="340"/>
      <c r="DX99" s="340"/>
      <c r="DY99" s="340"/>
      <c r="DZ99" s="340"/>
      <c r="EA99" s="340"/>
      <c r="EB99" s="340"/>
      <c r="EC99" s="340"/>
      <c r="ED99" s="340"/>
      <c r="EE99" s="346"/>
      <c r="EF99" s="347"/>
      <c r="EG99" s="213"/>
      <c r="EH99" s="243"/>
      <c r="EI99" s="340"/>
      <c r="EJ99" s="340"/>
      <c r="EK99" s="340"/>
      <c r="EL99" s="340"/>
      <c r="EM99" s="340"/>
      <c r="EN99" s="340"/>
      <c r="EO99" s="340"/>
      <c r="EP99" s="340"/>
      <c r="EQ99" s="340"/>
      <c r="ER99" s="340"/>
      <c r="ES99" s="340"/>
      <c r="ET99" s="340"/>
      <c r="EU99" s="340"/>
      <c r="EV99" s="340"/>
      <c r="EW99" s="340"/>
      <c r="EX99" s="340"/>
      <c r="EY99" s="340"/>
      <c r="EZ99" s="340"/>
      <c r="FA99" s="340"/>
      <c r="FB99" s="340"/>
      <c r="FC99" s="340"/>
      <c r="FD99" s="340"/>
      <c r="FE99" s="340"/>
      <c r="FF99" s="340"/>
      <c r="FG99" s="340"/>
      <c r="FH99" s="340"/>
      <c r="FI99" s="340"/>
      <c r="FJ99" s="340"/>
      <c r="FK99" s="340"/>
      <c r="FL99" s="340"/>
      <c r="FM99" s="340"/>
      <c r="FN99" s="340"/>
      <c r="FO99" s="340"/>
      <c r="FP99" s="340"/>
      <c r="FQ99" s="340"/>
      <c r="FR99" s="340"/>
      <c r="FS99" s="340"/>
      <c r="FT99" s="340"/>
      <c r="FU99" s="340"/>
      <c r="FV99" s="340"/>
      <c r="FW99" s="340"/>
      <c r="FX99" s="340"/>
      <c r="FY99" s="340"/>
      <c r="FZ99" s="340"/>
      <c r="GA99" s="340"/>
      <c r="GB99" s="340"/>
      <c r="GC99" s="340"/>
      <c r="GD99" s="340"/>
      <c r="GE99" s="340"/>
      <c r="GF99" s="340"/>
      <c r="GG99" s="340"/>
      <c r="GH99" s="200">
        <f t="shared" si="5"/>
        <v>0</v>
      </c>
      <c r="GI99" s="173">
        <f t="shared" si="6"/>
        <v>0</v>
      </c>
      <c r="GJ99" s="243"/>
      <c r="GK99" s="340"/>
      <c r="GL99" s="340"/>
      <c r="GM99" s="340"/>
      <c r="GN99" s="340"/>
      <c r="GO99" s="340"/>
      <c r="GP99" s="340"/>
      <c r="GQ99" s="340"/>
      <c r="GR99" s="340"/>
      <c r="GS99" s="340"/>
      <c r="GT99" s="340"/>
      <c r="GU99" s="340"/>
      <c r="GV99" s="340"/>
      <c r="GW99" s="340"/>
      <c r="GX99" s="340"/>
      <c r="GY99" s="340"/>
      <c r="GZ99" s="340"/>
      <c r="HA99" s="340"/>
      <c r="HB99" s="340"/>
      <c r="HC99" s="340"/>
      <c r="HD99" s="340"/>
      <c r="HE99" s="340"/>
      <c r="HF99" s="340"/>
      <c r="HG99" s="340"/>
      <c r="HH99" s="340"/>
      <c r="HI99" s="340"/>
      <c r="HJ99" s="340"/>
      <c r="HK99" s="340"/>
      <c r="HL99" s="340"/>
      <c r="HM99" s="340"/>
      <c r="HN99" s="340"/>
      <c r="HO99" s="340"/>
      <c r="HP99" s="340"/>
      <c r="HQ99" s="340"/>
      <c r="HR99" s="340"/>
      <c r="HS99" s="340"/>
      <c r="HT99" s="340"/>
      <c r="HU99" s="340"/>
      <c r="HV99" s="340"/>
      <c r="HW99" s="340"/>
      <c r="HX99" s="340"/>
      <c r="HY99" s="340"/>
      <c r="HZ99" s="340"/>
      <c r="IA99" s="340"/>
      <c r="IB99" s="340"/>
      <c r="IC99" s="340"/>
      <c r="ID99" s="215"/>
      <c r="IE99" s="215"/>
      <c r="IF99" s="200"/>
      <c r="IG99" s="173"/>
      <c r="IH99" s="174"/>
      <c r="II99" s="208"/>
      <c r="IJ99" s="235"/>
      <c r="IK99" s="235"/>
      <c r="IL99" s="235"/>
      <c r="IM99" s="235"/>
      <c r="IN99" s="235"/>
      <c r="IO99" s="235"/>
      <c r="IP99" s="235"/>
      <c r="IQ99" s="235"/>
      <c r="IR99" s="235"/>
      <c r="IS99" s="235"/>
      <c r="IT99" s="235"/>
      <c r="IU99" s="235"/>
      <c r="IV99" s="235"/>
      <c r="IW99" s="235"/>
      <c r="IX99" s="235"/>
      <c r="IY99" s="235"/>
      <c r="IZ99" s="235"/>
      <c r="JA99" s="235"/>
      <c r="JB99" s="235"/>
      <c r="JC99" s="235"/>
      <c r="JD99" s="235"/>
      <c r="JE99" s="235"/>
      <c r="JF99" s="235"/>
      <c r="JG99" s="235"/>
      <c r="JH99" s="235"/>
      <c r="JI99" s="235"/>
      <c r="JJ99" s="235"/>
      <c r="JK99" s="235"/>
      <c r="JL99" s="235"/>
      <c r="JM99" s="235"/>
      <c r="JN99" s="235"/>
      <c r="JO99" s="235"/>
      <c r="JP99" s="235"/>
      <c r="JQ99" s="235"/>
      <c r="JR99" s="235"/>
      <c r="JS99" s="235"/>
      <c r="JT99" s="235"/>
      <c r="JU99" s="235"/>
      <c r="JV99" s="235"/>
      <c r="JW99" s="235"/>
      <c r="JX99" s="235"/>
      <c r="JY99" s="235"/>
      <c r="JZ99" s="235"/>
      <c r="KA99" s="235"/>
      <c r="KB99" s="235"/>
      <c r="KC99" s="348"/>
      <c r="KD99" s="182"/>
      <c r="KE99" s="183"/>
      <c r="KF99" s="183"/>
      <c r="KG99" s="183"/>
      <c r="KH99" s="183"/>
      <c r="KI99" s="183"/>
      <c r="KJ99" s="183"/>
      <c r="KK99" s="183"/>
      <c r="KL99" s="183"/>
      <c r="KM99" s="183"/>
      <c r="KN99" s="183"/>
      <c r="KO99" s="183"/>
      <c r="KP99" s="183"/>
      <c r="KQ99" s="183"/>
      <c r="KR99" s="183"/>
      <c r="KS99" s="183"/>
      <c r="KT99" s="183"/>
      <c r="KU99" s="183"/>
      <c r="KV99" s="183"/>
      <c r="KW99" s="183"/>
    </row>
    <row r="100">
      <c r="A100" s="249" t="s">
        <v>268</v>
      </c>
      <c r="B100" s="344">
        <v>799.0</v>
      </c>
      <c r="C100" s="338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  <c r="AO100" s="339"/>
      <c r="AP100" s="339"/>
      <c r="AQ100" s="339"/>
      <c r="AR100" s="339"/>
      <c r="AS100" s="339"/>
      <c r="AT100" s="339"/>
      <c r="AU100" s="339"/>
      <c r="AV100" s="339"/>
      <c r="AW100" s="339"/>
      <c r="AX100" s="339"/>
      <c r="AY100" s="339"/>
      <c r="AZ100" s="339"/>
      <c r="BA100" s="339"/>
      <c r="BB100" s="339"/>
      <c r="BC100" s="339"/>
      <c r="BD100" s="339"/>
      <c r="BE100" s="339"/>
      <c r="BF100" s="339"/>
      <c r="BG100" s="339"/>
      <c r="BH100" s="339"/>
      <c r="BI100" s="339"/>
      <c r="BJ100" s="339"/>
      <c r="BK100" s="339"/>
      <c r="BL100" s="339"/>
      <c r="BM100" s="339"/>
      <c r="BN100" s="339"/>
      <c r="BO100" s="339"/>
      <c r="BP100" s="339"/>
      <c r="BQ100" s="339"/>
      <c r="BR100" s="339"/>
      <c r="BS100" s="339"/>
      <c r="BT100" s="339"/>
      <c r="BU100" s="339"/>
      <c r="BV100" s="339"/>
      <c r="BW100" s="339"/>
      <c r="BX100" s="339"/>
      <c r="BY100" s="339"/>
      <c r="BZ100" s="339"/>
      <c r="CA100" s="339"/>
      <c r="CB100" s="339"/>
      <c r="CC100" s="339"/>
      <c r="CD100" s="340"/>
      <c r="CE100" s="345"/>
      <c r="CF100" s="252"/>
      <c r="CG100" s="341"/>
      <c r="CH100" s="342"/>
      <c r="CI100" s="339"/>
      <c r="CJ100" s="339"/>
      <c r="CK100" s="339"/>
      <c r="CL100" s="339"/>
      <c r="CM100" s="339"/>
      <c r="CN100" s="339"/>
      <c r="CO100" s="339"/>
      <c r="CP100" s="339"/>
      <c r="CQ100" s="339"/>
      <c r="CR100" s="340"/>
      <c r="CS100" s="340"/>
      <c r="CT100" s="340"/>
      <c r="CU100" s="340"/>
      <c r="CV100" s="340"/>
      <c r="CW100" s="340"/>
      <c r="CX100" s="340"/>
      <c r="CY100" s="340"/>
      <c r="CZ100" s="340"/>
      <c r="DA100" s="340"/>
      <c r="DB100" s="340"/>
      <c r="DC100" s="340"/>
      <c r="DD100" s="340"/>
      <c r="DE100" s="340"/>
      <c r="DF100" s="340"/>
      <c r="DG100" s="340"/>
      <c r="DH100" s="340"/>
      <c r="DI100" s="340"/>
      <c r="DJ100" s="340"/>
      <c r="DK100" s="340"/>
      <c r="DL100" s="340"/>
      <c r="DM100" s="340"/>
      <c r="DN100" s="340"/>
      <c r="DO100" s="340"/>
      <c r="DP100" s="340"/>
      <c r="DQ100" s="340"/>
      <c r="DR100" s="340"/>
      <c r="DS100" s="340"/>
      <c r="DT100" s="340"/>
      <c r="DU100" s="340"/>
      <c r="DV100" s="340"/>
      <c r="DW100" s="340"/>
      <c r="DX100" s="340"/>
      <c r="DY100" s="340"/>
      <c r="DZ100" s="340"/>
      <c r="EA100" s="340"/>
      <c r="EB100" s="340"/>
      <c r="EC100" s="340"/>
      <c r="ED100" s="340"/>
      <c r="EE100" s="346"/>
      <c r="EF100" s="347"/>
      <c r="EG100" s="213"/>
      <c r="EH100" s="243"/>
      <c r="EI100" s="340"/>
      <c r="EJ100" s="340"/>
      <c r="EK100" s="340"/>
      <c r="EL100" s="340"/>
      <c r="EM100" s="340"/>
      <c r="EN100" s="340"/>
      <c r="EO100" s="340"/>
      <c r="EP100" s="340"/>
      <c r="EQ100" s="340"/>
      <c r="ER100" s="340"/>
      <c r="ES100" s="340"/>
      <c r="ET100" s="340"/>
      <c r="EU100" s="340"/>
      <c r="EV100" s="340"/>
      <c r="EW100" s="340"/>
      <c r="EX100" s="340"/>
      <c r="EY100" s="340"/>
      <c r="EZ100" s="340"/>
      <c r="FA100" s="340"/>
      <c r="FB100" s="340"/>
      <c r="FC100" s="340"/>
      <c r="FD100" s="340"/>
      <c r="FE100" s="340"/>
      <c r="FF100" s="340"/>
      <c r="FG100" s="340"/>
      <c r="FH100" s="340"/>
      <c r="FI100" s="340"/>
      <c r="FJ100" s="340"/>
      <c r="FK100" s="340"/>
      <c r="FL100" s="340"/>
      <c r="FM100" s="340"/>
      <c r="FN100" s="340"/>
      <c r="FO100" s="340"/>
      <c r="FP100" s="340"/>
      <c r="FQ100" s="340"/>
      <c r="FR100" s="340"/>
      <c r="FS100" s="340"/>
      <c r="FT100" s="340"/>
      <c r="FU100" s="340"/>
      <c r="FV100" s="340"/>
      <c r="FW100" s="340"/>
      <c r="FX100" s="340"/>
      <c r="FY100" s="332">
        <v>1.0</v>
      </c>
      <c r="FZ100" s="332"/>
      <c r="GA100" s="332"/>
      <c r="GB100" s="332"/>
      <c r="GC100" s="332"/>
      <c r="GD100" s="332"/>
      <c r="GE100" s="332"/>
      <c r="GF100" s="332"/>
      <c r="GG100" s="340"/>
      <c r="GH100" s="200">
        <f t="shared" si="5"/>
        <v>1</v>
      </c>
      <c r="GI100" s="173">
        <f t="shared" si="6"/>
        <v>799</v>
      </c>
      <c r="GJ100" s="243"/>
      <c r="GK100" s="340"/>
      <c r="GL100" s="340"/>
      <c r="GM100" s="340"/>
      <c r="GN100" s="340"/>
      <c r="GO100" s="340"/>
      <c r="GP100" s="340"/>
      <c r="GQ100" s="340"/>
      <c r="GR100" s="340"/>
      <c r="GS100" s="340"/>
      <c r="GT100" s="340"/>
      <c r="GU100" s="340"/>
      <c r="GV100" s="340"/>
      <c r="GW100" s="340"/>
      <c r="GX100" s="340"/>
      <c r="GY100" s="340"/>
      <c r="GZ100" s="340"/>
      <c r="HA100" s="340"/>
      <c r="HB100" s="340"/>
      <c r="HC100" s="340"/>
      <c r="HD100" s="340"/>
      <c r="HE100" s="340"/>
      <c r="HF100" s="340"/>
      <c r="HG100" s="340"/>
      <c r="HH100" s="340"/>
      <c r="HI100" s="340"/>
      <c r="HJ100" s="340"/>
      <c r="HK100" s="340"/>
      <c r="HL100" s="340"/>
      <c r="HM100" s="340"/>
      <c r="HN100" s="340"/>
      <c r="HO100" s="340"/>
      <c r="HP100" s="340"/>
      <c r="HQ100" s="340"/>
      <c r="HR100" s="340"/>
      <c r="HS100" s="340"/>
      <c r="HT100" s="340"/>
      <c r="HU100" s="340"/>
      <c r="HV100" s="340"/>
      <c r="HW100" s="340"/>
      <c r="HX100" s="340"/>
      <c r="HY100" s="340"/>
      <c r="HZ100" s="340"/>
      <c r="IA100" s="340"/>
      <c r="IB100" s="340"/>
      <c r="IC100" s="340"/>
      <c r="ID100" s="215"/>
      <c r="IE100" s="215"/>
      <c r="IF100" s="200"/>
      <c r="IG100" s="173"/>
      <c r="IH100" s="174"/>
      <c r="II100" s="349"/>
      <c r="IJ100" s="350"/>
      <c r="IK100" s="350"/>
      <c r="IL100" s="350"/>
      <c r="IM100" s="350"/>
      <c r="IN100" s="350"/>
      <c r="IO100" s="350"/>
      <c r="IP100" s="350"/>
      <c r="IQ100" s="350"/>
      <c r="IR100" s="350"/>
      <c r="IS100" s="350"/>
      <c r="IT100" s="350"/>
      <c r="IU100" s="350"/>
      <c r="IV100" s="350"/>
      <c r="IW100" s="350"/>
      <c r="IX100" s="350"/>
      <c r="IY100" s="350"/>
      <c r="IZ100" s="350"/>
      <c r="JA100" s="350"/>
      <c r="JB100" s="350"/>
      <c r="JC100" s="350"/>
      <c r="JD100" s="350"/>
      <c r="JE100" s="350"/>
      <c r="JF100" s="350"/>
      <c r="JG100" s="350"/>
      <c r="JH100" s="350"/>
      <c r="JI100" s="350"/>
      <c r="JJ100" s="350"/>
      <c r="JK100" s="350"/>
      <c r="JL100" s="350"/>
      <c r="JM100" s="350"/>
      <c r="JN100" s="350"/>
      <c r="JO100" s="350"/>
      <c r="JP100" s="350"/>
      <c r="JQ100" s="350"/>
      <c r="JR100" s="350"/>
      <c r="JS100" s="350"/>
      <c r="JT100" s="350"/>
      <c r="JU100" s="350"/>
      <c r="JV100" s="350"/>
      <c r="JW100" s="350"/>
      <c r="JX100" s="350"/>
      <c r="JY100" s="350"/>
      <c r="JZ100" s="350"/>
      <c r="KA100" s="350"/>
      <c r="KB100" s="350"/>
      <c r="KC100" s="191"/>
      <c r="KD100" s="182"/>
      <c r="KE100" s="183"/>
      <c r="KF100" s="183"/>
      <c r="KG100" s="183"/>
      <c r="KH100" s="183"/>
      <c r="KI100" s="183"/>
      <c r="KJ100" s="183"/>
      <c r="KK100" s="183"/>
      <c r="KL100" s="183"/>
      <c r="KM100" s="183"/>
      <c r="KN100" s="183"/>
      <c r="KO100" s="183"/>
      <c r="KP100" s="183"/>
      <c r="KQ100" s="183"/>
      <c r="KR100" s="183"/>
      <c r="KS100" s="183"/>
      <c r="KT100" s="183"/>
      <c r="KU100" s="183"/>
      <c r="KV100" s="183"/>
      <c r="KW100" s="183"/>
    </row>
    <row r="101">
      <c r="A101" s="351" t="s">
        <v>135</v>
      </c>
      <c r="B101" s="124"/>
      <c r="C101" s="352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  <c r="AA101" s="353"/>
      <c r="AB101" s="353"/>
      <c r="AC101" s="353"/>
      <c r="AD101" s="353"/>
      <c r="AE101" s="353"/>
      <c r="AF101" s="353"/>
      <c r="AG101" s="353"/>
      <c r="AH101" s="353"/>
      <c r="AI101" s="353"/>
      <c r="AJ101" s="353"/>
      <c r="AK101" s="353"/>
      <c r="AL101" s="353"/>
      <c r="AM101" s="353"/>
      <c r="AN101" s="353"/>
      <c r="AO101" s="353"/>
      <c r="AP101" s="353"/>
      <c r="AQ101" s="353"/>
      <c r="AR101" s="353"/>
      <c r="AS101" s="353"/>
      <c r="AT101" s="353"/>
      <c r="AU101" s="353"/>
      <c r="AV101" s="353"/>
      <c r="AW101" s="353"/>
      <c r="AX101" s="353"/>
      <c r="AY101" s="353"/>
      <c r="AZ101" s="353"/>
      <c r="BA101" s="353"/>
      <c r="BB101" s="353"/>
      <c r="BC101" s="353"/>
      <c r="BD101" s="353"/>
      <c r="BE101" s="353"/>
      <c r="BF101" s="353"/>
      <c r="BG101" s="353"/>
      <c r="BH101" s="353"/>
      <c r="BI101" s="353"/>
      <c r="BJ101" s="353"/>
      <c r="BK101" s="353"/>
      <c r="BL101" s="353"/>
      <c r="BM101" s="353"/>
      <c r="BN101" s="353"/>
      <c r="BO101" s="353"/>
      <c r="BP101" s="353"/>
      <c r="BQ101" s="353"/>
      <c r="BR101" s="353"/>
      <c r="BS101" s="353"/>
      <c r="BT101" s="353"/>
      <c r="BU101" s="353"/>
      <c r="BV101" s="353"/>
      <c r="BW101" s="353"/>
      <c r="BX101" s="353"/>
      <c r="BY101" s="353"/>
      <c r="BZ101" s="353"/>
      <c r="CA101" s="353"/>
      <c r="CB101" s="353"/>
      <c r="CC101" s="353"/>
      <c r="CD101" s="353"/>
      <c r="CE101" s="354"/>
      <c r="CF101" s="355"/>
      <c r="CH101" s="104"/>
      <c r="CI101" s="353"/>
      <c r="CJ101" s="353"/>
      <c r="CK101" s="353"/>
      <c r="CL101" s="353"/>
      <c r="CM101" s="353"/>
      <c r="CN101" s="353"/>
      <c r="CO101" s="353"/>
      <c r="CP101" s="353"/>
      <c r="CQ101" s="353"/>
      <c r="CR101" s="353"/>
      <c r="CS101" s="353"/>
      <c r="CT101" s="353"/>
      <c r="CU101" s="353"/>
      <c r="CV101" s="353"/>
      <c r="CW101" s="353"/>
      <c r="CX101" s="353"/>
      <c r="CY101" s="353"/>
      <c r="CZ101" s="353"/>
      <c r="DA101" s="353"/>
      <c r="DB101" s="353"/>
      <c r="DC101" s="353"/>
      <c r="DD101" s="353"/>
      <c r="DE101" s="353"/>
      <c r="DF101" s="353"/>
      <c r="DG101" s="353"/>
      <c r="DH101" s="353"/>
      <c r="DI101" s="353"/>
      <c r="DJ101" s="353"/>
      <c r="DK101" s="353"/>
      <c r="DL101" s="353"/>
      <c r="DM101" s="353"/>
      <c r="DN101" s="353"/>
      <c r="DO101" s="353"/>
      <c r="DP101" s="353"/>
      <c r="DQ101" s="353"/>
      <c r="DR101" s="353"/>
      <c r="DS101" s="353"/>
      <c r="DT101" s="353"/>
      <c r="DU101" s="353"/>
      <c r="DV101" s="353"/>
      <c r="DW101" s="353"/>
      <c r="DX101" s="353"/>
      <c r="DY101" s="353"/>
      <c r="DZ101" s="353"/>
      <c r="EA101" s="353"/>
      <c r="EB101" s="353"/>
      <c r="EC101" s="353"/>
      <c r="ED101" s="353"/>
      <c r="EE101" s="231"/>
      <c r="EF101" s="353"/>
      <c r="EG101" s="173"/>
      <c r="EH101" s="174"/>
      <c r="EI101" s="353"/>
      <c r="EJ101" s="353"/>
      <c r="EK101" s="353"/>
      <c r="EL101" s="353"/>
      <c r="EM101" s="353"/>
      <c r="EN101" s="353"/>
      <c r="EO101" s="353"/>
      <c r="EP101" s="353"/>
      <c r="EQ101" s="353"/>
      <c r="ER101" s="353"/>
      <c r="ES101" s="353"/>
      <c r="ET101" s="353"/>
      <c r="EU101" s="353"/>
      <c r="EV101" s="353"/>
      <c r="EW101" s="353"/>
      <c r="EX101" s="353"/>
      <c r="EY101" s="353"/>
      <c r="EZ101" s="353"/>
      <c r="FA101" s="353"/>
      <c r="FB101" s="353"/>
      <c r="FC101" s="353"/>
      <c r="FD101" s="353"/>
      <c r="FE101" s="353"/>
      <c r="FF101" s="353"/>
      <c r="FG101" s="353"/>
      <c r="FH101" s="353"/>
      <c r="FI101" s="353"/>
      <c r="FJ101" s="353"/>
      <c r="FK101" s="353"/>
      <c r="FL101" s="353"/>
      <c r="FM101" s="353"/>
      <c r="FN101" s="353"/>
      <c r="FO101" s="353"/>
      <c r="FP101" s="353"/>
      <c r="FQ101" s="353"/>
      <c r="FR101" s="353"/>
      <c r="FS101" s="353"/>
      <c r="FT101" s="353"/>
      <c r="FU101" s="353"/>
      <c r="FV101" s="353"/>
      <c r="FW101" s="353"/>
      <c r="FX101" s="353"/>
      <c r="FY101" s="353"/>
      <c r="FZ101" s="353"/>
      <c r="GA101" s="353"/>
      <c r="GB101" s="353"/>
      <c r="GC101" s="353"/>
      <c r="GD101" s="353"/>
      <c r="GE101" s="353"/>
      <c r="GF101" s="353"/>
      <c r="GG101" s="353"/>
      <c r="GH101" s="356">
        <f t="shared" si="5"/>
        <v>0</v>
      </c>
      <c r="GI101" s="355">
        <f>GH101*EA101</f>
        <v>0</v>
      </c>
      <c r="GJ101" s="174"/>
      <c r="GK101" s="353"/>
      <c r="GL101" s="353"/>
      <c r="GM101" s="357"/>
      <c r="GN101" s="357"/>
      <c r="GO101" s="357"/>
      <c r="GP101" s="357"/>
      <c r="GQ101" s="357"/>
      <c r="GR101" s="357"/>
      <c r="GS101" s="357"/>
      <c r="GT101" s="357"/>
      <c r="GU101" s="357"/>
      <c r="GV101" s="357"/>
      <c r="GW101" s="357"/>
      <c r="GX101" s="357"/>
      <c r="GY101" s="357"/>
      <c r="GZ101" s="357"/>
      <c r="HA101" s="357"/>
      <c r="HB101" s="358"/>
      <c r="HC101" s="358"/>
      <c r="HD101" s="357"/>
      <c r="HE101" s="357"/>
      <c r="HF101" s="357"/>
      <c r="HG101" s="357"/>
      <c r="HH101" s="357"/>
      <c r="HI101" s="357"/>
      <c r="HJ101" s="357"/>
      <c r="HK101" s="357"/>
      <c r="HL101" s="357"/>
      <c r="HM101" s="357"/>
      <c r="HN101" s="357"/>
      <c r="HO101" s="357"/>
      <c r="HP101" s="357"/>
      <c r="HQ101" s="357"/>
      <c r="HR101" s="357"/>
      <c r="HS101" s="357"/>
      <c r="HT101" s="357"/>
      <c r="HU101" s="357"/>
      <c r="HV101" s="357"/>
      <c r="HW101" s="357"/>
      <c r="HX101" s="357"/>
      <c r="HY101" s="357"/>
      <c r="HZ101" s="357"/>
      <c r="IA101" s="357"/>
      <c r="IB101" s="357"/>
      <c r="IC101" s="357"/>
      <c r="ID101" s="357"/>
      <c r="IE101" s="357"/>
      <c r="IF101" s="356"/>
      <c r="IG101" s="355"/>
      <c r="IH101" s="174"/>
      <c r="II101" s="352"/>
      <c r="IJ101" s="353"/>
      <c r="IK101" s="353"/>
      <c r="IL101" s="353"/>
      <c r="IM101" s="353"/>
      <c r="IN101" s="353"/>
      <c r="IO101" s="353"/>
      <c r="IP101" s="353"/>
      <c r="IQ101" s="353"/>
      <c r="IR101" s="353"/>
      <c r="IS101" s="353"/>
      <c r="IT101" s="353"/>
      <c r="IU101" s="353"/>
      <c r="IV101" s="353"/>
      <c r="IW101" s="353"/>
      <c r="IX101" s="353"/>
      <c r="IY101" s="353"/>
      <c r="IZ101" s="353"/>
      <c r="JA101" s="353"/>
      <c r="JB101" s="353"/>
      <c r="JC101" s="353"/>
      <c r="JD101" s="353"/>
      <c r="JE101" s="353"/>
      <c r="JF101" s="353"/>
      <c r="JG101" s="353"/>
      <c r="JH101" s="353"/>
      <c r="JI101" s="353"/>
      <c r="JJ101" s="353"/>
      <c r="JK101" s="353"/>
      <c r="JL101" s="353"/>
      <c r="JM101" s="353"/>
      <c r="JN101" s="353"/>
      <c r="JO101" s="353"/>
      <c r="JP101" s="353"/>
      <c r="JQ101" s="353"/>
      <c r="JR101" s="353"/>
      <c r="JS101" s="353"/>
      <c r="JT101" s="353"/>
      <c r="JU101" s="353"/>
      <c r="JV101" s="353"/>
      <c r="JW101" s="353"/>
      <c r="JX101" s="353"/>
      <c r="JY101" s="353"/>
      <c r="JZ101" s="353"/>
      <c r="KA101" s="353"/>
      <c r="KB101" s="353"/>
      <c r="KC101" s="359"/>
      <c r="KD101" s="360"/>
      <c r="KE101" s="183"/>
      <c r="KF101" s="183"/>
      <c r="KG101" s="183"/>
      <c r="KH101" s="183"/>
      <c r="KI101" s="183"/>
      <c r="KJ101" s="183"/>
      <c r="KK101" s="183"/>
      <c r="KL101" s="183"/>
      <c r="KM101" s="183"/>
      <c r="KN101" s="183"/>
      <c r="KO101" s="183"/>
      <c r="KP101" s="183"/>
      <c r="KQ101" s="183"/>
      <c r="KR101" s="183"/>
      <c r="KS101" s="183"/>
      <c r="KT101" s="183"/>
      <c r="KU101" s="183"/>
      <c r="KV101" s="183"/>
      <c r="KW101" s="183"/>
    </row>
    <row r="102">
      <c r="A102" s="291"/>
      <c r="B102" s="280"/>
      <c r="C102" s="361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  <c r="AA102" s="279"/>
      <c r="AB102" s="279"/>
      <c r="AC102" s="279"/>
      <c r="AD102" s="279"/>
      <c r="AE102" s="279"/>
      <c r="AF102" s="279"/>
      <c r="AG102" s="279"/>
      <c r="AH102" s="279"/>
      <c r="AI102" s="279"/>
      <c r="AJ102" s="279"/>
      <c r="AK102" s="279"/>
      <c r="AL102" s="279"/>
      <c r="AM102" s="279"/>
      <c r="AN102" s="279"/>
      <c r="AO102" s="279"/>
      <c r="AP102" s="279"/>
      <c r="AQ102" s="279"/>
      <c r="AR102" s="279"/>
      <c r="AS102" s="279"/>
      <c r="AT102" s="279"/>
      <c r="AU102" s="279"/>
      <c r="AV102" s="279"/>
      <c r="AW102" s="279"/>
      <c r="AX102" s="279"/>
      <c r="AY102" s="279"/>
      <c r="AZ102" s="279"/>
      <c r="BA102" s="279"/>
      <c r="BB102" s="279"/>
      <c r="BC102" s="279"/>
      <c r="BD102" s="279"/>
      <c r="BE102" s="279"/>
      <c r="BF102" s="279"/>
      <c r="BG102" s="279"/>
      <c r="BH102" s="279"/>
      <c r="BI102" s="279"/>
      <c r="BJ102" s="279"/>
      <c r="BK102" s="279"/>
      <c r="BL102" s="279"/>
      <c r="BM102" s="279"/>
      <c r="BN102" s="279"/>
      <c r="BO102" s="279"/>
      <c r="BP102" s="279"/>
      <c r="BQ102" s="279"/>
      <c r="BR102" s="279"/>
      <c r="BS102" s="279"/>
      <c r="BT102" s="279"/>
      <c r="BU102" s="279"/>
      <c r="BV102" s="279"/>
      <c r="BW102" s="279"/>
      <c r="BX102" s="279"/>
      <c r="BY102" s="279"/>
      <c r="BZ102" s="279"/>
      <c r="CA102" s="279"/>
      <c r="CB102" s="279"/>
      <c r="CC102" s="279"/>
      <c r="CD102" s="279"/>
      <c r="CE102" s="72"/>
      <c r="CF102" s="174"/>
      <c r="CH102" s="362"/>
      <c r="CI102" s="279"/>
      <c r="CJ102" s="279"/>
      <c r="CK102" s="279"/>
      <c r="CL102" s="279"/>
      <c r="CM102" s="279"/>
      <c r="CN102" s="279"/>
      <c r="CO102" s="279"/>
      <c r="CP102" s="279"/>
      <c r="CQ102" s="279"/>
      <c r="CR102" s="279"/>
      <c r="CS102" s="279"/>
      <c r="CT102" s="279"/>
      <c r="CU102" s="279"/>
      <c r="CV102" s="279"/>
      <c r="CW102" s="279"/>
      <c r="CX102" s="279"/>
      <c r="CY102" s="279"/>
      <c r="CZ102" s="279"/>
      <c r="DA102" s="279"/>
      <c r="DB102" s="279"/>
      <c r="DC102" s="279"/>
      <c r="DD102" s="279"/>
      <c r="DE102" s="279"/>
      <c r="DF102" s="279"/>
      <c r="DG102" s="279"/>
      <c r="DH102" s="279"/>
      <c r="DI102" s="279"/>
      <c r="DJ102" s="279"/>
      <c r="DK102" s="279"/>
      <c r="DL102" s="279"/>
      <c r="DM102" s="279"/>
      <c r="DN102" s="279"/>
      <c r="DO102" s="279"/>
      <c r="DP102" s="279"/>
      <c r="DQ102" s="279"/>
      <c r="DR102" s="279"/>
      <c r="DS102" s="279"/>
      <c r="DT102" s="279"/>
      <c r="DU102" s="279"/>
      <c r="DV102" s="279"/>
      <c r="DW102" s="279"/>
      <c r="DX102" s="279"/>
      <c r="DY102" s="279"/>
      <c r="DZ102" s="279"/>
      <c r="EA102" s="279"/>
      <c r="EB102" s="279"/>
      <c r="EC102" s="279"/>
      <c r="ED102" s="279"/>
      <c r="EE102" s="279"/>
      <c r="EF102" s="279"/>
      <c r="EG102" s="174"/>
      <c r="EH102" s="174"/>
      <c r="EI102" s="279"/>
      <c r="EJ102" s="279"/>
      <c r="EK102" s="279"/>
      <c r="EL102" s="279"/>
      <c r="EM102" s="279"/>
      <c r="EN102" s="279"/>
      <c r="EO102" s="279"/>
      <c r="EP102" s="279"/>
      <c r="EQ102" s="279"/>
      <c r="ER102" s="279"/>
      <c r="ES102" s="279"/>
      <c r="ET102" s="279"/>
      <c r="EU102" s="279"/>
      <c r="EV102" s="279"/>
      <c r="EW102" s="279"/>
      <c r="EX102" s="279"/>
      <c r="EY102" s="279"/>
      <c r="EZ102" s="279"/>
      <c r="FA102" s="279"/>
      <c r="FB102" s="279"/>
      <c r="FC102" s="279"/>
      <c r="FD102" s="279"/>
      <c r="FE102" s="279"/>
      <c r="FF102" s="279"/>
      <c r="FG102" s="279"/>
      <c r="FH102" s="279"/>
      <c r="FI102" s="279"/>
      <c r="FJ102" s="279"/>
      <c r="FK102" s="279"/>
      <c r="FL102" s="279"/>
      <c r="FM102" s="279"/>
      <c r="FN102" s="279"/>
      <c r="FO102" s="279"/>
      <c r="FP102" s="279"/>
      <c r="FQ102" s="279"/>
      <c r="FR102" s="279"/>
      <c r="FS102" s="279"/>
      <c r="FT102" s="279"/>
      <c r="FU102" s="279"/>
      <c r="FV102" s="279"/>
      <c r="FW102" s="279"/>
      <c r="FX102" s="279"/>
      <c r="FY102" s="279"/>
      <c r="FZ102" s="279"/>
      <c r="GA102" s="279"/>
      <c r="GB102" s="279"/>
      <c r="GC102" s="279"/>
      <c r="GD102" s="279"/>
      <c r="GE102" s="279"/>
      <c r="GF102" s="279"/>
      <c r="GG102" s="279"/>
      <c r="GH102" s="363"/>
      <c r="GI102" s="174"/>
      <c r="GJ102" s="174"/>
      <c r="GK102" s="278"/>
      <c r="GL102" s="278"/>
      <c r="GM102" s="278"/>
      <c r="GN102" s="278"/>
      <c r="GO102" s="278"/>
      <c r="GP102" s="278"/>
      <c r="GQ102" s="278"/>
      <c r="GR102" s="278"/>
      <c r="GS102" s="278"/>
      <c r="GT102" s="278"/>
      <c r="GU102" s="278"/>
      <c r="GV102" s="278"/>
      <c r="GW102" s="278"/>
      <c r="GX102" s="278"/>
      <c r="GY102" s="278"/>
      <c r="GZ102" s="278"/>
      <c r="HA102" s="278"/>
      <c r="HB102" s="278"/>
      <c r="HC102" s="278"/>
      <c r="HD102" s="278"/>
      <c r="HE102" s="278"/>
      <c r="HF102" s="278"/>
      <c r="HG102" s="278"/>
      <c r="HH102" s="278"/>
      <c r="HI102" s="278"/>
      <c r="HJ102" s="278"/>
      <c r="HK102" s="278"/>
      <c r="HL102" s="278"/>
      <c r="HM102" s="278"/>
      <c r="HN102" s="278"/>
      <c r="HO102" s="278"/>
      <c r="HP102" s="278"/>
      <c r="HQ102" s="278"/>
      <c r="HR102" s="278"/>
      <c r="HS102" s="278"/>
      <c r="HT102" s="278"/>
      <c r="HU102" s="278"/>
      <c r="HV102" s="278"/>
      <c r="HW102" s="278"/>
      <c r="HX102" s="278"/>
      <c r="HY102" s="278"/>
      <c r="HZ102" s="278"/>
      <c r="IA102" s="278"/>
      <c r="IB102" s="278"/>
      <c r="IC102" s="278"/>
      <c r="ID102" s="278"/>
      <c r="IE102" s="278"/>
      <c r="IF102" s="279"/>
      <c r="IG102" s="277"/>
      <c r="IH102" s="277"/>
      <c r="II102" s="277"/>
      <c r="IJ102" s="277"/>
      <c r="IK102" s="277"/>
      <c r="IL102" s="277"/>
      <c r="IM102" s="277"/>
      <c r="IN102" s="277"/>
      <c r="IO102" s="277"/>
      <c r="IP102" s="277"/>
      <c r="IQ102" s="277"/>
      <c r="IR102" s="277"/>
      <c r="IS102" s="277"/>
      <c r="IT102" s="277"/>
      <c r="IU102" s="277"/>
      <c r="IV102" s="277"/>
      <c r="IW102" s="277"/>
      <c r="IX102" s="277"/>
      <c r="IY102" s="277"/>
      <c r="IZ102" s="277"/>
      <c r="JA102" s="277"/>
      <c r="JB102" s="277"/>
      <c r="JC102" s="277"/>
      <c r="JD102" s="277"/>
      <c r="JE102" s="277"/>
      <c r="JF102" s="277"/>
      <c r="JG102" s="277"/>
      <c r="JH102" s="277"/>
      <c r="JI102" s="277"/>
      <c r="JJ102" s="277"/>
      <c r="JK102" s="277"/>
      <c r="JL102" s="277"/>
      <c r="JM102" s="277"/>
      <c r="JN102" s="277"/>
      <c r="JO102" s="277"/>
      <c r="JP102" s="277"/>
      <c r="JQ102" s="277"/>
      <c r="JR102" s="277"/>
      <c r="JS102" s="277"/>
      <c r="JT102" s="277"/>
      <c r="JU102" s="277"/>
      <c r="JV102" s="277"/>
      <c r="JW102" s="277"/>
      <c r="JX102" s="277"/>
      <c r="JY102" s="277"/>
      <c r="JZ102" s="277"/>
      <c r="KA102" s="277"/>
      <c r="KB102" s="277"/>
      <c r="KC102" s="277"/>
      <c r="KD102" s="277"/>
      <c r="KE102" s="277"/>
      <c r="KF102" s="277"/>
      <c r="KG102" s="277"/>
      <c r="KH102" s="277"/>
      <c r="KI102" s="277"/>
      <c r="KJ102" s="277"/>
      <c r="KK102" s="277"/>
      <c r="KL102" s="277"/>
      <c r="KM102" s="277"/>
      <c r="KN102" s="277"/>
      <c r="KO102" s="277"/>
      <c r="KP102" s="277"/>
      <c r="KQ102" s="277"/>
      <c r="KR102" s="277"/>
      <c r="KS102" s="277"/>
      <c r="KT102" s="277"/>
      <c r="KU102" s="277"/>
      <c r="KV102" s="277"/>
      <c r="KW102" s="277"/>
    </row>
    <row r="103">
      <c r="A103" s="364"/>
      <c r="B103" s="365"/>
      <c r="C103" s="275">
        <f t="shared" ref="C103:F103" si="9">SUM(C8:C14)*329+SUM(C15)*219+SUM(C19:C21)*239+SUM(C22:C24)*219+SUM(C27)*799+SUM(C28)*609+SUM(C29:C30)*329+SUM(C31:C32)*219+SUM(C33)*439+SUM(C34)*899+SUM(C35:C37)*549+SUM(C38:C39)*799+SUM(C40:C41)*439+SUM(C42)*60+SUM(C43)*609+SUM(C44:C45)*379+SUM(C46:C47)*1299+SUM(C50:C51)*609+SUM(C52)*329+SUM(C55)*599+SUM(C58:C60)*329+SUM(C61)*249+SUM(C62:C64)*439+SUM(C65:C67)*799+SUM(C68:C70)*1299+SUM(C71)*609+SUM(C72:C74)*1599+SUM(C75)*3059+SUM(C77)*379+SUM(C78)*799+SUM(C79)*439+SUM(C80)*599+SUM(C81)*229+SUM(C82)*219+SUM(C83:C86)*1299+SUM(C88:C90)*679+SUM(C92:C93)*490+SUM(C94:C95)*450+SUM(C97)*1054</f>
        <v>1974</v>
      </c>
      <c r="D103" s="275">
        <f t="shared" si="9"/>
        <v>329</v>
      </c>
      <c r="E103" s="275">
        <f t="shared" si="9"/>
        <v>609</v>
      </c>
      <c r="F103" s="275">
        <f t="shared" si="9"/>
        <v>329</v>
      </c>
      <c r="G103" s="277">
        <f>1645+229+379</f>
        <v>2253</v>
      </c>
      <c r="H103" s="275">
        <f t="shared" ref="H103:CD103" si="10">SUM(H8:H14)*329+SUM(H15)*219+SUM(H19:H21)*239+SUM(H22:H24)*219+SUM(H27)*799+SUM(H28)*609+SUM(H29:H30)*329+SUM(H31:H32)*219+SUM(H33)*439+SUM(H34)*899+SUM(H35:H37)*549+SUM(H38:H39)*799+SUM(H40:H41)*439+SUM(H42)*60+SUM(H43)*609+SUM(H44:H45)*379+SUM(H46:H47)*1299+SUM(H50:H51)*609+SUM(H52)*329+SUM(H55)*599+SUM(H58:H60)*329+SUM(H61)*249+SUM(H62:H64)*439+SUM(H65:H67)*799+SUM(H68:H70)*1299+SUM(H71)*609+SUM(H72:H74)*1599+SUM(H75)*3059+SUM(H77)*379+SUM(H78)*799+SUM(H79)*439+SUM(H80)*599+SUM(H81)*229+SUM(H82)*219+SUM(H83:H86)*1299+SUM(H88:H90)*679+SUM(H92:H93)*490+SUM(H94:H95)*450+SUM(H97)*1054</f>
        <v>219</v>
      </c>
      <c r="I103" s="275">
        <f t="shared" si="10"/>
        <v>329</v>
      </c>
      <c r="J103" s="275">
        <f t="shared" si="10"/>
        <v>609</v>
      </c>
      <c r="K103" s="275">
        <f t="shared" si="10"/>
        <v>938</v>
      </c>
      <c r="L103" s="275">
        <f t="shared" si="10"/>
        <v>878</v>
      </c>
      <c r="M103" s="275">
        <f t="shared" si="10"/>
        <v>329</v>
      </c>
      <c r="N103" s="275">
        <f t="shared" si="10"/>
        <v>609</v>
      </c>
      <c r="O103" s="275">
        <f t="shared" si="10"/>
        <v>878</v>
      </c>
      <c r="P103" s="275">
        <f t="shared" si="10"/>
        <v>1316</v>
      </c>
      <c r="Q103" s="275">
        <f t="shared" si="10"/>
        <v>329</v>
      </c>
      <c r="R103" s="275">
        <f t="shared" si="10"/>
        <v>329</v>
      </c>
      <c r="S103" s="275">
        <f t="shared" si="10"/>
        <v>1827</v>
      </c>
      <c r="T103" s="275">
        <f t="shared" si="10"/>
        <v>329</v>
      </c>
      <c r="U103" s="275">
        <f t="shared" si="10"/>
        <v>329</v>
      </c>
      <c r="V103" s="275">
        <f t="shared" si="10"/>
        <v>1048</v>
      </c>
      <c r="W103" s="275">
        <f t="shared" si="10"/>
        <v>799</v>
      </c>
      <c r="X103" s="275">
        <f t="shared" si="10"/>
        <v>658</v>
      </c>
      <c r="Y103" s="275">
        <f t="shared" si="10"/>
        <v>1316</v>
      </c>
      <c r="Z103" s="275">
        <f t="shared" si="10"/>
        <v>609</v>
      </c>
      <c r="AA103" s="275">
        <f t="shared" si="10"/>
        <v>658</v>
      </c>
      <c r="AB103" s="275">
        <f t="shared" si="10"/>
        <v>329</v>
      </c>
      <c r="AC103" s="275">
        <f t="shared" si="10"/>
        <v>329</v>
      </c>
      <c r="AD103" s="275">
        <f t="shared" si="10"/>
        <v>329</v>
      </c>
      <c r="AE103" s="275">
        <f t="shared" si="10"/>
        <v>329</v>
      </c>
      <c r="AF103" s="275">
        <f t="shared" si="10"/>
        <v>1107</v>
      </c>
      <c r="AG103" s="275">
        <f t="shared" si="10"/>
        <v>329</v>
      </c>
      <c r="AH103" s="275">
        <f t="shared" si="10"/>
        <v>658</v>
      </c>
      <c r="AI103" s="275">
        <f t="shared" si="10"/>
        <v>329</v>
      </c>
      <c r="AJ103" s="275">
        <f t="shared" si="10"/>
        <v>658</v>
      </c>
      <c r="AK103" s="275">
        <f t="shared" si="10"/>
        <v>658</v>
      </c>
      <c r="AL103" s="275">
        <f t="shared" si="10"/>
        <v>329</v>
      </c>
      <c r="AM103" s="275">
        <f t="shared" si="10"/>
        <v>609</v>
      </c>
      <c r="AN103" s="275">
        <f t="shared" si="10"/>
        <v>609</v>
      </c>
      <c r="AO103" s="275">
        <f t="shared" si="10"/>
        <v>548</v>
      </c>
      <c r="AP103" s="275">
        <f t="shared" si="10"/>
        <v>658</v>
      </c>
      <c r="AQ103" s="275">
        <f t="shared" si="10"/>
        <v>658</v>
      </c>
      <c r="AR103" s="275">
        <f t="shared" si="10"/>
        <v>609</v>
      </c>
      <c r="AS103" s="275">
        <f t="shared" si="10"/>
        <v>878</v>
      </c>
      <c r="AT103" s="275">
        <f t="shared" si="10"/>
        <v>329</v>
      </c>
      <c r="AU103" s="275">
        <f t="shared" si="10"/>
        <v>219</v>
      </c>
      <c r="AV103" s="275">
        <f t="shared" si="10"/>
        <v>937</v>
      </c>
      <c r="AW103" s="275">
        <f t="shared" si="10"/>
        <v>609</v>
      </c>
      <c r="AX103" s="275">
        <f t="shared" si="10"/>
        <v>658</v>
      </c>
      <c r="AY103" s="275">
        <f t="shared" si="10"/>
        <v>1974</v>
      </c>
      <c r="AZ103" s="275">
        <f t="shared" si="10"/>
        <v>219</v>
      </c>
      <c r="BA103" s="275">
        <f t="shared" si="10"/>
        <v>1218</v>
      </c>
      <c r="BB103" s="275">
        <f t="shared" si="10"/>
        <v>1299</v>
      </c>
      <c r="BC103" s="275">
        <f t="shared" si="10"/>
        <v>938</v>
      </c>
      <c r="BD103" s="275">
        <f t="shared" si="10"/>
        <v>609</v>
      </c>
      <c r="BE103" s="275">
        <f t="shared" si="10"/>
        <v>1218</v>
      </c>
      <c r="BF103" s="275">
        <f t="shared" si="10"/>
        <v>329</v>
      </c>
      <c r="BG103" s="275">
        <f t="shared" si="10"/>
        <v>329</v>
      </c>
      <c r="BH103" s="275">
        <f t="shared" si="10"/>
        <v>1218</v>
      </c>
      <c r="BI103" s="275">
        <f t="shared" si="10"/>
        <v>329</v>
      </c>
      <c r="BJ103" s="275">
        <f t="shared" si="10"/>
        <v>799</v>
      </c>
      <c r="BK103" s="275">
        <f t="shared" si="10"/>
        <v>329</v>
      </c>
      <c r="BL103" s="275">
        <f t="shared" si="10"/>
        <v>658</v>
      </c>
      <c r="BM103" s="275">
        <f t="shared" si="10"/>
        <v>758</v>
      </c>
      <c r="BN103" s="275">
        <f t="shared" si="10"/>
        <v>329</v>
      </c>
      <c r="BO103" s="275">
        <f t="shared" si="10"/>
        <v>878</v>
      </c>
      <c r="BP103" s="275">
        <f t="shared" si="10"/>
        <v>329</v>
      </c>
      <c r="BQ103" s="275">
        <f t="shared" si="10"/>
        <v>609</v>
      </c>
      <c r="BR103" s="275">
        <f t="shared" si="10"/>
        <v>897</v>
      </c>
      <c r="BS103" s="275">
        <f t="shared" si="10"/>
        <v>329</v>
      </c>
      <c r="BT103" s="275">
        <f t="shared" si="10"/>
        <v>329</v>
      </c>
      <c r="BU103" s="275">
        <f t="shared" si="10"/>
        <v>658</v>
      </c>
      <c r="BV103" s="275">
        <f t="shared" si="10"/>
        <v>609</v>
      </c>
      <c r="BW103" s="275">
        <f t="shared" si="10"/>
        <v>329</v>
      </c>
      <c r="BX103" s="275">
        <f t="shared" si="10"/>
        <v>658</v>
      </c>
      <c r="BY103" s="275">
        <f t="shared" si="10"/>
        <v>329</v>
      </c>
      <c r="BZ103" s="275">
        <f t="shared" si="10"/>
        <v>1316</v>
      </c>
      <c r="CA103" s="275">
        <f t="shared" si="10"/>
        <v>609</v>
      </c>
      <c r="CB103" s="275">
        <f t="shared" si="10"/>
        <v>609</v>
      </c>
      <c r="CC103" s="275">
        <f t="shared" si="10"/>
        <v>1207</v>
      </c>
      <c r="CD103" s="275">
        <f t="shared" si="10"/>
        <v>878</v>
      </c>
      <c r="CE103" s="366"/>
      <c r="CF103" s="277">
        <f>sum(C103:CD103)</f>
        <v>55661</v>
      </c>
      <c r="CG103" s="367"/>
      <c r="CH103" s="275">
        <f t="shared" ref="CH103:CV103" si="11">SUM(CH8:CH14)*329+SUM(CH15)*219+SUM(CH19:CH21)*239+SUM(CH22:CH24)*219+SUM(CH27)*799+SUM(CH28)*609+SUM(CH29:CH30)*329+SUM(CH31:CH32)*219+SUM(CH33)*439+SUM(CH34)*899+SUM(CH35:CH37)*549+SUM(CH38:CH39)*799+SUM(CH40:CH41)*439+SUM(CH42)*60+SUM(CH43)*609+SUM(CH44:CH45)*379+SUM(CH46:CH47)*1299+SUM(CH50:CH51)*609+SUM(CH52)*329+SUM(CH55)*599+SUM(CH58:CH60)*329+SUM(CH61)*249+SUM(CH62:CH64)*439+SUM(CH65:CH67)*799+SUM(CH68:CH70)*1299+SUM(CH71)*609+SUM(CH72:CH74)*1599+SUM(CH75)*3059+SUM(CH77)*379+SUM(CH78)*799+SUM(CH79)*439+SUM(CH80)*599+SUM(CH81)*229+SUM(CH82)*219+SUM(CH83:CH86)*1299+SUM(CH88:CH90)*679+SUM(CH92:CH93)*490+SUM(CH94:CH95)*450+SUM(CH97)*1054</f>
        <v>609</v>
      </c>
      <c r="CI103" s="275">
        <f t="shared" si="11"/>
        <v>658</v>
      </c>
      <c r="CJ103" s="275">
        <f t="shared" si="11"/>
        <v>658</v>
      </c>
      <c r="CK103" s="275">
        <f t="shared" si="11"/>
        <v>329</v>
      </c>
      <c r="CL103" s="275">
        <f t="shared" si="11"/>
        <v>329</v>
      </c>
      <c r="CM103" s="275">
        <f t="shared" si="11"/>
        <v>1218</v>
      </c>
      <c r="CN103" s="275">
        <f t="shared" si="11"/>
        <v>1218</v>
      </c>
      <c r="CO103" s="275">
        <f t="shared" si="11"/>
        <v>609</v>
      </c>
      <c r="CP103" s="275">
        <f t="shared" si="11"/>
        <v>329</v>
      </c>
      <c r="CQ103" s="275">
        <f t="shared" si="11"/>
        <v>329</v>
      </c>
      <c r="CR103" s="275">
        <f t="shared" si="11"/>
        <v>219</v>
      </c>
      <c r="CS103" s="275">
        <f t="shared" si="11"/>
        <v>609</v>
      </c>
      <c r="CT103" s="275">
        <f t="shared" si="11"/>
        <v>828</v>
      </c>
      <c r="CU103" s="275">
        <f t="shared" si="11"/>
        <v>609</v>
      </c>
      <c r="CV103" s="275">
        <f t="shared" si="11"/>
        <v>1358</v>
      </c>
      <c r="CW103" s="275">
        <f>SUM(CW8:CW14)*329+SUM(CW15)*219+SUM(CW19:CW21)*239+SUM(CW22:CW24)*219+SUM(CW27)*799+SUM(CW28)*609+SUM(CW29:CW30)*329+SUM(CW31:CW32)*219+SUM(CW33)*439+SUM(CW34)*899+SUM(CW35:CW37)*549+SUM(CW38:CW39)*799+SUM(CW40:CW41)*439+SUM(CW42)*60+SUM(CW43)*609+SUM(CW44:CW45)*379+SUM(CW46:CW47)*1299+SUM(CW50:CW51)*609+SUM(CW52)*329+SUM(CW55)*599+SUM(CW58:CW60)*329+SUM(CW61)*249+SUM(CW62:CW64)*439+SUM(CW65:CW67)*799+SUM(CW68:CW70)*1299+SUM(CW71)*609+SUM(CW72:CW74)*1599+SUM(CW75)*3059+SUM(CW77)*379+SUM(CW78)*799+SUM(CW79)*439+SUM(CW80)*599+SUM(CW81)*229+SUM(CW82)*219+SUM(CW83:CW86)*1299+SUM(CW88:CW90)*679+SUM(CW92:CW93)*490+SUM(CW94:CW95)*450+SUM(CW97)*1054+199</f>
        <v>1027</v>
      </c>
      <c r="CX103" s="275">
        <f t="shared" ref="CX103:ED103" si="12">SUM(CX8:CX14)*329+SUM(CX15)*219+SUM(CX19:CX21)*239+SUM(CX22:CX24)*219+SUM(CX27)*799+SUM(CX28)*609+SUM(CX29:CX30)*329+SUM(CX31:CX32)*219+SUM(CX33)*439+SUM(CX34)*899+SUM(CX35:CX37)*549+SUM(CX38:CX39)*799+SUM(CX40:CX41)*439+SUM(CX42)*60+SUM(CX43)*609+SUM(CX44:CX45)*379+SUM(CX46:CX47)*1299+SUM(CX50:CX51)*609+SUM(CX52)*329+SUM(CX55)*599+SUM(CX58:CX60)*329+SUM(CX61)*249+SUM(CX62:CX64)*439+SUM(CX65:CX67)*799+SUM(CX68:CX70)*1299+SUM(CX71)*609+SUM(CX72:CX74)*1599+SUM(CX75)*3059+SUM(CX77)*379+SUM(CX78)*799+SUM(CX79)*439+SUM(CX80)*599+SUM(CX81)*229+SUM(CX82)*219+SUM(CX83:CX86)*1299+SUM(CX88:CX90)*679+SUM(CX92:CX93)*490+SUM(CX94:CX95)*450+SUM(CX97)*1054</f>
        <v>609</v>
      </c>
      <c r="CY103" s="275">
        <f t="shared" si="12"/>
        <v>2436</v>
      </c>
      <c r="CZ103" s="275">
        <f t="shared" si="12"/>
        <v>609</v>
      </c>
      <c r="DA103" s="275">
        <f t="shared" si="12"/>
        <v>916</v>
      </c>
      <c r="DB103" s="275">
        <f t="shared" si="12"/>
        <v>439</v>
      </c>
      <c r="DC103" s="275">
        <f t="shared" si="12"/>
        <v>717</v>
      </c>
      <c r="DD103" s="275">
        <f t="shared" si="12"/>
        <v>609</v>
      </c>
      <c r="DE103" s="275">
        <f t="shared" si="12"/>
        <v>1218</v>
      </c>
      <c r="DF103" s="275">
        <f t="shared" si="12"/>
        <v>329</v>
      </c>
      <c r="DG103" s="275">
        <f t="shared" si="12"/>
        <v>658</v>
      </c>
      <c r="DH103" s="275">
        <f t="shared" si="12"/>
        <v>329</v>
      </c>
      <c r="DI103" s="275">
        <f t="shared" si="12"/>
        <v>329</v>
      </c>
      <c r="DJ103" s="275">
        <f t="shared" si="12"/>
        <v>658</v>
      </c>
      <c r="DK103" s="275">
        <f t="shared" si="12"/>
        <v>658</v>
      </c>
      <c r="DL103" s="275">
        <f t="shared" si="12"/>
        <v>609</v>
      </c>
      <c r="DM103" s="275">
        <f t="shared" si="12"/>
        <v>609</v>
      </c>
      <c r="DN103" s="275">
        <f t="shared" si="12"/>
        <v>329</v>
      </c>
      <c r="DO103" s="275">
        <f t="shared" si="12"/>
        <v>609</v>
      </c>
      <c r="DP103" s="275">
        <f t="shared" si="12"/>
        <v>329</v>
      </c>
      <c r="DQ103" s="275">
        <f t="shared" si="12"/>
        <v>609</v>
      </c>
      <c r="DR103" s="275">
        <f t="shared" si="12"/>
        <v>609</v>
      </c>
      <c r="DS103" s="275">
        <f t="shared" si="12"/>
        <v>329</v>
      </c>
      <c r="DT103" s="275">
        <f t="shared" si="12"/>
        <v>329</v>
      </c>
      <c r="DU103" s="275">
        <f t="shared" si="12"/>
        <v>758</v>
      </c>
      <c r="DV103" s="275">
        <f t="shared" si="12"/>
        <v>1238</v>
      </c>
      <c r="DW103" s="275">
        <f t="shared" si="12"/>
        <v>329</v>
      </c>
      <c r="DX103" s="275">
        <f t="shared" si="12"/>
        <v>609</v>
      </c>
      <c r="DY103" s="275">
        <f t="shared" si="12"/>
        <v>609</v>
      </c>
      <c r="DZ103" s="275">
        <f t="shared" si="12"/>
        <v>658</v>
      </c>
      <c r="EA103" s="275">
        <f t="shared" si="12"/>
        <v>329</v>
      </c>
      <c r="EB103" s="275">
        <f t="shared" si="12"/>
        <v>1827</v>
      </c>
      <c r="EC103" s="275">
        <f t="shared" si="12"/>
        <v>329</v>
      </c>
      <c r="ED103" s="275">
        <f t="shared" si="12"/>
        <v>329</v>
      </c>
      <c r="EE103" s="366">
        <f>609+609</f>
        <v>1218</v>
      </c>
      <c r="EF103" s="366"/>
      <c r="EG103" s="277">
        <f>sum(CH103:EE103)</f>
        <v>34044</v>
      </c>
      <c r="EH103" s="277"/>
      <c r="EI103" s="275">
        <f t="shared" ref="EI103:FD103" si="13">SUM(EI8:EI14)*329+SUM(EI15)*219+SUM(EI19:EI21)*239+SUM(EI22:EI24)*219+SUM(EI27)*799+SUM(EI28)*609+SUM(EI29:EI30)*329+SUM(EI31:EI32)*219+SUM(EI33)*439+SUM(EI34)*899+SUM(EI35:EI37)*549+SUM(EI38:EI39)*799+SUM(EI40:EI41)*439+SUM(EI42)*60+SUM(EI43)*609+SUM(EI44:EI45)*379+SUM(EI46:EI47)*1299+SUM(EI50:EI51)*609+SUM(EI52)*329+SUM(EI55)*599+SUM(EI58:EI60)*329+SUM(EI61)*249+SUM(EI62:EI64)*439+SUM(EI65:EI67)*799+SUM(EI68:EI70)*1299+SUM(EI71)*609+SUM(EI72:EI74)*1599+SUM(EI75)*3059+SUM(EI77)*379+SUM(EI78)*799+SUM(EI79)*439+SUM(EI80)*599+SUM(EI81)*229+SUM(EI82)*219+SUM(EI83:EI86)*1299+SUM(EI88:EI90)*679+SUM(EI92:EI93)*490+SUM(EI94:EI95)*450+SUM(EI97)*1054</f>
        <v>1317</v>
      </c>
      <c r="EJ103" s="275">
        <f t="shared" si="13"/>
        <v>687</v>
      </c>
      <c r="EK103" s="275">
        <f t="shared" si="13"/>
        <v>609</v>
      </c>
      <c r="EL103" s="275">
        <f t="shared" si="13"/>
        <v>438</v>
      </c>
      <c r="EM103" s="275">
        <f t="shared" si="13"/>
        <v>329</v>
      </c>
      <c r="EN103" s="275">
        <f t="shared" si="13"/>
        <v>329</v>
      </c>
      <c r="EO103" s="275">
        <f t="shared" si="13"/>
        <v>658</v>
      </c>
      <c r="EP103" s="275">
        <f t="shared" si="13"/>
        <v>329</v>
      </c>
      <c r="EQ103" s="275">
        <f t="shared" si="13"/>
        <v>329</v>
      </c>
      <c r="ER103" s="275">
        <f t="shared" si="13"/>
        <v>658</v>
      </c>
      <c r="ES103" s="275">
        <f t="shared" si="13"/>
        <v>658</v>
      </c>
      <c r="ET103" s="275">
        <f t="shared" si="13"/>
        <v>658</v>
      </c>
      <c r="EU103" s="275">
        <f t="shared" si="13"/>
        <v>658</v>
      </c>
      <c r="EV103" s="275">
        <f t="shared" si="13"/>
        <v>1756</v>
      </c>
      <c r="EW103" s="275">
        <f t="shared" si="13"/>
        <v>219</v>
      </c>
      <c r="EX103" s="275">
        <f t="shared" si="13"/>
        <v>329</v>
      </c>
      <c r="EY103" s="275">
        <f t="shared" si="13"/>
        <v>658</v>
      </c>
      <c r="EZ103" s="275">
        <f t="shared" si="13"/>
        <v>777</v>
      </c>
      <c r="FA103" s="275">
        <f t="shared" si="13"/>
        <v>329</v>
      </c>
      <c r="FB103" s="275">
        <f t="shared" si="13"/>
        <v>1317</v>
      </c>
      <c r="FC103" s="275">
        <f t="shared" si="13"/>
        <v>180</v>
      </c>
      <c r="FD103" s="275">
        <f t="shared" si="13"/>
        <v>329</v>
      </c>
      <c r="FE103" s="282">
        <v>199.0</v>
      </c>
      <c r="FF103" s="275">
        <f t="shared" ref="FF103:FO103" si="14">SUM(FF8:FF14)*329+SUM(FF15)*219+SUM(FF19:FF21)*239+SUM(FF22:FF24)*219+SUM(FF27)*799+SUM(FF28)*609+SUM(FF29:FF30)*329+SUM(FF31:FF32)*219+SUM(FF33)*439+SUM(FF34)*899+SUM(FF35:FF37)*549+SUM(FF38:FF39)*799+SUM(FF40:FF41)*439+SUM(FF42)*60+SUM(FF43)*609+SUM(FF44:FF45)*379+SUM(FF46:FF47)*1299+SUM(FF50:FF51)*609+SUM(FF52)*329+SUM(FF55)*599+SUM(FF58:FF60)*329+SUM(FF61)*249+SUM(FF62:FF64)*439+SUM(FF65:FF67)*799+SUM(FF68:FF70)*1299+SUM(FF71)*609+SUM(FF72:FF74)*1599+SUM(FF75)*3059+SUM(FF77)*379+SUM(FF78)*799+SUM(FF79)*439+SUM(FF80)*599+SUM(FF81)*229+SUM(FF82)*219+SUM(FF83:FF86)*1299+SUM(FF88:FF90)*679+SUM(FF92:FF93)*490+SUM(FF94:FF95)*450+SUM(FF97)*1054</f>
        <v>249</v>
      </c>
      <c r="FG103" s="275">
        <f t="shared" si="14"/>
        <v>609</v>
      </c>
      <c r="FH103" s="275">
        <f t="shared" si="14"/>
        <v>549</v>
      </c>
      <c r="FI103" s="275">
        <f t="shared" si="14"/>
        <v>658</v>
      </c>
      <c r="FJ103" s="275">
        <f t="shared" si="14"/>
        <v>439</v>
      </c>
      <c r="FK103" s="275">
        <f t="shared" si="14"/>
        <v>329</v>
      </c>
      <c r="FL103" s="275">
        <f t="shared" si="14"/>
        <v>658</v>
      </c>
      <c r="FM103" s="275">
        <f t="shared" si="14"/>
        <v>1827</v>
      </c>
      <c r="FN103" s="275">
        <f t="shared" si="14"/>
        <v>229</v>
      </c>
      <c r="FO103" s="275">
        <f t="shared" si="14"/>
        <v>1218</v>
      </c>
      <c r="FP103" s="275">
        <f t="shared" ref="FP103:FQ103" si="15">SUM(FP8:FP14)*329+SUM(FP15)*219+SUM(FP19:FP21)*239+SUM(FP22:FP24)*219+SUM(FP27)*799+SUM(FP28)*609+SUM(FP29:FP30)*329+SUM(FP31:FP32)*219+SUM(FP33)*439+SUM(FP34)*899+SUM(FP35:FP37)*549+SUM(FP38:FP39)*799+SUM(FP40:FP41)*439+SUM(FP42)*60+SUM(FP43)*609+SUM(FP44:FP45)*379+SUM(FP46:FP47)*1299+SUM(FP50:FP51)*609+SUM(FP52)*329+SUM(FP55)*599+SUM(FP58:FP60)*329+SUM(FP61)*249+SUM(FP62:FP64)*439+SUM(FP65:FP67)*799+SUM(FP68:FP70)*1299+SUM(FP71)*609+SUM(FP72:FP74)*1599+SUM(FP75)*3059+SUM(FP77)*379+SUM(FP78)*799+SUM(FP79)*439+SUM(FP80)*599+SUM(FP81)*229+SUM(FP82)*219+SUM(FP83:FP86)*1299+SUM(FP88:FP90)*679+SUM(FP92:FP93)*490+SUM(FP94:FP95)*450+SUM(FP97)*1054+(FP98*329)</f>
        <v>658</v>
      </c>
      <c r="FQ103" s="275">
        <f t="shared" si="15"/>
        <v>329</v>
      </c>
      <c r="FR103" s="275">
        <f t="shared" ref="FR103:FX103" si="16">SUM(FR8:FR14)*329+SUM(FR15)*219+SUM(FR19:FR21)*239+SUM(FR22:FR24)*219+SUM(FR27)*799+SUM(FR28)*609+SUM(FR29:FR30)*329+SUM(FR31:FR32)*219+SUM(FR33)*439+SUM(FR34)*899+SUM(FR35:FR37)*549+SUM(FR38:FR39)*799+SUM(FR40:FR41)*439+SUM(FR42)*60+SUM(FR43)*609+SUM(FR44:FR45)*379+SUM(FR46:FR47)*1299+SUM(FR50:FR51)*609+SUM(FR52)*329+SUM(FR55)*599+SUM(FR58:FR60)*329+SUM(FR61)*249+SUM(FR62:FR64)*439+SUM(FR65:FR67)*799+SUM(FR68:FR70)*1299+SUM(FR71)*609+SUM(FR72:FR74)*1599+SUM(FR75)*3059+SUM(FR77)*379+SUM(FR78)*799+SUM(FR79)*439+SUM(FR80)*599+SUM(FR81)*229+SUM(FR82)*219+SUM(FR83:FR86)*1299+SUM(FR88:FR90)*679+SUM(FR92:FR93)*490+SUM(FR94:FR95)*450+SUM(FR97)*1054</f>
        <v>329</v>
      </c>
      <c r="FS103" s="275">
        <f t="shared" si="16"/>
        <v>329</v>
      </c>
      <c r="FT103" s="275">
        <f t="shared" si="16"/>
        <v>658</v>
      </c>
      <c r="FU103" s="275">
        <f t="shared" si="16"/>
        <v>799</v>
      </c>
      <c r="FV103" s="275">
        <f t="shared" si="16"/>
        <v>1267</v>
      </c>
      <c r="FW103" s="275">
        <f t="shared" si="16"/>
        <v>329</v>
      </c>
      <c r="FX103" s="275">
        <f t="shared" si="16"/>
        <v>1216</v>
      </c>
      <c r="FY103" s="275">
        <f>(FY100*799)+ SUM(FY8:FY14)*329+SUM(FY15)*219+SUM(FY19:FY21)*239+SUM(FY22:FY24)*219+SUM(FY27)*799+SUM(FY28)*609+SUM(FY29:FY30)*329+SUM(FY31:FY32)*219+SUM(FY33)*439+SUM(FY34)*899+SUM(FY35:FY37)*549+SUM(FY38:FY39)*799+SUM(FY40:FY41)*439+SUM(FY42)*60+SUM(FY43)*609+SUM(FY44:FY45)*379+SUM(FY46:FY47)*1299+SUM(FY50:FY51)*609+SUM(FY52)*329+SUM(FY55)*599+SUM(FY58:FY60)*329+SUM(FY61)*249+SUM(FY62:FY64)*439+SUM(FY65:FY67)*799+SUM(FY68:FY70)*1299+SUM(FY71)*609+SUM(FY72:FY74)*1599+SUM(FY75)*3059+SUM(FY77)*379+SUM(FY78)*799+SUM(FY79)*439+SUM(FY80)*599+SUM(FY81)*229+SUM(FY82)*219+SUM(FY83:FY86)*1299+SUM(FY88:FY90)*679+SUM(FY92:FY93)*490+SUM(FY94:FY95)*450+SUM(FY97)*1054+(FY98*329)</f>
        <v>1248</v>
      </c>
      <c r="FZ103" s="275">
        <f t="shared" ref="FZ103:GB103" si="17">SUM(FZ8:FZ14)*329+SUM(FZ15)*219+SUM(FZ19:FZ21)*239+SUM(FZ22:FZ24)*219+SUM(FZ27)*799+SUM(FZ28)*609+SUM(FZ29:FZ30)*329+SUM(FZ31:FZ32)*219+SUM(FZ33)*439+SUM(FZ34)*899+SUM(FZ35:FZ37)*549+SUM(FZ38:FZ39)*799+SUM(FZ40:FZ41)*439+SUM(FZ42)*60+SUM(FZ43)*609+SUM(FZ44:FZ45)*379+SUM(FZ46:FZ47)*1299+SUM(FZ50:FZ51)*609+SUM(FZ52)*329+SUM(FZ55)*599+SUM(FZ58:FZ60)*329+SUM(FZ61)*249+SUM(FZ62:FZ64)*439+SUM(FZ65:FZ67)*799+SUM(FZ68:FZ70)*1299+SUM(FZ71)*609+SUM(FZ72:FZ74)*1599+SUM(FZ75)*3059+SUM(FZ77)*379+SUM(FZ78)*799+SUM(FZ79)*439+SUM(FZ80)*599+SUM(FZ81)*229+SUM(FZ82)*219+SUM(FZ83:FZ86)*1299+SUM(FZ88:FZ90)*679+SUM(FZ92:FZ93)*490+SUM(FZ94:FZ95)*450+SUM(FZ97)*1054</f>
        <v>938</v>
      </c>
      <c r="GA103" s="275">
        <f t="shared" si="17"/>
        <v>609</v>
      </c>
      <c r="GB103" s="275">
        <f t="shared" si="17"/>
        <v>329</v>
      </c>
      <c r="GC103" s="275">
        <f>(GC100*799)+ SUM(GC8:GC14)*329+SUM(GC15)*219+SUM(GC19:GC21)*239+SUM(GC22:GC24)*219+SUM(GC27)*799+SUM(GC28)*609+SUM(GC29:GC30)*329+SUM(GC31:GC32)*219+SUM(GC33)*439+SUM(GC34)*899+SUM(GC35:GC37)*549+SUM(GC38:GC39)*799+SUM(GC40:GC41)*439+SUM(GC42)*60+SUM(GC43)*609+SUM(GC44:GC45)*379+SUM(GC46:GC47)*1299+SUM(GC50:GC51)*609+SUM(GC52)*329+SUM(GC55)*599+SUM(GC58:GC60)*329+SUM(GC61)*249+SUM(GC62:GC64)*439+SUM(GC65:GC67)*799+SUM(GC68:GC70)*1299+SUM(GC71)*609+SUM(GC72:GC74)*1599+SUM(GC75)*3059+SUM(GC77)*379+SUM(GC78)*799+SUM(GC79)*439+SUM(GC80)*599+SUM(GC81)*229+SUM(GC82)*219+SUM(GC83:GC86)*1299+SUM(GC88:GC90)*679+SUM(GC92:GC93)*490+SUM(GC94:GC95)*450+SUM(GC97)*1054+(GC98*329)</f>
        <v>1226</v>
      </c>
      <c r="GD103" s="275">
        <f t="shared" ref="GD103:GE103" si="18">SUM(GD8:GD14)*329+SUM(GD15)*219+SUM(GD19:GD21)*239+SUM(GD22:GD24)*219+SUM(GD27)*799+SUM(GD28)*609+SUM(GD29:GD30)*329+SUM(GD31:GD32)*219+SUM(GD33)*439+SUM(GD34)*899+SUM(GD35:GD37)*549+SUM(GD38:GD39)*799+SUM(GD40:GD41)*439+SUM(GD42)*60+SUM(GD43)*609+SUM(GD44:GD45)*379+SUM(GD46:GD47)*1299+SUM(GD50:GD51)*609+SUM(GD52)*329+SUM(GD55)*599+SUM(GD58:GD60)*329+SUM(GD61)*249+SUM(GD62:GD64)*439+SUM(GD65:GD67)*799+SUM(GD68:GD70)*1299+SUM(GD71)*609+SUM(GD72:GD74)*1599+SUM(GD75)*3059+SUM(GD77)*379+SUM(GD78)*799+SUM(GD79)*439+SUM(GD80)*599+SUM(GD81)*229+SUM(GD82)*219+SUM(GD83:GD86)*1299+SUM(GD88:GD90)*679+SUM(GD92:GD93)*490+SUM(GD94:GD95)*450+SUM(GD97)*1054</f>
        <v>609</v>
      </c>
      <c r="GE103" s="275">
        <f t="shared" si="18"/>
        <v>609</v>
      </c>
      <c r="GF103" s="275">
        <f t="shared" ref="GF103:GG103" si="19">(GF100*799)+ SUM(GF8:GF14)*329+SUM(GF15)*219+SUM(GF19:GF21)*239+SUM(GF22:GF24)*219+SUM(GF27)*799+SUM(GF28)*609+SUM(GF29:GF30)*329+SUM(GF31:GF32)*219+SUM(GF33)*439+SUM(GF34)*899+SUM(GF35:GF37)*549+SUM(GF38:GF39)*799+SUM(GF40:GF41)*439+SUM(GF42)*60+SUM(GF43)*609+SUM(GF44:GF45)*379+SUM(GF46:GF47)*1299+SUM(GF50:GF51)*609+SUM(GF52)*329+SUM(GF55)*599+SUM(GF58:GF60)*329+SUM(GF61)*249+SUM(GF62:GF64)*439+SUM(GF65:GF67)*799+SUM(GF68:GF70)*1299+SUM(GF71)*609+SUM(GF72:GF74)*1599+SUM(GF75)*3059+SUM(GF77)*379+SUM(GF78)*799+SUM(GF79)*439+SUM(GF80)*599+SUM(GF81)*229+SUM(GF82)*219+SUM(GF83:GF86)*1299+SUM(GF88:GF90)*679+SUM(GF92:GF93)*490+SUM(GF94:GF95)*450+SUM(GF97)*1054+(GF98*329)</f>
        <v>329</v>
      </c>
      <c r="GG103" s="275">
        <f t="shared" si="19"/>
        <v>609</v>
      </c>
      <c r="GH103" s="276"/>
      <c r="GI103" s="277">
        <f>sum(EI103:GG103)</f>
        <v>32935</v>
      </c>
      <c r="GJ103" s="277"/>
      <c r="GK103" s="275">
        <f>SUM(GK8:GK14)*329+SUM(GK15)*219+SUM(GK19:GK21)*239+SUM(GK22:GK24)*219+SUM(GK27)*799+SUM(GK28)*609+SUM(GK29:GK30)*329+SUM(GK31:GK32)*219+SUM(GK33)*439+SUM(GK34)*899+SUM(GK35:GK37)*549+SUM(GK38:GK39)*799+SUM(GK40:GK41)*439+SUM(GK42)*60+SUM(GK43)*609+SUM(GK44:GK45)*379+SUM(GK46:GK47)*1299+SUM(GK50:GK51)*609+SUM(GK52)*329+SUM(GK55)*599+SUM(GK58:GK60)*329+SUM(GK61)*249+SUM(GK62:GK64)*439+SUM(GK65:GK67)*799+SUM(GK68:GK70)*1299+SUM(GK71)*609+SUM(GK72:GK74)*1599+SUM(GK75)*3059+SUM(GK77)*379+SUM(GK78)*799+SUM(GK79)*439+SUM(GK80)*599+SUM(GK81)*229+SUM(GK82)*219+SUM(GK83:GK86)*1299+SUM(GK88:GK90)*679+SUM(GK92:GK93)*490+SUM(GK94:GK95)*450+SUM(GK97)*1054</f>
        <v>609</v>
      </c>
      <c r="GL103" s="275">
        <f t="shared" ref="GL103:HM103" si="20">SUM(GL8:GL14)*329+SUM(GL15)*219+SUM(GL19:GL21)*239+SUM(GL22:GL24)*219+SUM(GL27)*799+SUM(GL28)*609+SUM(GL29:GL30)*329+SUM(GL31:GL32)*219+SUM(GL33)*439+SUM(GL34)*899+SUM(GL35:GL37)*549+SUM(GL38:GL39)*799+SUM(GL40:GL41)*439+SUM(GL42)*60+SUM(GL43)*609+SUM(GL44:GL45)*379+SUM(GL46:GL47)*1299+SUM(GL50:GL51)*609+SUM(GL52)*329+SUM(GL55)*599+SUM(GL58:GL60)*329+SUM(GL61)*249+SUM(GL62:GL64)*439+SUM(GL65:GL67)*799+SUM(GL68:GL70)*1299+SUM(GL71)*609+SUM(GL72:GL74)*1599+SUM(GL75)*3059+SUM(GL77)*379+SUM(GL78)*799+SUM(GL79)*439+SUM(GL80)*599+SUM(GL81)*229+SUM(GL82)*219+SUM(GL83:GL86)*1299+SUM(GL88:GL90)*679+SUM(GL92:GL93)*490+SUM(GL94:GL95)*450+SUM(GL97)*1054+sum(GL98)*329+sum(GL99)*439+sum(GL100)*799</f>
        <v>329</v>
      </c>
      <c r="GM103" s="275">
        <f t="shared" si="20"/>
        <v>609</v>
      </c>
      <c r="GN103" s="275">
        <f t="shared" si="20"/>
        <v>458</v>
      </c>
      <c r="GO103" s="275">
        <f t="shared" si="20"/>
        <v>708</v>
      </c>
      <c r="GP103" s="275">
        <f t="shared" si="20"/>
        <v>987</v>
      </c>
      <c r="GQ103" s="275">
        <f t="shared" si="20"/>
        <v>329</v>
      </c>
      <c r="GR103" s="275">
        <f t="shared" si="20"/>
        <v>329</v>
      </c>
      <c r="GS103" s="275">
        <f t="shared" si="20"/>
        <v>329</v>
      </c>
      <c r="GT103" s="275">
        <f t="shared" si="20"/>
        <v>329</v>
      </c>
      <c r="GU103" s="275">
        <f t="shared" si="20"/>
        <v>329</v>
      </c>
      <c r="GV103" s="275">
        <f t="shared" si="20"/>
        <v>658</v>
      </c>
      <c r="GW103" s="275">
        <f t="shared" si="20"/>
        <v>1218</v>
      </c>
      <c r="GX103" s="275">
        <f t="shared" si="20"/>
        <v>658</v>
      </c>
      <c r="GY103" s="275">
        <f t="shared" si="20"/>
        <v>219</v>
      </c>
      <c r="GZ103" s="275">
        <f t="shared" si="20"/>
        <v>878</v>
      </c>
      <c r="HA103" s="275">
        <f t="shared" si="20"/>
        <v>1218</v>
      </c>
      <c r="HB103" s="275">
        <f t="shared" si="20"/>
        <v>1827</v>
      </c>
      <c r="HC103" s="275">
        <f t="shared" si="20"/>
        <v>1218</v>
      </c>
      <c r="HD103" s="275">
        <f t="shared" si="20"/>
        <v>329</v>
      </c>
      <c r="HE103" s="275">
        <f t="shared" si="20"/>
        <v>609</v>
      </c>
      <c r="HF103" s="275">
        <f t="shared" si="20"/>
        <v>1267</v>
      </c>
      <c r="HG103" s="275">
        <f t="shared" si="20"/>
        <v>329</v>
      </c>
      <c r="HH103" s="275">
        <f t="shared" si="20"/>
        <v>658</v>
      </c>
      <c r="HI103" s="275">
        <f t="shared" si="20"/>
        <v>1218</v>
      </c>
      <c r="HJ103" s="275">
        <f t="shared" si="20"/>
        <v>987</v>
      </c>
      <c r="HK103" s="275">
        <f t="shared" si="20"/>
        <v>938</v>
      </c>
      <c r="HL103" s="275">
        <f t="shared" si="20"/>
        <v>609</v>
      </c>
      <c r="HM103" s="275">
        <f t="shared" si="20"/>
        <v>658</v>
      </c>
      <c r="HN103" s="275">
        <f>1218+1499</f>
        <v>2717</v>
      </c>
      <c r="HO103" s="275">
        <f t="shared" ref="HO103:HW103" si="21">SUM(HO8:HO14)*329+SUM(HO15)*219+SUM(HO19:HO21)*239+SUM(HO22:HO24)*219+SUM(HO27)*799+SUM(HO28)*609+SUM(HO29:HO30)*329+SUM(HO31:HO32)*219+SUM(HO33)*439+SUM(HO34)*899+SUM(HO35:HO37)*549+SUM(HO38:HO39)*799+SUM(HO40:HO41)*439+SUM(HO42)*60+SUM(HO43)*609+SUM(HO44:HO45)*379+SUM(HO46:HO47)*1299+SUM(HO50:HO51)*609+SUM(HO52)*329+SUM(HO55)*599+SUM(HO58:HO60)*329+SUM(HO61)*249+SUM(HO62:HO64)*439+SUM(HO65:HO67)*799+SUM(HO68:HO70)*1299+SUM(HO71)*609+SUM(HO72:HO74)*1599+SUM(HO75)*3059+SUM(HO77)*379+SUM(HO78)*799+SUM(HO79)*439+SUM(HO80)*599+SUM(HO81)*229+SUM(HO82)*219+SUM(HO83:HO86)*1299+SUM(HO88:HO90)*679+SUM(HO92:HO93)*490+SUM(HO94:HO95)*450+SUM(HO97)*1054+sum(HO98)*329+sum(HO99)*439+sum(HO100)*799</f>
        <v>609</v>
      </c>
      <c r="HP103" s="275">
        <f t="shared" si="21"/>
        <v>1218</v>
      </c>
      <c r="HQ103" s="275">
        <f t="shared" si="21"/>
        <v>329</v>
      </c>
      <c r="HR103" s="275">
        <f t="shared" si="21"/>
        <v>329</v>
      </c>
      <c r="HS103" s="275">
        <f t="shared" si="21"/>
        <v>938</v>
      </c>
      <c r="HT103" s="275">
        <f t="shared" si="21"/>
        <v>658</v>
      </c>
      <c r="HU103" s="275">
        <f t="shared" si="21"/>
        <v>658</v>
      </c>
      <c r="HV103" s="275">
        <f t="shared" si="21"/>
        <v>229</v>
      </c>
      <c r="HW103" s="275">
        <f t="shared" si="21"/>
        <v>609</v>
      </c>
      <c r="HX103" s="275">
        <f>609+249</f>
        <v>858</v>
      </c>
      <c r="HY103" s="275">
        <f t="shared" ref="HY103:IE103" si="22">SUM(HY8:HY14)*329+SUM(HY15)*219+SUM(HY19:HY21)*239+SUM(HY22:HY24)*219+SUM(HY27)*799+SUM(HY28)*609+SUM(HY29:HY30)*329+SUM(HY31:HY32)*219+SUM(HY33)*439+SUM(HY34)*899+SUM(HY35:HY37)*549+SUM(HY38:HY39)*799+SUM(HY40:HY41)*439+SUM(HY42)*60+SUM(HY43)*609+SUM(HY44:HY45)*379+SUM(HY46:HY47)*1299+SUM(HY50:HY51)*609+SUM(HY52)*329+SUM(HY55)*599+SUM(HY58:HY60)*329+SUM(HY61)*249+SUM(HY62:HY64)*439+SUM(HY65:HY67)*799+SUM(HY68:HY70)*1299+SUM(HY71)*609+SUM(HY72:HY74)*1599+SUM(HY75)*3059+SUM(HY77)*379+SUM(HY78)*799+SUM(HY79)*439+SUM(HY80)*599+SUM(HY81)*229+SUM(HY82)*219+SUM(HY83:HY86)*1299+SUM(HY88:HY90)*679+SUM(HY92:HY93)*490+SUM(HY94:HY95)*450+SUM(HY97)*1054+sum(HY98)*329+sum(HY99)*439+sum(HY100)*799</f>
        <v>329</v>
      </c>
      <c r="HZ103" s="275">
        <f t="shared" si="22"/>
        <v>987</v>
      </c>
      <c r="IA103" s="275">
        <f t="shared" si="22"/>
        <v>329</v>
      </c>
      <c r="IB103" s="275">
        <f t="shared" si="22"/>
        <v>987</v>
      </c>
      <c r="IC103" s="275">
        <f t="shared" si="22"/>
        <v>458</v>
      </c>
      <c r="ID103" s="275">
        <f t="shared" si="22"/>
        <v>249</v>
      </c>
      <c r="IE103" s="275">
        <f t="shared" si="22"/>
        <v>1218</v>
      </c>
      <c r="IF103" s="283"/>
      <c r="IG103" s="283">
        <f>sum(GK103:IE103)</f>
        <v>34550</v>
      </c>
      <c r="IH103" s="283"/>
      <c r="II103" s="275">
        <f t="shared" ref="II103:KB103" si="23">SUM(II8:II14)*329+SUM(II15)*219+SUM(II19:II21)*239+SUM(II22:II24)*219+SUM(II27)*799+SUM(II28)*609+SUM(II29:II30)*329+SUM(II31:II32)*219+SUM(II33)*439+SUM(II34)*899+SUM(II35:II37)*549+SUM(II38:II39)*799+SUM(II40:II41)*439+SUM(II42)*60+SUM(II43)*609+SUM(II44:II45)*379+SUM(II46:II47)*1299+SUM(II50:II51)*609+SUM(II52)*329+SUM(II55)*599+SUM(II58:II60)*329+SUM(II61)*249+SUM(II62:II64)*439+SUM(II65:II67)*799+SUM(II68:II70)*1299+SUM(II71)*609+SUM(II72:II74)*1599+SUM(II75)*3059+SUM(II77)*379+SUM(II78)*799+SUM(II79)*439+SUM(II80)*599+SUM(II81)*229+SUM(II82)*219+SUM(II83:II86)*1299+SUM(II88:II90)*679+SUM(II92:II93)*490+SUM(II94:II95)*450+SUM(II97)*1054+sum(II98)*329+sum(II99)*439+sum(II100)*799</f>
        <v>987</v>
      </c>
      <c r="IJ103" s="275">
        <f t="shared" si="23"/>
        <v>608</v>
      </c>
      <c r="IK103" s="275">
        <f t="shared" si="23"/>
        <v>609</v>
      </c>
      <c r="IL103" s="275">
        <f t="shared" si="23"/>
        <v>1218</v>
      </c>
      <c r="IM103" s="275">
        <f t="shared" si="23"/>
        <v>609</v>
      </c>
      <c r="IN103" s="275">
        <f t="shared" si="23"/>
        <v>329</v>
      </c>
      <c r="IO103" s="275">
        <f t="shared" si="23"/>
        <v>329</v>
      </c>
      <c r="IP103" s="275">
        <f t="shared" si="23"/>
        <v>329</v>
      </c>
      <c r="IQ103" s="275">
        <f t="shared" si="23"/>
        <v>219</v>
      </c>
      <c r="IR103" s="275">
        <f t="shared" si="23"/>
        <v>329</v>
      </c>
      <c r="IS103" s="275">
        <f t="shared" si="23"/>
        <v>1827</v>
      </c>
      <c r="IT103" s="275">
        <f t="shared" si="23"/>
        <v>329</v>
      </c>
      <c r="IU103" s="275">
        <f t="shared" si="23"/>
        <v>1267</v>
      </c>
      <c r="IV103" s="275">
        <f t="shared" si="23"/>
        <v>1317</v>
      </c>
      <c r="IW103" s="275">
        <f t="shared" si="23"/>
        <v>329</v>
      </c>
      <c r="IX103" s="275">
        <f t="shared" si="23"/>
        <v>329</v>
      </c>
      <c r="IY103" s="275">
        <f t="shared" si="23"/>
        <v>658</v>
      </c>
      <c r="IZ103" s="275">
        <f t="shared" si="23"/>
        <v>658</v>
      </c>
      <c r="JA103" s="275">
        <f t="shared" si="23"/>
        <v>329</v>
      </c>
      <c r="JB103" s="275">
        <f t="shared" si="23"/>
        <v>549</v>
      </c>
      <c r="JC103" s="275">
        <f t="shared" si="23"/>
        <v>329</v>
      </c>
      <c r="JD103" s="275">
        <f t="shared" si="23"/>
        <v>609</v>
      </c>
      <c r="JE103" s="275">
        <f t="shared" si="23"/>
        <v>249</v>
      </c>
      <c r="JF103" s="275">
        <f t="shared" si="23"/>
        <v>658</v>
      </c>
      <c r="JG103" s="275">
        <f t="shared" si="23"/>
        <v>329</v>
      </c>
      <c r="JH103" s="275">
        <f t="shared" si="23"/>
        <v>329</v>
      </c>
      <c r="JI103" s="275">
        <f t="shared" si="23"/>
        <v>2098</v>
      </c>
      <c r="JJ103" s="275">
        <f t="shared" si="23"/>
        <v>658</v>
      </c>
      <c r="JK103" s="275">
        <f t="shared" si="23"/>
        <v>2436</v>
      </c>
      <c r="JL103" s="275">
        <f t="shared" si="23"/>
        <v>329</v>
      </c>
      <c r="JM103" s="275">
        <f t="shared" si="23"/>
        <v>658</v>
      </c>
      <c r="JN103" s="275">
        <f t="shared" si="23"/>
        <v>329</v>
      </c>
      <c r="JO103" s="275">
        <f t="shared" si="23"/>
        <v>987</v>
      </c>
      <c r="JP103" s="275">
        <f t="shared" si="23"/>
        <v>609</v>
      </c>
      <c r="JQ103" s="275">
        <f t="shared" si="23"/>
        <v>609</v>
      </c>
      <c r="JR103" s="275">
        <f t="shared" si="23"/>
        <v>329</v>
      </c>
      <c r="JS103" s="275">
        <f t="shared" si="23"/>
        <v>60</v>
      </c>
      <c r="JT103" s="275">
        <f t="shared" si="23"/>
        <v>609</v>
      </c>
      <c r="JU103" s="275">
        <f t="shared" si="23"/>
        <v>329</v>
      </c>
      <c r="JV103" s="275">
        <f t="shared" si="23"/>
        <v>1218</v>
      </c>
      <c r="JW103" s="275">
        <f t="shared" si="23"/>
        <v>329</v>
      </c>
      <c r="JX103" s="275">
        <f t="shared" si="23"/>
        <v>658</v>
      </c>
      <c r="JY103" s="275">
        <f t="shared" si="23"/>
        <v>1157</v>
      </c>
      <c r="JZ103" s="275">
        <f t="shared" si="23"/>
        <v>329</v>
      </c>
      <c r="KA103" s="275">
        <f t="shared" si="23"/>
        <v>1218</v>
      </c>
      <c r="KB103" s="275">
        <f t="shared" si="23"/>
        <v>0</v>
      </c>
      <c r="KC103" s="283"/>
      <c r="KD103" s="283">
        <f>SUM(II103:KB103)</f>
        <v>30610</v>
      </c>
      <c r="KE103" s="283"/>
      <c r="KF103" s="283"/>
      <c r="KG103" s="283"/>
      <c r="KH103" s="283"/>
      <c r="KI103" s="283"/>
      <c r="KJ103" s="283"/>
      <c r="KK103" s="283"/>
      <c r="KL103" s="283"/>
      <c r="KM103" s="283"/>
      <c r="KN103" s="283"/>
      <c r="KO103" s="283"/>
      <c r="KP103" s="283"/>
      <c r="KQ103" s="283"/>
      <c r="KR103" s="283"/>
      <c r="KS103" s="283"/>
      <c r="KT103" s="283"/>
      <c r="KU103" s="283"/>
      <c r="KV103" s="283"/>
      <c r="KW103" s="283"/>
    </row>
    <row r="104">
      <c r="A104" s="72"/>
      <c r="B104" s="280"/>
      <c r="CF104" s="1">
        <v>55761.0</v>
      </c>
      <c r="EG104" s="1">
        <v>34044.0</v>
      </c>
      <c r="GH104" s="281"/>
      <c r="GI104" s="368">
        <v>33373.0</v>
      </c>
      <c r="HB104" s="70"/>
      <c r="HC104" s="70"/>
      <c r="II104" s="285"/>
      <c r="IJ104" s="283"/>
      <c r="IK104" s="283"/>
      <c r="IL104" s="283"/>
      <c r="IM104" s="283"/>
      <c r="IN104" s="283"/>
      <c r="IO104" s="283"/>
      <c r="IP104" s="283"/>
      <c r="IQ104" s="283"/>
      <c r="IR104" s="283"/>
      <c r="IS104" s="283"/>
      <c r="IT104" s="283"/>
      <c r="IU104" s="283"/>
      <c r="IV104" s="283"/>
      <c r="IW104" s="283"/>
      <c r="IX104" s="283"/>
      <c r="IY104" s="283"/>
      <c r="IZ104" s="283"/>
      <c r="JA104" s="283"/>
      <c r="JB104" s="283"/>
      <c r="JC104" s="283"/>
      <c r="JD104" s="283"/>
      <c r="JE104" s="283"/>
      <c r="JF104" s="283"/>
      <c r="JG104" s="283"/>
      <c r="JH104" s="283"/>
      <c r="JI104" s="283"/>
      <c r="JJ104" s="283"/>
      <c r="JK104" s="283"/>
      <c r="JL104" s="283"/>
      <c r="JM104" s="283"/>
      <c r="JN104" s="283"/>
      <c r="JO104" s="283"/>
      <c r="JP104" s="283"/>
      <c r="JQ104" s="283"/>
      <c r="JR104" s="283"/>
      <c r="JS104" s="283"/>
      <c r="JT104" s="283"/>
      <c r="JU104" s="283"/>
      <c r="JV104" s="283"/>
      <c r="JW104" s="283"/>
      <c r="JX104" s="283"/>
      <c r="JY104" s="283"/>
      <c r="JZ104" s="283"/>
      <c r="KA104" s="283"/>
      <c r="KB104" s="283"/>
      <c r="KC104" s="283"/>
      <c r="KD104" s="283"/>
      <c r="KE104" s="283"/>
      <c r="KF104" s="283"/>
      <c r="KG104" s="283"/>
      <c r="KH104" s="283"/>
      <c r="KI104" s="283"/>
      <c r="KJ104" s="283"/>
      <c r="KK104" s="283"/>
      <c r="KL104" s="283"/>
      <c r="KM104" s="283"/>
      <c r="KN104" s="283"/>
      <c r="KO104" s="283"/>
      <c r="KP104" s="283"/>
      <c r="KQ104" s="283"/>
      <c r="KR104" s="283"/>
      <c r="KS104" s="283"/>
      <c r="KT104" s="283"/>
      <c r="KU104" s="283"/>
      <c r="KV104" s="283"/>
      <c r="KW104" s="283"/>
    </row>
    <row r="105">
      <c r="A105" s="284" t="s">
        <v>270</v>
      </c>
      <c r="CF105" s="3">
        <f>CF103-CF104</f>
        <v>-100</v>
      </c>
      <c r="EG105" s="3">
        <f>EG103-EG104</f>
        <v>0</v>
      </c>
      <c r="GH105" s="281"/>
      <c r="GI105" s="281">
        <f>GI103-GI104</f>
        <v>-438</v>
      </c>
      <c r="HB105" s="70"/>
      <c r="HC105" s="70"/>
      <c r="IG105" s="3">
        <f>IG103-33612</f>
        <v>938</v>
      </c>
      <c r="II105" s="285"/>
      <c r="IJ105" s="283"/>
      <c r="IK105" s="283"/>
      <c r="IL105" s="283"/>
      <c r="IM105" s="283"/>
      <c r="IN105" s="283"/>
      <c r="IO105" s="283"/>
      <c r="IP105" s="283"/>
      <c r="IQ105" s="283"/>
      <c r="IR105" s="283"/>
      <c r="IS105" s="283"/>
      <c r="IT105" s="283"/>
      <c r="IU105" s="283"/>
      <c r="IV105" s="283"/>
      <c r="IW105" s="283"/>
      <c r="IX105" s="283"/>
      <c r="IY105" s="283"/>
      <c r="IZ105" s="283"/>
      <c r="JA105" s="283"/>
      <c r="JB105" s="283"/>
      <c r="JC105" s="283"/>
      <c r="JD105" s="283"/>
      <c r="JE105" s="283"/>
      <c r="JF105" s="283"/>
      <c r="JG105" s="283"/>
      <c r="JH105" s="283"/>
      <c r="JI105" s="283"/>
      <c r="JJ105" s="283"/>
      <c r="JK105" s="283"/>
      <c r="JL105" s="283"/>
      <c r="JM105" s="283"/>
      <c r="JN105" s="283"/>
      <c r="JO105" s="283"/>
      <c r="JP105" s="283"/>
      <c r="JQ105" s="283"/>
      <c r="JR105" s="283"/>
      <c r="JS105" s="283"/>
      <c r="JT105" s="283"/>
      <c r="JU105" s="283"/>
      <c r="JV105" s="283"/>
      <c r="JW105" s="283"/>
      <c r="JX105" s="283"/>
      <c r="JY105" s="283"/>
      <c r="JZ105" s="283"/>
      <c r="KA105" s="283"/>
      <c r="KB105" s="283"/>
      <c r="KC105" s="283"/>
      <c r="KD105" s="283"/>
      <c r="KE105" s="283"/>
      <c r="KF105" s="283"/>
      <c r="KG105" s="283"/>
      <c r="KH105" s="283"/>
      <c r="KI105" s="283"/>
      <c r="KJ105" s="283"/>
      <c r="KK105" s="283"/>
      <c r="KL105" s="283"/>
      <c r="KM105" s="283"/>
      <c r="KN105" s="283"/>
      <c r="KO105" s="283"/>
      <c r="KP105" s="283"/>
      <c r="KQ105" s="283"/>
      <c r="KR105" s="283"/>
      <c r="KS105" s="283"/>
      <c r="KT105" s="283"/>
      <c r="KU105" s="283"/>
      <c r="KV105" s="283"/>
      <c r="KW105" s="283"/>
    </row>
    <row r="106">
      <c r="A106" s="283"/>
      <c r="B106" s="284" t="s">
        <v>271</v>
      </c>
      <c r="EI106" s="281"/>
      <c r="EJ106" s="281"/>
      <c r="EK106" s="281"/>
      <c r="EL106" s="281"/>
      <c r="EM106" s="281"/>
      <c r="EN106" s="281"/>
      <c r="EO106" s="281"/>
      <c r="EP106" s="281"/>
      <c r="EQ106" s="281"/>
      <c r="ER106" s="281"/>
      <c r="ES106" s="281"/>
      <c r="ET106" s="281"/>
      <c r="EU106" s="281"/>
      <c r="EV106" s="281"/>
      <c r="EW106" s="281"/>
      <c r="EX106" s="281"/>
      <c r="EY106" s="281"/>
      <c r="EZ106" s="281"/>
      <c r="FA106" s="281"/>
      <c r="FB106" s="281"/>
      <c r="FC106" s="281"/>
      <c r="FD106" s="281"/>
      <c r="FE106" s="281"/>
      <c r="FF106" s="281"/>
      <c r="FG106" s="281"/>
      <c r="FH106" s="281"/>
      <c r="FI106" s="281"/>
      <c r="FJ106" s="281"/>
      <c r="FK106" s="281"/>
      <c r="FL106" s="281"/>
      <c r="FM106" s="281"/>
      <c r="FN106" s="281"/>
      <c r="FO106" s="281"/>
      <c r="FP106" s="281"/>
      <c r="FQ106" s="281"/>
      <c r="FR106" s="281"/>
      <c r="FS106" s="281"/>
      <c r="FT106" s="281"/>
      <c r="FU106" s="281"/>
      <c r="FV106" s="281"/>
      <c r="FW106" s="281"/>
      <c r="FX106" s="281"/>
      <c r="FY106" s="281"/>
      <c r="FZ106" s="281"/>
      <c r="GA106" s="281"/>
      <c r="GB106" s="281"/>
      <c r="GC106" s="281"/>
      <c r="GD106" s="281"/>
      <c r="GE106" s="281"/>
      <c r="GF106" s="281"/>
      <c r="GG106" s="281"/>
      <c r="GH106" s="281"/>
      <c r="GI106" s="281"/>
      <c r="GK106" s="281"/>
      <c r="GL106" s="281"/>
      <c r="GM106" s="281"/>
      <c r="GN106" s="281"/>
      <c r="GO106" s="281"/>
      <c r="GP106" s="281"/>
      <c r="GQ106" s="281"/>
      <c r="GR106" s="281"/>
      <c r="GS106" s="281"/>
      <c r="GT106" s="281"/>
      <c r="GU106" s="281"/>
      <c r="GV106" s="281"/>
      <c r="GW106" s="281"/>
      <c r="GX106" s="281"/>
      <c r="GY106" s="281"/>
      <c r="GZ106" s="281"/>
      <c r="HA106" s="281"/>
      <c r="HB106" s="281"/>
      <c r="HC106" s="281"/>
      <c r="HD106" s="281"/>
      <c r="HE106" s="281"/>
      <c r="HF106" s="281"/>
      <c r="HG106" s="281"/>
      <c r="HH106" s="281"/>
      <c r="HI106" s="281"/>
      <c r="HJ106" s="281"/>
      <c r="HK106" s="281"/>
      <c r="HL106" s="281"/>
      <c r="HM106" s="281"/>
      <c r="HN106" s="281"/>
      <c r="HO106" s="281"/>
      <c r="HP106" s="281"/>
      <c r="HQ106" s="281"/>
      <c r="HR106" s="281"/>
      <c r="HS106" s="281"/>
      <c r="HT106" s="281"/>
      <c r="HU106" s="281"/>
      <c r="HV106" s="281"/>
      <c r="HW106" s="281"/>
      <c r="HX106" s="281"/>
      <c r="HY106" s="281"/>
      <c r="HZ106" s="281"/>
      <c r="IE106" s="3">
        <f>IG103-33612</f>
        <v>938</v>
      </c>
      <c r="II106" s="285"/>
      <c r="IJ106" s="283"/>
      <c r="IK106" s="283"/>
      <c r="IL106" s="283"/>
      <c r="IM106" s="283"/>
      <c r="IN106" s="283"/>
      <c r="IO106" s="283"/>
      <c r="IP106" s="283"/>
      <c r="IQ106" s="283"/>
      <c r="IR106" s="283"/>
      <c r="IS106" s="283"/>
      <c r="IT106" s="283"/>
      <c r="IU106" s="283"/>
      <c r="IV106" s="283"/>
      <c r="IW106" s="283"/>
      <c r="IX106" s="283"/>
      <c r="IY106" s="283"/>
      <c r="IZ106" s="283"/>
      <c r="JA106" s="283"/>
      <c r="JB106" s="283"/>
      <c r="JC106" s="283"/>
      <c r="JD106" s="283"/>
      <c r="JE106" s="283"/>
      <c r="JF106" s="283"/>
      <c r="JG106" s="283"/>
      <c r="JH106" s="283"/>
      <c r="JI106" s="283"/>
      <c r="JJ106" s="283"/>
      <c r="JK106" s="283"/>
      <c r="JL106" s="283"/>
      <c r="JM106" s="283"/>
      <c r="JN106" s="283"/>
      <c r="JO106" s="283"/>
      <c r="JP106" s="283"/>
      <c r="JQ106" s="283"/>
      <c r="JR106" s="283"/>
      <c r="JS106" s="283"/>
      <c r="JT106" s="283"/>
      <c r="JU106" s="283"/>
      <c r="JV106" s="283"/>
      <c r="JW106" s="283"/>
      <c r="JX106" s="283"/>
      <c r="JY106" s="283"/>
      <c r="JZ106" s="283"/>
      <c r="KA106" s="283"/>
      <c r="KB106" s="283"/>
      <c r="KC106" s="283"/>
      <c r="KD106" s="283"/>
      <c r="KE106" s="283"/>
      <c r="KF106" s="283"/>
      <c r="KG106" s="283"/>
      <c r="KH106" s="283"/>
      <c r="KI106" s="283"/>
      <c r="KJ106" s="283"/>
      <c r="KK106" s="283"/>
      <c r="KL106" s="283"/>
      <c r="KM106" s="283"/>
      <c r="KN106" s="283"/>
      <c r="KO106" s="283"/>
      <c r="KP106" s="283"/>
      <c r="KQ106" s="283"/>
      <c r="KR106" s="283"/>
      <c r="KS106" s="283"/>
      <c r="KT106" s="283"/>
      <c r="KU106" s="283"/>
      <c r="KV106" s="283"/>
      <c r="KW106" s="283"/>
    </row>
    <row r="107">
      <c r="A107" s="286" t="s">
        <v>272</v>
      </c>
      <c r="EI107" s="281"/>
      <c r="EJ107" s="281"/>
      <c r="EK107" s="281"/>
      <c r="EL107" s="281"/>
      <c r="EM107" s="281"/>
      <c r="EN107" s="281"/>
      <c r="EO107" s="281"/>
      <c r="EP107" s="281"/>
      <c r="EQ107" s="281"/>
      <c r="ER107" s="281"/>
      <c r="ES107" s="281"/>
      <c r="ET107" s="281"/>
      <c r="EU107" s="281"/>
      <c r="EV107" s="281"/>
      <c r="EW107" s="281"/>
      <c r="EX107" s="281"/>
      <c r="EY107" s="281"/>
      <c r="EZ107" s="281"/>
      <c r="FA107" s="281"/>
      <c r="FB107" s="281"/>
      <c r="FC107" s="281"/>
      <c r="FD107" s="281"/>
      <c r="FE107" s="281"/>
      <c r="FF107" s="281"/>
      <c r="FG107" s="281"/>
      <c r="FH107" s="281"/>
      <c r="FI107" s="281"/>
      <c r="FJ107" s="281"/>
      <c r="FK107" s="281"/>
      <c r="FL107" s="281"/>
      <c r="FM107" s="281"/>
      <c r="FN107" s="281"/>
      <c r="FO107" s="281"/>
      <c r="FP107" s="281"/>
      <c r="FQ107" s="281"/>
      <c r="FR107" s="281"/>
      <c r="FS107" s="281"/>
      <c r="FT107" s="281"/>
      <c r="FU107" s="281"/>
      <c r="FV107" s="281"/>
      <c r="FW107" s="281"/>
      <c r="FX107" s="281"/>
      <c r="FY107" s="281"/>
      <c r="FZ107" s="281"/>
      <c r="GA107" s="281"/>
      <c r="GB107" s="281"/>
      <c r="GC107" s="281"/>
      <c r="GD107" s="281"/>
      <c r="GE107" s="281"/>
      <c r="GF107" s="281"/>
      <c r="GG107" s="281"/>
      <c r="GH107" s="281"/>
      <c r="GI107" s="281"/>
      <c r="GK107" s="281"/>
      <c r="GL107" s="281"/>
      <c r="GM107" s="281"/>
      <c r="GN107" s="281"/>
      <c r="GO107" s="281"/>
      <c r="GP107" s="281"/>
      <c r="GQ107" s="281"/>
      <c r="GR107" s="281"/>
      <c r="GS107" s="281"/>
      <c r="GT107" s="281"/>
      <c r="GU107" s="281"/>
      <c r="GV107" s="281"/>
      <c r="GW107" s="281"/>
      <c r="GX107" s="281"/>
      <c r="GY107" s="281"/>
      <c r="GZ107" s="281"/>
      <c r="HA107" s="281"/>
      <c r="HB107" s="281"/>
      <c r="HC107" s="281"/>
      <c r="HD107" s="281"/>
      <c r="HE107" s="281"/>
      <c r="HF107" s="281"/>
      <c r="HG107" s="281"/>
      <c r="HH107" s="281"/>
      <c r="HI107" s="281"/>
      <c r="HJ107" s="281"/>
      <c r="HK107" s="281"/>
      <c r="HL107" s="281"/>
      <c r="HM107" s="281"/>
      <c r="HN107" s="281"/>
      <c r="HO107" s="281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I107" s="70"/>
      <c r="JQ107" s="283"/>
      <c r="JR107" s="283"/>
      <c r="JS107" s="283"/>
      <c r="JT107" s="283"/>
    </row>
    <row r="108">
      <c r="A108" s="286" t="s">
        <v>273</v>
      </c>
      <c r="EI108" s="281"/>
      <c r="EJ108" s="281"/>
      <c r="EK108" s="281"/>
      <c r="EL108" s="281"/>
      <c r="EM108" s="281"/>
      <c r="EN108" s="281"/>
      <c r="EO108" s="281"/>
      <c r="EP108" s="281"/>
      <c r="EQ108" s="281"/>
      <c r="ER108" s="281"/>
      <c r="ES108" s="281"/>
      <c r="ET108" s="281"/>
      <c r="EU108" s="281"/>
      <c r="EV108" s="281"/>
      <c r="EW108" s="281"/>
      <c r="EX108" s="281"/>
      <c r="EY108" s="281"/>
      <c r="EZ108" s="281"/>
      <c r="FA108" s="281"/>
      <c r="FB108" s="281"/>
      <c r="FC108" s="281"/>
      <c r="FD108" s="281"/>
      <c r="FE108" s="281"/>
      <c r="FF108" s="281"/>
      <c r="FG108" s="281"/>
      <c r="FH108" s="281"/>
      <c r="FI108" s="281"/>
      <c r="FJ108" s="281"/>
      <c r="FK108" s="281"/>
      <c r="FL108" s="281"/>
      <c r="FM108" s="281"/>
      <c r="FN108" s="281"/>
      <c r="FO108" s="281"/>
      <c r="FP108" s="281"/>
      <c r="FQ108" s="281"/>
      <c r="FR108" s="281"/>
      <c r="FS108" s="281"/>
      <c r="FT108" s="281"/>
      <c r="FU108" s="281"/>
      <c r="FV108" s="281"/>
      <c r="FW108" s="281"/>
      <c r="FX108" s="281"/>
      <c r="FY108" s="281"/>
      <c r="FZ108" s="281"/>
      <c r="GA108" s="281"/>
      <c r="GB108" s="281"/>
      <c r="GC108" s="281"/>
      <c r="GD108" s="281"/>
      <c r="GE108" s="281"/>
      <c r="GF108" s="281"/>
      <c r="GG108" s="281"/>
      <c r="GH108" s="281"/>
      <c r="GI108" s="281"/>
      <c r="GK108" s="281"/>
      <c r="GL108" s="281"/>
      <c r="GM108" s="281"/>
      <c r="GN108" s="281"/>
      <c r="GO108" s="281"/>
      <c r="GP108" s="281"/>
      <c r="GQ108" s="281"/>
      <c r="GR108" s="281"/>
      <c r="GS108" s="281"/>
      <c r="GT108" s="281"/>
      <c r="GU108" s="281"/>
      <c r="GV108" s="281"/>
      <c r="GW108" s="281"/>
      <c r="GX108" s="281"/>
      <c r="GY108" s="281"/>
      <c r="GZ108" s="281"/>
      <c r="HA108" s="281"/>
      <c r="HB108" s="281"/>
      <c r="HC108" s="281"/>
      <c r="HD108" s="281"/>
      <c r="HE108" s="281"/>
      <c r="HF108" s="281"/>
      <c r="HG108" s="281"/>
      <c r="HH108" s="281"/>
      <c r="HI108" s="281"/>
      <c r="HJ108" s="281"/>
      <c r="HK108" s="281"/>
      <c r="HL108" s="281"/>
      <c r="HM108" s="281"/>
      <c r="HN108" s="281"/>
      <c r="HO108" s="281"/>
      <c r="HP108" s="281"/>
      <c r="HQ108" s="281"/>
      <c r="HR108" s="281"/>
      <c r="HS108" s="281"/>
      <c r="HT108" s="281"/>
      <c r="HU108" s="281"/>
      <c r="HV108" s="281"/>
      <c r="HW108" s="281"/>
      <c r="HX108" s="281"/>
      <c r="HY108" s="281"/>
      <c r="HZ108" s="281"/>
      <c r="II108" s="70"/>
      <c r="JQ108" s="283"/>
      <c r="JR108" s="283"/>
      <c r="JS108" s="283"/>
      <c r="JT108" s="283"/>
    </row>
    <row r="109">
      <c r="A109" s="287" t="s">
        <v>274</v>
      </c>
      <c r="B109" s="288"/>
      <c r="EI109" s="289"/>
      <c r="EJ109" s="289"/>
      <c r="EK109" s="289"/>
      <c r="EL109" s="289"/>
      <c r="EM109" s="289"/>
      <c r="EN109" s="289"/>
      <c r="EO109" s="289"/>
      <c r="EP109" s="289"/>
      <c r="EQ109" s="289"/>
      <c r="ER109" s="289"/>
      <c r="ES109" s="289"/>
      <c r="ET109" s="289"/>
      <c r="EU109" s="289"/>
      <c r="EV109" s="289"/>
      <c r="EW109" s="289"/>
      <c r="EX109" s="289"/>
      <c r="EY109" s="289"/>
      <c r="EZ109" s="289"/>
      <c r="FA109" s="289"/>
      <c r="FB109" s="289"/>
      <c r="FC109" s="289"/>
      <c r="FD109" s="289"/>
      <c r="FE109" s="289"/>
      <c r="FF109" s="289"/>
      <c r="FG109" s="289"/>
      <c r="FH109" s="289"/>
      <c r="FI109" s="289"/>
      <c r="FJ109" s="289"/>
      <c r="FK109" s="289"/>
      <c r="FL109" s="289"/>
      <c r="FM109" s="289"/>
      <c r="FN109" s="289"/>
      <c r="FO109" s="289"/>
      <c r="FP109" s="289"/>
      <c r="FQ109" s="289"/>
      <c r="FR109" s="289"/>
      <c r="FS109" s="289"/>
      <c r="FT109" s="289"/>
      <c r="FU109" s="289"/>
      <c r="FV109" s="289"/>
      <c r="FW109" s="289"/>
      <c r="FX109" s="289"/>
      <c r="FY109" s="289"/>
      <c r="FZ109" s="289"/>
      <c r="GA109" s="289"/>
      <c r="GB109" s="289"/>
      <c r="GC109" s="289"/>
      <c r="GD109" s="289"/>
      <c r="GE109" s="289"/>
      <c r="GF109" s="289"/>
      <c r="GG109" s="289"/>
      <c r="GH109" s="289"/>
      <c r="GI109" s="289"/>
      <c r="GK109" s="289"/>
      <c r="GL109" s="289"/>
      <c r="GM109" s="289"/>
      <c r="GN109" s="289"/>
      <c r="GO109" s="289"/>
      <c r="GP109" s="289"/>
      <c r="GQ109" s="289"/>
      <c r="GR109" s="289"/>
      <c r="GS109" s="289"/>
      <c r="GT109" s="289"/>
      <c r="GU109" s="289"/>
      <c r="GV109" s="289"/>
      <c r="GW109" s="289"/>
      <c r="GX109" s="289"/>
      <c r="GY109" s="289"/>
      <c r="GZ109" s="289"/>
      <c r="HA109" s="289"/>
      <c r="HB109" s="289"/>
      <c r="HC109" s="289"/>
      <c r="HD109" s="289"/>
      <c r="HE109" s="289"/>
      <c r="HF109" s="289"/>
      <c r="HG109" s="289"/>
      <c r="HH109" s="289"/>
      <c r="HI109" s="289"/>
      <c r="HJ109" s="289"/>
      <c r="HK109" s="289"/>
      <c r="HL109" s="289"/>
      <c r="HM109" s="289"/>
      <c r="HN109" s="289"/>
      <c r="HO109" s="289"/>
      <c r="HP109" s="289"/>
      <c r="HQ109" s="289"/>
      <c r="HR109" s="289"/>
      <c r="HS109" s="289"/>
      <c r="HT109" s="289"/>
      <c r="HU109" s="289"/>
      <c r="HV109" s="289"/>
      <c r="HW109" s="289"/>
      <c r="HX109" s="289"/>
      <c r="HY109" s="289"/>
      <c r="HZ109" s="289"/>
      <c r="II109" s="70"/>
      <c r="JQ109" s="283"/>
      <c r="JR109" s="283"/>
      <c r="JS109" s="283"/>
      <c r="JT109" s="283"/>
    </row>
    <row r="110">
      <c r="A110" s="291" t="s">
        <v>275</v>
      </c>
      <c r="HB110" s="70"/>
      <c r="HC110" s="70"/>
      <c r="II110" s="70"/>
      <c r="JQ110" s="283"/>
      <c r="JR110" s="283"/>
      <c r="JS110" s="283"/>
      <c r="JT110" s="283"/>
    </row>
    <row r="111">
      <c r="A111" s="72"/>
      <c r="B111" s="280"/>
      <c r="HB111" s="70"/>
      <c r="HC111" s="70"/>
      <c r="II111" s="70"/>
      <c r="JQ111" s="283"/>
      <c r="JR111" s="283"/>
      <c r="JS111" s="283"/>
      <c r="JT111" s="283"/>
    </row>
    <row r="112">
      <c r="A112" s="291">
        <f>CF103</f>
        <v>55661</v>
      </c>
      <c r="B112" s="243" t="s">
        <v>136</v>
      </c>
      <c r="HB112" s="70"/>
      <c r="HC112" s="70"/>
      <c r="II112" s="70"/>
      <c r="JQ112" s="283"/>
      <c r="JR112" s="283"/>
      <c r="JS112" s="283"/>
      <c r="JT112" s="283"/>
    </row>
    <row r="113">
      <c r="A113" s="291">
        <f>EG103</f>
        <v>34044</v>
      </c>
      <c r="B113" s="243" t="s">
        <v>276</v>
      </c>
      <c r="HB113" s="70"/>
      <c r="HC113" s="70"/>
      <c r="II113" s="70"/>
      <c r="JQ113" s="283"/>
      <c r="JR113" s="283"/>
      <c r="JS113" s="283"/>
      <c r="JT113" s="283"/>
    </row>
    <row r="114">
      <c r="A114" s="291">
        <f>GI103</f>
        <v>32935</v>
      </c>
      <c r="B114" s="243" t="s">
        <v>277</v>
      </c>
      <c r="HB114" s="70"/>
      <c r="HC114" s="70"/>
      <c r="II114" s="70"/>
      <c r="JQ114" s="283"/>
      <c r="JR114" s="283"/>
      <c r="JS114" s="283"/>
      <c r="JT114" s="283"/>
    </row>
    <row r="115">
      <c r="A115" s="291">
        <f>IG103</f>
        <v>34550</v>
      </c>
      <c r="B115" s="243" t="s">
        <v>278</v>
      </c>
      <c r="HB115" s="70"/>
      <c r="HC115" s="70"/>
      <c r="II115" s="70"/>
    </row>
    <row r="116">
      <c r="A116" s="291">
        <f>KD103</f>
        <v>30610</v>
      </c>
      <c r="B116" s="243" t="s">
        <v>4</v>
      </c>
      <c r="HB116" s="70"/>
      <c r="HC116" s="70"/>
      <c r="II116" s="70"/>
    </row>
    <row r="117">
      <c r="A117" s="291" t="str">
        <f>SN103</f>
        <v/>
      </c>
      <c r="B117" s="243" t="s">
        <v>279</v>
      </c>
      <c r="HB117" s="70"/>
      <c r="HC117" s="70"/>
      <c r="II117" s="70"/>
    </row>
    <row r="118">
      <c r="A118" s="291" t="str">
        <f>UD103</f>
        <v/>
      </c>
      <c r="B118" s="243" t="s">
        <v>280</v>
      </c>
      <c r="HB118" s="70"/>
      <c r="HC118" s="70"/>
      <c r="II118" s="70"/>
    </row>
    <row r="119">
      <c r="A119" s="291" t="str">
        <f>VY103</f>
        <v/>
      </c>
      <c r="B119" s="243" t="s">
        <v>281</v>
      </c>
      <c r="HB119" s="70"/>
      <c r="HC119" s="70"/>
      <c r="II119" s="70"/>
    </row>
    <row r="120">
      <c r="A120" s="291" t="str">
        <f>XV103</f>
        <v/>
      </c>
      <c r="B120" s="243" t="s">
        <v>282</v>
      </c>
      <c r="HB120" s="70"/>
      <c r="HC120" s="70"/>
      <c r="II120" s="70"/>
    </row>
    <row r="121">
      <c r="A121" s="291" t="str">
        <f>ZG103</f>
        <v/>
      </c>
      <c r="B121" s="243" t="s">
        <v>283</v>
      </c>
      <c r="HB121" s="70"/>
      <c r="HC121" s="70"/>
      <c r="II121" s="70"/>
    </row>
    <row r="122">
      <c r="A122" s="291" t="str">
        <f>ABA103</f>
        <v/>
      </c>
      <c r="B122" s="243" t="s">
        <v>284</v>
      </c>
      <c r="HB122" s="70"/>
      <c r="HC122" s="70"/>
      <c r="II122" s="70"/>
    </row>
    <row r="123">
      <c r="A123" s="290" t="str">
        <f>BBZ104</f>
        <v/>
      </c>
      <c r="B123" s="292" t="s">
        <v>285</v>
      </c>
      <c r="HB123" s="70"/>
      <c r="HC123" s="70"/>
      <c r="II123" s="70"/>
    </row>
    <row r="124">
      <c r="A124" s="291">
        <f>sum(A112:A120)</f>
        <v>187800</v>
      </c>
      <c r="B124" s="280"/>
      <c r="HB124" s="70"/>
      <c r="HC124" s="70"/>
      <c r="II124" s="70"/>
    </row>
    <row r="125">
      <c r="A125" s="72"/>
      <c r="B125" s="280"/>
      <c r="HB125" s="70"/>
      <c r="HC125" s="70"/>
      <c r="II125" s="70"/>
    </row>
    <row r="126">
      <c r="A126" s="72"/>
      <c r="B126" s="280"/>
      <c r="HB126" s="70"/>
      <c r="HC126" s="70"/>
      <c r="II126" s="70"/>
    </row>
    <row r="127">
      <c r="HB127" s="70"/>
      <c r="HC127" s="70"/>
      <c r="II127" s="70"/>
    </row>
    <row r="128">
      <c r="HB128" s="70"/>
      <c r="HC128" s="70"/>
      <c r="II128" s="70"/>
    </row>
    <row r="129">
      <c r="HB129" s="70"/>
      <c r="HC129" s="70"/>
      <c r="II129" s="70"/>
    </row>
    <row r="130">
      <c r="HB130" s="70"/>
      <c r="HC130" s="70"/>
      <c r="II130" s="70"/>
    </row>
    <row r="131">
      <c r="HB131" s="70"/>
      <c r="HC131" s="70"/>
      <c r="II131" s="70"/>
    </row>
    <row r="132">
      <c r="HB132" s="70"/>
      <c r="HC132" s="70"/>
      <c r="II132" s="70"/>
    </row>
    <row r="133">
      <c r="HB133" s="70"/>
      <c r="HC133" s="70"/>
      <c r="II133" s="70"/>
    </row>
    <row r="134">
      <c r="HB134" s="70"/>
      <c r="HC134" s="70"/>
      <c r="II134" s="70"/>
    </row>
    <row r="135">
      <c r="HB135" s="70"/>
      <c r="HC135" s="70"/>
      <c r="II135" s="70"/>
    </row>
    <row r="136">
      <c r="HB136" s="70"/>
      <c r="HC136" s="70"/>
      <c r="II136" s="70"/>
    </row>
    <row r="137">
      <c r="HB137" s="70"/>
      <c r="HC137" s="70"/>
      <c r="II137" s="70"/>
    </row>
    <row r="138">
      <c r="HB138" s="70"/>
      <c r="HC138" s="70"/>
      <c r="II138" s="70"/>
    </row>
    <row r="139">
      <c r="HB139" s="70"/>
      <c r="HC139" s="70"/>
      <c r="II139" s="70"/>
    </row>
    <row r="140">
      <c r="HB140" s="70"/>
      <c r="HC140" s="70"/>
      <c r="II140" s="70"/>
    </row>
    <row r="141">
      <c r="HB141" s="70"/>
      <c r="HC141" s="70"/>
      <c r="II141" s="70"/>
    </row>
    <row r="142">
      <c r="HB142" s="70"/>
      <c r="HC142" s="70"/>
      <c r="II142" s="70"/>
    </row>
    <row r="143">
      <c r="HB143" s="70"/>
      <c r="HC143" s="70"/>
      <c r="II143" s="70"/>
    </row>
    <row r="144">
      <c r="HB144" s="70"/>
      <c r="HC144" s="70"/>
      <c r="II144" s="70"/>
    </row>
    <row r="145">
      <c r="HB145" s="70"/>
      <c r="HC145" s="70"/>
      <c r="II145" s="70"/>
    </row>
    <row r="146">
      <c r="HB146" s="70"/>
      <c r="HC146" s="70"/>
      <c r="II146" s="70"/>
    </row>
    <row r="147">
      <c r="HB147" s="70"/>
      <c r="HC147" s="70"/>
      <c r="II147" s="70"/>
    </row>
    <row r="148">
      <c r="HB148" s="70"/>
      <c r="HC148" s="70"/>
      <c r="II148" s="70"/>
    </row>
    <row r="149">
      <c r="HB149" s="70"/>
      <c r="HC149" s="70"/>
      <c r="II149" s="70"/>
    </row>
    <row r="150">
      <c r="HB150" s="70"/>
      <c r="HC150" s="70"/>
      <c r="II150" s="70"/>
    </row>
    <row r="151">
      <c r="HB151" s="70"/>
      <c r="HC151" s="70"/>
      <c r="II151" s="70"/>
    </row>
    <row r="152">
      <c r="HB152" s="70"/>
      <c r="HC152" s="70"/>
      <c r="II152" s="70"/>
    </row>
    <row r="153">
      <c r="HB153" s="70"/>
      <c r="HC153" s="70"/>
      <c r="II153" s="70"/>
    </row>
    <row r="154">
      <c r="HB154" s="70"/>
      <c r="HC154" s="70"/>
      <c r="II154" s="70"/>
    </row>
    <row r="155">
      <c r="HB155" s="70"/>
      <c r="HC155" s="70"/>
      <c r="II155" s="70"/>
    </row>
    <row r="156">
      <c r="HB156" s="70"/>
      <c r="HC156" s="70"/>
      <c r="II156" s="70"/>
    </row>
    <row r="157">
      <c r="HB157" s="70"/>
      <c r="HC157" s="70"/>
      <c r="II157" s="70"/>
    </row>
    <row r="158">
      <c r="HB158" s="70"/>
      <c r="HC158" s="70"/>
      <c r="II158" s="70"/>
    </row>
    <row r="159">
      <c r="HB159" s="70"/>
      <c r="HC159" s="70"/>
      <c r="II159" s="70"/>
    </row>
    <row r="160">
      <c r="HB160" s="70"/>
      <c r="HC160" s="70"/>
      <c r="II160" s="70"/>
    </row>
    <row r="161">
      <c r="HB161" s="70"/>
      <c r="HC161" s="70"/>
      <c r="II161" s="70"/>
    </row>
    <row r="162">
      <c r="HB162" s="70"/>
      <c r="HC162" s="70"/>
      <c r="II162" s="70"/>
    </row>
    <row r="163">
      <c r="HB163" s="70"/>
      <c r="HC163" s="70"/>
      <c r="II163" s="70"/>
    </row>
    <row r="164">
      <c r="HB164" s="70"/>
      <c r="HC164" s="70"/>
      <c r="II164" s="70"/>
    </row>
    <row r="165">
      <c r="HB165" s="70"/>
      <c r="HC165" s="70"/>
      <c r="II165" s="70"/>
    </row>
    <row r="166">
      <c r="HB166" s="70"/>
      <c r="HC166" s="70"/>
      <c r="II166" s="70"/>
    </row>
    <row r="167">
      <c r="HB167" s="70"/>
      <c r="HC167" s="70"/>
      <c r="II167" s="70"/>
    </row>
    <row r="168">
      <c r="HB168" s="70"/>
      <c r="HC168" s="70"/>
      <c r="II168" s="70"/>
    </row>
    <row r="169">
      <c r="HB169" s="70"/>
      <c r="HC169" s="70"/>
      <c r="II169" s="70"/>
    </row>
    <row r="170">
      <c r="HB170" s="70"/>
      <c r="HC170" s="70"/>
      <c r="II170" s="70"/>
    </row>
    <row r="171">
      <c r="HB171" s="70"/>
      <c r="HC171" s="70"/>
      <c r="II171" s="70"/>
    </row>
    <row r="172">
      <c r="HB172" s="70"/>
      <c r="HC172" s="70"/>
      <c r="II172" s="70"/>
    </row>
    <row r="173">
      <c r="HB173" s="70"/>
      <c r="HC173" s="70"/>
      <c r="II173" s="70"/>
    </row>
    <row r="174">
      <c r="HB174" s="70"/>
      <c r="HC174" s="70"/>
      <c r="II174" s="70"/>
    </row>
    <row r="175">
      <c r="HB175" s="70"/>
      <c r="HC175" s="70"/>
      <c r="II175" s="70"/>
    </row>
    <row r="176">
      <c r="HB176" s="70"/>
      <c r="HC176" s="70"/>
      <c r="II176" s="70"/>
    </row>
    <row r="177">
      <c r="HB177" s="70"/>
      <c r="HC177" s="70"/>
      <c r="II177" s="70"/>
    </row>
    <row r="178">
      <c r="HB178" s="70"/>
      <c r="HC178" s="70"/>
      <c r="II178" s="70"/>
    </row>
    <row r="179">
      <c r="HB179" s="70"/>
      <c r="HC179" s="70"/>
      <c r="II179" s="70"/>
    </row>
    <row r="180">
      <c r="HB180" s="70"/>
      <c r="HC180" s="70"/>
      <c r="II180" s="70"/>
    </row>
    <row r="181">
      <c r="HB181" s="70"/>
      <c r="HC181" s="70"/>
      <c r="II181" s="70"/>
    </row>
    <row r="182">
      <c r="HB182" s="70"/>
      <c r="HC182" s="70"/>
      <c r="II182" s="70"/>
    </row>
    <row r="183">
      <c r="HB183" s="70"/>
      <c r="HC183" s="70"/>
      <c r="II183" s="70"/>
    </row>
    <row r="184">
      <c r="HB184" s="70"/>
      <c r="HC184" s="70"/>
      <c r="II184" s="70"/>
    </row>
    <row r="185">
      <c r="HB185" s="70"/>
      <c r="HC185" s="70"/>
      <c r="II185" s="70"/>
    </row>
    <row r="186">
      <c r="HB186" s="70"/>
      <c r="HC186" s="70"/>
      <c r="II186" s="70"/>
    </row>
    <row r="187">
      <c r="HB187" s="70"/>
      <c r="HC187" s="70"/>
      <c r="II187" s="70"/>
    </row>
    <row r="188">
      <c r="HB188" s="70"/>
      <c r="HC188" s="70"/>
      <c r="II188" s="70"/>
    </row>
    <row r="189">
      <c r="HB189" s="70"/>
      <c r="HC189" s="70"/>
      <c r="II189" s="70"/>
    </row>
    <row r="190">
      <c r="HB190" s="70"/>
      <c r="HC190" s="70"/>
      <c r="II190" s="70"/>
    </row>
    <row r="191">
      <c r="HB191" s="70"/>
      <c r="HC191" s="70"/>
      <c r="II191" s="70"/>
    </row>
    <row r="192">
      <c r="HB192" s="70"/>
      <c r="HC192" s="70"/>
      <c r="II192" s="70"/>
    </row>
    <row r="193">
      <c r="HB193" s="70"/>
      <c r="HC193" s="70"/>
      <c r="II193" s="70"/>
    </row>
    <row r="194">
      <c r="HB194" s="70"/>
      <c r="HC194" s="70"/>
      <c r="II194" s="70"/>
    </row>
    <row r="195">
      <c r="HB195" s="70"/>
      <c r="HC195" s="70"/>
      <c r="II195" s="70"/>
    </row>
    <row r="196">
      <c r="HB196" s="70"/>
      <c r="HC196" s="70"/>
      <c r="II196" s="70"/>
    </row>
    <row r="197">
      <c r="HB197" s="70"/>
      <c r="HC197" s="70"/>
      <c r="II197" s="70"/>
    </row>
    <row r="198">
      <c r="HB198" s="70"/>
      <c r="HC198" s="70"/>
      <c r="II198" s="70"/>
    </row>
    <row r="199">
      <c r="HB199" s="70"/>
      <c r="HC199" s="70"/>
      <c r="II199" s="70"/>
    </row>
    <row r="200">
      <c r="HB200" s="70"/>
      <c r="HC200" s="70"/>
      <c r="II200" s="70"/>
    </row>
    <row r="201">
      <c r="HB201" s="70"/>
      <c r="HC201" s="70"/>
      <c r="II201" s="70"/>
    </row>
    <row r="202">
      <c r="HB202" s="70"/>
      <c r="HC202" s="70"/>
      <c r="II202" s="70"/>
    </row>
    <row r="203">
      <c r="HB203" s="70"/>
      <c r="HC203" s="70"/>
      <c r="II203" s="70"/>
    </row>
    <row r="204">
      <c r="HB204" s="70"/>
      <c r="HC204" s="70"/>
      <c r="II204" s="70"/>
    </row>
    <row r="205">
      <c r="HB205" s="70"/>
      <c r="HC205" s="70"/>
      <c r="II205" s="70"/>
    </row>
    <row r="206">
      <c r="HB206" s="70"/>
      <c r="HC206" s="70"/>
      <c r="II206" s="70"/>
    </row>
    <row r="207">
      <c r="HB207" s="70"/>
      <c r="HC207" s="70"/>
      <c r="II207" s="70"/>
    </row>
    <row r="208">
      <c r="HB208" s="70"/>
      <c r="HC208" s="70"/>
      <c r="II208" s="70"/>
    </row>
    <row r="209">
      <c r="HB209" s="70"/>
      <c r="HC209" s="70"/>
      <c r="II209" s="70"/>
    </row>
    <row r="210">
      <c r="HB210" s="70"/>
      <c r="HC210" s="70"/>
      <c r="II210" s="70"/>
    </row>
    <row r="211">
      <c r="HB211" s="70"/>
      <c r="HC211" s="70"/>
      <c r="II211" s="70"/>
    </row>
    <row r="212">
      <c r="HB212" s="70"/>
      <c r="HC212" s="70"/>
      <c r="II212" s="70"/>
    </row>
    <row r="213">
      <c r="HB213" s="70"/>
      <c r="HC213" s="70"/>
      <c r="II213" s="70"/>
    </row>
    <row r="214">
      <c r="HB214" s="70"/>
      <c r="HC214" s="70"/>
      <c r="II214" s="70"/>
    </row>
    <row r="215">
      <c r="HB215" s="70"/>
      <c r="HC215" s="70"/>
      <c r="II215" s="70"/>
    </row>
    <row r="216">
      <c r="HB216" s="70"/>
      <c r="HC216" s="70"/>
      <c r="II216" s="70"/>
    </row>
    <row r="217">
      <c r="HB217" s="70"/>
      <c r="HC217" s="70"/>
      <c r="II217" s="70"/>
    </row>
    <row r="218">
      <c r="HB218" s="70"/>
      <c r="HC218" s="70"/>
      <c r="II218" s="70"/>
    </row>
    <row r="219">
      <c r="HB219" s="70"/>
      <c r="HC219" s="70"/>
      <c r="II219" s="70"/>
    </row>
    <row r="220">
      <c r="HB220" s="70"/>
      <c r="HC220" s="70"/>
      <c r="II220" s="70"/>
    </row>
    <row r="221">
      <c r="HB221" s="70"/>
      <c r="HC221" s="70"/>
      <c r="II221" s="70"/>
    </row>
    <row r="222">
      <c r="HB222" s="70"/>
      <c r="HC222" s="70"/>
      <c r="II222" s="70"/>
    </row>
    <row r="223">
      <c r="HB223" s="70"/>
      <c r="HC223" s="70"/>
      <c r="II223" s="70"/>
    </row>
    <row r="224">
      <c r="HB224" s="70"/>
      <c r="HC224" s="70"/>
      <c r="II224" s="70"/>
    </row>
    <row r="225">
      <c r="HB225" s="70"/>
      <c r="HC225" s="70"/>
      <c r="II225" s="70"/>
    </row>
    <row r="226">
      <c r="HB226" s="70"/>
      <c r="HC226" s="70"/>
      <c r="II226" s="70"/>
    </row>
    <row r="227">
      <c r="HB227" s="70"/>
      <c r="HC227" s="70"/>
      <c r="II227" s="70"/>
    </row>
    <row r="228">
      <c r="HB228" s="70"/>
      <c r="HC228" s="70"/>
      <c r="II228" s="70"/>
    </row>
    <row r="229">
      <c r="HB229" s="70"/>
      <c r="HC229" s="70"/>
      <c r="II229" s="70"/>
    </row>
    <row r="230">
      <c r="HB230" s="70"/>
      <c r="HC230" s="70"/>
      <c r="II230" s="70"/>
    </row>
    <row r="231">
      <c r="HB231" s="70"/>
      <c r="HC231" s="70"/>
      <c r="II231" s="70"/>
    </row>
    <row r="232">
      <c r="HB232" s="70"/>
      <c r="HC232" s="70"/>
      <c r="II232" s="70"/>
    </row>
    <row r="233">
      <c r="HB233" s="70"/>
      <c r="HC233" s="70"/>
      <c r="II233" s="70"/>
    </row>
    <row r="234">
      <c r="HB234" s="70"/>
      <c r="HC234" s="70"/>
      <c r="II234" s="70"/>
    </row>
    <row r="235">
      <c r="HB235" s="70"/>
      <c r="HC235" s="70"/>
      <c r="II235" s="70"/>
    </row>
    <row r="236">
      <c r="HB236" s="70"/>
      <c r="HC236" s="70"/>
      <c r="II236" s="70"/>
    </row>
    <row r="237">
      <c r="HB237" s="70"/>
      <c r="HC237" s="70"/>
      <c r="II237" s="70"/>
    </row>
    <row r="238">
      <c r="HB238" s="70"/>
      <c r="HC238" s="70"/>
      <c r="II238" s="70"/>
    </row>
    <row r="239">
      <c r="HB239" s="70"/>
      <c r="HC239" s="70"/>
      <c r="II239" s="70"/>
    </row>
    <row r="240">
      <c r="HB240" s="70"/>
      <c r="HC240" s="70"/>
      <c r="II240" s="70"/>
    </row>
    <row r="241">
      <c r="HB241" s="70"/>
      <c r="HC241" s="70"/>
      <c r="II241" s="70"/>
    </row>
    <row r="242">
      <c r="HB242" s="70"/>
      <c r="HC242" s="70"/>
      <c r="II242" s="70"/>
    </row>
    <row r="243">
      <c r="HB243" s="70"/>
      <c r="HC243" s="70"/>
      <c r="II243" s="70"/>
    </row>
    <row r="244">
      <c r="HB244" s="70"/>
      <c r="HC244" s="70"/>
      <c r="II244" s="70"/>
    </row>
    <row r="245">
      <c r="HB245" s="70"/>
      <c r="HC245" s="70"/>
      <c r="II245" s="70"/>
    </row>
    <row r="246">
      <c r="HB246" s="70"/>
      <c r="HC246" s="70"/>
      <c r="II246" s="70"/>
    </row>
    <row r="247">
      <c r="HB247" s="70"/>
      <c r="HC247" s="70"/>
      <c r="II247" s="70"/>
    </row>
    <row r="248">
      <c r="HB248" s="70"/>
      <c r="HC248" s="70"/>
      <c r="II248" s="70"/>
    </row>
    <row r="249">
      <c r="HB249" s="70"/>
      <c r="HC249" s="70"/>
      <c r="II249" s="70"/>
    </row>
    <row r="250">
      <c r="HB250" s="70"/>
      <c r="HC250" s="70"/>
      <c r="II250" s="70"/>
    </row>
    <row r="251">
      <c r="HB251" s="70"/>
      <c r="HC251" s="70"/>
      <c r="II251" s="70"/>
    </row>
    <row r="252">
      <c r="HB252" s="70"/>
      <c r="HC252" s="70"/>
      <c r="II252" s="70"/>
    </row>
    <row r="253">
      <c r="HB253" s="70"/>
      <c r="HC253" s="70"/>
      <c r="II253" s="70"/>
    </row>
    <row r="254">
      <c r="HB254" s="70"/>
      <c r="HC254" s="70"/>
      <c r="II254" s="70"/>
    </row>
    <row r="255">
      <c r="HB255" s="70"/>
      <c r="HC255" s="70"/>
      <c r="II255" s="70"/>
    </row>
    <row r="256">
      <c r="HB256" s="70"/>
      <c r="HC256" s="70"/>
      <c r="II256" s="70"/>
    </row>
    <row r="257">
      <c r="HB257" s="70"/>
      <c r="HC257" s="70"/>
      <c r="II257" s="70"/>
    </row>
    <row r="258">
      <c r="HB258" s="70"/>
      <c r="HC258" s="70"/>
      <c r="II258" s="70"/>
    </row>
    <row r="259">
      <c r="HB259" s="70"/>
      <c r="HC259" s="70"/>
      <c r="II259" s="70"/>
    </row>
    <row r="260">
      <c r="HB260" s="70"/>
      <c r="HC260" s="70"/>
      <c r="II260" s="70"/>
    </row>
    <row r="261">
      <c r="HB261" s="70"/>
      <c r="HC261" s="70"/>
      <c r="II261" s="70"/>
    </row>
    <row r="262">
      <c r="HB262" s="70"/>
      <c r="HC262" s="70"/>
      <c r="II262" s="70"/>
    </row>
    <row r="263">
      <c r="HB263" s="70"/>
      <c r="HC263" s="70"/>
      <c r="II263" s="70"/>
    </row>
    <row r="264">
      <c r="HB264" s="70"/>
      <c r="HC264" s="70"/>
      <c r="II264" s="70"/>
    </row>
    <row r="265">
      <c r="HB265" s="70"/>
      <c r="HC265" s="70"/>
      <c r="II265" s="70"/>
    </row>
    <row r="266">
      <c r="HB266" s="70"/>
      <c r="HC266" s="70"/>
      <c r="II266" s="70"/>
    </row>
    <row r="267">
      <c r="HB267" s="70"/>
      <c r="HC267" s="70"/>
      <c r="II267" s="70"/>
    </row>
    <row r="268">
      <c r="HB268" s="70"/>
      <c r="HC268" s="70"/>
      <c r="II268" s="70"/>
    </row>
    <row r="269">
      <c r="HB269" s="70"/>
      <c r="HC269" s="70"/>
      <c r="II269" s="70"/>
    </row>
    <row r="270">
      <c r="HB270" s="70"/>
      <c r="HC270" s="70"/>
      <c r="II270" s="70"/>
    </row>
    <row r="271">
      <c r="HB271" s="70"/>
      <c r="HC271" s="70"/>
      <c r="II271" s="70"/>
    </row>
    <row r="272">
      <c r="HB272" s="70"/>
      <c r="HC272" s="70"/>
      <c r="II272" s="70"/>
    </row>
    <row r="273">
      <c r="HB273" s="70"/>
      <c r="HC273" s="70"/>
      <c r="II273" s="70"/>
    </row>
    <row r="274">
      <c r="HB274" s="70"/>
      <c r="HC274" s="70"/>
      <c r="II274" s="70"/>
    </row>
    <row r="275">
      <c r="HB275" s="70"/>
      <c r="HC275" s="70"/>
      <c r="II275" s="70"/>
    </row>
    <row r="276">
      <c r="HB276" s="70"/>
      <c r="HC276" s="70"/>
      <c r="II276" s="70"/>
    </row>
    <row r="277">
      <c r="HB277" s="70"/>
      <c r="HC277" s="70"/>
      <c r="II277" s="70"/>
    </row>
    <row r="278">
      <c r="HB278" s="70"/>
      <c r="HC278" s="70"/>
      <c r="II278" s="70"/>
    </row>
    <row r="279">
      <c r="HB279" s="70"/>
      <c r="HC279" s="70"/>
      <c r="II279" s="70"/>
    </row>
    <row r="280">
      <c r="HB280" s="70"/>
      <c r="HC280" s="70"/>
      <c r="II280" s="70"/>
    </row>
    <row r="281">
      <c r="HB281" s="70"/>
      <c r="HC281" s="70"/>
      <c r="II281" s="70"/>
    </row>
    <row r="282">
      <c r="HB282" s="70"/>
      <c r="HC282" s="70"/>
      <c r="II282" s="70"/>
    </row>
    <row r="283">
      <c r="HB283" s="70"/>
      <c r="HC283" s="70"/>
      <c r="II283" s="70"/>
    </row>
    <row r="284">
      <c r="HB284" s="70"/>
      <c r="HC284" s="70"/>
      <c r="II284" s="70"/>
    </row>
    <row r="285">
      <c r="HB285" s="70"/>
      <c r="HC285" s="70"/>
      <c r="II285" s="70"/>
    </row>
    <row r="286">
      <c r="HB286" s="70"/>
      <c r="HC286" s="70"/>
      <c r="II286" s="70"/>
    </row>
    <row r="287">
      <c r="HB287" s="70"/>
      <c r="HC287" s="70"/>
      <c r="II287" s="70"/>
    </row>
    <row r="288">
      <c r="HB288" s="70"/>
      <c r="HC288" s="70"/>
      <c r="II288" s="70"/>
    </row>
    <row r="289">
      <c r="HB289" s="70"/>
      <c r="HC289" s="70"/>
      <c r="II289" s="70"/>
    </row>
    <row r="290">
      <c r="HB290" s="70"/>
      <c r="HC290" s="70"/>
      <c r="II290" s="70"/>
    </row>
    <row r="291">
      <c r="HB291" s="70"/>
      <c r="HC291" s="70"/>
      <c r="II291" s="70"/>
    </row>
    <row r="292">
      <c r="HB292" s="70"/>
      <c r="HC292" s="70"/>
      <c r="II292" s="70"/>
    </row>
    <row r="293">
      <c r="HB293" s="70"/>
      <c r="HC293" s="70"/>
      <c r="II293" s="70"/>
    </row>
    <row r="294">
      <c r="HB294" s="70"/>
      <c r="HC294" s="70"/>
      <c r="II294" s="70"/>
    </row>
    <row r="295">
      <c r="HB295" s="70"/>
      <c r="HC295" s="70"/>
      <c r="II295" s="70"/>
    </row>
    <row r="296">
      <c r="HB296" s="70"/>
      <c r="HC296" s="70"/>
      <c r="II296" s="70"/>
    </row>
    <row r="297">
      <c r="HB297" s="70"/>
      <c r="HC297" s="70"/>
      <c r="II297" s="70"/>
    </row>
    <row r="298">
      <c r="HB298" s="70"/>
      <c r="HC298" s="70"/>
      <c r="II298" s="70"/>
    </row>
    <row r="299">
      <c r="HB299" s="70"/>
      <c r="HC299" s="70"/>
      <c r="II299" s="70"/>
    </row>
    <row r="300">
      <c r="HB300" s="70"/>
      <c r="HC300" s="70"/>
      <c r="II300" s="70"/>
    </row>
    <row r="301">
      <c r="HB301" s="70"/>
      <c r="HC301" s="70"/>
      <c r="II301" s="70"/>
    </row>
    <row r="302">
      <c r="HB302" s="70"/>
      <c r="HC302" s="70"/>
      <c r="II302" s="70"/>
    </row>
    <row r="303">
      <c r="HB303" s="70"/>
      <c r="HC303" s="70"/>
      <c r="II303" s="70"/>
    </row>
    <row r="304">
      <c r="HB304" s="70"/>
      <c r="HC304" s="70"/>
      <c r="II304" s="70"/>
    </row>
    <row r="305">
      <c r="HB305" s="70"/>
      <c r="HC305" s="70"/>
      <c r="II305" s="70"/>
    </row>
    <row r="306">
      <c r="HB306" s="70"/>
      <c r="HC306" s="70"/>
      <c r="II306" s="70"/>
    </row>
    <row r="307">
      <c r="HB307" s="70"/>
      <c r="HC307" s="70"/>
      <c r="II307" s="70"/>
    </row>
    <row r="308">
      <c r="HB308" s="70"/>
      <c r="HC308" s="70"/>
      <c r="II308" s="70"/>
    </row>
    <row r="309">
      <c r="HB309" s="70"/>
      <c r="HC309" s="70"/>
      <c r="II309" s="70"/>
    </row>
    <row r="310">
      <c r="HB310" s="70"/>
      <c r="HC310" s="70"/>
      <c r="II310" s="70"/>
    </row>
    <row r="311">
      <c r="HB311" s="70"/>
      <c r="HC311" s="70"/>
      <c r="II311" s="70"/>
    </row>
    <row r="312">
      <c r="HB312" s="70"/>
      <c r="HC312" s="70"/>
      <c r="II312" s="70"/>
    </row>
    <row r="313">
      <c r="HB313" s="70"/>
      <c r="HC313" s="70"/>
      <c r="II313" s="70"/>
    </row>
    <row r="314">
      <c r="HB314" s="70"/>
      <c r="HC314" s="70"/>
      <c r="II314" s="70"/>
    </row>
    <row r="315">
      <c r="HB315" s="70"/>
      <c r="HC315" s="70"/>
      <c r="II315" s="70"/>
    </row>
    <row r="316">
      <c r="HB316" s="70"/>
      <c r="HC316" s="70"/>
      <c r="II316" s="70"/>
    </row>
    <row r="317">
      <c r="HB317" s="70"/>
      <c r="HC317" s="70"/>
      <c r="II317" s="70"/>
    </row>
    <row r="318">
      <c r="HB318" s="70"/>
      <c r="HC318" s="70"/>
      <c r="II318" s="70"/>
    </row>
    <row r="319">
      <c r="HB319" s="70"/>
      <c r="HC319" s="70"/>
      <c r="II319" s="70"/>
    </row>
    <row r="320">
      <c r="HB320" s="70"/>
      <c r="HC320" s="70"/>
      <c r="II320" s="70"/>
    </row>
    <row r="321">
      <c r="HB321" s="70"/>
      <c r="HC321" s="70"/>
      <c r="II321" s="70"/>
    </row>
    <row r="322">
      <c r="HB322" s="70"/>
      <c r="HC322" s="70"/>
      <c r="II322" s="70"/>
    </row>
    <row r="323">
      <c r="HB323" s="70"/>
      <c r="HC323" s="70"/>
      <c r="II323" s="70"/>
    </row>
    <row r="324">
      <c r="HB324" s="70"/>
      <c r="HC324" s="70"/>
      <c r="II324" s="70"/>
    </row>
    <row r="325">
      <c r="HB325" s="70"/>
      <c r="HC325" s="70"/>
      <c r="II325" s="70"/>
    </row>
    <row r="326">
      <c r="HB326" s="70"/>
      <c r="HC326" s="70"/>
      <c r="II326" s="70"/>
    </row>
    <row r="327">
      <c r="HB327" s="70"/>
      <c r="HC327" s="70"/>
      <c r="II327" s="70"/>
    </row>
    <row r="328">
      <c r="HB328" s="70"/>
      <c r="HC328" s="70"/>
      <c r="II328" s="70"/>
    </row>
    <row r="329">
      <c r="HB329" s="70"/>
      <c r="HC329" s="70"/>
      <c r="II329" s="70"/>
    </row>
    <row r="330">
      <c r="HB330" s="70"/>
      <c r="HC330" s="70"/>
      <c r="II330" s="70"/>
    </row>
    <row r="331">
      <c r="HB331" s="70"/>
      <c r="HC331" s="70"/>
      <c r="II331" s="70"/>
    </row>
    <row r="332">
      <c r="HB332" s="70"/>
      <c r="HC332" s="70"/>
      <c r="II332" s="70"/>
    </row>
    <row r="333">
      <c r="HB333" s="70"/>
      <c r="HC333" s="70"/>
      <c r="II333" s="70"/>
    </row>
    <row r="334">
      <c r="HB334" s="70"/>
      <c r="HC334" s="70"/>
      <c r="II334" s="70"/>
    </row>
    <row r="335">
      <c r="HB335" s="70"/>
      <c r="HC335" s="70"/>
      <c r="II335" s="70"/>
    </row>
    <row r="336">
      <c r="HB336" s="70"/>
      <c r="HC336" s="70"/>
      <c r="II336" s="70"/>
    </row>
    <row r="337">
      <c r="HB337" s="70"/>
      <c r="HC337" s="70"/>
      <c r="II337" s="70"/>
    </row>
    <row r="338">
      <c r="HB338" s="70"/>
      <c r="HC338" s="70"/>
      <c r="II338" s="70"/>
    </row>
    <row r="339">
      <c r="HB339" s="70"/>
      <c r="HC339" s="70"/>
      <c r="II339" s="70"/>
    </row>
    <row r="340">
      <c r="HB340" s="70"/>
      <c r="HC340" s="70"/>
      <c r="II340" s="70"/>
    </row>
    <row r="341">
      <c r="HB341" s="70"/>
      <c r="HC341" s="70"/>
      <c r="II341" s="70"/>
    </row>
    <row r="342">
      <c r="HB342" s="70"/>
      <c r="HC342" s="70"/>
      <c r="II342" s="70"/>
    </row>
    <row r="343">
      <c r="HB343" s="70"/>
      <c r="HC343" s="70"/>
      <c r="II343" s="70"/>
    </row>
    <row r="344">
      <c r="HB344" s="70"/>
      <c r="HC344" s="70"/>
      <c r="II344" s="70"/>
    </row>
    <row r="345">
      <c r="HB345" s="70"/>
      <c r="HC345" s="70"/>
      <c r="II345" s="70"/>
    </row>
    <row r="346">
      <c r="HB346" s="70"/>
      <c r="HC346" s="70"/>
      <c r="II346" s="70"/>
    </row>
    <row r="347">
      <c r="HB347" s="70"/>
      <c r="HC347" s="70"/>
      <c r="II347" s="70"/>
    </row>
    <row r="348">
      <c r="HB348" s="70"/>
      <c r="HC348" s="70"/>
      <c r="II348" s="70"/>
    </row>
    <row r="349">
      <c r="HB349" s="70"/>
      <c r="HC349" s="70"/>
      <c r="II349" s="70"/>
    </row>
    <row r="350">
      <c r="HB350" s="70"/>
      <c r="HC350" s="70"/>
      <c r="II350" s="70"/>
    </row>
    <row r="351">
      <c r="HB351" s="70"/>
      <c r="HC351" s="70"/>
      <c r="II351" s="70"/>
    </row>
    <row r="352">
      <c r="HB352" s="70"/>
      <c r="HC352" s="70"/>
      <c r="II352" s="70"/>
    </row>
    <row r="353">
      <c r="HB353" s="70"/>
      <c r="HC353" s="70"/>
      <c r="II353" s="70"/>
    </row>
    <row r="354">
      <c r="HB354" s="70"/>
      <c r="HC354" s="70"/>
      <c r="II354" s="70"/>
    </row>
    <row r="355">
      <c r="HB355" s="70"/>
      <c r="HC355" s="70"/>
      <c r="II355" s="70"/>
    </row>
    <row r="356">
      <c r="HB356" s="70"/>
      <c r="HC356" s="70"/>
      <c r="II356" s="70"/>
    </row>
    <row r="357">
      <c r="HB357" s="70"/>
      <c r="HC357" s="70"/>
      <c r="II357" s="70"/>
    </row>
    <row r="358">
      <c r="HB358" s="70"/>
      <c r="HC358" s="70"/>
      <c r="II358" s="70"/>
    </row>
    <row r="359">
      <c r="HB359" s="70"/>
      <c r="HC359" s="70"/>
      <c r="II359" s="70"/>
    </row>
    <row r="360">
      <c r="HB360" s="70"/>
      <c r="HC360" s="70"/>
      <c r="II360" s="70"/>
    </row>
    <row r="361">
      <c r="HB361" s="70"/>
      <c r="HC361" s="70"/>
      <c r="II361" s="70"/>
    </row>
    <row r="362">
      <c r="HB362" s="70"/>
      <c r="HC362" s="70"/>
      <c r="II362" s="70"/>
    </row>
    <row r="363">
      <c r="HB363" s="70"/>
      <c r="HC363" s="70"/>
      <c r="II363" s="70"/>
    </row>
    <row r="364">
      <c r="HB364" s="70"/>
      <c r="HC364" s="70"/>
      <c r="II364" s="70"/>
    </row>
    <row r="365">
      <c r="HB365" s="70"/>
      <c r="HC365" s="70"/>
      <c r="II365" s="70"/>
    </row>
    <row r="366">
      <c r="HB366" s="70"/>
      <c r="HC366" s="70"/>
      <c r="II366" s="70"/>
    </row>
    <row r="367">
      <c r="HB367" s="70"/>
      <c r="HC367" s="70"/>
      <c r="II367" s="70"/>
    </row>
    <row r="368">
      <c r="HB368" s="70"/>
      <c r="HC368" s="70"/>
      <c r="II368" s="70"/>
    </row>
    <row r="369">
      <c r="HB369" s="70"/>
      <c r="HC369" s="70"/>
      <c r="II369" s="70"/>
    </row>
    <row r="370">
      <c r="HB370" s="70"/>
      <c r="HC370" s="70"/>
      <c r="II370" s="70"/>
    </row>
    <row r="371">
      <c r="HB371" s="70"/>
      <c r="HC371" s="70"/>
      <c r="II371" s="70"/>
    </row>
    <row r="372">
      <c r="HB372" s="70"/>
      <c r="HC372" s="70"/>
      <c r="II372" s="70"/>
    </row>
    <row r="373">
      <c r="HB373" s="70"/>
      <c r="HC373" s="70"/>
      <c r="II373" s="70"/>
    </row>
    <row r="374">
      <c r="HB374" s="70"/>
      <c r="HC374" s="70"/>
      <c r="II374" s="70"/>
    </row>
    <row r="375">
      <c r="HB375" s="70"/>
      <c r="HC375" s="70"/>
      <c r="II375" s="70"/>
    </row>
    <row r="376">
      <c r="HB376" s="70"/>
      <c r="HC376" s="70"/>
      <c r="II376" s="70"/>
    </row>
    <row r="377">
      <c r="HB377" s="70"/>
      <c r="HC377" s="70"/>
      <c r="II377" s="70"/>
    </row>
    <row r="378">
      <c r="HB378" s="70"/>
      <c r="HC378" s="70"/>
      <c r="II378" s="70"/>
    </row>
    <row r="379">
      <c r="HB379" s="70"/>
      <c r="HC379" s="70"/>
      <c r="II379" s="70"/>
    </row>
    <row r="380">
      <c r="HB380" s="70"/>
      <c r="HC380" s="70"/>
      <c r="II380" s="70"/>
    </row>
    <row r="381">
      <c r="HB381" s="70"/>
      <c r="HC381" s="70"/>
      <c r="II381" s="70"/>
    </row>
    <row r="382">
      <c r="HB382" s="70"/>
      <c r="HC382" s="70"/>
      <c r="II382" s="70"/>
    </row>
    <row r="383">
      <c r="HB383" s="70"/>
      <c r="HC383" s="70"/>
      <c r="II383" s="70"/>
    </row>
    <row r="384">
      <c r="HB384" s="70"/>
      <c r="HC384" s="70"/>
      <c r="II384" s="70"/>
    </row>
    <row r="385">
      <c r="HB385" s="70"/>
      <c r="HC385" s="70"/>
      <c r="II385" s="70"/>
    </row>
    <row r="386">
      <c r="HB386" s="70"/>
      <c r="HC386" s="70"/>
      <c r="II386" s="70"/>
    </row>
    <row r="387">
      <c r="HB387" s="70"/>
      <c r="HC387" s="70"/>
      <c r="II387" s="70"/>
    </row>
    <row r="388">
      <c r="HB388" s="70"/>
      <c r="HC388" s="70"/>
      <c r="II388" s="70"/>
    </row>
    <row r="389">
      <c r="HB389" s="70"/>
      <c r="HC389" s="70"/>
      <c r="II389" s="70"/>
    </row>
    <row r="390">
      <c r="HB390" s="70"/>
      <c r="HC390" s="70"/>
      <c r="II390" s="70"/>
    </row>
    <row r="391">
      <c r="HB391" s="70"/>
      <c r="HC391" s="70"/>
      <c r="II391" s="70"/>
    </row>
    <row r="392">
      <c r="HB392" s="70"/>
      <c r="HC392" s="70"/>
      <c r="II392" s="70"/>
    </row>
    <row r="393">
      <c r="HB393" s="70"/>
      <c r="HC393" s="70"/>
      <c r="II393" s="70"/>
    </row>
    <row r="394">
      <c r="HB394" s="70"/>
      <c r="HC394" s="70"/>
      <c r="II394" s="70"/>
    </row>
    <row r="395">
      <c r="HB395" s="70"/>
      <c r="HC395" s="70"/>
      <c r="II395" s="70"/>
    </row>
    <row r="396">
      <c r="HB396" s="70"/>
      <c r="HC396" s="70"/>
      <c r="II396" s="70"/>
    </row>
    <row r="397">
      <c r="HB397" s="70"/>
      <c r="HC397" s="70"/>
      <c r="II397" s="70"/>
    </row>
    <row r="398">
      <c r="HB398" s="70"/>
      <c r="HC398" s="70"/>
      <c r="II398" s="70"/>
    </row>
    <row r="399">
      <c r="HB399" s="70"/>
      <c r="HC399" s="70"/>
      <c r="II399" s="70"/>
    </row>
    <row r="400">
      <c r="HB400" s="70"/>
      <c r="HC400" s="70"/>
      <c r="II400" s="70"/>
    </row>
    <row r="401">
      <c r="HB401" s="70"/>
      <c r="HC401" s="70"/>
      <c r="II401" s="70"/>
    </row>
    <row r="402">
      <c r="HB402" s="70"/>
      <c r="HC402" s="70"/>
      <c r="II402" s="70"/>
    </row>
    <row r="403">
      <c r="HB403" s="70"/>
      <c r="HC403" s="70"/>
      <c r="II403" s="70"/>
    </row>
    <row r="404">
      <c r="HB404" s="70"/>
      <c r="HC404" s="70"/>
      <c r="II404" s="70"/>
    </row>
    <row r="405">
      <c r="HB405" s="70"/>
      <c r="HC405" s="70"/>
      <c r="II405" s="70"/>
    </row>
    <row r="406">
      <c r="HB406" s="70"/>
      <c r="HC406" s="70"/>
      <c r="II406" s="70"/>
    </row>
    <row r="407">
      <c r="HB407" s="70"/>
      <c r="HC407" s="70"/>
      <c r="II407" s="70"/>
    </row>
    <row r="408">
      <c r="HB408" s="70"/>
      <c r="HC408" s="70"/>
      <c r="II408" s="70"/>
    </row>
    <row r="409">
      <c r="HB409" s="70"/>
      <c r="HC409" s="70"/>
      <c r="II409" s="70"/>
    </row>
    <row r="410">
      <c r="HB410" s="70"/>
      <c r="HC410" s="70"/>
      <c r="II410" s="70"/>
    </row>
    <row r="411">
      <c r="HB411" s="70"/>
      <c r="HC411" s="70"/>
      <c r="II411" s="70"/>
    </row>
    <row r="412">
      <c r="HB412" s="70"/>
      <c r="HC412" s="70"/>
      <c r="II412" s="70"/>
    </row>
    <row r="413">
      <c r="HB413" s="70"/>
      <c r="HC413" s="70"/>
      <c r="II413" s="70"/>
    </row>
    <row r="414">
      <c r="HB414" s="70"/>
      <c r="HC414" s="70"/>
      <c r="II414" s="70"/>
    </row>
    <row r="415">
      <c r="HB415" s="70"/>
      <c r="HC415" s="70"/>
      <c r="II415" s="70"/>
    </row>
    <row r="416">
      <c r="HB416" s="70"/>
      <c r="HC416" s="70"/>
      <c r="II416" s="70"/>
    </row>
    <row r="417">
      <c r="HB417" s="70"/>
      <c r="HC417" s="70"/>
      <c r="II417" s="70"/>
    </row>
    <row r="418">
      <c r="HB418" s="70"/>
      <c r="HC418" s="70"/>
      <c r="II418" s="70"/>
    </row>
    <row r="419">
      <c r="HB419" s="70"/>
      <c r="HC419" s="70"/>
      <c r="II419" s="70"/>
    </row>
    <row r="420">
      <c r="HB420" s="70"/>
      <c r="HC420" s="70"/>
      <c r="II420" s="70"/>
    </row>
    <row r="421">
      <c r="HB421" s="70"/>
      <c r="HC421" s="70"/>
      <c r="II421" s="70"/>
    </row>
    <row r="422">
      <c r="HB422" s="70"/>
      <c r="HC422" s="70"/>
      <c r="II422" s="70"/>
    </row>
    <row r="423">
      <c r="HB423" s="70"/>
      <c r="HC423" s="70"/>
      <c r="II423" s="70"/>
    </row>
    <row r="424">
      <c r="HB424" s="70"/>
      <c r="HC424" s="70"/>
      <c r="II424" s="70"/>
    </row>
    <row r="425">
      <c r="HB425" s="70"/>
      <c r="HC425" s="70"/>
      <c r="II425" s="70"/>
    </row>
    <row r="426">
      <c r="HB426" s="70"/>
      <c r="HC426" s="70"/>
      <c r="II426" s="70"/>
    </row>
    <row r="427">
      <c r="HB427" s="70"/>
      <c r="HC427" s="70"/>
      <c r="II427" s="70"/>
    </row>
    <row r="428">
      <c r="HB428" s="70"/>
      <c r="HC428" s="70"/>
      <c r="II428" s="70"/>
    </row>
    <row r="429">
      <c r="HB429" s="70"/>
      <c r="HC429" s="70"/>
      <c r="II429" s="70"/>
    </row>
    <row r="430">
      <c r="HB430" s="70"/>
      <c r="HC430" s="70"/>
      <c r="II430" s="70"/>
    </row>
    <row r="431">
      <c r="HB431" s="70"/>
      <c r="HC431" s="70"/>
      <c r="II431" s="70"/>
    </row>
    <row r="432">
      <c r="HB432" s="70"/>
      <c r="HC432" s="70"/>
      <c r="II432" s="70"/>
    </row>
    <row r="433">
      <c r="HB433" s="70"/>
      <c r="HC433" s="70"/>
      <c r="II433" s="70"/>
    </row>
    <row r="434">
      <c r="HB434" s="70"/>
      <c r="HC434" s="70"/>
      <c r="II434" s="70"/>
    </row>
    <row r="435">
      <c r="HB435" s="70"/>
      <c r="HC435" s="70"/>
      <c r="II435" s="70"/>
    </row>
    <row r="436">
      <c r="HB436" s="70"/>
      <c r="HC436" s="70"/>
      <c r="II436" s="70"/>
    </row>
    <row r="437">
      <c r="HB437" s="70"/>
      <c r="HC437" s="70"/>
      <c r="II437" s="70"/>
    </row>
    <row r="438">
      <c r="HB438" s="70"/>
      <c r="HC438" s="70"/>
      <c r="II438" s="70"/>
    </row>
    <row r="439">
      <c r="HB439" s="70"/>
      <c r="HC439" s="70"/>
      <c r="II439" s="70"/>
    </row>
    <row r="440">
      <c r="HB440" s="70"/>
      <c r="HC440" s="70"/>
      <c r="II440" s="70"/>
    </row>
    <row r="441">
      <c r="HB441" s="70"/>
      <c r="HC441" s="70"/>
      <c r="II441" s="70"/>
    </row>
    <row r="442">
      <c r="HB442" s="70"/>
      <c r="HC442" s="70"/>
      <c r="II442" s="70"/>
    </row>
    <row r="443">
      <c r="HB443" s="70"/>
      <c r="HC443" s="70"/>
      <c r="II443" s="70"/>
    </row>
    <row r="444">
      <c r="HB444" s="70"/>
      <c r="HC444" s="70"/>
      <c r="II444" s="70"/>
    </row>
    <row r="445">
      <c r="HB445" s="70"/>
      <c r="HC445" s="70"/>
      <c r="II445" s="70"/>
    </row>
    <row r="446">
      <c r="HB446" s="70"/>
      <c r="HC446" s="70"/>
      <c r="II446" s="70"/>
    </row>
    <row r="447">
      <c r="HB447" s="70"/>
      <c r="HC447" s="70"/>
      <c r="II447" s="70"/>
    </row>
    <row r="448">
      <c r="HB448" s="70"/>
      <c r="HC448" s="70"/>
      <c r="II448" s="70"/>
    </row>
    <row r="449">
      <c r="HB449" s="70"/>
      <c r="HC449" s="70"/>
      <c r="II449" s="70"/>
    </row>
    <row r="450">
      <c r="HB450" s="70"/>
      <c r="HC450" s="70"/>
      <c r="II450" s="70"/>
    </row>
    <row r="451">
      <c r="HB451" s="70"/>
      <c r="HC451" s="70"/>
      <c r="II451" s="70"/>
    </row>
    <row r="452">
      <c r="HB452" s="70"/>
      <c r="HC452" s="70"/>
      <c r="II452" s="70"/>
    </row>
    <row r="453">
      <c r="HB453" s="70"/>
      <c r="HC453" s="70"/>
      <c r="II453" s="70"/>
    </row>
    <row r="454">
      <c r="HB454" s="70"/>
      <c r="HC454" s="70"/>
      <c r="II454" s="70"/>
    </row>
    <row r="455">
      <c r="HB455" s="70"/>
      <c r="HC455" s="70"/>
      <c r="II455" s="70"/>
    </row>
    <row r="456">
      <c r="HB456" s="70"/>
      <c r="HC456" s="70"/>
      <c r="II456" s="70"/>
    </row>
    <row r="457">
      <c r="HB457" s="70"/>
      <c r="HC457" s="70"/>
      <c r="II457" s="70"/>
    </row>
    <row r="458">
      <c r="HB458" s="70"/>
      <c r="HC458" s="70"/>
      <c r="II458" s="70"/>
    </row>
    <row r="459">
      <c r="HB459" s="70"/>
      <c r="HC459" s="70"/>
      <c r="II459" s="70"/>
    </row>
    <row r="460">
      <c r="HB460" s="70"/>
      <c r="HC460" s="70"/>
      <c r="II460" s="70"/>
    </row>
    <row r="461">
      <c r="HB461" s="70"/>
      <c r="HC461" s="70"/>
      <c r="II461" s="70"/>
    </row>
    <row r="462">
      <c r="HB462" s="70"/>
      <c r="HC462" s="70"/>
      <c r="II462" s="70"/>
    </row>
    <row r="463">
      <c r="HB463" s="70"/>
      <c r="HC463" s="70"/>
      <c r="II463" s="70"/>
    </row>
    <row r="464">
      <c r="HB464" s="70"/>
      <c r="HC464" s="70"/>
      <c r="II464" s="70"/>
    </row>
    <row r="465">
      <c r="HB465" s="70"/>
      <c r="HC465" s="70"/>
      <c r="II465" s="70"/>
    </row>
    <row r="466">
      <c r="HB466" s="70"/>
      <c r="HC466" s="70"/>
      <c r="II466" s="70"/>
    </row>
    <row r="467">
      <c r="HB467" s="70"/>
      <c r="HC467" s="70"/>
      <c r="II467" s="70"/>
    </row>
    <row r="468">
      <c r="HB468" s="70"/>
      <c r="HC468" s="70"/>
      <c r="II468" s="70"/>
    </row>
    <row r="469">
      <c r="HB469" s="70"/>
      <c r="HC469" s="70"/>
      <c r="II469" s="70"/>
    </row>
    <row r="470">
      <c r="HB470" s="70"/>
      <c r="HC470" s="70"/>
      <c r="II470" s="70"/>
    </row>
    <row r="471">
      <c r="HB471" s="70"/>
      <c r="HC471" s="70"/>
      <c r="II471" s="70"/>
    </row>
    <row r="472">
      <c r="HB472" s="70"/>
      <c r="HC472" s="70"/>
      <c r="II472" s="70"/>
    </row>
    <row r="473">
      <c r="HB473" s="70"/>
      <c r="HC473" s="70"/>
      <c r="II473" s="70"/>
    </row>
    <row r="474">
      <c r="HB474" s="70"/>
      <c r="HC474" s="70"/>
      <c r="II474" s="70"/>
    </row>
    <row r="475">
      <c r="HB475" s="70"/>
      <c r="HC475" s="70"/>
      <c r="II475" s="70"/>
    </row>
    <row r="476">
      <c r="HB476" s="70"/>
      <c r="HC476" s="70"/>
      <c r="II476" s="70"/>
    </row>
    <row r="477">
      <c r="HB477" s="70"/>
      <c r="HC477" s="70"/>
      <c r="II477" s="70"/>
    </row>
    <row r="478">
      <c r="HB478" s="70"/>
      <c r="HC478" s="70"/>
      <c r="II478" s="70"/>
    </row>
    <row r="479">
      <c r="HB479" s="70"/>
      <c r="HC479" s="70"/>
      <c r="II479" s="70"/>
    </row>
    <row r="480">
      <c r="HB480" s="70"/>
      <c r="HC480" s="70"/>
      <c r="II480" s="70"/>
    </row>
    <row r="481">
      <c r="HB481" s="70"/>
      <c r="HC481" s="70"/>
      <c r="II481" s="70"/>
    </row>
    <row r="482">
      <c r="HB482" s="70"/>
      <c r="HC482" s="70"/>
      <c r="II482" s="70"/>
    </row>
    <row r="483">
      <c r="HB483" s="70"/>
      <c r="HC483" s="70"/>
      <c r="II483" s="70"/>
    </row>
    <row r="484">
      <c r="HB484" s="70"/>
      <c r="HC484" s="70"/>
      <c r="II484" s="70"/>
    </row>
    <row r="485">
      <c r="HB485" s="70"/>
      <c r="HC485" s="70"/>
      <c r="II485" s="70"/>
    </row>
    <row r="486">
      <c r="HB486" s="70"/>
      <c r="HC486" s="70"/>
      <c r="II486" s="70"/>
    </row>
    <row r="487">
      <c r="HB487" s="70"/>
      <c r="HC487" s="70"/>
      <c r="II487" s="70"/>
    </row>
    <row r="488">
      <c r="HB488" s="70"/>
      <c r="HC488" s="70"/>
      <c r="II488" s="70"/>
    </row>
    <row r="489">
      <c r="HB489" s="70"/>
      <c r="HC489" s="70"/>
      <c r="II489" s="70"/>
    </row>
    <row r="490">
      <c r="HB490" s="70"/>
      <c r="HC490" s="70"/>
      <c r="II490" s="70"/>
    </row>
    <row r="491">
      <c r="HB491" s="70"/>
      <c r="HC491" s="70"/>
      <c r="II491" s="70"/>
    </row>
    <row r="492">
      <c r="HB492" s="70"/>
      <c r="HC492" s="70"/>
      <c r="II492" s="70"/>
    </row>
    <row r="493">
      <c r="HB493" s="70"/>
      <c r="HC493" s="70"/>
      <c r="II493" s="70"/>
    </row>
    <row r="494">
      <c r="HB494" s="70"/>
      <c r="HC494" s="70"/>
      <c r="II494" s="70"/>
    </row>
    <row r="495">
      <c r="HB495" s="70"/>
      <c r="HC495" s="70"/>
      <c r="II495" s="70"/>
    </row>
    <row r="496">
      <c r="HB496" s="70"/>
      <c r="HC496" s="70"/>
      <c r="II496" s="70"/>
    </row>
    <row r="497">
      <c r="HB497" s="70"/>
      <c r="HC497" s="70"/>
      <c r="II497" s="70"/>
    </row>
    <row r="498">
      <c r="HB498" s="70"/>
      <c r="HC498" s="70"/>
      <c r="II498" s="70"/>
    </row>
    <row r="499">
      <c r="HB499" s="70"/>
      <c r="HC499" s="70"/>
      <c r="II499" s="70"/>
    </row>
    <row r="500">
      <c r="HB500" s="70"/>
      <c r="HC500" s="70"/>
      <c r="II500" s="70"/>
    </row>
    <row r="501">
      <c r="HB501" s="70"/>
      <c r="HC501" s="70"/>
      <c r="II501" s="70"/>
    </row>
    <row r="502">
      <c r="HB502" s="70"/>
      <c r="HC502" s="70"/>
      <c r="II502" s="70"/>
    </row>
    <row r="503">
      <c r="HB503" s="70"/>
      <c r="HC503" s="70"/>
      <c r="II503" s="70"/>
    </row>
    <row r="504">
      <c r="HB504" s="70"/>
      <c r="HC504" s="70"/>
      <c r="II504" s="70"/>
    </row>
    <row r="505">
      <c r="HB505" s="70"/>
      <c r="HC505" s="70"/>
      <c r="II505" s="70"/>
    </row>
    <row r="506">
      <c r="HB506" s="70"/>
      <c r="HC506" s="70"/>
      <c r="II506" s="70"/>
    </row>
    <row r="507">
      <c r="HB507" s="70"/>
      <c r="HC507" s="70"/>
      <c r="II507" s="70"/>
    </row>
    <row r="508">
      <c r="HB508" s="70"/>
      <c r="HC508" s="70"/>
      <c r="II508" s="70"/>
    </row>
    <row r="509">
      <c r="HB509" s="70"/>
      <c r="HC509" s="70"/>
      <c r="II509" s="70"/>
    </row>
    <row r="510">
      <c r="HB510" s="70"/>
      <c r="HC510" s="70"/>
      <c r="II510" s="70"/>
    </row>
    <row r="511">
      <c r="HB511" s="70"/>
      <c r="HC511" s="70"/>
      <c r="II511" s="70"/>
    </row>
    <row r="512">
      <c r="HB512" s="70"/>
      <c r="HC512" s="70"/>
      <c r="II512" s="70"/>
    </row>
    <row r="513">
      <c r="HB513" s="70"/>
      <c r="HC513" s="70"/>
      <c r="II513" s="70"/>
    </row>
    <row r="514">
      <c r="HB514" s="70"/>
      <c r="HC514" s="70"/>
      <c r="II514" s="70"/>
    </row>
    <row r="515">
      <c r="HB515" s="70"/>
      <c r="HC515" s="70"/>
      <c r="II515" s="70"/>
    </row>
    <row r="516">
      <c r="HB516" s="70"/>
      <c r="HC516" s="70"/>
      <c r="II516" s="70"/>
    </row>
    <row r="517">
      <c r="HB517" s="70"/>
      <c r="HC517" s="70"/>
      <c r="II517" s="70"/>
    </row>
    <row r="518">
      <c r="HB518" s="70"/>
      <c r="HC518" s="70"/>
      <c r="II518" s="70"/>
    </row>
    <row r="519">
      <c r="HB519" s="70"/>
      <c r="HC519" s="70"/>
      <c r="II519" s="70"/>
    </row>
    <row r="520">
      <c r="HB520" s="70"/>
      <c r="HC520" s="70"/>
      <c r="II520" s="70"/>
    </row>
    <row r="521">
      <c r="HB521" s="70"/>
      <c r="HC521" s="70"/>
      <c r="II521" s="70"/>
    </row>
    <row r="522">
      <c r="HB522" s="70"/>
      <c r="HC522" s="70"/>
      <c r="II522" s="70"/>
    </row>
    <row r="523">
      <c r="HB523" s="70"/>
      <c r="HC523" s="70"/>
      <c r="II523" s="70"/>
    </row>
    <row r="524">
      <c r="HB524" s="70"/>
      <c r="HC524" s="70"/>
      <c r="II524" s="70"/>
    </row>
    <row r="525">
      <c r="HB525" s="70"/>
      <c r="HC525" s="70"/>
      <c r="II525" s="70"/>
    </row>
    <row r="526">
      <c r="HB526" s="70"/>
      <c r="HC526" s="70"/>
      <c r="II526" s="70"/>
    </row>
    <row r="527">
      <c r="HB527" s="70"/>
      <c r="HC527" s="70"/>
      <c r="II527" s="70"/>
    </row>
    <row r="528">
      <c r="HB528" s="70"/>
      <c r="HC528" s="70"/>
      <c r="II528" s="70"/>
    </row>
    <row r="529">
      <c r="HB529" s="70"/>
      <c r="HC529" s="70"/>
      <c r="II529" s="70"/>
    </row>
    <row r="530">
      <c r="HB530" s="70"/>
      <c r="HC530" s="70"/>
      <c r="II530" s="70"/>
    </row>
    <row r="531">
      <c r="HB531" s="70"/>
      <c r="HC531" s="70"/>
      <c r="II531" s="70"/>
    </row>
    <row r="532">
      <c r="HB532" s="70"/>
      <c r="HC532" s="70"/>
      <c r="II532" s="70"/>
    </row>
    <row r="533">
      <c r="HB533" s="70"/>
      <c r="HC533" s="70"/>
      <c r="II533" s="70"/>
    </row>
    <row r="534">
      <c r="HB534" s="70"/>
      <c r="HC534" s="70"/>
      <c r="II534" s="70"/>
    </row>
    <row r="535">
      <c r="HB535" s="70"/>
      <c r="HC535" s="70"/>
      <c r="II535" s="70"/>
    </row>
    <row r="536">
      <c r="HB536" s="70"/>
      <c r="HC536" s="70"/>
      <c r="II536" s="70"/>
    </row>
    <row r="537">
      <c r="HB537" s="70"/>
      <c r="HC537" s="70"/>
      <c r="II537" s="70"/>
    </row>
    <row r="538">
      <c r="HB538" s="70"/>
      <c r="HC538" s="70"/>
      <c r="II538" s="70"/>
    </row>
    <row r="539">
      <c r="HB539" s="70"/>
      <c r="HC539" s="70"/>
      <c r="II539" s="70"/>
    </row>
    <row r="540">
      <c r="HB540" s="70"/>
      <c r="HC540" s="70"/>
      <c r="II540" s="70"/>
    </row>
    <row r="541">
      <c r="HB541" s="70"/>
      <c r="HC541" s="70"/>
      <c r="II541" s="70"/>
    </row>
    <row r="542">
      <c r="HB542" s="70"/>
      <c r="HC542" s="70"/>
      <c r="II542" s="70"/>
    </row>
    <row r="543">
      <c r="HB543" s="70"/>
      <c r="HC543" s="70"/>
      <c r="II543" s="70"/>
    </row>
    <row r="544">
      <c r="HB544" s="70"/>
      <c r="HC544" s="70"/>
      <c r="II544" s="70"/>
    </row>
    <row r="545">
      <c r="HB545" s="70"/>
      <c r="HC545" s="70"/>
      <c r="II545" s="70"/>
    </row>
    <row r="546">
      <c r="HB546" s="70"/>
      <c r="HC546" s="70"/>
      <c r="II546" s="70"/>
    </row>
    <row r="547">
      <c r="HB547" s="70"/>
      <c r="HC547" s="70"/>
      <c r="II547" s="70"/>
    </row>
    <row r="548">
      <c r="HB548" s="70"/>
      <c r="HC548" s="70"/>
      <c r="II548" s="70"/>
    </row>
    <row r="549">
      <c r="HB549" s="70"/>
      <c r="HC549" s="70"/>
      <c r="II549" s="70"/>
    </row>
    <row r="550">
      <c r="HB550" s="70"/>
      <c r="HC550" s="70"/>
      <c r="II550" s="70"/>
    </row>
    <row r="551">
      <c r="HB551" s="70"/>
      <c r="HC551" s="70"/>
      <c r="II551" s="70"/>
    </row>
    <row r="552">
      <c r="HB552" s="70"/>
      <c r="HC552" s="70"/>
      <c r="II552" s="70"/>
    </row>
    <row r="553">
      <c r="HB553" s="70"/>
      <c r="HC553" s="70"/>
      <c r="II553" s="70"/>
    </row>
    <row r="554">
      <c r="HB554" s="70"/>
      <c r="HC554" s="70"/>
      <c r="II554" s="70"/>
    </row>
    <row r="555">
      <c r="HB555" s="70"/>
      <c r="HC555" s="70"/>
      <c r="II555" s="70"/>
    </row>
    <row r="556">
      <c r="HB556" s="70"/>
      <c r="HC556" s="70"/>
      <c r="II556" s="70"/>
    </row>
    <row r="557">
      <c r="HB557" s="70"/>
      <c r="HC557" s="70"/>
      <c r="II557" s="70"/>
    </row>
    <row r="558">
      <c r="HB558" s="70"/>
      <c r="HC558" s="70"/>
      <c r="II558" s="70"/>
    </row>
    <row r="559">
      <c r="HB559" s="70"/>
      <c r="HC559" s="70"/>
      <c r="II559" s="70"/>
    </row>
    <row r="560">
      <c r="HB560" s="70"/>
      <c r="HC560" s="70"/>
      <c r="II560" s="70"/>
    </row>
    <row r="561">
      <c r="HB561" s="70"/>
      <c r="HC561" s="70"/>
      <c r="II561" s="70"/>
    </row>
    <row r="562">
      <c r="HB562" s="70"/>
      <c r="HC562" s="70"/>
      <c r="II562" s="70"/>
    </row>
    <row r="563">
      <c r="HB563" s="70"/>
      <c r="HC563" s="70"/>
      <c r="II563" s="70"/>
    </row>
    <row r="564">
      <c r="HB564" s="70"/>
      <c r="HC564" s="70"/>
      <c r="II564" s="70"/>
    </row>
    <row r="565">
      <c r="HB565" s="70"/>
      <c r="HC565" s="70"/>
      <c r="II565" s="70"/>
    </row>
    <row r="566">
      <c r="HB566" s="70"/>
      <c r="HC566" s="70"/>
      <c r="II566" s="70"/>
    </row>
    <row r="567">
      <c r="HB567" s="70"/>
      <c r="HC567" s="70"/>
      <c r="II567" s="70"/>
    </row>
    <row r="568">
      <c r="HB568" s="70"/>
      <c r="HC568" s="70"/>
      <c r="II568" s="70"/>
    </row>
    <row r="569">
      <c r="HB569" s="70"/>
      <c r="HC569" s="70"/>
      <c r="II569" s="70"/>
    </row>
    <row r="570">
      <c r="HB570" s="70"/>
      <c r="HC570" s="70"/>
      <c r="II570" s="70"/>
    </row>
    <row r="571">
      <c r="HB571" s="70"/>
      <c r="HC571" s="70"/>
      <c r="II571" s="70"/>
    </row>
    <row r="572">
      <c r="HB572" s="70"/>
      <c r="HC572" s="70"/>
      <c r="II572" s="70"/>
    </row>
    <row r="573">
      <c r="HB573" s="70"/>
      <c r="HC573" s="70"/>
      <c r="II573" s="70"/>
    </row>
    <row r="574">
      <c r="HB574" s="70"/>
      <c r="HC574" s="70"/>
      <c r="II574" s="70"/>
    </row>
    <row r="575">
      <c r="HB575" s="70"/>
      <c r="HC575" s="70"/>
      <c r="II575" s="70"/>
    </row>
    <row r="576">
      <c r="HB576" s="70"/>
      <c r="HC576" s="70"/>
      <c r="II576" s="70"/>
    </row>
    <row r="577">
      <c r="HB577" s="70"/>
      <c r="HC577" s="70"/>
      <c r="II577" s="70"/>
    </row>
    <row r="578">
      <c r="HB578" s="70"/>
      <c r="HC578" s="70"/>
      <c r="II578" s="70"/>
    </row>
    <row r="579">
      <c r="HB579" s="70"/>
      <c r="HC579" s="70"/>
      <c r="II579" s="70"/>
    </row>
    <row r="580">
      <c r="HB580" s="70"/>
      <c r="HC580" s="70"/>
      <c r="II580" s="70"/>
    </row>
    <row r="581">
      <c r="HB581" s="70"/>
      <c r="HC581" s="70"/>
      <c r="II581" s="70"/>
    </row>
    <row r="582">
      <c r="HB582" s="70"/>
      <c r="HC582" s="70"/>
      <c r="II582" s="70"/>
    </row>
    <row r="583">
      <c r="HB583" s="70"/>
      <c r="HC583" s="70"/>
      <c r="II583" s="70"/>
    </row>
    <row r="584">
      <c r="HB584" s="70"/>
      <c r="HC584" s="70"/>
      <c r="II584" s="70"/>
    </row>
    <row r="585">
      <c r="HB585" s="70"/>
      <c r="HC585" s="70"/>
      <c r="II585" s="70"/>
    </row>
    <row r="586">
      <c r="HB586" s="70"/>
      <c r="HC586" s="70"/>
      <c r="II586" s="70"/>
    </row>
    <row r="587">
      <c r="HB587" s="70"/>
      <c r="HC587" s="70"/>
      <c r="II587" s="70"/>
    </row>
    <row r="588">
      <c r="HB588" s="70"/>
      <c r="HC588" s="70"/>
      <c r="II588" s="70"/>
    </row>
    <row r="589">
      <c r="HB589" s="70"/>
      <c r="HC589" s="70"/>
      <c r="II589" s="70"/>
    </row>
    <row r="590">
      <c r="HB590" s="70"/>
      <c r="HC590" s="70"/>
      <c r="II590" s="70"/>
    </row>
    <row r="591">
      <c r="HB591" s="70"/>
      <c r="HC591" s="70"/>
      <c r="II591" s="70"/>
    </row>
    <row r="592">
      <c r="HB592" s="70"/>
      <c r="HC592" s="70"/>
      <c r="II592" s="70"/>
    </row>
    <row r="593">
      <c r="HB593" s="70"/>
      <c r="HC593" s="70"/>
      <c r="II593" s="70"/>
    </row>
    <row r="594">
      <c r="HB594" s="70"/>
      <c r="HC594" s="70"/>
      <c r="II594" s="70"/>
    </row>
    <row r="595">
      <c r="HB595" s="70"/>
      <c r="HC595" s="70"/>
      <c r="II595" s="70"/>
    </row>
    <row r="596">
      <c r="HB596" s="70"/>
      <c r="HC596" s="70"/>
      <c r="II596" s="70"/>
    </row>
    <row r="597">
      <c r="HB597" s="70"/>
      <c r="HC597" s="70"/>
      <c r="II597" s="70"/>
    </row>
    <row r="598">
      <c r="HB598" s="70"/>
      <c r="HC598" s="70"/>
      <c r="II598" s="70"/>
    </row>
    <row r="599">
      <c r="HB599" s="70"/>
      <c r="HC599" s="70"/>
      <c r="II599" s="70"/>
    </row>
    <row r="600">
      <c r="HB600" s="70"/>
      <c r="HC600" s="70"/>
      <c r="II600" s="70"/>
    </row>
    <row r="601">
      <c r="HB601" s="70"/>
      <c r="HC601" s="70"/>
      <c r="II601" s="70"/>
    </row>
    <row r="602">
      <c r="HB602" s="70"/>
      <c r="HC602" s="70"/>
      <c r="II602" s="70"/>
    </row>
    <row r="603">
      <c r="HB603" s="70"/>
      <c r="HC603" s="70"/>
      <c r="II603" s="70"/>
    </row>
    <row r="604">
      <c r="HB604" s="70"/>
      <c r="HC604" s="70"/>
      <c r="II604" s="70"/>
    </row>
    <row r="605">
      <c r="HB605" s="70"/>
      <c r="HC605" s="70"/>
      <c r="II605" s="70"/>
    </row>
    <row r="606">
      <c r="HB606" s="70"/>
      <c r="HC606" s="70"/>
      <c r="II606" s="70"/>
    </row>
    <row r="607">
      <c r="HB607" s="70"/>
      <c r="HC607" s="70"/>
      <c r="II607" s="70"/>
    </row>
    <row r="608">
      <c r="HB608" s="70"/>
      <c r="HC608" s="70"/>
      <c r="II608" s="70"/>
    </row>
    <row r="609">
      <c r="HB609" s="70"/>
      <c r="HC609" s="70"/>
      <c r="II609" s="70"/>
    </row>
    <row r="610">
      <c r="HB610" s="70"/>
      <c r="HC610" s="70"/>
      <c r="II610" s="70"/>
    </row>
    <row r="611">
      <c r="HB611" s="70"/>
      <c r="HC611" s="70"/>
      <c r="II611" s="70"/>
    </row>
    <row r="612">
      <c r="HB612" s="70"/>
      <c r="HC612" s="70"/>
      <c r="II612" s="70"/>
    </row>
    <row r="613">
      <c r="HB613" s="70"/>
      <c r="HC613" s="70"/>
      <c r="II613" s="70"/>
    </row>
    <row r="614">
      <c r="HB614" s="70"/>
      <c r="HC614" s="70"/>
      <c r="II614" s="70"/>
    </row>
    <row r="615">
      <c r="HB615" s="70"/>
      <c r="HC615" s="70"/>
      <c r="II615" s="70"/>
    </row>
    <row r="616">
      <c r="HB616" s="70"/>
      <c r="HC616" s="70"/>
      <c r="II616" s="70"/>
    </row>
    <row r="617">
      <c r="HB617" s="70"/>
      <c r="HC617" s="70"/>
      <c r="II617" s="70"/>
    </row>
    <row r="618">
      <c r="HB618" s="70"/>
      <c r="HC618" s="70"/>
      <c r="II618" s="70"/>
    </row>
    <row r="619">
      <c r="HB619" s="70"/>
      <c r="HC619" s="70"/>
      <c r="II619" s="70"/>
    </row>
    <row r="620">
      <c r="HB620" s="70"/>
      <c r="HC620" s="70"/>
      <c r="II620" s="70"/>
    </row>
    <row r="621">
      <c r="HB621" s="70"/>
      <c r="HC621" s="70"/>
      <c r="II621" s="70"/>
    </row>
    <row r="622">
      <c r="HB622" s="70"/>
      <c r="HC622" s="70"/>
      <c r="II622" s="70"/>
    </row>
    <row r="623">
      <c r="HB623" s="70"/>
      <c r="HC623" s="70"/>
      <c r="II623" s="70"/>
    </row>
    <row r="624">
      <c r="HB624" s="70"/>
      <c r="HC624" s="70"/>
      <c r="II624" s="70"/>
    </row>
    <row r="625">
      <c r="HB625" s="70"/>
      <c r="HC625" s="70"/>
      <c r="II625" s="70"/>
    </row>
    <row r="626">
      <c r="HB626" s="70"/>
      <c r="HC626" s="70"/>
      <c r="II626" s="70"/>
    </row>
    <row r="627">
      <c r="HB627" s="70"/>
      <c r="HC627" s="70"/>
      <c r="II627" s="70"/>
    </row>
    <row r="628">
      <c r="HB628" s="70"/>
      <c r="HC628" s="70"/>
      <c r="II628" s="70"/>
    </row>
    <row r="629">
      <c r="HB629" s="70"/>
      <c r="HC629" s="70"/>
      <c r="II629" s="70"/>
    </row>
    <row r="630">
      <c r="HB630" s="70"/>
      <c r="HC630" s="70"/>
      <c r="II630" s="70"/>
    </row>
    <row r="631">
      <c r="HB631" s="70"/>
      <c r="HC631" s="70"/>
      <c r="II631" s="70"/>
    </row>
    <row r="632">
      <c r="HB632" s="70"/>
      <c r="HC632" s="70"/>
      <c r="II632" s="70"/>
    </row>
    <row r="633">
      <c r="HB633" s="70"/>
      <c r="HC633" s="70"/>
      <c r="II633" s="70"/>
    </row>
    <row r="634">
      <c r="HB634" s="70"/>
      <c r="HC634" s="70"/>
      <c r="II634" s="70"/>
    </row>
    <row r="635">
      <c r="HB635" s="70"/>
      <c r="HC635" s="70"/>
      <c r="II635" s="70"/>
    </row>
    <row r="636">
      <c r="HB636" s="70"/>
      <c r="HC636" s="70"/>
      <c r="II636" s="70"/>
    </row>
    <row r="637">
      <c r="HB637" s="70"/>
      <c r="HC637" s="70"/>
      <c r="II637" s="70"/>
    </row>
    <row r="638">
      <c r="HB638" s="70"/>
      <c r="HC638" s="70"/>
      <c r="II638" s="70"/>
    </row>
    <row r="639">
      <c r="HB639" s="70"/>
      <c r="HC639" s="70"/>
      <c r="II639" s="70"/>
    </row>
    <row r="640">
      <c r="HB640" s="70"/>
      <c r="HC640" s="70"/>
      <c r="II640" s="70"/>
    </row>
    <row r="641">
      <c r="HB641" s="70"/>
      <c r="HC641" s="70"/>
      <c r="II641" s="70"/>
    </row>
    <row r="642">
      <c r="HB642" s="70"/>
      <c r="HC642" s="70"/>
      <c r="II642" s="70"/>
    </row>
    <row r="643">
      <c r="HB643" s="70"/>
      <c r="HC643" s="70"/>
      <c r="II643" s="70"/>
    </row>
    <row r="644">
      <c r="HB644" s="70"/>
      <c r="HC644" s="70"/>
      <c r="II644" s="70"/>
    </row>
    <row r="645">
      <c r="HB645" s="70"/>
      <c r="HC645" s="70"/>
      <c r="II645" s="70"/>
    </row>
    <row r="646">
      <c r="HB646" s="70"/>
      <c r="HC646" s="70"/>
      <c r="II646" s="70"/>
    </row>
    <row r="647">
      <c r="HB647" s="70"/>
      <c r="HC647" s="70"/>
      <c r="II647" s="70"/>
    </row>
    <row r="648">
      <c r="HB648" s="70"/>
      <c r="HC648" s="70"/>
      <c r="II648" s="70"/>
    </row>
    <row r="649">
      <c r="HB649" s="70"/>
      <c r="HC649" s="70"/>
      <c r="II649" s="70"/>
    </row>
    <row r="650">
      <c r="HB650" s="70"/>
      <c r="HC650" s="70"/>
      <c r="II650" s="70"/>
    </row>
    <row r="651">
      <c r="HB651" s="70"/>
      <c r="HC651" s="70"/>
      <c r="II651" s="70"/>
    </row>
    <row r="652">
      <c r="HB652" s="70"/>
      <c r="HC652" s="70"/>
      <c r="II652" s="70"/>
    </row>
    <row r="653">
      <c r="HB653" s="70"/>
      <c r="HC653" s="70"/>
      <c r="II653" s="70"/>
    </row>
    <row r="654">
      <c r="HB654" s="70"/>
      <c r="HC654" s="70"/>
      <c r="II654" s="70"/>
    </row>
    <row r="655">
      <c r="HB655" s="70"/>
      <c r="HC655" s="70"/>
      <c r="II655" s="70"/>
    </row>
    <row r="656">
      <c r="HB656" s="70"/>
      <c r="HC656" s="70"/>
      <c r="II656" s="70"/>
    </row>
    <row r="657">
      <c r="HB657" s="70"/>
      <c r="HC657" s="70"/>
      <c r="II657" s="70"/>
    </row>
    <row r="658">
      <c r="HB658" s="70"/>
      <c r="HC658" s="70"/>
      <c r="II658" s="70"/>
    </row>
    <row r="659">
      <c r="HB659" s="70"/>
      <c r="HC659" s="70"/>
      <c r="II659" s="70"/>
    </row>
    <row r="660">
      <c r="HB660" s="70"/>
      <c r="HC660" s="70"/>
      <c r="II660" s="70"/>
    </row>
    <row r="661">
      <c r="HB661" s="70"/>
      <c r="HC661" s="70"/>
      <c r="II661" s="70"/>
    </row>
    <row r="662">
      <c r="HB662" s="70"/>
      <c r="HC662" s="70"/>
      <c r="II662" s="70"/>
    </row>
    <row r="663">
      <c r="HB663" s="70"/>
      <c r="HC663" s="70"/>
      <c r="II663" s="70"/>
    </row>
    <row r="664">
      <c r="HB664" s="70"/>
      <c r="HC664" s="70"/>
      <c r="II664" s="70"/>
    </row>
    <row r="665">
      <c r="HB665" s="70"/>
      <c r="HC665" s="70"/>
      <c r="II665" s="70"/>
    </row>
    <row r="666">
      <c r="HB666" s="70"/>
      <c r="HC666" s="70"/>
      <c r="II666" s="70"/>
    </row>
    <row r="667">
      <c r="HB667" s="70"/>
      <c r="HC667" s="70"/>
      <c r="II667" s="70"/>
    </row>
    <row r="668">
      <c r="HB668" s="70"/>
      <c r="HC668" s="70"/>
      <c r="II668" s="70"/>
    </row>
    <row r="669">
      <c r="HB669" s="70"/>
      <c r="HC669" s="70"/>
      <c r="II669" s="70"/>
    </row>
    <row r="670">
      <c r="HB670" s="70"/>
      <c r="HC670" s="70"/>
      <c r="II670" s="70"/>
    </row>
    <row r="671">
      <c r="HB671" s="70"/>
      <c r="HC671" s="70"/>
      <c r="II671" s="70"/>
    </row>
    <row r="672">
      <c r="HB672" s="70"/>
      <c r="HC672" s="70"/>
      <c r="II672" s="70"/>
    </row>
    <row r="673">
      <c r="HB673" s="70"/>
      <c r="HC673" s="70"/>
      <c r="II673" s="70"/>
    </row>
    <row r="674">
      <c r="HB674" s="70"/>
      <c r="HC674" s="70"/>
      <c r="II674" s="70"/>
    </row>
    <row r="675">
      <c r="HB675" s="70"/>
      <c r="HC675" s="70"/>
      <c r="II675" s="70"/>
    </row>
    <row r="676">
      <c r="HB676" s="70"/>
      <c r="HC676" s="70"/>
      <c r="II676" s="70"/>
    </row>
    <row r="677">
      <c r="HB677" s="70"/>
      <c r="HC677" s="70"/>
      <c r="II677" s="70"/>
    </row>
    <row r="678">
      <c r="HB678" s="70"/>
      <c r="HC678" s="70"/>
      <c r="II678" s="70"/>
    </row>
    <row r="679">
      <c r="HB679" s="70"/>
      <c r="HC679" s="70"/>
      <c r="II679" s="70"/>
    </row>
    <row r="680">
      <c r="HB680" s="70"/>
      <c r="HC680" s="70"/>
      <c r="II680" s="70"/>
    </row>
    <row r="681">
      <c r="HB681" s="70"/>
      <c r="HC681" s="70"/>
      <c r="II681" s="70"/>
    </row>
    <row r="682">
      <c r="HB682" s="70"/>
      <c r="HC682" s="70"/>
      <c r="II682" s="70"/>
    </row>
    <row r="683">
      <c r="HB683" s="70"/>
      <c r="HC683" s="70"/>
      <c r="II683" s="70"/>
    </row>
    <row r="684">
      <c r="HB684" s="70"/>
      <c r="HC684" s="70"/>
      <c r="II684" s="70"/>
    </row>
    <row r="685">
      <c r="HB685" s="70"/>
      <c r="HC685" s="70"/>
      <c r="II685" s="70"/>
    </row>
    <row r="686">
      <c r="HB686" s="70"/>
      <c r="HC686" s="70"/>
      <c r="II686" s="70"/>
    </row>
    <row r="687">
      <c r="HB687" s="70"/>
      <c r="HC687" s="70"/>
      <c r="II687" s="70"/>
    </row>
    <row r="688">
      <c r="HB688" s="70"/>
      <c r="HC688" s="70"/>
      <c r="II688" s="70"/>
    </row>
    <row r="689">
      <c r="HB689" s="70"/>
      <c r="HC689" s="70"/>
      <c r="II689" s="70"/>
    </row>
    <row r="690">
      <c r="HB690" s="70"/>
      <c r="HC690" s="70"/>
      <c r="II690" s="70"/>
    </row>
    <row r="691">
      <c r="HB691" s="70"/>
      <c r="HC691" s="70"/>
      <c r="II691" s="70"/>
    </row>
    <row r="692">
      <c r="HB692" s="70"/>
      <c r="HC692" s="70"/>
      <c r="II692" s="70"/>
    </row>
    <row r="693">
      <c r="HB693" s="70"/>
      <c r="HC693" s="70"/>
      <c r="II693" s="70"/>
    </row>
    <row r="694">
      <c r="HB694" s="70"/>
      <c r="HC694" s="70"/>
      <c r="II694" s="70"/>
    </row>
    <row r="695">
      <c r="HB695" s="70"/>
      <c r="HC695" s="70"/>
      <c r="II695" s="70"/>
    </row>
    <row r="696">
      <c r="HB696" s="70"/>
      <c r="HC696" s="70"/>
      <c r="II696" s="70"/>
    </row>
    <row r="697">
      <c r="HB697" s="70"/>
      <c r="HC697" s="70"/>
      <c r="II697" s="70"/>
    </row>
    <row r="698">
      <c r="HB698" s="70"/>
      <c r="HC698" s="70"/>
      <c r="II698" s="70"/>
    </row>
    <row r="699">
      <c r="HB699" s="70"/>
      <c r="HC699" s="70"/>
      <c r="II699" s="70"/>
    </row>
    <row r="700">
      <c r="HB700" s="70"/>
      <c r="HC700" s="70"/>
      <c r="II700" s="70"/>
    </row>
    <row r="701">
      <c r="HB701" s="70"/>
      <c r="HC701" s="70"/>
      <c r="II701" s="70"/>
    </row>
    <row r="702">
      <c r="HB702" s="70"/>
      <c r="HC702" s="70"/>
      <c r="II702" s="70"/>
    </row>
    <row r="703">
      <c r="HB703" s="70"/>
      <c r="HC703" s="70"/>
      <c r="II703" s="70"/>
    </row>
    <row r="704">
      <c r="HB704" s="70"/>
      <c r="HC704" s="70"/>
      <c r="II704" s="70"/>
    </row>
    <row r="705">
      <c r="HB705" s="70"/>
      <c r="HC705" s="70"/>
      <c r="II705" s="70"/>
    </row>
    <row r="706">
      <c r="HB706" s="70"/>
      <c r="HC706" s="70"/>
      <c r="II706" s="70"/>
    </row>
    <row r="707">
      <c r="HB707" s="70"/>
      <c r="HC707" s="70"/>
      <c r="II707" s="70"/>
    </row>
    <row r="708">
      <c r="HB708" s="70"/>
      <c r="HC708" s="70"/>
      <c r="II708" s="70"/>
    </row>
    <row r="709">
      <c r="HB709" s="70"/>
      <c r="HC709" s="70"/>
      <c r="II709" s="70"/>
    </row>
    <row r="710">
      <c r="HB710" s="70"/>
      <c r="HC710" s="70"/>
      <c r="II710" s="70"/>
    </row>
    <row r="711">
      <c r="HB711" s="70"/>
      <c r="HC711" s="70"/>
      <c r="II711" s="70"/>
    </row>
    <row r="712">
      <c r="HB712" s="70"/>
      <c r="HC712" s="70"/>
      <c r="II712" s="70"/>
    </row>
    <row r="713">
      <c r="HB713" s="70"/>
      <c r="HC713" s="70"/>
      <c r="II713" s="70"/>
    </row>
    <row r="714">
      <c r="HB714" s="70"/>
      <c r="HC714" s="70"/>
      <c r="II714" s="70"/>
    </row>
    <row r="715">
      <c r="HB715" s="70"/>
      <c r="HC715" s="70"/>
      <c r="II715" s="70"/>
    </row>
    <row r="716">
      <c r="HB716" s="70"/>
      <c r="HC716" s="70"/>
      <c r="II716" s="70"/>
    </row>
    <row r="717">
      <c r="HB717" s="70"/>
      <c r="HC717" s="70"/>
      <c r="II717" s="70"/>
    </row>
    <row r="718">
      <c r="HB718" s="70"/>
      <c r="HC718" s="70"/>
      <c r="II718" s="70"/>
    </row>
    <row r="719">
      <c r="HB719" s="70"/>
      <c r="HC719" s="70"/>
      <c r="II719" s="70"/>
    </row>
    <row r="720">
      <c r="HB720" s="70"/>
      <c r="HC720" s="70"/>
      <c r="II720" s="70"/>
    </row>
    <row r="721">
      <c r="HB721" s="70"/>
      <c r="HC721" s="70"/>
      <c r="II721" s="70"/>
    </row>
    <row r="722">
      <c r="HB722" s="70"/>
      <c r="HC722" s="70"/>
      <c r="II722" s="70"/>
    </row>
    <row r="723">
      <c r="HB723" s="70"/>
      <c r="HC723" s="70"/>
      <c r="II723" s="70"/>
    </row>
    <row r="724">
      <c r="HB724" s="70"/>
      <c r="HC724" s="70"/>
      <c r="II724" s="70"/>
    </row>
    <row r="725">
      <c r="HB725" s="70"/>
      <c r="HC725" s="70"/>
      <c r="II725" s="70"/>
    </row>
    <row r="726">
      <c r="HB726" s="70"/>
      <c r="HC726" s="70"/>
      <c r="II726" s="70"/>
    </row>
    <row r="727">
      <c r="HB727" s="70"/>
      <c r="HC727" s="70"/>
      <c r="II727" s="70"/>
    </row>
    <row r="728">
      <c r="HB728" s="70"/>
      <c r="HC728" s="70"/>
      <c r="II728" s="70"/>
    </row>
    <row r="729">
      <c r="HB729" s="70"/>
      <c r="HC729" s="70"/>
      <c r="II729" s="70"/>
    </row>
    <row r="730">
      <c r="HB730" s="70"/>
      <c r="HC730" s="70"/>
      <c r="II730" s="70"/>
    </row>
    <row r="731">
      <c r="HB731" s="70"/>
      <c r="HC731" s="70"/>
      <c r="II731" s="70"/>
    </row>
    <row r="732">
      <c r="HB732" s="70"/>
      <c r="HC732" s="70"/>
      <c r="II732" s="70"/>
    </row>
    <row r="733">
      <c r="HB733" s="70"/>
      <c r="HC733" s="70"/>
      <c r="II733" s="70"/>
    </row>
    <row r="734">
      <c r="HB734" s="70"/>
      <c r="HC734" s="70"/>
      <c r="II734" s="70"/>
    </row>
    <row r="735">
      <c r="HB735" s="70"/>
      <c r="HC735" s="70"/>
      <c r="II735" s="70"/>
    </row>
    <row r="736">
      <c r="HB736" s="70"/>
      <c r="HC736" s="70"/>
      <c r="II736" s="70"/>
    </row>
    <row r="737">
      <c r="HB737" s="70"/>
      <c r="HC737" s="70"/>
      <c r="II737" s="70"/>
    </row>
    <row r="738">
      <c r="HB738" s="70"/>
      <c r="HC738" s="70"/>
      <c r="II738" s="70"/>
    </row>
    <row r="739">
      <c r="HB739" s="70"/>
      <c r="HC739" s="70"/>
      <c r="II739" s="70"/>
    </row>
    <row r="740">
      <c r="HB740" s="70"/>
      <c r="HC740" s="70"/>
      <c r="II740" s="70"/>
    </row>
    <row r="741">
      <c r="HB741" s="70"/>
      <c r="HC741" s="70"/>
      <c r="II741" s="70"/>
    </row>
    <row r="742">
      <c r="HB742" s="70"/>
      <c r="HC742" s="70"/>
      <c r="II742" s="70"/>
    </row>
    <row r="743">
      <c r="HB743" s="70"/>
      <c r="HC743" s="70"/>
      <c r="II743" s="70"/>
    </row>
    <row r="744">
      <c r="HB744" s="70"/>
      <c r="HC744" s="70"/>
      <c r="II744" s="70"/>
    </row>
    <row r="745">
      <c r="HB745" s="70"/>
      <c r="HC745" s="70"/>
      <c r="II745" s="70"/>
    </row>
    <row r="746">
      <c r="HB746" s="70"/>
      <c r="HC746" s="70"/>
      <c r="II746" s="70"/>
    </row>
    <row r="747">
      <c r="HB747" s="70"/>
      <c r="HC747" s="70"/>
      <c r="II747" s="70"/>
    </row>
    <row r="748">
      <c r="HB748" s="70"/>
      <c r="HC748" s="70"/>
      <c r="II748" s="70"/>
    </row>
    <row r="749">
      <c r="HB749" s="70"/>
      <c r="HC749" s="70"/>
      <c r="II749" s="70"/>
    </row>
    <row r="750">
      <c r="HB750" s="70"/>
      <c r="HC750" s="70"/>
      <c r="II750" s="70"/>
    </row>
    <row r="751">
      <c r="HB751" s="70"/>
      <c r="HC751" s="70"/>
      <c r="II751" s="70"/>
    </row>
    <row r="752">
      <c r="HB752" s="70"/>
      <c r="HC752" s="70"/>
      <c r="II752" s="70"/>
    </row>
    <row r="753">
      <c r="HB753" s="70"/>
      <c r="HC753" s="70"/>
      <c r="II753" s="70"/>
    </row>
    <row r="754">
      <c r="HB754" s="70"/>
      <c r="HC754" s="70"/>
      <c r="II754" s="70"/>
    </row>
    <row r="755">
      <c r="HB755" s="70"/>
      <c r="HC755" s="70"/>
      <c r="II755" s="70"/>
    </row>
    <row r="756">
      <c r="HB756" s="70"/>
      <c r="HC756" s="70"/>
      <c r="II756" s="70"/>
    </row>
    <row r="757">
      <c r="HB757" s="70"/>
      <c r="HC757" s="70"/>
      <c r="II757" s="70"/>
    </row>
    <row r="758">
      <c r="HB758" s="70"/>
      <c r="HC758" s="70"/>
      <c r="II758" s="70"/>
    </row>
    <row r="759">
      <c r="HB759" s="70"/>
      <c r="HC759" s="70"/>
      <c r="II759" s="70"/>
    </row>
    <row r="760">
      <c r="HB760" s="70"/>
      <c r="HC760" s="70"/>
      <c r="II760" s="70"/>
    </row>
    <row r="761">
      <c r="HB761" s="70"/>
      <c r="HC761" s="70"/>
      <c r="II761" s="70"/>
    </row>
    <row r="762">
      <c r="HB762" s="70"/>
      <c r="HC762" s="70"/>
      <c r="II762" s="70"/>
    </row>
    <row r="763">
      <c r="HB763" s="70"/>
      <c r="HC763" s="70"/>
      <c r="II763" s="70"/>
    </row>
    <row r="764">
      <c r="HB764" s="70"/>
      <c r="HC764" s="70"/>
      <c r="II764" s="70"/>
    </row>
    <row r="765">
      <c r="HB765" s="70"/>
      <c r="HC765" s="70"/>
      <c r="II765" s="70"/>
    </row>
    <row r="766">
      <c r="HB766" s="70"/>
      <c r="HC766" s="70"/>
      <c r="II766" s="70"/>
    </row>
    <row r="767">
      <c r="HB767" s="70"/>
      <c r="HC767" s="70"/>
      <c r="II767" s="70"/>
    </row>
    <row r="768">
      <c r="HB768" s="70"/>
      <c r="HC768" s="70"/>
      <c r="II768" s="70"/>
    </row>
    <row r="769">
      <c r="HB769" s="70"/>
      <c r="HC769" s="70"/>
      <c r="II769" s="70"/>
    </row>
    <row r="770">
      <c r="HB770" s="70"/>
      <c r="HC770" s="70"/>
      <c r="II770" s="70"/>
    </row>
    <row r="771">
      <c r="HB771" s="70"/>
      <c r="HC771" s="70"/>
      <c r="II771" s="70"/>
    </row>
    <row r="772">
      <c r="HB772" s="70"/>
      <c r="HC772" s="70"/>
      <c r="II772" s="70"/>
    </row>
    <row r="773">
      <c r="HB773" s="70"/>
      <c r="HC773" s="70"/>
      <c r="II773" s="70"/>
    </row>
    <row r="774">
      <c r="HB774" s="70"/>
      <c r="HC774" s="70"/>
      <c r="II774" s="70"/>
    </row>
    <row r="775">
      <c r="HB775" s="70"/>
      <c r="HC775" s="70"/>
      <c r="II775" s="70"/>
    </row>
    <row r="776">
      <c r="HB776" s="70"/>
      <c r="HC776" s="70"/>
      <c r="II776" s="70"/>
    </row>
    <row r="777">
      <c r="HB777" s="70"/>
      <c r="HC777" s="70"/>
      <c r="II777" s="70"/>
    </row>
    <row r="778">
      <c r="HB778" s="70"/>
      <c r="HC778" s="70"/>
      <c r="II778" s="70"/>
    </row>
    <row r="779">
      <c r="HB779" s="70"/>
      <c r="HC779" s="70"/>
      <c r="II779" s="70"/>
    </row>
    <row r="780">
      <c r="HB780" s="70"/>
      <c r="HC780" s="70"/>
      <c r="II780" s="70"/>
    </row>
    <row r="781">
      <c r="HB781" s="70"/>
      <c r="HC781" s="70"/>
      <c r="II781" s="70"/>
    </row>
    <row r="782">
      <c r="HB782" s="70"/>
      <c r="HC782" s="70"/>
      <c r="II782" s="70"/>
    </row>
    <row r="783">
      <c r="HB783" s="70"/>
      <c r="HC783" s="70"/>
      <c r="II783" s="70"/>
    </row>
    <row r="784">
      <c r="HB784" s="70"/>
      <c r="HC784" s="70"/>
      <c r="II784" s="70"/>
    </row>
    <row r="785">
      <c r="HB785" s="70"/>
      <c r="HC785" s="70"/>
      <c r="II785" s="70"/>
    </row>
    <row r="786">
      <c r="HB786" s="70"/>
      <c r="HC786" s="70"/>
      <c r="II786" s="70"/>
    </row>
    <row r="787">
      <c r="HB787" s="70"/>
      <c r="HC787" s="70"/>
      <c r="II787" s="70"/>
    </row>
    <row r="788">
      <c r="HB788" s="70"/>
      <c r="HC788" s="70"/>
      <c r="II788" s="70"/>
    </row>
    <row r="789">
      <c r="HB789" s="70"/>
      <c r="HC789" s="70"/>
      <c r="II789" s="70"/>
    </row>
    <row r="790">
      <c r="HB790" s="70"/>
      <c r="HC790" s="70"/>
      <c r="II790" s="70"/>
    </row>
    <row r="791">
      <c r="HB791" s="70"/>
      <c r="HC791" s="70"/>
      <c r="II791" s="70"/>
    </row>
    <row r="792">
      <c r="HB792" s="70"/>
      <c r="HC792" s="70"/>
      <c r="II792" s="70"/>
    </row>
    <row r="793">
      <c r="HB793" s="70"/>
      <c r="HC793" s="70"/>
      <c r="II793" s="70"/>
    </row>
    <row r="794">
      <c r="HB794" s="70"/>
      <c r="HC794" s="70"/>
      <c r="II794" s="70"/>
    </row>
    <row r="795">
      <c r="HB795" s="70"/>
      <c r="HC795" s="70"/>
      <c r="II795" s="70"/>
    </row>
    <row r="796">
      <c r="HB796" s="70"/>
      <c r="HC796" s="70"/>
      <c r="II796" s="70"/>
    </row>
    <row r="797">
      <c r="HB797" s="70"/>
      <c r="HC797" s="70"/>
      <c r="II797" s="70"/>
    </row>
    <row r="798">
      <c r="HB798" s="70"/>
      <c r="HC798" s="70"/>
      <c r="II798" s="70"/>
    </row>
    <row r="799">
      <c r="HB799" s="70"/>
      <c r="HC799" s="70"/>
      <c r="II799" s="70"/>
    </row>
    <row r="800">
      <c r="HB800" s="70"/>
      <c r="HC800" s="70"/>
      <c r="II800" s="70"/>
    </row>
    <row r="801">
      <c r="HB801" s="70"/>
      <c r="HC801" s="70"/>
      <c r="II801" s="70"/>
    </row>
    <row r="802">
      <c r="HB802" s="70"/>
      <c r="HC802" s="70"/>
      <c r="II802" s="70"/>
    </row>
    <row r="803">
      <c r="HB803" s="70"/>
      <c r="HC803" s="70"/>
      <c r="II803" s="70"/>
    </row>
    <row r="804">
      <c r="HB804" s="70"/>
      <c r="HC804" s="70"/>
      <c r="II804" s="70"/>
    </row>
    <row r="805">
      <c r="HB805" s="70"/>
      <c r="HC805" s="70"/>
      <c r="II805" s="70"/>
    </row>
    <row r="806">
      <c r="HB806" s="70"/>
      <c r="HC806" s="70"/>
      <c r="II806" s="70"/>
    </row>
    <row r="807">
      <c r="HB807" s="70"/>
      <c r="HC807" s="70"/>
      <c r="II807" s="70"/>
    </row>
    <row r="808">
      <c r="HB808" s="70"/>
      <c r="HC808" s="70"/>
      <c r="II808" s="70"/>
    </row>
    <row r="809">
      <c r="HB809" s="70"/>
      <c r="HC809" s="70"/>
      <c r="II809" s="70"/>
    </row>
    <row r="810">
      <c r="HB810" s="70"/>
      <c r="HC810" s="70"/>
      <c r="II810" s="70"/>
    </row>
    <row r="811">
      <c r="HB811" s="70"/>
      <c r="HC811" s="70"/>
      <c r="II811" s="70"/>
    </row>
    <row r="812">
      <c r="HB812" s="70"/>
      <c r="HC812" s="70"/>
      <c r="II812" s="70"/>
    </row>
    <row r="813">
      <c r="HB813" s="70"/>
      <c r="HC813" s="70"/>
      <c r="II813" s="70"/>
    </row>
    <row r="814">
      <c r="HB814" s="70"/>
      <c r="HC814" s="70"/>
      <c r="II814" s="70"/>
    </row>
    <row r="815">
      <c r="HB815" s="70"/>
      <c r="HC815" s="70"/>
      <c r="II815" s="70"/>
    </row>
    <row r="816">
      <c r="HB816" s="70"/>
      <c r="HC816" s="70"/>
      <c r="II816" s="70"/>
    </row>
    <row r="817">
      <c r="HB817" s="70"/>
      <c r="HC817" s="70"/>
      <c r="II817" s="70"/>
    </row>
    <row r="818">
      <c r="HB818" s="70"/>
      <c r="HC818" s="70"/>
      <c r="II818" s="70"/>
    </row>
    <row r="819">
      <c r="HB819" s="70"/>
      <c r="HC819" s="70"/>
      <c r="II819" s="70"/>
    </row>
    <row r="820">
      <c r="HB820" s="70"/>
      <c r="HC820" s="70"/>
      <c r="II820" s="70"/>
    </row>
    <row r="821">
      <c r="HB821" s="70"/>
      <c r="HC821" s="70"/>
      <c r="II821" s="70"/>
    </row>
    <row r="822">
      <c r="HB822" s="70"/>
      <c r="HC822" s="70"/>
      <c r="II822" s="70"/>
    </row>
    <row r="823">
      <c r="HB823" s="70"/>
      <c r="HC823" s="70"/>
      <c r="II823" s="70"/>
    </row>
    <row r="824">
      <c r="HB824" s="70"/>
      <c r="HC824" s="70"/>
      <c r="II824" s="70"/>
    </row>
    <row r="825">
      <c r="HB825" s="70"/>
      <c r="HC825" s="70"/>
      <c r="II825" s="70"/>
    </row>
    <row r="826">
      <c r="HB826" s="70"/>
      <c r="HC826" s="70"/>
      <c r="II826" s="70"/>
    </row>
    <row r="827">
      <c r="HB827" s="70"/>
      <c r="HC827" s="70"/>
      <c r="II827" s="70"/>
    </row>
    <row r="828">
      <c r="HB828" s="70"/>
      <c r="HC828" s="70"/>
      <c r="II828" s="70"/>
    </row>
    <row r="829">
      <c r="HB829" s="70"/>
      <c r="HC829" s="70"/>
      <c r="II829" s="70"/>
    </row>
    <row r="830">
      <c r="HB830" s="70"/>
      <c r="HC830" s="70"/>
      <c r="II830" s="70"/>
    </row>
    <row r="831">
      <c r="HB831" s="70"/>
      <c r="HC831" s="70"/>
      <c r="II831" s="70"/>
    </row>
    <row r="832">
      <c r="HB832" s="70"/>
      <c r="HC832" s="70"/>
      <c r="II832" s="70"/>
    </row>
    <row r="833">
      <c r="HB833" s="70"/>
      <c r="HC833" s="70"/>
      <c r="II833" s="70"/>
    </row>
    <row r="834">
      <c r="HB834" s="70"/>
      <c r="HC834" s="70"/>
      <c r="II834" s="70"/>
    </row>
    <row r="835">
      <c r="HB835" s="70"/>
      <c r="HC835" s="70"/>
      <c r="II835" s="70"/>
    </row>
    <row r="836">
      <c r="HB836" s="70"/>
      <c r="HC836" s="70"/>
      <c r="II836" s="70"/>
    </row>
    <row r="837">
      <c r="HB837" s="70"/>
      <c r="HC837" s="70"/>
      <c r="II837" s="70"/>
    </row>
    <row r="838">
      <c r="HB838" s="70"/>
      <c r="HC838" s="70"/>
      <c r="II838" s="70"/>
    </row>
    <row r="839">
      <c r="HB839" s="70"/>
      <c r="HC839" s="70"/>
      <c r="II839" s="70"/>
    </row>
    <row r="840">
      <c r="HB840" s="70"/>
      <c r="HC840" s="70"/>
      <c r="II840" s="70"/>
    </row>
    <row r="841">
      <c r="HB841" s="70"/>
      <c r="HC841" s="70"/>
      <c r="II841" s="70"/>
    </row>
    <row r="842">
      <c r="HB842" s="70"/>
      <c r="HC842" s="70"/>
      <c r="II842" s="70"/>
    </row>
    <row r="843">
      <c r="HB843" s="70"/>
      <c r="HC843" s="70"/>
      <c r="II843" s="70"/>
    </row>
    <row r="844">
      <c r="HB844" s="70"/>
      <c r="HC844" s="70"/>
      <c r="II844" s="70"/>
    </row>
    <row r="845">
      <c r="HB845" s="70"/>
      <c r="HC845" s="70"/>
      <c r="II845" s="70"/>
    </row>
    <row r="846">
      <c r="HB846" s="70"/>
      <c r="HC846" s="70"/>
      <c r="II846" s="70"/>
    </row>
    <row r="847">
      <c r="HB847" s="70"/>
      <c r="HC847" s="70"/>
      <c r="II847" s="70"/>
    </row>
    <row r="848">
      <c r="HB848" s="70"/>
      <c r="HC848" s="70"/>
      <c r="II848" s="70"/>
    </row>
    <row r="849">
      <c r="HB849" s="70"/>
      <c r="HC849" s="70"/>
      <c r="II849" s="70"/>
    </row>
    <row r="850">
      <c r="HB850" s="70"/>
      <c r="HC850" s="70"/>
      <c r="II850" s="70"/>
    </row>
    <row r="851">
      <c r="HB851" s="70"/>
      <c r="HC851" s="70"/>
      <c r="II851" s="70"/>
    </row>
    <row r="852">
      <c r="HB852" s="70"/>
      <c r="HC852" s="70"/>
      <c r="II852" s="70"/>
    </row>
    <row r="853">
      <c r="HB853" s="70"/>
      <c r="HC853" s="70"/>
      <c r="II853" s="70"/>
    </row>
    <row r="854">
      <c r="HB854" s="70"/>
      <c r="HC854" s="70"/>
      <c r="II854" s="70"/>
    </row>
    <row r="855">
      <c r="HB855" s="70"/>
      <c r="HC855" s="70"/>
      <c r="II855" s="70"/>
    </row>
    <row r="856">
      <c r="HB856" s="70"/>
      <c r="HC856" s="70"/>
      <c r="II856" s="70"/>
    </row>
    <row r="857">
      <c r="HB857" s="70"/>
      <c r="HC857" s="70"/>
      <c r="II857" s="70"/>
    </row>
    <row r="858">
      <c r="HB858" s="70"/>
      <c r="HC858" s="70"/>
      <c r="II858" s="70"/>
    </row>
    <row r="859">
      <c r="HB859" s="70"/>
      <c r="HC859" s="70"/>
      <c r="II859" s="70"/>
    </row>
    <row r="860">
      <c r="HB860" s="70"/>
      <c r="HC860" s="70"/>
      <c r="II860" s="70"/>
    </row>
    <row r="861">
      <c r="HB861" s="70"/>
      <c r="HC861" s="70"/>
      <c r="II861" s="70"/>
    </row>
    <row r="862">
      <c r="HB862" s="70"/>
      <c r="HC862" s="70"/>
      <c r="II862" s="70"/>
    </row>
    <row r="863">
      <c r="HB863" s="70"/>
      <c r="HC863" s="70"/>
      <c r="II863" s="70"/>
    </row>
    <row r="864">
      <c r="HB864" s="70"/>
      <c r="HC864" s="70"/>
      <c r="II864" s="70"/>
    </row>
    <row r="865">
      <c r="HB865" s="70"/>
      <c r="HC865" s="70"/>
      <c r="II865" s="70"/>
    </row>
    <row r="866">
      <c r="HB866" s="70"/>
      <c r="HC866" s="70"/>
      <c r="II866" s="70"/>
    </row>
    <row r="867">
      <c r="HB867" s="70"/>
      <c r="HC867" s="70"/>
      <c r="II867" s="70"/>
    </row>
    <row r="868">
      <c r="HB868" s="70"/>
      <c r="HC868" s="70"/>
      <c r="II868" s="70"/>
    </row>
    <row r="869">
      <c r="HB869" s="70"/>
      <c r="HC869" s="70"/>
      <c r="II869" s="70"/>
    </row>
    <row r="870">
      <c r="HB870" s="70"/>
      <c r="HC870" s="70"/>
      <c r="II870" s="70"/>
    </row>
    <row r="871">
      <c r="HB871" s="70"/>
      <c r="HC871" s="70"/>
      <c r="II871" s="70"/>
    </row>
    <row r="872">
      <c r="HB872" s="70"/>
      <c r="HC872" s="70"/>
      <c r="II872" s="70"/>
    </row>
    <row r="873">
      <c r="HB873" s="70"/>
      <c r="HC873" s="70"/>
      <c r="II873" s="70"/>
    </row>
    <row r="874">
      <c r="HB874" s="70"/>
      <c r="HC874" s="70"/>
      <c r="II874" s="70"/>
    </row>
    <row r="875">
      <c r="HB875" s="70"/>
      <c r="HC875" s="70"/>
      <c r="II875" s="70"/>
    </row>
    <row r="876">
      <c r="HB876" s="70"/>
      <c r="HC876" s="70"/>
      <c r="II876" s="70"/>
    </row>
    <row r="877">
      <c r="HB877" s="70"/>
      <c r="HC877" s="70"/>
      <c r="II877" s="70"/>
    </row>
    <row r="878">
      <c r="HB878" s="70"/>
      <c r="HC878" s="70"/>
      <c r="II878" s="70"/>
    </row>
    <row r="879">
      <c r="HB879" s="70"/>
      <c r="HC879" s="70"/>
      <c r="II879" s="70"/>
    </row>
    <row r="880">
      <c r="HB880" s="70"/>
      <c r="HC880" s="70"/>
      <c r="II880" s="70"/>
    </row>
    <row r="881">
      <c r="HB881" s="70"/>
      <c r="HC881" s="70"/>
      <c r="II881" s="70"/>
    </row>
    <row r="882">
      <c r="HB882" s="70"/>
      <c r="HC882" s="70"/>
      <c r="II882" s="70"/>
    </row>
    <row r="883">
      <c r="HB883" s="70"/>
      <c r="HC883" s="70"/>
      <c r="II883" s="70"/>
    </row>
    <row r="884">
      <c r="HB884" s="70"/>
      <c r="HC884" s="70"/>
      <c r="II884" s="70"/>
    </row>
    <row r="885">
      <c r="HB885" s="70"/>
      <c r="HC885" s="70"/>
      <c r="II885" s="70"/>
    </row>
    <row r="886">
      <c r="HB886" s="70"/>
      <c r="HC886" s="70"/>
      <c r="II886" s="70"/>
    </row>
    <row r="887">
      <c r="HB887" s="70"/>
      <c r="HC887" s="70"/>
      <c r="II887" s="70"/>
    </row>
    <row r="888">
      <c r="HB888" s="70"/>
      <c r="HC888" s="70"/>
      <c r="II888" s="70"/>
    </row>
    <row r="889">
      <c r="HB889" s="70"/>
      <c r="HC889" s="70"/>
      <c r="II889" s="70"/>
    </row>
    <row r="890">
      <c r="HB890" s="70"/>
      <c r="HC890" s="70"/>
      <c r="II890" s="70"/>
    </row>
    <row r="891">
      <c r="HB891" s="70"/>
      <c r="HC891" s="70"/>
      <c r="II891" s="70"/>
    </row>
    <row r="892">
      <c r="HB892" s="70"/>
      <c r="HC892" s="70"/>
      <c r="II892" s="70"/>
    </row>
    <row r="893">
      <c r="HB893" s="70"/>
      <c r="HC893" s="70"/>
      <c r="II893" s="70"/>
    </row>
    <row r="894">
      <c r="HB894" s="70"/>
      <c r="HC894" s="70"/>
      <c r="II894" s="70"/>
    </row>
    <row r="895">
      <c r="HB895" s="70"/>
      <c r="HC895" s="70"/>
      <c r="II895" s="70"/>
    </row>
    <row r="896">
      <c r="HB896" s="70"/>
      <c r="HC896" s="70"/>
      <c r="II896" s="70"/>
    </row>
    <row r="897">
      <c r="HB897" s="70"/>
      <c r="HC897" s="70"/>
      <c r="II897" s="70"/>
    </row>
    <row r="898">
      <c r="HB898" s="70"/>
      <c r="HC898" s="70"/>
      <c r="II898" s="70"/>
    </row>
    <row r="899">
      <c r="HB899" s="70"/>
      <c r="HC899" s="70"/>
      <c r="II899" s="70"/>
    </row>
    <row r="900">
      <c r="HB900" s="70"/>
      <c r="HC900" s="70"/>
      <c r="II900" s="70"/>
    </row>
    <row r="901">
      <c r="HB901" s="70"/>
      <c r="HC901" s="70"/>
      <c r="II901" s="70"/>
    </row>
    <row r="902">
      <c r="HB902" s="70"/>
      <c r="HC902" s="70"/>
      <c r="II902" s="70"/>
    </row>
    <row r="903">
      <c r="HB903" s="70"/>
      <c r="HC903" s="70"/>
      <c r="II903" s="70"/>
    </row>
    <row r="904">
      <c r="HB904" s="70"/>
      <c r="HC904" s="70"/>
      <c r="II904" s="70"/>
    </row>
    <row r="905">
      <c r="HB905" s="70"/>
      <c r="HC905" s="70"/>
      <c r="II905" s="70"/>
    </row>
    <row r="906">
      <c r="HB906" s="70"/>
      <c r="HC906" s="70"/>
      <c r="II906" s="70"/>
    </row>
    <row r="907">
      <c r="HB907" s="70"/>
      <c r="HC907" s="70"/>
      <c r="II907" s="70"/>
    </row>
    <row r="908">
      <c r="HB908" s="70"/>
      <c r="HC908" s="70"/>
      <c r="II908" s="70"/>
    </row>
    <row r="909">
      <c r="HB909" s="70"/>
      <c r="HC909" s="70"/>
      <c r="II909" s="70"/>
    </row>
    <row r="910">
      <c r="HB910" s="70"/>
      <c r="HC910" s="70"/>
      <c r="II910" s="70"/>
    </row>
    <row r="911">
      <c r="HB911" s="70"/>
      <c r="HC911" s="70"/>
      <c r="II911" s="70"/>
    </row>
    <row r="912">
      <c r="HB912" s="70"/>
      <c r="HC912" s="70"/>
      <c r="II912" s="70"/>
    </row>
    <row r="913">
      <c r="HB913" s="70"/>
      <c r="HC913" s="70"/>
      <c r="II913" s="70"/>
    </row>
    <row r="914">
      <c r="HB914" s="70"/>
      <c r="HC914" s="70"/>
      <c r="II914" s="70"/>
    </row>
    <row r="915">
      <c r="HB915" s="70"/>
      <c r="HC915" s="70"/>
      <c r="II915" s="70"/>
    </row>
    <row r="916">
      <c r="HB916" s="70"/>
      <c r="HC916" s="70"/>
      <c r="II916" s="70"/>
    </row>
    <row r="917">
      <c r="HB917" s="70"/>
      <c r="HC917" s="70"/>
      <c r="II917" s="70"/>
    </row>
    <row r="918">
      <c r="HB918" s="70"/>
      <c r="HC918" s="70"/>
      <c r="II918" s="70"/>
    </row>
    <row r="919">
      <c r="HB919" s="70"/>
      <c r="HC919" s="70"/>
      <c r="II919" s="70"/>
    </row>
    <row r="920">
      <c r="HB920" s="70"/>
      <c r="HC920" s="70"/>
      <c r="II920" s="70"/>
    </row>
    <row r="921">
      <c r="HB921" s="70"/>
      <c r="HC921" s="70"/>
      <c r="II921" s="70"/>
    </row>
    <row r="922">
      <c r="HB922" s="70"/>
      <c r="HC922" s="70"/>
      <c r="II922" s="70"/>
    </row>
    <row r="923">
      <c r="HB923" s="70"/>
      <c r="HC923" s="70"/>
      <c r="II923" s="70"/>
    </row>
    <row r="924">
      <c r="HB924" s="70"/>
      <c r="HC924" s="70"/>
      <c r="II924" s="70"/>
    </row>
    <row r="925">
      <c r="HB925" s="70"/>
      <c r="HC925" s="70"/>
      <c r="II925" s="70"/>
    </row>
    <row r="926">
      <c r="HB926" s="70"/>
      <c r="HC926" s="70"/>
      <c r="II926" s="70"/>
    </row>
    <row r="927">
      <c r="HB927" s="70"/>
      <c r="HC927" s="70"/>
      <c r="II927" s="70"/>
    </row>
    <row r="928">
      <c r="HB928" s="70"/>
      <c r="HC928" s="70"/>
      <c r="II928" s="70"/>
    </row>
    <row r="929">
      <c r="HB929" s="70"/>
      <c r="HC929" s="70"/>
      <c r="II929" s="70"/>
    </row>
    <row r="930">
      <c r="HB930" s="70"/>
      <c r="HC930" s="70"/>
      <c r="II930" s="70"/>
    </row>
    <row r="931">
      <c r="HB931" s="70"/>
      <c r="HC931" s="70"/>
      <c r="II931" s="70"/>
    </row>
    <row r="932">
      <c r="HB932" s="70"/>
      <c r="HC932" s="70"/>
      <c r="II932" s="70"/>
    </row>
    <row r="933">
      <c r="HB933" s="70"/>
      <c r="HC933" s="70"/>
      <c r="II933" s="70"/>
    </row>
    <row r="934">
      <c r="HB934" s="70"/>
      <c r="HC934" s="70"/>
      <c r="II934" s="70"/>
    </row>
    <row r="935">
      <c r="HB935" s="70"/>
      <c r="HC935" s="70"/>
      <c r="II935" s="70"/>
    </row>
    <row r="936">
      <c r="HB936" s="70"/>
      <c r="HC936" s="70"/>
      <c r="II936" s="70"/>
    </row>
    <row r="937">
      <c r="HB937" s="70"/>
      <c r="HC937" s="70"/>
      <c r="II937" s="70"/>
    </row>
    <row r="938">
      <c r="HB938" s="70"/>
      <c r="HC938" s="70"/>
      <c r="II938" s="70"/>
    </row>
    <row r="939">
      <c r="HB939" s="70"/>
      <c r="HC939" s="70"/>
      <c r="II939" s="70"/>
    </row>
    <row r="940">
      <c r="HB940" s="70"/>
      <c r="HC940" s="70"/>
      <c r="II940" s="70"/>
    </row>
    <row r="941">
      <c r="HB941" s="70"/>
      <c r="HC941" s="70"/>
      <c r="II941" s="70"/>
    </row>
    <row r="942">
      <c r="HB942" s="70"/>
      <c r="HC942" s="70"/>
      <c r="II942" s="70"/>
    </row>
    <row r="943">
      <c r="HB943" s="70"/>
      <c r="HC943" s="70"/>
      <c r="II943" s="70"/>
    </row>
    <row r="944">
      <c r="HB944" s="70"/>
      <c r="HC944" s="70"/>
      <c r="II944" s="70"/>
    </row>
    <row r="945">
      <c r="HB945" s="70"/>
      <c r="HC945" s="70"/>
      <c r="II945" s="70"/>
    </row>
    <row r="946">
      <c r="HB946" s="70"/>
      <c r="HC946" s="70"/>
      <c r="II946" s="70"/>
    </row>
    <row r="947">
      <c r="HB947" s="70"/>
      <c r="HC947" s="70"/>
      <c r="II947" s="70"/>
    </row>
    <row r="948">
      <c r="HB948" s="70"/>
      <c r="HC948" s="70"/>
      <c r="II948" s="70"/>
    </row>
    <row r="949">
      <c r="HB949" s="70"/>
      <c r="HC949" s="70"/>
      <c r="II949" s="70"/>
    </row>
    <row r="950">
      <c r="HB950" s="70"/>
      <c r="HC950" s="70"/>
      <c r="II950" s="70"/>
    </row>
    <row r="951">
      <c r="HB951" s="70"/>
      <c r="HC951" s="70"/>
      <c r="II951" s="70"/>
    </row>
    <row r="952">
      <c r="HB952" s="70"/>
      <c r="HC952" s="70"/>
      <c r="II952" s="70"/>
    </row>
    <row r="953">
      <c r="HB953" s="70"/>
      <c r="HC953" s="70"/>
      <c r="II953" s="70"/>
    </row>
    <row r="954">
      <c r="HB954" s="70"/>
      <c r="HC954" s="70"/>
      <c r="II954" s="70"/>
    </row>
    <row r="955">
      <c r="HB955" s="70"/>
      <c r="HC955" s="70"/>
      <c r="II955" s="70"/>
    </row>
    <row r="956">
      <c r="HB956" s="70"/>
      <c r="HC956" s="70"/>
      <c r="II956" s="70"/>
    </row>
    <row r="957">
      <c r="HB957" s="70"/>
      <c r="HC957" s="70"/>
      <c r="II957" s="70"/>
    </row>
    <row r="958">
      <c r="HB958" s="70"/>
      <c r="HC958" s="70"/>
      <c r="II958" s="70"/>
    </row>
    <row r="959">
      <c r="HB959" s="70"/>
      <c r="HC959" s="70"/>
      <c r="II959" s="70"/>
    </row>
    <row r="960">
      <c r="HB960" s="70"/>
      <c r="HC960" s="70"/>
      <c r="II960" s="70"/>
    </row>
    <row r="961">
      <c r="HB961" s="70"/>
      <c r="HC961" s="70"/>
      <c r="II961" s="70"/>
    </row>
    <row r="962">
      <c r="HB962" s="70"/>
      <c r="HC962" s="70"/>
      <c r="II962" s="70"/>
    </row>
    <row r="963">
      <c r="HB963" s="70"/>
      <c r="HC963" s="70"/>
      <c r="II963" s="70"/>
    </row>
    <row r="964">
      <c r="HB964" s="70"/>
      <c r="HC964" s="70"/>
      <c r="II964" s="70"/>
    </row>
    <row r="965">
      <c r="HB965" s="70"/>
      <c r="HC965" s="70"/>
      <c r="II965" s="70"/>
    </row>
    <row r="966">
      <c r="HB966" s="70"/>
      <c r="HC966" s="70"/>
      <c r="II966" s="70"/>
    </row>
    <row r="967">
      <c r="HB967" s="70"/>
      <c r="HC967" s="70"/>
      <c r="II967" s="70"/>
    </row>
    <row r="968">
      <c r="HB968" s="70"/>
      <c r="HC968" s="70"/>
      <c r="II968" s="70"/>
    </row>
    <row r="969">
      <c r="HB969" s="70"/>
      <c r="HC969" s="70"/>
      <c r="II969" s="70"/>
    </row>
    <row r="970">
      <c r="HB970" s="70"/>
      <c r="HC970" s="70"/>
      <c r="II970" s="70"/>
    </row>
    <row r="971">
      <c r="HB971" s="70"/>
      <c r="HC971" s="70"/>
      <c r="II971" s="70"/>
    </row>
    <row r="972">
      <c r="HB972" s="70"/>
      <c r="HC972" s="70"/>
      <c r="II972" s="70"/>
    </row>
    <row r="973">
      <c r="HB973" s="70"/>
      <c r="HC973" s="70"/>
      <c r="II973" s="70"/>
    </row>
    <row r="974">
      <c r="HB974" s="70"/>
      <c r="HC974" s="70"/>
      <c r="II974" s="70"/>
    </row>
    <row r="975">
      <c r="HB975" s="70"/>
      <c r="HC975" s="70"/>
      <c r="II975" s="70"/>
    </row>
    <row r="976">
      <c r="HB976" s="70"/>
      <c r="HC976" s="70"/>
      <c r="II976" s="70"/>
    </row>
    <row r="977">
      <c r="HB977" s="70"/>
      <c r="HC977" s="70"/>
      <c r="II977" s="70"/>
    </row>
    <row r="978">
      <c r="HB978" s="70"/>
      <c r="HC978" s="70"/>
      <c r="II978" s="70"/>
    </row>
    <row r="979">
      <c r="HB979" s="70"/>
      <c r="HC979" s="70"/>
      <c r="II979" s="70"/>
    </row>
    <row r="980">
      <c r="HB980" s="70"/>
      <c r="HC980" s="70"/>
      <c r="II980" s="70"/>
    </row>
    <row r="981">
      <c r="HB981" s="70"/>
      <c r="HC981" s="70"/>
      <c r="II981" s="70"/>
    </row>
    <row r="982">
      <c r="HB982" s="70"/>
      <c r="HC982" s="70"/>
      <c r="II982" s="70"/>
    </row>
    <row r="983">
      <c r="HB983" s="70"/>
      <c r="HC983" s="70"/>
      <c r="II983" s="70"/>
    </row>
    <row r="984">
      <c r="HB984" s="70"/>
      <c r="HC984" s="70"/>
      <c r="II984" s="70"/>
    </row>
    <row r="985">
      <c r="HB985" s="70"/>
      <c r="HC985" s="70"/>
      <c r="II985" s="70"/>
    </row>
    <row r="986">
      <c r="HB986" s="70"/>
      <c r="HC986" s="70"/>
      <c r="II986" s="70"/>
    </row>
    <row r="987">
      <c r="HB987" s="70"/>
      <c r="HC987" s="70"/>
      <c r="II987" s="70"/>
    </row>
    <row r="988">
      <c r="HB988" s="70"/>
      <c r="HC988" s="70"/>
      <c r="II988" s="70"/>
    </row>
    <row r="989">
      <c r="HB989" s="70"/>
      <c r="HC989" s="70"/>
      <c r="II989" s="70"/>
    </row>
    <row r="990">
      <c r="HB990" s="70"/>
      <c r="HC990" s="70"/>
      <c r="II990" s="70"/>
    </row>
    <row r="991">
      <c r="HB991" s="70"/>
      <c r="HC991" s="70"/>
      <c r="II991" s="70"/>
    </row>
    <row r="992">
      <c r="HB992" s="70"/>
      <c r="HC992" s="70"/>
      <c r="II992" s="70"/>
    </row>
    <row r="993">
      <c r="HB993" s="70"/>
      <c r="HC993" s="70"/>
      <c r="II993" s="70"/>
    </row>
    <row r="994">
      <c r="HB994" s="70"/>
      <c r="HC994" s="70"/>
      <c r="II994" s="70"/>
    </row>
    <row r="995">
      <c r="HB995" s="70"/>
      <c r="HC995" s="70"/>
      <c r="II995" s="70"/>
    </row>
    <row r="996">
      <c r="HB996" s="70"/>
      <c r="HC996" s="70"/>
      <c r="II996" s="70"/>
    </row>
    <row r="997">
      <c r="HB997" s="70"/>
      <c r="HC997" s="70"/>
      <c r="II997" s="70"/>
    </row>
    <row r="998">
      <c r="HB998" s="70"/>
      <c r="HC998" s="70"/>
      <c r="II998" s="70"/>
    </row>
    <row r="999">
      <c r="HB999" s="70"/>
      <c r="HC999" s="70"/>
      <c r="II999" s="70"/>
    </row>
    <row r="1000">
      <c r="HB1000" s="70"/>
      <c r="HC1000" s="70"/>
      <c r="II1000" s="70"/>
    </row>
    <row r="1001">
      <c r="HB1001" s="70"/>
      <c r="HC1001" s="70"/>
      <c r="II1001" s="70"/>
    </row>
    <row r="1002">
      <c r="HB1002" s="70"/>
      <c r="HC1002" s="70"/>
      <c r="II1002" s="70"/>
    </row>
    <row r="1003">
      <c r="HB1003" s="70"/>
      <c r="HC1003" s="70"/>
      <c r="II1003" s="70"/>
    </row>
    <row r="1004">
      <c r="HB1004" s="70"/>
      <c r="HC1004" s="70"/>
      <c r="II1004" s="70"/>
    </row>
  </sheetData>
  <mergeCells count="22">
    <mergeCell ref="GH2:GH4"/>
    <mergeCell ref="GI2:GI4"/>
    <mergeCell ref="GK2:IE2"/>
    <mergeCell ref="IF2:IF4"/>
    <mergeCell ref="IG2:IG4"/>
    <mergeCell ref="II2:JF2"/>
    <mergeCell ref="KC2:KC4"/>
    <mergeCell ref="KD2:KD4"/>
    <mergeCell ref="A3:A4"/>
    <mergeCell ref="B3:B4"/>
    <mergeCell ref="A105:B105"/>
    <mergeCell ref="A107:B107"/>
    <mergeCell ref="A108:B108"/>
    <mergeCell ref="A109:B109"/>
    <mergeCell ref="A110:B110"/>
    <mergeCell ref="C2:M2"/>
    <mergeCell ref="CE2:CE4"/>
    <mergeCell ref="CF2:CF4"/>
    <mergeCell ref="CH2:ED2"/>
    <mergeCell ref="EF2:EF4"/>
    <mergeCell ref="EG2:EG4"/>
    <mergeCell ref="EI2:GG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38"/>
    <col customWidth="1" min="3" max="5" width="8.13"/>
    <col customWidth="1" min="6" max="7" width="6.5"/>
    <col customWidth="1" min="9" max="13" width="6.25"/>
    <col customWidth="1" min="14" max="14" width="8.25"/>
    <col customWidth="1" min="16" max="16" width="6.25"/>
    <col customWidth="1" min="17" max="17" width="7.25"/>
    <col customWidth="1" min="18" max="19" width="6.25"/>
    <col customWidth="1" min="20" max="20" width="8.38"/>
    <col customWidth="1" min="21" max="21" width="6.25"/>
    <col customWidth="1" min="22" max="22" width="8.25"/>
    <col customWidth="1" min="23" max="29" width="6.25"/>
    <col customWidth="1" min="30" max="30" width="6.88"/>
    <col customWidth="1" min="31" max="31" width="6.25"/>
    <col customWidth="1" min="32" max="32" width="7.88"/>
    <col customWidth="1" min="33" max="33" width="6.25"/>
    <col customWidth="1" min="34" max="38" width="7.25"/>
    <col customWidth="1" min="39" max="42" width="6.25"/>
  </cols>
  <sheetData>
    <row r="1">
      <c r="X1" s="129"/>
      <c r="Y1" s="72"/>
      <c r="Z1" s="72"/>
      <c r="AA1" s="72"/>
      <c r="AB1" s="72"/>
      <c r="AC1" s="72"/>
      <c r="AD1" s="72"/>
      <c r="AE1" s="72"/>
      <c r="AF1" s="72"/>
    </row>
    <row r="2">
      <c r="A2" s="130"/>
      <c r="B2" s="131"/>
      <c r="C2" s="138"/>
      <c r="D2" s="133"/>
      <c r="E2" s="134"/>
      <c r="F2" s="135"/>
      <c r="G2" s="136"/>
      <c r="I2" s="138"/>
      <c r="J2" s="133"/>
      <c r="K2" s="133"/>
      <c r="L2" s="134"/>
      <c r="M2" s="135"/>
      <c r="N2" s="136"/>
      <c r="P2" s="138"/>
      <c r="Q2" s="133"/>
      <c r="R2" s="133"/>
      <c r="S2" s="133"/>
      <c r="T2" s="134"/>
      <c r="U2" s="135"/>
      <c r="V2" s="136"/>
      <c r="W2" s="137"/>
      <c r="X2" s="369" t="s">
        <v>544</v>
      </c>
      <c r="Y2" s="133"/>
      <c r="Z2" s="133"/>
      <c r="AA2" s="133"/>
      <c r="AB2" s="133"/>
      <c r="AC2" s="133"/>
      <c r="AD2" s="134"/>
      <c r="AE2" s="140"/>
      <c r="AF2" s="141"/>
      <c r="AG2" s="137"/>
      <c r="AH2" s="369" t="s">
        <v>4</v>
      </c>
      <c r="AI2" s="133"/>
      <c r="AJ2" s="133"/>
      <c r="AK2" s="133"/>
      <c r="AL2" s="133"/>
      <c r="AM2" s="133"/>
      <c r="AN2" s="134"/>
      <c r="AO2" s="140"/>
      <c r="AP2" s="141"/>
    </row>
    <row r="3" ht="33.75" customHeight="1">
      <c r="A3" s="296" t="s">
        <v>47</v>
      </c>
      <c r="B3" s="297" t="s">
        <v>48</v>
      </c>
      <c r="C3" s="299" t="s">
        <v>545</v>
      </c>
      <c r="D3" s="299" t="s">
        <v>546</v>
      </c>
      <c r="E3" s="299" t="s">
        <v>547</v>
      </c>
      <c r="F3" s="147"/>
      <c r="G3" s="148"/>
      <c r="I3" s="299" t="s">
        <v>548</v>
      </c>
      <c r="J3" s="299" t="s">
        <v>549</v>
      </c>
      <c r="K3" s="299" t="s">
        <v>550</v>
      </c>
      <c r="L3" s="299" t="s">
        <v>551</v>
      </c>
      <c r="M3" s="147"/>
      <c r="N3" s="148"/>
      <c r="P3" s="299" t="s">
        <v>552</v>
      </c>
      <c r="Q3" s="299" t="s">
        <v>553</v>
      </c>
      <c r="R3" s="299" t="s">
        <v>554</v>
      </c>
      <c r="S3" s="299" t="s">
        <v>555</v>
      </c>
      <c r="T3" s="299" t="s">
        <v>556</v>
      </c>
      <c r="U3" s="147"/>
      <c r="V3" s="148"/>
      <c r="W3" s="137"/>
      <c r="X3" s="156" t="s">
        <v>557</v>
      </c>
      <c r="Y3" s="156" t="s">
        <v>551</v>
      </c>
      <c r="Z3" s="156" t="s">
        <v>558</v>
      </c>
      <c r="AA3" s="156" t="s">
        <v>559</v>
      </c>
      <c r="AB3" s="156" t="s">
        <v>560</v>
      </c>
      <c r="AC3" s="156" t="s">
        <v>561</v>
      </c>
      <c r="AD3" s="156" t="s">
        <v>558</v>
      </c>
      <c r="AE3" s="147"/>
      <c r="AF3" s="148"/>
      <c r="AG3" s="137"/>
      <c r="AH3" s="156" t="s">
        <v>562</v>
      </c>
      <c r="AI3" s="156" t="s">
        <v>563</v>
      </c>
      <c r="AJ3" s="156" t="s">
        <v>563</v>
      </c>
      <c r="AK3" s="156" t="s">
        <v>564</v>
      </c>
      <c r="AL3" s="156" t="s">
        <v>565</v>
      </c>
      <c r="AM3" s="156"/>
      <c r="AN3" s="156"/>
      <c r="AO3" s="147"/>
      <c r="AP3" s="148"/>
    </row>
    <row r="4">
      <c r="A4" s="160"/>
      <c r="B4" s="160"/>
      <c r="C4" s="305">
        <v>46028.0</v>
      </c>
      <c r="D4" s="305">
        <v>46029.0</v>
      </c>
      <c r="E4" s="305">
        <v>46030.0</v>
      </c>
      <c r="F4" s="84"/>
      <c r="G4" s="86"/>
      <c r="I4" s="166">
        <v>46057.0</v>
      </c>
      <c r="J4" s="166">
        <v>46059.0</v>
      </c>
      <c r="K4" s="166">
        <v>46059.0</v>
      </c>
      <c r="L4" s="166">
        <v>46060.0</v>
      </c>
      <c r="M4" s="84"/>
      <c r="N4" s="86"/>
      <c r="P4" s="166">
        <v>46099.0</v>
      </c>
      <c r="Q4" s="166">
        <v>46100.0</v>
      </c>
      <c r="R4" s="166">
        <v>46101.0</v>
      </c>
      <c r="S4" s="166">
        <v>46102.0</v>
      </c>
      <c r="T4" s="166">
        <v>46103.0</v>
      </c>
      <c r="U4" s="84"/>
      <c r="V4" s="86"/>
      <c r="W4" s="137"/>
      <c r="X4" s="165"/>
      <c r="Y4" s="165"/>
      <c r="Z4" s="165"/>
      <c r="AA4" s="165"/>
      <c r="AB4" s="165"/>
      <c r="AC4" s="165"/>
      <c r="AD4" s="165"/>
      <c r="AE4" s="84"/>
      <c r="AF4" s="86"/>
      <c r="AG4" s="137"/>
      <c r="AH4" s="165"/>
      <c r="AI4" s="165"/>
      <c r="AJ4" s="165"/>
      <c r="AK4" s="165"/>
      <c r="AL4" s="165"/>
      <c r="AM4" s="165"/>
      <c r="AN4" s="165"/>
      <c r="AO4" s="84"/>
      <c r="AP4" s="86"/>
    </row>
    <row r="5" hidden="1">
      <c r="A5" s="167" t="s">
        <v>49</v>
      </c>
      <c r="B5" s="168">
        <v>329.0</v>
      </c>
      <c r="C5" s="169"/>
      <c r="D5" s="170"/>
      <c r="E5" s="170"/>
      <c r="F5" s="178"/>
      <c r="G5" s="173"/>
      <c r="I5" s="169"/>
      <c r="J5" s="170"/>
      <c r="K5" s="170"/>
      <c r="L5" s="170"/>
      <c r="M5" s="178"/>
      <c r="N5" s="173"/>
      <c r="P5" s="169"/>
      <c r="Q5" s="170"/>
      <c r="R5" s="170"/>
      <c r="S5" s="170"/>
      <c r="T5" s="170"/>
      <c r="U5" s="178"/>
      <c r="V5" s="173"/>
      <c r="W5" s="174"/>
      <c r="X5" s="370"/>
      <c r="Y5" s="180"/>
      <c r="Z5" s="180"/>
      <c r="AA5" s="180"/>
      <c r="AB5" s="180"/>
      <c r="AC5" s="180"/>
      <c r="AD5" s="180"/>
      <c r="AE5" s="181"/>
      <c r="AF5" s="182"/>
      <c r="AG5" s="174"/>
      <c r="AH5" s="370"/>
      <c r="AI5" s="180"/>
      <c r="AJ5" s="180"/>
      <c r="AK5" s="180"/>
      <c r="AL5" s="180"/>
      <c r="AM5" s="180"/>
      <c r="AN5" s="180"/>
      <c r="AO5" s="181"/>
      <c r="AP5" s="182"/>
    </row>
    <row r="6" hidden="1">
      <c r="A6" s="101" t="s">
        <v>50</v>
      </c>
      <c r="B6" s="187">
        <v>329.0</v>
      </c>
      <c r="C6" s="89"/>
      <c r="D6" s="188"/>
      <c r="E6" s="188"/>
      <c r="F6" s="178"/>
      <c r="G6" s="173"/>
      <c r="I6" s="89"/>
      <c r="J6" s="188"/>
      <c r="K6" s="188"/>
      <c r="L6" s="188"/>
      <c r="M6" s="178"/>
      <c r="N6" s="173"/>
      <c r="P6" s="89"/>
      <c r="Q6" s="188"/>
      <c r="R6" s="188"/>
      <c r="S6" s="188"/>
      <c r="T6" s="188"/>
      <c r="U6" s="178"/>
      <c r="V6" s="173"/>
      <c r="W6" s="174"/>
      <c r="X6" s="371"/>
      <c r="Y6" s="181"/>
      <c r="Z6" s="181"/>
      <c r="AA6" s="181"/>
      <c r="AB6" s="181"/>
      <c r="AC6" s="181"/>
      <c r="AD6" s="181"/>
      <c r="AE6" s="181"/>
      <c r="AF6" s="182"/>
      <c r="AG6" s="174"/>
      <c r="AH6" s="371"/>
      <c r="AI6" s="181"/>
      <c r="AJ6" s="181"/>
      <c r="AK6" s="181"/>
      <c r="AL6" s="181"/>
      <c r="AM6" s="181"/>
      <c r="AN6" s="181"/>
      <c r="AO6" s="181"/>
      <c r="AP6" s="182"/>
    </row>
    <row r="7" hidden="1">
      <c r="A7" s="101" t="s">
        <v>51</v>
      </c>
      <c r="B7" s="187">
        <v>329.0</v>
      </c>
      <c r="C7" s="89"/>
      <c r="D7" s="188"/>
      <c r="E7" s="188"/>
      <c r="F7" s="178"/>
      <c r="G7" s="173"/>
      <c r="I7" s="89"/>
      <c r="J7" s="188"/>
      <c r="K7" s="188"/>
      <c r="L7" s="188"/>
      <c r="M7" s="178"/>
      <c r="N7" s="173"/>
      <c r="P7" s="89"/>
      <c r="Q7" s="188"/>
      <c r="R7" s="188"/>
      <c r="S7" s="188"/>
      <c r="T7" s="188"/>
      <c r="U7" s="178"/>
      <c r="V7" s="173"/>
      <c r="W7" s="174"/>
      <c r="X7" s="371"/>
      <c r="Y7" s="181"/>
      <c r="Z7" s="181"/>
      <c r="AA7" s="181"/>
      <c r="AB7" s="181"/>
      <c r="AC7" s="181"/>
      <c r="AD7" s="181"/>
      <c r="AE7" s="181"/>
      <c r="AF7" s="182"/>
      <c r="AG7" s="174"/>
      <c r="AH7" s="371"/>
      <c r="AI7" s="181"/>
      <c r="AJ7" s="181"/>
      <c r="AK7" s="181"/>
      <c r="AL7" s="181"/>
      <c r="AM7" s="181"/>
      <c r="AN7" s="181"/>
      <c r="AO7" s="181"/>
      <c r="AP7" s="182"/>
    </row>
    <row r="8">
      <c r="A8" s="101" t="s">
        <v>52</v>
      </c>
      <c r="B8" s="93">
        <v>329.0</v>
      </c>
      <c r="C8" s="89"/>
      <c r="D8" s="188"/>
      <c r="E8" s="188"/>
      <c r="F8" s="178">
        <f t="shared" ref="F8:F97" si="1">sum(C8:E8)</f>
        <v>0</v>
      </c>
      <c r="G8" s="173">
        <f t="shared" ref="G8:G97" si="2">F8*B8</f>
        <v>0</v>
      </c>
      <c r="I8" s="89"/>
      <c r="J8" s="188"/>
      <c r="K8" s="188"/>
      <c r="L8" s="188"/>
      <c r="M8" s="178">
        <f t="shared" ref="M8:M97" si="3">sum(I8:L8)</f>
        <v>0</v>
      </c>
      <c r="N8" s="173">
        <f t="shared" ref="N8:N97" si="4">M8*B8</f>
        <v>0</v>
      </c>
      <c r="P8" s="89"/>
      <c r="Q8" s="188"/>
      <c r="R8" s="188"/>
      <c r="S8" s="188"/>
      <c r="T8" s="188"/>
      <c r="U8" s="178">
        <f t="shared" ref="U8:U97" si="5">sum(P8:T8)</f>
        <v>0</v>
      </c>
      <c r="V8" s="173">
        <f t="shared" ref="V8:V97" si="6">U8*J8</f>
        <v>0</v>
      </c>
      <c r="W8" s="174"/>
      <c r="X8" s="371"/>
      <c r="Y8" s="181"/>
      <c r="Z8" s="181"/>
      <c r="AA8" s="181"/>
      <c r="AB8" s="321">
        <v>1.0</v>
      </c>
      <c r="AC8" s="181"/>
      <c r="AD8" s="321">
        <v>5.0</v>
      </c>
      <c r="AE8" s="201"/>
      <c r="AF8" s="173"/>
      <c r="AG8" s="174"/>
      <c r="AH8" s="371"/>
      <c r="AI8" s="326">
        <v>2.0</v>
      </c>
      <c r="AJ8" s="181"/>
      <c r="AK8" s="181"/>
      <c r="AL8" s="321"/>
      <c r="AM8" s="181"/>
      <c r="AN8" s="321"/>
      <c r="AO8" s="201"/>
      <c r="AP8" s="173"/>
    </row>
    <row r="9" hidden="1">
      <c r="A9" s="101" t="s">
        <v>53</v>
      </c>
      <c r="B9" s="93">
        <v>329.0</v>
      </c>
      <c r="C9" s="89"/>
      <c r="D9" s="188"/>
      <c r="E9" s="188"/>
      <c r="F9" s="178">
        <f t="shared" si="1"/>
        <v>0</v>
      </c>
      <c r="G9" s="173">
        <f t="shared" si="2"/>
        <v>0</v>
      </c>
      <c r="I9" s="89"/>
      <c r="J9" s="188"/>
      <c r="K9" s="188"/>
      <c r="L9" s="188"/>
      <c r="M9" s="178">
        <f t="shared" si="3"/>
        <v>0</v>
      </c>
      <c r="N9" s="173">
        <f t="shared" si="4"/>
        <v>0</v>
      </c>
      <c r="P9" s="89"/>
      <c r="Q9" s="188"/>
      <c r="R9" s="188"/>
      <c r="S9" s="188"/>
      <c r="T9" s="188"/>
      <c r="U9" s="178">
        <f t="shared" si="5"/>
        <v>0</v>
      </c>
      <c r="V9" s="173">
        <f t="shared" si="6"/>
        <v>0</v>
      </c>
      <c r="W9" s="174"/>
      <c r="X9" s="371"/>
      <c r="Y9" s="181"/>
      <c r="Z9" s="181"/>
      <c r="AA9" s="181"/>
      <c r="AB9" s="181"/>
      <c r="AC9" s="181"/>
      <c r="AD9" s="181"/>
      <c r="AE9" s="201"/>
      <c r="AF9" s="173"/>
      <c r="AG9" s="174"/>
      <c r="AH9" s="371"/>
      <c r="AI9" s="181"/>
      <c r="AJ9" s="181"/>
      <c r="AK9" s="181"/>
      <c r="AL9" s="181"/>
      <c r="AM9" s="181"/>
      <c r="AN9" s="181"/>
      <c r="AO9" s="201"/>
      <c r="AP9" s="173"/>
    </row>
    <row r="10">
      <c r="A10" s="101" t="s">
        <v>54</v>
      </c>
      <c r="B10" s="93">
        <v>329.0</v>
      </c>
      <c r="C10" s="89"/>
      <c r="D10" s="188"/>
      <c r="E10" s="188"/>
      <c r="F10" s="178">
        <f t="shared" si="1"/>
        <v>0</v>
      </c>
      <c r="G10" s="173">
        <f t="shared" si="2"/>
        <v>0</v>
      </c>
      <c r="I10" s="89"/>
      <c r="J10" s="188"/>
      <c r="K10" s="188"/>
      <c r="L10" s="188"/>
      <c r="M10" s="178">
        <f t="shared" si="3"/>
        <v>0</v>
      </c>
      <c r="N10" s="173">
        <f t="shared" si="4"/>
        <v>0</v>
      </c>
      <c r="P10" s="89"/>
      <c r="Q10" s="188"/>
      <c r="R10" s="188"/>
      <c r="S10" s="188"/>
      <c r="T10" s="188"/>
      <c r="U10" s="178">
        <f t="shared" si="5"/>
        <v>0</v>
      </c>
      <c r="V10" s="173">
        <f t="shared" si="6"/>
        <v>0</v>
      </c>
      <c r="W10" s="174"/>
      <c r="X10" s="371"/>
      <c r="Y10" s="181"/>
      <c r="Z10" s="181"/>
      <c r="AA10" s="181"/>
      <c r="AB10" s="181"/>
      <c r="AC10" s="181"/>
      <c r="AD10" s="181"/>
      <c r="AE10" s="201"/>
      <c r="AF10" s="173"/>
      <c r="AG10" s="174"/>
      <c r="AH10" s="371"/>
      <c r="AI10" s="181"/>
      <c r="AJ10" s="181"/>
      <c r="AK10" s="181"/>
      <c r="AL10" s="181"/>
      <c r="AM10" s="181"/>
      <c r="AN10" s="181"/>
      <c r="AO10" s="201"/>
      <c r="AP10" s="173"/>
    </row>
    <row r="11">
      <c r="A11" s="101" t="s">
        <v>55</v>
      </c>
      <c r="B11" s="93">
        <v>329.0</v>
      </c>
      <c r="C11" s="89"/>
      <c r="D11" s="194">
        <v>1.0</v>
      </c>
      <c r="E11" s="188"/>
      <c r="F11" s="178">
        <f t="shared" si="1"/>
        <v>1</v>
      </c>
      <c r="G11" s="173">
        <f t="shared" si="2"/>
        <v>329</v>
      </c>
      <c r="I11" s="89"/>
      <c r="J11" s="194">
        <v>2.0</v>
      </c>
      <c r="K11" s="194"/>
      <c r="L11" s="194"/>
      <c r="M11" s="178">
        <f t="shared" si="3"/>
        <v>2</v>
      </c>
      <c r="N11" s="173">
        <f t="shared" si="4"/>
        <v>658</v>
      </c>
      <c r="P11" s="89"/>
      <c r="Q11" s="194"/>
      <c r="R11" s="194"/>
      <c r="S11" s="194"/>
      <c r="T11" s="188"/>
      <c r="U11" s="178">
        <f t="shared" si="5"/>
        <v>0</v>
      </c>
      <c r="V11" s="173">
        <f t="shared" si="6"/>
        <v>0</v>
      </c>
      <c r="W11" s="174"/>
      <c r="X11" s="371"/>
      <c r="Y11" s="206"/>
      <c r="Z11" s="206"/>
      <c r="AA11" s="206"/>
      <c r="AB11" s="206"/>
      <c r="AC11" s="181"/>
      <c r="AD11" s="181"/>
      <c r="AE11" s="201"/>
      <c r="AF11" s="173"/>
      <c r="AG11" s="174"/>
      <c r="AH11" s="371"/>
      <c r="AI11" s="206"/>
      <c r="AJ11" s="206"/>
      <c r="AK11" s="206"/>
      <c r="AL11" s="206"/>
      <c r="AM11" s="181"/>
      <c r="AN11" s="181"/>
      <c r="AO11" s="201"/>
      <c r="AP11" s="173"/>
    </row>
    <row r="12">
      <c r="A12" s="101" t="s">
        <v>56</v>
      </c>
      <c r="B12" s="93">
        <v>329.0</v>
      </c>
      <c r="C12" s="89"/>
      <c r="D12" s="194">
        <v>1.0</v>
      </c>
      <c r="E12" s="188"/>
      <c r="F12" s="178">
        <f t="shared" si="1"/>
        <v>1</v>
      </c>
      <c r="G12" s="173">
        <f t="shared" si="2"/>
        <v>329</v>
      </c>
      <c r="I12" s="89"/>
      <c r="J12" s="194"/>
      <c r="K12" s="194"/>
      <c r="L12" s="194"/>
      <c r="M12" s="178">
        <f t="shared" si="3"/>
        <v>0</v>
      </c>
      <c r="N12" s="173">
        <f t="shared" si="4"/>
        <v>0</v>
      </c>
      <c r="P12" s="89"/>
      <c r="Q12" s="194"/>
      <c r="R12" s="194">
        <v>2.0</v>
      </c>
      <c r="S12" s="194">
        <v>1.0</v>
      </c>
      <c r="T12" s="188"/>
      <c r="U12" s="178">
        <f t="shared" si="5"/>
        <v>3</v>
      </c>
      <c r="V12" s="173">
        <f t="shared" si="6"/>
        <v>0</v>
      </c>
      <c r="W12" s="174"/>
      <c r="X12" s="371"/>
      <c r="Y12" s="181"/>
      <c r="Z12" s="181"/>
      <c r="AA12" s="181"/>
      <c r="AB12" s="181"/>
      <c r="AC12" s="181"/>
      <c r="AD12" s="181"/>
      <c r="AE12" s="201"/>
      <c r="AF12" s="173"/>
      <c r="AG12" s="174"/>
      <c r="AH12" s="371"/>
      <c r="AI12" s="181"/>
      <c r="AJ12" s="181"/>
      <c r="AK12" s="181"/>
      <c r="AL12" s="181"/>
      <c r="AM12" s="181"/>
      <c r="AN12" s="181"/>
      <c r="AO12" s="201"/>
      <c r="AP12" s="173"/>
    </row>
    <row r="13">
      <c r="A13" s="101" t="s">
        <v>57</v>
      </c>
      <c r="B13" s="93">
        <v>329.0</v>
      </c>
      <c r="C13" s="89"/>
      <c r="D13" s="188"/>
      <c r="E13" s="188"/>
      <c r="F13" s="178">
        <f t="shared" si="1"/>
        <v>0</v>
      </c>
      <c r="G13" s="173">
        <f t="shared" si="2"/>
        <v>0</v>
      </c>
      <c r="I13" s="89"/>
      <c r="J13" s="188"/>
      <c r="K13" s="188"/>
      <c r="L13" s="188"/>
      <c r="M13" s="178">
        <f t="shared" si="3"/>
        <v>0</v>
      </c>
      <c r="N13" s="173">
        <f t="shared" si="4"/>
        <v>0</v>
      </c>
      <c r="P13" s="89"/>
      <c r="Q13" s="188"/>
      <c r="R13" s="188"/>
      <c r="S13" s="188"/>
      <c r="T13" s="188"/>
      <c r="U13" s="178">
        <f t="shared" si="5"/>
        <v>0</v>
      </c>
      <c r="V13" s="173">
        <f t="shared" si="6"/>
        <v>0</v>
      </c>
      <c r="W13" s="174"/>
      <c r="X13" s="371"/>
      <c r="Y13" s="181"/>
      <c r="Z13" s="181"/>
      <c r="AA13" s="181"/>
      <c r="AB13" s="181"/>
      <c r="AC13" s="181"/>
      <c r="AD13" s="181"/>
      <c r="AE13" s="201"/>
      <c r="AF13" s="173"/>
      <c r="AG13" s="174"/>
      <c r="AH13" s="371"/>
      <c r="AI13" s="181"/>
      <c r="AJ13" s="181"/>
      <c r="AK13" s="181"/>
      <c r="AL13" s="181"/>
      <c r="AM13" s="181"/>
      <c r="AN13" s="181"/>
      <c r="AO13" s="201"/>
      <c r="AP13" s="173"/>
    </row>
    <row r="14">
      <c r="A14" s="101" t="s">
        <v>58</v>
      </c>
      <c r="B14" s="93">
        <v>329.0</v>
      </c>
      <c r="C14" s="89"/>
      <c r="D14" s="194">
        <v>3.0</v>
      </c>
      <c r="E14" s="188"/>
      <c r="F14" s="178">
        <f t="shared" si="1"/>
        <v>3</v>
      </c>
      <c r="G14" s="173">
        <f t="shared" si="2"/>
        <v>987</v>
      </c>
      <c r="I14" s="89"/>
      <c r="J14" s="194"/>
      <c r="K14" s="194"/>
      <c r="L14" s="194"/>
      <c r="M14" s="178">
        <f t="shared" si="3"/>
        <v>0</v>
      </c>
      <c r="N14" s="173">
        <f t="shared" si="4"/>
        <v>0</v>
      </c>
      <c r="P14" s="89"/>
      <c r="Q14" s="194"/>
      <c r="R14" s="194"/>
      <c r="S14" s="194"/>
      <c r="T14" s="188"/>
      <c r="U14" s="178">
        <f t="shared" si="5"/>
        <v>0</v>
      </c>
      <c r="V14" s="173">
        <f t="shared" si="6"/>
        <v>0</v>
      </c>
      <c r="W14" s="174"/>
      <c r="X14" s="371"/>
      <c r="Y14" s="181"/>
      <c r="Z14" s="181"/>
      <c r="AA14" s="181"/>
      <c r="AB14" s="181"/>
      <c r="AC14" s="181"/>
      <c r="AD14" s="181"/>
      <c r="AE14" s="201"/>
      <c r="AF14" s="173"/>
      <c r="AG14" s="174"/>
      <c r="AH14" s="371"/>
      <c r="AI14" s="181"/>
      <c r="AJ14" s="181"/>
      <c r="AK14" s="181"/>
      <c r="AL14" s="181"/>
      <c r="AM14" s="181"/>
      <c r="AN14" s="181"/>
      <c r="AO14" s="201"/>
      <c r="AP14" s="173"/>
    </row>
    <row r="15">
      <c r="A15" s="101" t="s">
        <v>59</v>
      </c>
      <c r="B15" s="93">
        <v>219.0</v>
      </c>
      <c r="C15" s="89"/>
      <c r="D15" s="188"/>
      <c r="E15" s="188"/>
      <c r="F15" s="178">
        <f t="shared" si="1"/>
        <v>0</v>
      </c>
      <c r="G15" s="173">
        <f t="shared" si="2"/>
        <v>0</v>
      </c>
      <c r="I15" s="89"/>
      <c r="J15" s="188"/>
      <c r="K15" s="188"/>
      <c r="L15" s="188"/>
      <c r="M15" s="178">
        <f t="shared" si="3"/>
        <v>0</v>
      </c>
      <c r="N15" s="173">
        <f t="shared" si="4"/>
        <v>0</v>
      </c>
      <c r="P15" s="89"/>
      <c r="Q15" s="188"/>
      <c r="R15" s="188"/>
      <c r="S15" s="188"/>
      <c r="T15" s="188"/>
      <c r="U15" s="178">
        <f t="shared" si="5"/>
        <v>0</v>
      </c>
      <c r="V15" s="173">
        <f t="shared" si="6"/>
        <v>0</v>
      </c>
      <c r="W15" s="174"/>
      <c r="X15" s="371"/>
      <c r="Y15" s="181"/>
      <c r="Z15" s="181"/>
      <c r="AA15" s="181"/>
      <c r="AB15" s="181"/>
      <c r="AC15" s="181"/>
      <c r="AD15" s="181"/>
      <c r="AE15" s="201"/>
      <c r="AF15" s="173"/>
      <c r="AG15" s="174"/>
      <c r="AH15" s="371"/>
      <c r="AI15" s="326">
        <v>2.0</v>
      </c>
      <c r="AJ15" s="181"/>
      <c r="AK15" s="181"/>
      <c r="AL15" s="181"/>
      <c r="AM15" s="181"/>
      <c r="AN15" s="181"/>
      <c r="AO15" s="201"/>
      <c r="AP15" s="173"/>
    </row>
    <row r="16">
      <c r="A16" s="101" t="s">
        <v>60</v>
      </c>
      <c r="B16" s="99"/>
      <c r="C16" s="89"/>
      <c r="D16" s="188"/>
      <c r="E16" s="188"/>
      <c r="F16" s="178">
        <f t="shared" si="1"/>
        <v>0</v>
      </c>
      <c r="G16" s="173">
        <f t="shared" si="2"/>
        <v>0</v>
      </c>
      <c r="I16" s="89"/>
      <c r="J16" s="188"/>
      <c r="K16" s="188"/>
      <c r="L16" s="188"/>
      <c r="M16" s="178">
        <f t="shared" si="3"/>
        <v>0</v>
      </c>
      <c r="N16" s="173">
        <f t="shared" si="4"/>
        <v>0</v>
      </c>
      <c r="P16" s="89"/>
      <c r="Q16" s="188"/>
      <c r="R16" s="188"/>
      <c r="S16" s="188"/>
      <c r="T16" s="188"/>
      <c r="U16" s="178">
        <f t="shared" si="5"/>
        <v>0</v>
      </c>
      <c r="V16" s="173">
        <f t="shared" si="6"/>
        <v>0</v>
      </c>
      <c r="W16" s="174"/>
      <c r="X16" s="371"/>
      <c r="Y16" s="181"/>
      <c r="Z16" s="181"/>
      <c r="AA16" s="181"/>
      <c r="AB16" s="181"/>
      <c r="AC16" s="181"/>
      <c r="AD16" s="181"/>
      <c r="AE16" s="201"/>
      <c r="AF16" s="173"/>
      <c r="AG16" s="174"/>
      <c r="AH16" s="371"/>
      <c r="AI16" s="181"/>
      <c r="AJ16" s="181"/>
      <c r="AK16" s="181"/>
      <c r="AL16" s="181"/>
      <c r="AM16" s="181"/>
      <c r="AN16" s="181"/>
      <c r="AO16" s="201"/>
      <c r="AP16" s="173"/>
    </row>
    <row r="17">
      <c r="A17" s="101" t="s">
        <v>61</v>
      </c>
      <c r="B17" s="99"/>
      <c r="C17" s="89"/>
      <c r="D17" s="188"/>
      <c r="E17" s="188"/>
      <c r="F17" s="178">
        <f t="shared" si="1"/>
        <v>0</v>
      </c>
      <c r="G17" s="173">
        <f t="shared" si="2"/>
        <v>0</v>
      </c>
      <c r="I17" s="89"/>
      <c r="J17" s="188"/>
      <c r="K17" s="188"/>
      <c r="L17" s="188"/>
      <c r="M17" s="178">
        <f t="shared" si="3"/>
        <v>0</v>
      </c>
      <c r="N17" s="173">
        <f t="shared" si="4"/>
        <v>0</v>
      </c>
      <c r="P17" s="89"/>
      <c r="Q17" s="188"/>
      <c r="R17" s="188"/>
      <c r="S17" s="188"/>
      <c r="T17" s="188"/>
      <c r="U17" s="178">
        <f t="shared" si="5"/>
        <v>0</v>
      </c>
      <c r="V17" s="173">
        <f t="shared" si="6"/>
        <v>0</v>
      </c>
      <c r="W17" s="174"/>
      <c r="X17" s="371"/>
      <c r="Y17" s="181"/>
      <c r="Z17" s="181"/>
      <c r="AA17" s="181"/>
      <c r="AB17" s="181"/>
      <c r="AC17" s="181"/>
      <c r="AD17" s="181"/>
      <c r="AE17" s="201"/>
      <c r="AF17" s="173"/>
      <c r="AG17" s="174"/>
      <c r="AH17" s="371"/>
      <c r="AI17" s="181"/>
      <c r="AJ17" s="181"/>
      <c r="AK17" s="181"/>
      <c r="AL17" s="181"/>
      <c r="AM17" s="181"/>
      <c r="AN17" s="181"/>
      <c r="AO17" s="201"/>
      <c r="AP17" s="173"/>
    </row>
    <row r="18">
      <c r="A18" s="109"/>
      <c r="B18" s="99"/>
      <c r="C18" s="89"/>
      <c r="D18" s="188"/>
      <c r="E18" s="188"/>
      <c r="F18" s="178">
        <f t="shared" si="1"/>
        <v>0</v>
      </c>
      <c r="G18" s="173">
        <f t="shared" si="2"/>
        <v>0</v>
      </c>
      <c r="I18" s="89"/>
      <c r="J18" s="188"/>
      <c r="K18" s="188"/>
      <c r="L18" s="188"/>
      <c r="M18" s="178">
        <f t="shared" si="3"/>
        <v>0</v>
      </c>
      <c r="N18" s="173">
        <f t="shared" si="4"/>
        <v>0</v>
      </c>
      <c r="P18" s="89"/>
      <c r="Q18" s="188"/>
      <c r="R18" s="188"/>
      <c r="S18" s="188"/>
      <c r="T18" s="188"/>
      <c r="U18" s="178">
        <f t="shared" si="5"/>
        <v>0</v>
      </c>
      <c r="V18" s="173">
        <f t="shared" si="6"/>
        <v>0</v>
      </c>
      <c r="W18" s="174"/>
      <c r="X18" s="371"/>
      <c r="Y18" s="181"/>
      <c r="Z18" s="181"/>
      <c r="AA18" s="181"/>
      <c r="AB18" s="181"/>
      <c r="AC18" s="181"/>
      <c r="AD18" s="181"/>
      <c r="AE18" s="201"/>
      <c r="AF18" s="173"/>
      <c r="AG18" s="174"/>
      <c r="AH18" s="371"/>
      <c r="AI18" s="181"/>
      <c r="AJ18" s="181"/>
      <c r="AK18" s="181"/>
      <c r="AL18" s="181"/>
      <c r="AM18" s="181"/>
      <c r="AN18" s="181"/>
      <c r="AO18" s="201"/>
      <c r="AP18" s="173"/>
    </row>
    <row r="19">
      <c r="A19" s="101" t="s">
        <v>62</v>
      </c>
      <c r="B19" s="93">
        <v>239.0</v>
      </c>
      <c r="C19" s="89"/>
      <c r="D19" s="194">
        <v>1.0</v>
      </c>
      <c r="E19" s="188"/>
      <c r="F19" s="178">
        <f t="shared" si="1"/>
        <v>1</v>
      </c>
      <c r="G19" s="173">
        <f t="shared" si="2"/>
        <v>239</v>
      </c>
      <c r="I19" s="89"/>
      <c r="J19" s="194"/>
      <c r="K19" s="194"/>
      <c r="L19" s="194"/>
      <c r="M19" s="178">
        <f t="shared" si="3"/>
        <v>0</v>
      </c>
      <c r="N19" s="173">
        <f t="shared" si="4"/>
        <v>0</v>
      </c>
      <c r="P19" s="89"/>
      <c r="Q19" s="194"/>
      <c r="R19" s="194"/>
      <c r="S19" s="194"/>
      <c r="T19" s="188"/>
      <c r="U19" s="178">
        <f t="shared" si="5"/>
        <v>0</v>
      </c>
      <c r="V19" s="173">
        <f t="shared" si="6"/>
        <v>0</v>
      </c>
      <c r="W19" s="174"/>
      <c r="X19" s="371"/>
      <c r="Y19" s="181"/>
      <c r="Z19" s="181"/>
      <c r="AA19" s="181"/>
      <c r="AB19" s="181"/>
      <c r="AC19" s="181"/>
      <c r="AD19" s="181"/>
      <c r="AE19" s="201"/>
      <c r="AF19" s="173"/>
      <c r="AG19" s="174"/>
      <c r="AH19" s="371"/>
      <c r="AI19" s="181"/>
      <c r="AJ19" s="181"/>
      <c r="AK19" s="181"/>
      <c r="AL19" s="181"/>
      <c r="AM19" s="181"/>
      <c r="AN19" s="181"/>
      <c r="AO19" s="201"/>
      <c r="AP19" s="173"/>
    </row>
    <row r="20">
      <c r="A20" s="101" t="s">
        <v>63</v>
      </c>
      <c r="B20" s="93">
        <v>239.0</v>
      </c>
      <c r="C20" s="89"/>
      <c r="D20" s="194">
        <v>1.0</v>
      </c>
      <c r="E20" s="188"/>
      <c r="F20" s="178">
        <f t="shared" si="1"/>
        <v>1</v>
      </c>
      <c r="G20" s="173">
        <f t="shared" si="2"/>
        <v>239</v>
      </c>
      <c r="I20" s="89"/>
      <c r="J20" s="194"/>
      <c r="K20" s="194"/>
      <c r="L20" s="194"/>
      <c r="M20" s="178">
        <f t="shared" si="3"/>
        <v>0</v>
      </c>
      <c r="N20" s="173">
        <f t="shared" si="4"/>
        <v>0</v>
      </c>
      <c r="P20" s="89"/>
      <c r="Q20" s="194"/>
      <c r="R20" s="194"/>
      <c r="S20" s="194"/>
      <c r="T20" s="188"/>
      <c r="U20" s="178">
        <f t="shared" si="5"/>
        <v>0</v>
      </c>
      <c r="V20" s="173">
        <f t="shared" si="6"/>
        <v>0</v>
      </c>
      <c r="W20" s="174"/>
      <c r="X20" s="371"/>
      <c r="Y20" s="181"/>
      <c r="Z20" s="181"/>
      <c r="AA20" s="181"/>
      <c r="AB20" s="181"/>
      <c r="AC20" s="181"/>
      <c r="AD20" s="181"/>
      <c r="AE20" s="201"/>
      <c r="AF20" s="173"/>
      <c r="AG20" s="174"/>
      <c r="AH20" s="371"/>
      <c r="AI20" s="181"/>
      <c r="AJ20" s="181"/>
      <c r="AK20" s="181"/>
      <c r="AL20" s="181"/>
      <c r="AM20" s="181"/>
      <c r="AN20" s="181"/>
      <c r="AO20" s="201"/>
      <c r="AP20" s="173"/>
    </row>
    <row r="21">
      <c r="A21" s="101" t="s">
        <v>64</v>
      </c>
      <c r="B21" s="93">
        <v>239.0</v>
      </c>
      <c r="C21" s="89"/>
      <c r="D21" s="194">
        <v>1.0</v>
      </c>
      <c r="E21" s="188"/>
      <c r="F21" s="178">
        <f t="shared" si="1"/>
        <v>1</v>
      </c>
      <c r="G21" s="173">
        <f t="shared" si="2"/>
        <v>239</v>
      </c>
      <c r="I21" s="89"/>
      <c r="J21" s="194"/>
      <c r="K21" s="194"/>
      <c r="L21" s="194"/>
      <c r="M21" s="178">
        <f t="shared" si="3"/>
        <v>0</v>
      </c>
      <c r="N21" s="173">
        <f t="shared" si="4"/>
        <v>0</v>
      </c>
      <c r="P21" s="89"/>
      <c r="Q21" s="194"/>
      <c r="R21" s="194"/>
      <c r="S21" s="194"/>
      <c r="T21" s="188"/>
      <c r="U21" s="178">
        <f t="shared" si="5"/>
        <v>0</v>
      </c>
      <c r="V21" s="173">
        <f t="shared" si="6"/>
        <v>0</v>
      </c>
      <c r="W21" s="174"/>
      <c r="X21" s="371"/>
      <c r="Y21" s="181"/>
      <c r="Z21" s="181"/>
      <c r="AA21" s="181"/>
      <c r="AB21" s="181"/>
      <c r="AC21" s="181"/>
      <c r="AD21" s="181"/>
      <c r="AE21" s="201"/>
      <c r="AF21" s="173"/>
      <c r="AG21" s="174"/>
      <c r="AH21" s="371"/>
      <c r="AI21" s="181"/>
      <c r="AJ21" s="181"/>
      <c r="AK21" s="181"/>
      <c r="AL21" s="181"/>
      <c r="AM21" s="181"/>
      <c r="AN21" s="181"/>
      <c r="AO21" s="201"/>
      <c r="AP21" s="173"/>
    </row>
    <row r="22">
      <c r="A22" s="101" t="s">
        <v>65</v>
      </c>
      <c r="B22" s="93">
        <v>219.0</v>
      </c>
      <c r="C22" s="89"/>
      <c r="D22" s="188"/>
      <c r="E22" s="188"/>
      <c r="F22" s="178">
        <f t="shared" si="1"/>
        <v>0</v>
      </c>
      <c r="G22" s="173">
        <f t="shared" si="2"/>
        <v>0</v>
      </c>
      <c r="I22" s="89"/>
      <c r="J22" s="188"/>
      <c r="K22" s="188"/>
      <c r="L22" s="188"/>
      <c r="M22" s="178">
        <f t="shared" si="3"/>
        <v>0</v>
      </c>
      <c r="N22" s="173">
        <f t="shared" si="4"/>
        <v>0</v>
      </c>
      <c r="P22" s="89"/>
      <c r="Q22" s="188"/>
      <c r="R22" s="188"/>
      <c r="S22" s="188"/>
      <c r="T22" s="188"/>
      <c r="U22" s="178">
        <f t="shared" si="5"/>
        <v>0</v>
      </c>
      <c r="V22" s="173">
        <f t="shared" si="6"/>
        <v>0</v>
      </c>
      <c r="W22" s="174"/>
      <c r="X22" s="371"/>
      <c r="Y22" s="181"/>
      <c r="Z22" s="181"/>
      <c r="AA22" s="181"/>
      <c r="AB22" s="181"/>
      <c r="AC22" s="181"/>
      <c r="AD22" s="181"/>
      <c r="AE22" s="201"/>
      <c r="AF22" s="173"/>
      <c r="AG22" s="174"/>
      <c r="AH22" s="371"/>
      <c r="AI22" s="181"/>
      <c r="AJ22" s="181"/>
      <c r="AK22" s="181"/>
      <c r="AL22" s="181"/>
      <c r="AM22" s="181"/>
      <c r="AN22" s="181"/>
      <c r="AO22" s="201"/>
      <c r="AP22" s="173"/>
    </row>
    <row r="23">
      <c r="A23" s="101" t="s">
        <v>66</v>
      </c>
      <c r="B23" s="93">
        <v>219.0</v>
      </c>
      <c r="C23" s="89"/>
      <c r="D23" s="188"/>
      <c r="E23" s="188"/>
      <c r="F23" s="178">
        <f t="shared" si="1"/>
        <v>0</v>
      </c>
      <c r="G23" s="173">
        <f t="shared" si="2"/>
        <v>0</v>
      </c>
      <c r="I23" s="89"/>
      <c r="J23" s="188"/>
      <c r="K23" s="188"/>
      <c r="L23" s="188"/>
      <c r="M23" s="178">
        <f t="shared" si="3"/>
        <v>0</v>
      </c>
      <c r="N23" s="173">
        <f t="shared" si="4"/>
        <v>0</v>
      </c>
      <c r="P23" s="89"/>
      <c r="Q23" s="188"/>
      <c r="R23" s="188"/>
      <c r="S23" s="188"/>
      <c r="T23" s="188"/>
      <c r="U23" s="178">
        <f t="shared" si="5"/>
        <v>0</v>
      </c>
      <c r="V23" s="173">
        <f t="shared" si="6"/>
        <v>0</v>
      </c>
      <c r="W23" s="174"/>
      <c r="X23" s="371"/>
      <c r="Y23" s="181"/>
      <c r="Z23" s="181"/>
      <c r="AA23" s="181"/>
      <c r="AB23" s="181"/>
      <c r="AC23" s="181"/>
      <c r="AD23" s="181"/>
      <c r="AE23" s="201"/>
      <c r="AF23" s="173"/>
      <c r="AG23" s="174"/>
      <c r="AH23" s="371"/>
      <c r="AI23" s="181"/>
      <c r="AJ23" s="181"/>
      <c r="AK23" s="181"/>
      <c r="AL23" s="181"/>
      <c r="AM23" s="181"/>
      <c r="AN23" s="181"/>
      <c r="AO23" s="201"/>
      <c r="AP23" s="173"/>
    </row>
    <row r="24">
      <c r="A24" s="101" t="s">
        <v>67</v>
      </c>
      <c r="B24" s="93">
        <v>219.0</v>
      </c>
      <c r="C24" s="89"/>
      <c r="D24" s="188"/>
      <c r="E24" s="188"/>
      <c r="F24" s="178">
        <f t="shared" si="1"/>
        <v>0</v>
      </c>
      <c r="G24" s="173">
        <f t="shared" si="2"/>
        <v>0</v>
      </c>
      <c r="I24" s="89"/>
      <c r="J24" s="188"/>
      <c r="K24" s="188"/>
      <c r="L24" s="188"/>
      <c r="M24" s="178">
        <f t="shared" si="3"/>
        <v>0</v>
      </c>
      <c r="N24" s="173">
        <f t="shared" si="4"/>
        <v>0</v>
      </c>
      <c r="P24" s="89"/>
      <c r="Q24" s="188"/>
      <c r="R24" s="188"/>
      <c r="S24" s="188"/>
      <c r="T24" s="188"/>
      <c r="U24" s="178">
        <f t="shared" si="5"/>
        <v>0</v>
      </c>
      <c r="V24" s="173">
        <f t="shared" si="6"/>
        <v>0</v>
      </c>
      <c r="W24" s="174"/>
      <c r="X24" s="371"/>
      <c r="Y24" s="181"/>
      <c r="Z24" s="181"/>
      <c r="AA24" s="181"/>
      <c r="AB24" s="181"/>
      <c r="AC24" s="181"/>
      <c r="AD24" s="181"/>
      <c r="AE24" s="201"/>
      <c r="AF24" s="173"/>
      <c r="AG24" s="174"/>
      <c r="AH24" s="371"/>
      <c r="AI24" s="181"/>
      <c r="AJ24" s="181"/>
      <c r="AK24" s="181"/>
      <c r="AL24" s="181"/>
      <c r="AM24" s="181"/>
      <c r="AN24" s="181"/>
      <c r="AO24" s="201"/>
      <c r="AP24" s="173"/>
    </row>
    <row r="25">
      <c r="A25" s="101" t="s">
        <v>68</v>
      </c>
      <c r="B25" s="93">
        <v>219.0</v>
      </c>
      <c r="C25" s="89"/>
      <c r="D25" s="188"/>
      <c r="E25" s="188"/>
      <c r="F25" s="178">
        <f t="shared" si="1"/>
        <v>0</v>
      </c>
      <c r="G25" s="173">
        <f t="shared" si="2"/>
        <v>0</v>
      </c>
      <c r="I25" s="89"/>
      <c r="J25" s="188"/>
      <c r="K25" s="188"/>
      <c r="L25" s="188"/>
      <c r="M25" s="178">
        <f t="shared" si="3"/>
        <v>0</v>
      </c>
      <c r="N25" s="173">
        <f t="shared" si="4"/>
        <v>0</v>
      </c>
      <c r="P25" s="89"/>
      <c r="Q25" s="188"/>
      <c r="R25" s="188"/>
      <c r="S25" s="188"/>
      <c r="T25" s="188"/>
      <c r="U25" s="178">
        <f t="shared" si="5"/>
        <v>0</v>
      </c>
      <c r="V25" s="173">
        <f t="shared" si="6"/>
        <v>0</v>
      </c>
      <c r="W25" s="174"/>
      <c r="X25" s="371"/>
      <c r="Y25" s="181"/>
      <c r="Z25" s="181"/>
      <c r="AA25" s="181"/>
      <c r="AB25" s="181"/>
      <c r="AC25" s="181"/>
      <c r="AD25" s="181"/>
      <c r="AE25" s="201"/>
      <c r="AF25" s="173"/>
      <c r="AG25" s="174"/>
      <c r="AH25" s="371"/>
      <c r="AI25" s="181"/>
      <c r="AJ25" s="181"/>
      <c r="AK25" s="181"/>
      <c r="AL25" s="181"/>
      <c r="AM25" s="181"/>
      <c r="AN25" s="181"/>
      <c r="AO25" s="201"/>
      <c r="AP25" s="173"/>
    </row>
    <row r="26">
      <c r="A26" s="101" t="s">
        <v>69</v>
      </c>
      <c r="B26" s="93">
        <v>219.0</v>
      </c>
      <c r="C26" s="89"/>
      <c r="D26" s="188"/>
      <c r="E26" s="188"/>
      <c r="F26" s="178">
        <f t="shared" si="1"/>
        <v>0</v>
      </c>
      <c r="G26" s="173">
        <f t="shared" si="2"/>
        <v>0</v>
      </c>
      <c r="I26" s="89"/>
      <c r="J26" s="188"/>
      <c r="K26" s="188"/>
      <c r="L26" s="188"/>
      <c r="M26" s="178">
        <f t="shared" si="3"/>
        <v>0</v>
      </c>
      <c r="N26" s="173">
        <f t="shared" si="4"/>
        <v>0</v>
      </c>
      <c r="P26" s="89"/>
      <c r="Q26" s="188"/>
      <c r="R26" s="188"/>
      <c r="S26" s="188"/>
      <c r="T26" s="188"/>
      <c r="U26" s="178">
        <f t="shared" si="5"/>
        <v>0</v>
      </c>
      <c r="V26" s="173">
        <f t="shared" si="6"/>
        <v>0</v>
      </c>
      <c r="W26" s="174"/>
      <c r="X26" s="371"/>
      <c r="Y26" s="181"/>
      <c r="Z26" s="181"/>
      <c r="AA26" s="181"/>
      <c r="AB26" s="181"/>
      <c r="AC26" s="181"/>
      <c r="AD26" s="181"/>
      <c r="AE26" s="201"/>
      <c r="AF26" s="173"/>
      <c r="AG26" s="174"/>
      <c r="AH26" s="371"/>
      <c r="AI26" s="181"/>
      <c r="AJ26" s="181"/>
      <c r="AK26" s="181"/>
      <c r="AL26" s="181"/>
      <c r="AM26" s="181"/>
      <c r="AN26" s="181"/>
      <c r="AO26" s="201"/>
      <c r="AP26" s="173"/>
    </row>
    <row r="27">
      <c r="A27" s="101" t="s">
        <v>70</v>
      </c>
      <c r="B27" s="93">
        <v>799.0</v>
      </c>
      <c r="C27" s="89"/>
      <c r="D27" s="188"/>
      <c r="E27" s="188"/>
      <c r="F27" s="178">
        <f t="shared" si="1"/>
        <v>0</v>
      </c>
      <c r="G27" s="173">
        <f t="shared" si="2"/>
        <v>0</v>
      </c>
      <c r="I27" s="89"/>
      <c r="J27" s="194">
        <v>2.0</v>
      </c>
      <c r="K27" s="188"/>
      <c r="L27" s="188"/>
      <c r="M27" s="178">
        <f t="shared" si="3"/>
        <v>2</v>
      </c>
      <c r="N27" s="173">
        <f t="shared" si="4"/>
        <v>1598</v>
      </c>
      <c r="P27" s="89"/>
      <c r="Q27" s="188"/>
      <c r="R27" s="188"/>
      <c r="S27" s="188"/>
      <c r="T27" s="188"/>
      <c r="U27" s="178">
        <f t="shared" si="5"/>
        <v>0</v>
      </c>
      <c r="V27" s="173">
        <f t="shared" si="6"/>
        <v>0</v>
      </c>
      <c r="W27" s="174"/>
      <c r="X27" s="371"/>
      <c r="Y27" s="206"/>
      <c r="Z27" s="206"/>
      <c r="AA27" s="206"/>
      <c r="AB27" s="206"/>
      <c r="AC27" s="181"/>
      <c r="AD27" s="181"/>
      <c r="AE27" s="201"/>
      <c r="AF27" s="173"/>
      <c r="AG27" s="174"/>
      <c r="AH27" s="371"/>
      <c r="AI27" s="206"/>
      <c r="AJ27" s="206"/>
      <c r="AK27" s="206"/>
      <c r="AL27" s="206"/>
      <c r="AM27" s="181"/>
      <c r="AN27" s="181"/>
      <c r="AO27" s="201"/>
      <c r="AP27" s="173"/>
    </row>
    <row r="28">
      <c r="A28" s="102" t="s">
        <v>71</v>
      </c>
      <c r="B28" s="93">
        <v>609.0</v>
      </c>
      <c r="C28" s="89"/>
      <c r="D28" s="188"/>
      <c r="E28" s="188"/>
      <c r="F28" s="178">
        <f t="shared" si="1"/>
        <v>0</v>
      </c>
      <c r="G28" s="173">
        <f t="shared" si="2"/>
        <v>0</v>
      </c>
      <c r="I28" s="89"/>
      <c r="J28" s="188"/>
      <c r="K28" s="188"/>
      <c r="L28" s="188"/>
      <c r="M28" s="178">
        <f t="shared" si="3"/>
        <v>0</v>
      </c>
      <c r="N28" s="173">
        <f t="shared" si="4"/>
        <v>0</v>
      </c>
      <c r="P28" s="210">
        <v>1.0</v>
      </c>
      <c r="Q28" s="188"/>
      <c r="R28" s="188"/>
      <c r="S28" s="188"/>
      <c r="T28" s="188"/>
      <c r="U28" s="178">
        <f t="shared" si="5"/>
        <v>1</v>
      </c>
      <c r="V28" s="173">
        <f t="shared" si="6"/>
        <v>0</v>
      </c>
      <c r="W28" s="174"/>
      <c r="X28" s="371"/>
      <c r="Y28" s="181"/>
      <c r="Z28" s="181"/>
      <c r="AA28" s="181"/>
      <c r="AB28" s="181"/>
      <c r="AC28" s="181"/>
      <c r="AD28" s="181"/>
      <c r="AE28" s="201"/>
      <c r="AF28" s="173"/>
      <c r="AG28" s="174"/>
      <c r="AH28" s="371"/>
      <c r="AI28" s="326">
        <v>2.0</v>
      </c>
      <c r="AJ28" s="181"/>
      <c r="AK28" s="181"/>
      <c r="AL28" s="181"/>
      <c r="AM28" s="181"/>
      <c r="AN28" s="181"/>
      <c r="AO28" s="201"/>
      <c r="AP28" s="173"/>
    </row>
    <row r="29">
      <c r="A29" s="101" t="s">
        <v>72</v>
      </c>
      <c r="B29" s="93">
        <v>329.0</v>
      </c>
      <c r="C29" s="89"/>
      <c r="D29" s="188"/>
      <c r="E29" s="188"/>
      <c r="F29" s="178">
        <f t="shared" si="1"/>
        <v>0</v>
      </c>
      <c r="G29" s="173">
        <f t="shared" si="2"/>
        <v>0</v>
      </c>
      <c r="I29" s="89"/>
      <c r="J29" s="194">
        <v>2.0</v>
      </c>
      <c r="K29" s="188"/>
      <c r="L29" s="188"/>
      <c r="M29" s="178">
        <f t="shared" si="3"/>
        <v>2</v>
      </c>
      <c r="N29" s="173">
        <f t="shared" si="4"/>
        <v>658</v>
      </c>
      <c r="P29" s="89"/>
      <c r="Q29" s="188"/>
      <c r="R29" s="188"/>
      <c r="S29" s="188"/>
      <c r="T29" s="188"/>
      <c r="U29" s="178">
        <f t="shared" si="5"/>
        <v>0</v>
      </c>
      <c r="V29" s="173">
        <f t="shared" si="6"/>
        <v>0</v>
      </c>
      <c r="W29" s="174"/>
      <c r="X29" s="371"/>
      <c r="Y29" s="206"/>
      <c r="Z29" s="206"/>
      <c r="AA29" s="206"/>
      <c r="AB29" s="206"/>
      <c r="AC29" s="181"/>
      <c r="AD29" s="181"/>
      <c r="AE29" s="201"/>
      <c r="AF29" s="173"/>
      <c r="AG29" s="174"/>
      <c r="AH29" s="371"/>
      <c r="AI29" s="206"/>
      <c r="AJ29" s="206"/>
      <c r="AK29" s="206"/>
      <c r="AL29" s="206"/>
      <c r="AM29" s="181"/>
      <c r="AN29" s="181"/>
      <c r="AO29" s="201"/>
      <c r="AP29" s="173"/>
    </row>
    <row r="30">
      <c r="A30" s="101" t="s">
        <v>73</v>
      </c>
      <c r="B30" s="93">
        <v>329.0</v>
      </c>
      <c r="C30" s="89"/>
      <c r="D30" s="188"/>
      <c r="E30" s="188"/>
      <c r="F30" s="178">
        <f t="shared" si="1"/>
        <v>0</v>
      </c>
      <c r="G30" s="173">
        <f t="shared" si="2"/>
        <v>0</v>
      </c>
      <c r="I30" s="89"/>
      <c r="J30" s="188"/>
      <c r="K30" s="188"/>
      <c r="L30" s="188"/>
      <c r="M30" s="178">
        <f t="shared" si="3"/>
        <v>0</v>
      </c>
      <c r="N30" s="173">
        <f t="shared" si="4"/>
        <v>0</v>
      </c>
      <c r="P30" s="89"/>
      <c r="Q30" s="188"/>
      <c r="R30" s="188"/>
      <c r="S30" s="188"/>
      <c r="T30" s="188"/>
      <c r="U30" s="178">
        <f t="shared" si="5"/>
        <v>0</v>
      </c>
      <c r="V30" s="173">
        <f t="shared" si="6"/>
        <v>0</v>
      </c>
      <c r="W30" s="174"/>
      <c r="X30" s="371"/>
      <c r="Y30" s="181"/>
      <c r="Z30" s="181"/>
      <c r="AA30" s="181"/>
      <c r="AB30" s="181"/>
      <c r="AC30" s="181"/>
      <c r="AD30" s="181"/>
      <c r="AE30" s="201"/>
      <c r="AF30" s="173"/>
      <c r="AG30" s="174"/>
      <c r="AH30" s="371"/>
      <c r="AI30" s="181"/>
      <c r="AJ30" s="181"/>
      <c r="AK30" s="181"/>
      <c r="AL30" s="181"/>
      <c r="AM30" s="181"/>
      <c r="AN30" s="181"/>
      <c r="AO30" s="201"/>
      <c r="AP30" s="173"/>
    </row>
    <row r="31">
      <c r="A31" s="101" t="s">
        <v>74</v>
      </c>
      <c r="B31" s="93">
        <v>219.0</v>
      </c>
      <c r="C31" s="89"/>
      <c r="D31" s="188"/>
      <c r="E31" s="188"/>
      <c r="F31" s="178">
        <f t="shared" si="1"/>
        <v>0</v>
      </c>
      <c r="G31" s="173">
        <f t="shared" si="2"/>
        <v>0</v>
      </c>
      <c r="I31" s="89"/>
      <c r="J31" s="188"/>
      <c r="K31" s="188"/>
      <c r="L31" s="188"/>
      <c r="M31" s="178">
        <f t="shared" si="3"/>
        <v>0</v>
      </c>
      <c r="N31" s="173">
        <f t="shared" si="4"/>
        <v>0</v>
      </c>
      <c r="P31" s="89"/>
      <c r="Q31" s="188"/>
      <c r="R31" s="188"/>
      <c r="S31" s="188"/>
      <c r="T31" s="188"/>
      <c r="U31" s="178">
        <f t="shared" si="5"/>
        <v>0</v>
      </c>
      <c r="V31" s="173">
        <f t="shared" si="6"/>
        <v>0</v>
      </c>
      <c r="W31" s="174"/>
      <c r="X31" s="371"/>
      <c r="Y31" s="181"/>
      <c r="Z31" s="181"/>
      <c r="AA31" s="181"/>
      <c r="AB31" s="181"/>
      <c r="AC31" s="181"/>
      <c r="AD31" s="181"/>
      <c r="AE31" s="201"/>
      <c r="AF31" s="173"/>
      <c r="AG31" s="174"/>
      <c r="AH31" s="371"/>
      <c r="AI31" s="181"/>
      <c r="AJ31" s="181"/>
      <c r="AK31" s="181"/>
      <c r="AL31" s="181"/>
      <c r="AM31" s="181"/>
      <c r="AN31" s="181"/>
      <c r="AO31" s="201"/>
      <c r="AP31" s="173"/>
    </row>
    <row r="32">
      <c r="A32" s="101" t="s">
        <v>75</v>
      </c>
      <c r="B32" s="93">
        <v>219.0</v>
      </c>
      <c r="C32" s="89"/>
      <c r="D32" s="188"/>
      <c r="E32" s="188"/>
      <c r="F32" s="178">
        <f t="shared" si="1"/>
        <v>0</v>
      </c>
      <c r="G32" s="173">
        <f t="shared" si="2"/>
        <v>0</v>
      </c>
      <c r="I32" s="89"/>
      <c r="J32" s="188"/>
      <c r="K32" s="188"/>
      <c r="L32" s="188"/>
      <c r="M32" s="178">
        <f t="shared" si="3"/>
        <v>0</v>
      </c>
      <c r="N32" s="173">
        <f t="shared" si="4"/>
        <v>0</v>
      </c>
      <c r="P32" s="89"/>
      <c r="Q32" s="188"/>
      <c r="R32" s="188"/>
      <c r="S32" s="188"/>
      <c r="T32" s="188"/>
      <c r="U32" s="178">
        <f t="shared" si="5"/>
        <v>0</v>
      </c>
      <c r="V32" s="173">
        <f t="shared" si="6"/>
        <v>0</v>
      </c>
      <c r="W32" s="174"/>
      <c r="X32" s="371"/>
      <c r="Y32" s="181"/>
      <c r="Z32" s="181"/>
      <c r="AA32" s="181"/>
      <c r="AB32" s="181"/>
      <c r="AC32" s="181"/>
      <c r="AD32" s="181"/>
      <c r="AE32" s="201"/>
      <c r="AF32" s="173"/>
      <c r="AG32" s="174"/>
      <c r="AH32" s="371"/>
      <c r="AI32" s="181"/>
      <c r="AJ32" s="181"/>
      <c r="AK32" s="181"/>
      <c r="AL32" s="181"/>
      <c r="AM32" s="181"/>
      <c r="AN32" s="181"/>
      <c r="AO32" s="201"/>
      <c r="AP32" s="173"/>
    </row>
    <row r="33">
      <c r="A33" s="101" t="s">
        <v>76</v>
      </c>
      <c r="B33" s="93">
        <v>439.0</v>
      </c>
      <c r="C33" s="89"/>
      <c r="D33" s="188"/>
      <c r="E33" s="188"/>
      <c r="F33" s="178">
        <f t="shared" si="1"/>
        <v>0</v>
      </c>
      <c r="G33" s="173">
        <f t="shared" si="2"/>
        <v>0</v>
      </c>
      <c r="I33" s="89"/>
      <c r="J33" s="188"/>
      <c r="K33" s="188"/>
      <c r="L33" s="188"/>
      <c r="M33" s="178">
        <f t="shared" si="3"/>
        <v>0</v>
      </c>
      <c r="N33" s="173">
        <f t="shared" si="4"/>
        <v>0</v>
      </c>
      <c r="P33" s="89"/>
      <c r="Q33" s="188"/>
      <c r="R33" s="188"/>
      <c r="S33" s="188"/>
      <c r="T33" s="188"/>
      <c r="U33" s="178">
        <f t="shared" si="5"/>
        <v>0</v>
      </c>
      <c r="V33" s="173">
        <f t="shared" si="6"/>
        <v>0</v>
      </c>
      <c r="W33" s="174"/>
      <c r="X33" s="371"/>
      <c r="Y33" s="181"/>
      <c r="Z33" s="181"/>
      <c r="AA33" s="181"/>
      <c r="AB33" s="181"/>
      <c r="AC33" s="181"/>
      <c r="AD33" s="181"/>
      <c r="AE33" s="201"/>
      <c r="AF33" s="173"/>
      <c r="AG33" s="174"/>
      <c r="AH33" s="371"/>
      <c r="AI33" s="181"/>
      <c r="AJ33" s="181"/>
      <c r="AK33" s="181"/>
      <c r="AL33" s="181"/>
      <c r="AM33" s="181"/>
      <c r="AN33" s="181"/>
      <c r="AO33" s="201"/>
      <c r="AP33" s="173"/>
    </row>
    <row r="34">
      <c r="A34" s="101" t="s">
        <v>77</v>
      </c>
      <c r="B34" s="93">
        <v>899.0</v>
      </c>
      <c r="C34" s="89"/>
      <c r="D34" s="188"/>
      <c r="E34" s="178"/>
      <c r="F34" s="178">
        <f t="shared" si="1"/>
        <v>0</v>
      </c>
      <c r="G34" s="173">
        <f t="shared" si="2"/>
        <v>0</v>
      </c>
      <c r="I34" s="89"/>
      <c r="J34" s="188"/>
      <c r="K34" s="188"/>
      <c r="L34" s="188"/>
      <c r="M34" s="178">
        <f t="shared" si="3"/>
        <v>0</v>
      </c>
      <c r="N34" s="173">
        <f t="shared" si="4"/>
        <v>0</v>
      </c>
      <c r="P34" s="89"/>
      <c r="Q34" s="188"/>
      <c r="R34" s="188"/>
      <c r="S34" s="188"/>
      <c r="T34" s="178"/>
      <c r="U34" s="178">
        <f t="shared" si="5"/>
        <v>0</v>
      </c>
      <c r="V34" s="173">
        <f t="shared" si="6"/>
        <v>0</v>
      </c>
      <c r="W34" s="174"/>
      <c r="X34" s="371"/>
      <c r="Y34" s="181"/>
      <c r="Z34" s="181"/>
      <c r="AA34" s="181"/>
      <c r="AB34" s="181"/>
      <c r="AC34" s="181"/>
      <c r="AD34" s="181"/>
      <c r="AE34" s="201"/>
      <c r="AF34" s="173"/>
      <c r="AG34" s="174"/>
      <c r="AH34" s="371"/>
      <c r="AI34" s="181"/>
      <c r="AJ34" s="181"/>
      <c r="AK34" s="181"/>
      <c r="AL34" s="181"/>
      <c r="AM34" s="181"/>
      <c r="AN34" s="181"/>
      <c r="AO34" s="201"/>
      <c r="AP34" s="173"/>
    </row>
    <row r="35">
      <c r="A35" s="101" t="s">
        <v>78</v>
      </c>
      <c r="B35" s="93">
        <v>549.0</v>
      </c>
      <c r="C35" s="89"/>
      <c r="D35" s="178"/>
      <c r="E35" s="188"/>
      <c r="F35" s="178">
        <f t="shared" si="1"/>
        <v>0</v>
      </c>
      <c r="G35" s="173">
        <f t="shared" si="2"/>
        <v>0</v>
      </c>
      <c r="I35" s="89"/>
      <c r="J35" s="178"/>
      <c r="K35" s="178"/>
      <c r="L35" s="178"/>
      <c r="M35" s="178">
        <f t="shared" si="3"/>
        <v>0</v>
      </c>
      <c r="N35" s="173">
        <f t="shared" si="4"/>
        <v>0</v>
      </c>
      <c r="P35" s="89"/>
      <c r="Q35" s="178"/>
      <c r="R35" s="178"/>
      <c r="S35" s="178"/>
      <c r="T35" s="188"/>
      <c r="U35" s="178">
        <f t="shared" si="5"/>
        <v>0</v>
      </c>
      <c r="V35" s="173">
        <f t="shared" si="6"/>
        <v>0</v>
      </c>
      <c r="W35" s="174"/>
      <c r="X35" s="371"/>
      <c r="Y35" s="181"/>
      <c r="Z35" s="181"/>
      <c r="AA35" s="181"/>
      <c r="AB35" s="181"/>
      <c r="AC35" s="181"/>
      <c r="AD35" s="181"/>
      <c r="AE35" s="201"/>
      <c r="AF35" s="173"/>
      <c r="AG35" s="174"/>
      <c r="AH35" s="371"/>
      <c r="AI35" s="181"/>
      <c r="AJ35" s="181"/>
      <c r="AK35" s="181"/>
      <c r="AL35" s="181"/>
      <c r="AM35" s="181"/>
      <c r="AN35" s="181"/>
      <c r="AO35" s="201"/>
      <c r="AP35" s="173"/>
    </row>
    <row r="36">
      <c r="A36" s="101" t="s">
        <v>79</v>
      </c>
      <c r="B36" s="93">
        <v>549.0</v>
      </c>
      <c r="C36" s="89"/>
      <c r="D36" s="178"/>
      <c r="E36" s="188"/>
      <c r="F36" s="178">
        <f t="shared" si="1"/>
        <v>0</v>
      </c>
      <c r="G36" s="173">
        <f t="shared" si="2"/>
        <v>0</v>
      </c>
      <c r="I36" s="89"/>
      <c r="J36" s="178"/>
      <c r="K36" s="178"/>
      <c r="L36" s="178"/>
      <c r="M36" s="178">
        <f t="shared" si="3"/>
        <v>0</v>
      </c>
      <c r="N36" s="173">
        <f t="shared" si="4"/>
        <v>0</v>
      </c>
      <c r="P36" s="89"/>
      <c r="Q36" s="178"/>
      <c r="R36" s="178"/>
      <c r="S36" s="178"/>
      <c r="T36" s="188"/>
      <c r="U36" s="178">
        <f t="shared" si="5"/>
        <v>0</v>
      </c>
      <c r="V36" s="173">
        <f t="shared" si="6"/>
        <v>0</v>
      </c>
      <c r="W36" s="174"/>
      <c r="X36" s="371"/>
      <c r="Y36" s="181"/>
      <c r="Z36" s="181"/>
      <c r="AA36" s="181"/>
      <c r="AB36" s="181"/>
      <c r="AC36" s="181"/>
      <c r="AD36" s="181"/>
      <c r="AE36" s="201"/>
      <c r="AF36" s="173"/>
      <c r="AG36" s="174"/>
      <c r="AH36" s="371"/>
      <c r="AI36" s="181"/>
      <c r="AJ36" s="181"/>
      <c r="AK36" s="181"/>
      <c r="AL36" s="181"/>
      <c r="AM36" s="181"/>
      <c r="AN36" s="181"/>
      <c r="AO36" s="201"/>
      <c r="AP36" s="173"/>
    </row>
    <row r="37">
      <c r="A37" s="101" t="s">
        <v>80</v>
      </c>
      <c r="B37" s="93">
        <v>549.0</v>
      </c>
      <c r="C37" s="89"/>
      <c r="D37" s="188"/>
      <c r="E37" s="188"/>
      <c r="F37" s="178">
        <f t="shared" si="1"/>
        <v>0</v>
      </c>
      <c r="G37" s="173">
        <f t="shared" si="2"/>
        <v>0</v>
      </c>
      <c r="I37" s="89"/>
      <c r="J37" s="188"/>
      <c r="K37" s="188"/>
      <c r="L37" s="188"/>
      <c r="M37" s="178">
        <f t="shared" si="3"/>
        <v>0</v>
      </c>
      <c r="N37" s="173">
        <f t="shared" si="4"/>
        <v>0</v>
      </c>
      <c r="P37" s="89"/>
      <c r="Q37" s="188"/>
      <c r="R37" s="188"/>
      <c r="S37" s="188"/>
      <c r="T37" s="188"/>
      <c r="U37" s="178">
        <f t="shared" si="5"/>
        <v>0</v>
      </c>
      <c r="V37" s="173">
        <f t="shared" si="6"/>
        <v>0</v>
      </c>
      <c r="W37" s="174"/>
      <c r="X37" s="371"/>
      <c r="Y37" s="181"/>
      <c r="Z37" s="181"/>
      <c r="AA37" s="181"/>
      <c r="AB37" s="181"/>
      <c r="AC37" s="181"/>
      <c r="AD37" s="181"/>
      <c r="AE37" s="201"/>
      <c r="AF37" s="173"/>
      <c r="AG37" s="174"/>
      <c r="AH37" s="371"/>
      <c r="AI37" s="181"/>
      <c r="AJ37" s="181"/>
      <c r="AK37" s="181"/>
      <c r="AL37" s="181"/>
      <c r="AM37" s="181"/>
      <c r="AN37" s="181"/>
      <c r="AO37" s="201"/>
      <c r="AP37" s="173"/>
    </row>
    <row r="38">
      <c r="A38" s="102" t="s">
        <v>81</v>
      </c>
      <c r="B38" s="93">
        <v>799.0</v>
      </c>
      <c r="C38" s="89"/>
      <c r="D38" s="188"/>
      <c r="E38" s="188"/>
      <c r="F38" s="178">
        <f t="shared" si="1"/>
        <v>0</v>
      </c>
      <c r="G38" s="173">
        <f t="shared" si="2"/>
        <v>0</v>
      </c>
      <c r="I38" s="89"/>
      <c r="J38" s="188"/>
      <c r="K38" s="188"/>
      <c r="L38" s="188"/>
      <c r="M38" s="178">
        <f t="shared" si="3"/>
        <v>0</v>
      </c>
      <c r="N38" s="173">
        <f t="shared" si="4"/>
        <v>0</v>
      </c>
      <c r="P38" s="89"/>
      <c r="Q38" s="188"/>
      <c r="R38" s="188"/>
      <c r="S38" s="188"/>
      <c r="T38" s="188"/>
      <c r="U38" s="178">
        <f t="shared" si="5"/>
        <v>0</v>
      </c>
      <c r="V38" s="173">
        <f t="shared" si="6"/>
        <v>0</v>
      </c>
      <c r="W38" s="174"/>
      <c r="X38" s="371"/>
      <c r="Y38" s="181"/>
      <c r="Z38" s="181"/>
      <c r="AA38" s="181"/>
      <c r="AB38" s="181"/>
      <c r="AC38" s="181"/>
      <c r="AD38" s="181"/>
      <c r="AE38" s="201"/>
      <c r="AF38" s="173"/>
      <c r="AG38" s="174"/>
      <c r="AH38" s="371"/>
      <c r="AI38" s="181"/>
      <c r="AJ38" s="181"/>
      <c r="AK38" s="181"/>
      <c r="AL38" s="181"/>
      <c r="AM38" s="181"/>
      <c r="AN38" s="181"/>
      <c r="AO38" s="201"/>
      <c r="AP38" s="173"/>
    </row>
    <row r="39">
      <c r="A39" s="102" t="s">
        <v>82</v>
      </c>
      <c r="B39" s="93">
        <v>799.0</v>
      </c>
      <c r="C39" s="89"/>
      <c r="D39" s="188"/>
      <c r="E39" s="188"/>
      <c r="F39" s="178">
        <f t="shared" si="1"/>
        <v>0</v>
      </c>
      <c r="G39" s="173">
        <f t="shared" si="2"/>
        <v>0</v>
      </c>
      <c r="I39" s="89"/>
      <c r="J39" s="188"/>
      <c r="K39" s="188"/>
      <c r="L39" s="188"/>
      <c r="M39" s="178">
        <f t="shared" si="3"/>
        <v>0</v>
      </c>
      <c r="N39" s="173">
        <f t="shared" si="4"/>
        <v>0</v>
      </c>
      <c r="P39" s="89"/>
      <c r="Q39" s="188"/>
      <c r="R39" s="188"/>
      <c r="S39" s="188"/>
      <c r="T39" s="188"/>
      <c r="U39" s="178">
        <f t="shared" si="5"/>
        <v>0</v>
      </c>
      <c r="V39" s="173">
        <f t="shared" si="6"/>
        <v>0</v>
      </c>
      <c r="W39" s="174"/>
      <c r="X39" s="371"/>
      <c r="Y39" s="181"/>
      <c r="Z39" s="181"/>
      <c r="AA39" s="181"/>
      <c r="AB39" s="181"/>
      <c r="AC39" s="181"/>
      <c r="AD39" s="181"/>
      <c r="AE39" s="201"/>
      <c r="AF39" s="173"/>
      <c r="AG39" s="174"/>
      <c r="AH39" s="371"/>
      <c r="AI39" s="181"/>
      <c r="AJ39" s="181"/>
      <c r="AK39" s="181"/>
      <c r="AL39" s="181"/>
      <c r="AM39" s="181"/>
      <c r="AN39" s="181"/>
      <c r="AO39" s="201"/>
      <c r="AP39" s="173"/>
    </row>
    <row r="40">
      <c r="A40" s="101" t="s">
        <v>83</v>
      </c>
      <c r="B40" s="93">
        <v>439.0</v>
      </c>
      <c r="C40" s="89"/>
      <c r="D40" s="188"/>
      <c r="E40" s="188"/>
      <c r="F40" s="178">
        <f t="shared" si="1"/>
        <v>0</v>
      </c>
      <c r="G40" s="173">
        <f t="shared" si="2"/>
        <v>0</v>
      </c>
      <c r="I40" s="89"/>
      <c r="J40" s="188"/>
      <c r="K40" s="188"/>
      <c r="L40" s="188"/>
      <c r="M40" s="178">
        <f t="shared" si="3"/>
        <v>0</v>
      </c>
      <c r="N40" s="173">
        <f t="shared" si="4"/>
        <v>0</v>
      </c>
      <c r="P40" s="89"/>
      <c r="Q40" s="188"/>
      <c r="R40" s="188"/>
      <c r="S40" s="188"/>
      <c r="T40" s="188"/>
      <c r="U40" s="178">
        <f t="shared" si="5"/>
        <v>0</v>
      </c>
      <c r="V40" s="173">
        <f t="shared" si="6"/>
        <v>0</v>
      </c>
      <c r="W40" s="174"/>
      <c r="X40" s="371"/>
      <c r="Y40" s="181"/>
      <c r="Z40" s="181"/>
      <c r="AA40" s="181"/>
      <c r="AB40" s="181"/>
      <c r="AC40" s="181"/>
      <c r="AD40" s="181"/>
      <c r="AE40" s="201"/>
      <c r="AF40" s="173"/>
      <c r="AG40" s="174"/>
      <c r="AH40" s="371"/>
      <c r="AI40" s="181"/>
      <c r="AJ40" s="181"/>
      <c r="AK40" s="181"/>
      <c r="AL40" s="181"/>
      <c r="AM40" s="181"/>
      <c r="AN40" s="181"/>
      <c r="AO40" s="201"/>
      <c r="AP40" s="173"/>
    </row>
    <row r="41">
      <c r="A41" s="101" t="s">
        <v>84</v>
      </c>
      <c r="B41" s="93">
        <v>439.0</v>
      </c>
      <c r="C41" s="89"/>
      <c r="D41" s="188"/>
      <c r="E41" s="188"/>
      <c r="F41" s="178">
        <f t="shared" si="1"/>
        <v>0</v>
      </c>
      <c r="G41" s="173">
        <f t="shared" si="2"/>
        <v>0</v>
      </c>
      <c r="I41" s="89"/>
      <c r="J41" s="188"/>
      <c r="K41" s="188"/>
      <c r="L41" s="188"/>
      <c r="M41" s="178">
        <f t="shared" si="3"/>
        <v>0</v>
      </c>
      <c r="N41" s="173">
        <f t="shared" si="4"/>
        <v>0</v>
      </c>
      <c r="P41" s="89"/>
      <c r="Q41" s="188"/>
      <c r="R41" s="188"/>
      <c r="S41" s="188"/>
      <c r="T41" s="188"/>
      <c r="U41" s="178">
        <f t="shared" si="5"/>
        <v>0</v>
      </c>
      <c r="V41" s="173">
        <f t="shared" si="6"/>
        <v>0</v>
      </c>
      <c r="W41" s="174"/>
      <c r="X41" s="371"/>
      <c r="Y41" s="181"/>
      <c r="Z41" s="181"/>
      <c r="AA41" s="181"/>
      <c r="AB41" s="181"/>
      <c r="AC41" s="181"/>
      <c r="AD41" s="181"/>
      <c r="AE41" s="201"/>
      <c r="AF41" s="173"/>
      <c r="AG41" s="174"/>
      <c r="AH41" s="371"/>
      <c r="AI41" s="181"/>
      <c r="AJ41" s="181"/>
      <c r="AK41" s="181"/>
      <c r="AL41" s="181"/>
      <c r="AM41" s="181"/>
      <c r="AN41" s="181"/>
      <c r="AO41" s="201"/>
      <c r="AP41" s="173"/>
    </row>
    <row r="42">
      <c r="A42" s="101" t="s">
        <v>85</v>
      </c>
      <c r="B42" s="93">
        <v>60.0</v>
      </c>
      <c r="C42" s="89"/>
      <c r="D42" s="188"/>
      <c r="E42" s="188"/>
      <c r="F42" s="178">
        <f t="shared" si="1"/>
        <v>0</v>
      </c>
      <c r="G42" s="173">
        <f t="shared" si="2"/>
        <v>0</v>
      </c>
      <c r="I42" s="89"/>
      <c r="J42" s="188"/>
      <c r="K42" s="188"/>
      <c r="L42" s="188"/>
      <c r="M42" s="178">
        <f t="shared" si="3"/>
        <v>0</v>
      </c>
      <c r="N42" s="173">
        <f t="shared" si="4"/>
        <v>0</v>
      </c>
      <c r="P42" s="89"/>
      <c r="Q42" s="188"/>
      <c r="R42" s="188"/>
      <c r="S42" s="188"/>
      <c r="T42" s="194">
        <v>3.0</v>
      </c>
      <c r="U42" s="178">
        <f t="shared" si="5"/>
        <v>3</v>
      </c>
      <c r="V42" s="173">
        <f t="shared" si="6"/>
        <v>0</v>
      </c>
      <c r="W42" s="174"/>
      <c r="X42" s="371"/>
      <c r="Y42" s="181"/>
      <c r="Z42" s="181"/>
      <c r="AA42" s="181"/>
      <c r="AB42" s="181"/>
      <c r="AC42" s="181"/>
      <c r="AD42" s="181"/>
      <c r="AE42" s="201"/>
      <c r="AF42" s="173"/>
      <c r="AG42" s="174"/>
      <c r="AH42" s="371"/>
      <c r="AI42" s="181"/>
      <c r="AJ42" s="181"/>
      <c r="AK42" s="181"/>
      <c r="AL42" s="181"/>
      <c r="AM42" s="181"/>
      <c r="AN42" s="181"/>
      <c r="AO42" s="201"/>
      <c r="AP42" s="173"/>
    </row>
    <row r="43">
      <c r="A43" s="101" t="s">
        <v>86</v>
      </c>
      <c r="B43" s="93">
        <v>609.0</v>
      </c>
      <c r="C43" s="115"/>
      <c r="D43" s="215"/>
      <c r="E43" s="215"/>
      <c r="F43" s="200">
        <f t="shared" si="1"/>
        <v>0</v>
      </c>
      <c r="G43" s="173">
        <f t="shared" si="2"/>
        <v>0</v>
      </c>
      <c r="I43" s="115"/>
      <c r="J43" s="215"/>
      <c r="K43" s="215"/>
      <c r="L43" s="215"/>
      <c r="M43" s="200">
        <f t="shared" si="3"/>
        <v>0</v>
      </c>
      <c r="N43" s="173">
        <f t="shared" si="4"/>
        <v>0</v>
      </c>
      <c r="P43" s="115"/>
      <c r="Q43" s="215"/>
      <c r="R43" s="215"/>
      <c r="S43" s="215"/>
      <c r="T43" s="215"/>
      <c r="U43" s="200">
        <f t="shared" si="5"/>
        <v>0</v>
      </c>
      <c r="V43" s="173">
        <f t="shared" si="6"/>
        <v>0</v>
      </c>
      <c r="W43" s="174"/>
      <c r="X43" s="329"/>
      <c r="Y43" s="215"/>
      <c r="Z43" s="215"/>
      <c r="AA43" s="215"/>
      <c r="AB43" s="215"/>
      <c r="AC43" s="215"/>
      <c r="AD43" s="215"/>
      <c r="AE43" s="200"/>
      <c r="AF43" s="173"/>
      <c r="AG43" s="174"/>
      <c r="AH43" s="329"/>
      <c r="AI43" s="215"/>
      <c r="AJ43" s="215"/>
      <c r="AK43" s="215"/>
      <c r="AL43" s="215"/>
      <c r="AM43" s="215"/>
      <c r="AN43" s="215"/>
      <c r="AO43" s="200"/>
      <c r="AP43" s="173"/>
    </row>
    <row r="44">
      <c r="A44" s="101" t="s">
        <v>87</v>
      </c>
      <c r="B44" s="93">
        <v>379.0</v>
      </c>
      <c r="C44" s="115"/>
      <c r="D44" s="215"/>
      <c r="E44" s="215"/>
      <c r="F44" s="200">
        <f t="shared" si="1"/>
        <v>0</v>
      </c>
      <c r="G44" s="173">
        <f t="shared" si="2"/>
        <v>0</v>
      </c>
      <c r="I44" s="115"/>
      <c r="J44" s="215"/>
      <c r="K44" s="215"/>
      <c r="L44" s="215"/>
      <c r="M44" s="200">
        <f t="shared" si="3"/>
        <v>0</v>
      </c>
      <c r="N44" s="173">
        <f t="shared" si="4"/>
        <v>0</v>
      </c>
      <c r="P44" s="115"/>
      <c r="Q44" s="215"/>
      <c r="R44" s="215"/>
      <c r="S44" s="215"/>
      <c r="T44" s="215"/>
      <c r="U44" s="200">
        <f t="shared" si="5"/>
        <v>0</v>
      </c>
      <c r="V44" s="173">
        <f t="shared" si="6"/>
        <v>0</v>
      </c>
      <c r="W44" s="174"/>
      <c r="X44" s="329"/>
      <c r="Y44" s="215"/>
      <c r="Z44" s="215"/>
      <c r="AA44" s="215"/>
      <c r="AB44" s="321">
        <v>1.0</v>
      </c>
      <c r="AC44" s="215"/>
      <c r="AD44" s="215"/>
      <c r="AE44" s="200"/>
      <c r="AF44" s="173"/>
      <c r="AG44" s="174"/>
      <c r="AH44" s="329"/>
      <c r="AI44" s="217">
        <v>2.0</v>
      </c>
      <c r="AJ44" s="215"/>
      <c r="AK44" s="215"/>
      <c r="AL44" s="321"/>
      <c r="AM44" s="215"/>
      <c r="AN44" s="215"/>
      <c r="AO44" s="200"/>
      <c r="AP44" s="173"/>
    </row>
    <row r="45">
      <c r="A45" s="101" t="s">
        <v>88</v>
      </c>
      <c r="B45" s="93">
        <v>379.0</v>
      </c>
      <c r="C45" s="115"/>
      <c r="D45" s="215"/>
      <c r="E45" s="215"/>
      <c r="F45" s="200">
        <f t="shared" si="1"/>
        <v>0</v>
      </c>
      <c r="G45" s="173">
        <f t="shared" si="2"/>
        <v>0</v>
      </c>
      <c r="I45" s="115"/>
      <c r="J45" s="215"/>
      <c r="K45" s="215"/>
      <c r="L45" s="215"/>
      <c r="M45" s="200">
        <f t="shared" si="3"/>
        <v>0</v>
      </c>
      <c r="N45" s="173">
        <f t="shared" si="4"/>
        <v>0</v>
      </c>
      <c r="P45" s="115"/>
      <c r="Q45" s="215"/>
      <c r="R45" s="215"/>
      <c r="S45" s="215"/>
      <c r="T45" s="215"/>
      <c r="U45" s="200">
        <f t="shared" si="5"/>
        <v>0</v>
      </c>
      <c r="V45" s="173">
        <f t="shared" si="6"/>
        <v>0</v>
      </c>
      <c r="W45" s="174"/>
      <c r="X45" s="329"/>
      <c r="Y45" s="215"/>
      <c r="Z45" s="215"/>
      <c r="AA45" s="215"/>
      <c r="AB45" s="215"/>
      <c r="AC45" s="215"/>
      <c r="AD45" s="215"/>
      <c r="AE45" s="200"/>
      <c r="AF45" s="173"/>
      <c r="AG45" s="174"/>
      <c r="AH45" s="329"/>
      <c r="AI45" s="215"/>
      <c r="AJ45" s="215"/>
      <c r="AK45" s="215"/>
      <c r="AL45" s="215"/>
      <c r="AM45" s="215"/>
      <c r="AN45" s="215"/>
      <c r="AO45" s="200"/>
      <c r="AP45" s="173"/>
    </row>
    <row r="46">
      <c r="A46" s="101" t="s">
        <v>89</v>
      </c>
      <c r="B46" s="93">
        <v>1299.0</v>
      </c>
      <c r="C46" s="115"/>
      <c r="D46" s="215"/>
      <c r="E46" s="217">
        <v>1.0</v>
      </c>
      <c r="F46" s="200">
        <f t="shared" si="1"/>
        <v>1</v>
      </c>
      <c r="G46" s="173">
        <f t="shared" si="2"/>
        <v>1299</v>
      </c>
      <c r="I46" s="115"/>
      <c r="J46" s="215"/>
      <c r="K46" s="215"/>
      <c r="L46" s="215"/>
      <c r="M46" s="200">
        <f t="shared" si="3"/>
        <v>0</v>
      </c>
      <c r="N46" s="173">
        <f t="shared" si="4"/>
        <v>0</v>
      </c>
      <c r="P46" s="216">
        <v>1.0</v>
      </c>
      <c r="Q46" s="215"/>
      <c r="R46" s="215"/>
      <c r="S46" s="215"/>
      <c r="T46" s="217"/>
      <c r="U46" s="200">
        <f t="shared" si="5"/>
        <v>1</v>
      </c>
      <c r="V46" s="173">
        <f t="shared" si="6"/>
        <v>0</v>
      </c>
      <c r="W46" s="174"/>
      <c r="X46" s="329"/>
      <c r="Y46" s="215"/>
      <c r="Z46" s="215"/>
      <c r="AA46" s="215"/>
      <c r="AB46" s="215"/>
      <c r="AC46" s="215"/>
      <c r="AD46" s="215"/>
      <c r="AE46" s="200"/>
      <c r="AF46" s="173"/>
      <c r="AG46" s="174"/>
      <c r="AH46" s="329"/>
      <c r="AI46" s="215"/>
      <c r="AJ46" s="215"/>
      <c r="AK46" s="215"/>
      <c r="AL46" s="215"/>
      <c r="AM46" s="215"/>
      <c r="AN46" s="215"/>
      <c r="AO46" s="200"/>
      <c r="AP46" s="173"/>
    </row>
    <row r="47">
      <c r="A47" s="67" t="s">
        <v>90</v>
      </c>
      <c r="B47" s="93">
        <v>1299.0</v>
      </c>
      <c r="C47" s="115"/>
      <c r="D47" s="215"/>
      <c r="E47" s="215"/>
      <c r="F47" s="200">
        <f t="shared" si="1"/>
        <v>0</v>
      </c>
      <c r="G47" s="173">
        <f t="shared" si="2"/>
        <v>0</v>
      </c>
      <c r="I47" s="115"/>
      <c r="J47" s="215"/>
      <c r="K47" s="215"/>
      <c r="L47" s="215"/>
      <c r="M47" s="200">
        <f t="shared" si="3"/>
        <v>0</v>
      </c>
      <c r="N47" s="173">
        <f t="shared" si="4"/>
        <v>0</v>
      </c>
      <c r="P47" s="115"/>
      <c r="Q47" s="215"/>
      <c r="R47" s="215"/>
      <c r="S47" s="215"/>
      <c r="T47" s="215"/>
      <c r="U47" s="200">
        <f t="shared" si="5"/>
        <v>0</v>
      </c>
      <c r="V47" s="173">
        <f t="shared" si="6"/>
        <v>0</v>
      </c>
      <c r="W47" s="174"/>
      <c r="X47" s="329"/>
      <c r="Y47" s="215"/>
      <c r="Z47" s="215"/>
      <c r="AA47" s="215"/>
      <c r="AB47" s="215"/>
      <c r="AC47" s="215"/>
      <c r="AD47" s="215"/>
      <c r="AE47" s="200"/>
      <c r="AF47" s="173"/>
      <c r="AG47" s="174"/>
      <c r="AH47" s="329"/>
      <c r="AI47" s="215"/>
      <c r="AJ47" s="215"/>
      <c r="AK47" s="215"/>
      <c r="AL47" s="215"/>
      <c r="AM47" s="215"/>
      <c r="AN47" s="215"/>
      <c r="AO47" s="200"/>
      <c r="AP47" s="173"/>
    </row>
    <row r="48">
      <c r="A48" s="101" t="s">
        <v>91</v>
      </c>
      <c r="B48" s="103">
        <v>0.0</v>
      </c>
      <c r="C48" s="115"/>
      <c r="D48" s="215"/>
      <c r="E48" s="215"/>
      <c r="F48" s="200">
        <f t="shared" si="1"/>
        <v>0</v>
      </c>
      <c r="G48" s="173">
        <f t="shared" si="2"/>
        <v>0</v>
      </c>
      <c r="I48" s="115"/>
      <c r="J48" s="215"/>
      <c r="K48" s="215"/>
      <c r="L48" s="215"/>
      <c r="M48" s="200">
        <f t="shared" si="3"/>
        <v>0</v>
      </c>
      <c r="N48" s="173">
        <f t="shared" si="4"/>
        <v>0</v>
      </c>
      <c r="P48" s="115"/>
      <c r="Q48" s="215"/>
      <c r="R48" s="215"/>
      <c r="S48" s="215"/>
      <c r="T48" s="215"/>
      <c r="U48" s="200">
        <f t="shared" si="5"/>
        <v>0</v>
      </c>
      <c r="V48" s="173">
        <f t="shared" si="6"/>
        <v>0</v>
      </c>
      <c r="W48" s="174"/>
      <c r="X48" s="329"/>
      <c r="Y48" s="215"/>
      <c r="Z48" s="215"/>
      <c r="AA48" s="215"/>
      <c r="AB48" s="215"/>
      <c r="AC48" s="215"/>
      <c r="AD48" s="215"/>
      <c r="AE48" s="200"/>
      <c r="AF48" s="173"/>
      <c r="AG48" s="174"/>
      <c r="AH48" s="329"/>
      <c r="AI48" s="215"/>
      <c r="AJ48" s="215"/>
      <c r="AK48" s="215"/>
      <c r="AL48" s="215"/>
      <c r="AM48" s="215"/>
      <c r="AN48" s="215"/>
      <c r="AO48" s="200"/>
      <c r="AP48" s="173"/>
    </row>
    <row r="49">
      <c r="A49" s="104"/>
      <c r="B49" s="105"/>
      <c r="C49" s="115"/>
      <c r="D49" s="215"/>
      <c r="E49" s="215"/>
      <c r="F49" s="200">
        <f t="shared" si="1"/>
        <v>0</v>
      </c>
      <c r="G49" s="173">
        <f t="shared" si="2"/>
        <v>0</v>
      </c>
      <c r="I49" s="115"/>
      <c r="J49" s="215"/>
      <c r="K49" s="215"/>
      <c r="L49" s="215"/>
      <c r="M49" s="200">
        <f t="shared" si="3"/>
        <v>0</v>
      </c>
      <c r="N49" s="173">
        <f t="shared" si="4"/>
        <v>0</v>
      </c>
      <c r="P49" s="115"/>
      <c r="Q49" s="215"/>
      <c r="R49" s="215"/>
      <c r="S49" s="215"/>
      <c r="T49" s="215"/>
      <c r="U49" s="200">
        <f t="shared" si="5"/>
        <v>0</v>
      </c>
      <c r="V49" s="173">
        <f t="shared" si="6"/>
        <v>0</v>
      </c>
      <c r="W49" s="174"/>
      <c r="X49" s="329"/>
      <c r="Y49" s="215"/>
      <c r="Z49" s="215"/>
      <c r="AA49" s="215"/>
      <c r="AB49" s="215"/>
      <c r="AC49" s="215"/>
      <c r="AD49" s="215"/>
      <c r="AE49" s="200"/>
      <c r="AF49" s="173"/>
      <c r="AG49" s="174"/>
      <c r="AH49" s="329"/>
      <c r="AI49" s="215"/>
      <c r="AJ49" s="215"/>
      <c r="AK49" s="215"/>
      <c r="AL49" s="215"/>
      <c r="AM49" s="215"/>
      <c r="AN49" s="215"/>
      <c r="AO49" s="200"/>
      <c r="AP49" s="173"/>
    </row>
    <row r="50">
      <c r="A50" s="102" t="s">
        <v>92</v>
      </c>
      <c r="B50" s="106">
        <v>609.0</v>
      </c>
      <c r="C50" s="115"/>
      <c r="D50" s="215"/>
      <c r="E50" s="215"/>
      <c r="F50" s="200">
        <f t="shared" si="1"/>
        <v>0</v>
      </c>
      <c r="G50" s="173">
        <f t="shared" si="2"/>
        <v>0</v>
      </c>
      <c r="I50" s="115"/>
      <c r="J50" s="215"/>
      <c r="K50" s="215"/>
      <c r="L50" s="215"/>
      <c r="M50" s="200">
        <f t="shared" si="3"/>
        <v>0</v>
      </c>
      <c r="N50" s="173">
        <f t="shared" si="4"/>
        <v>0</v>
      </c>
      <c r="P50" s="115"/>
      <c r="Q50" s="215"/>
      <c r="R50" s="215"/>
      <c r="S50" s="215"/>
      <c r="T50" s="215"/>
      <c r="U50" s="200">
        <f t="shared" si="5"/>
        <v>0</v>
      </c>
      <c r="V50" s="173">
        <f t="shared" si="6"/>
        <v>0</v>
      </c>
      <c r="W50" s="174"/>
      <c r="X50" s="329"/>
      <c r="Y50" s="215"/>
      <c r="Z50" s="215"/>
      <c r="AA50" s="215"/>
      <c r="AB50" s="215"/>
      <c r="AC50" s="321"/>
      <c r="AD50" s="215"/>
      <c r="AE50" s="200"/>
      <c r="AF50" s="173"/>
      <c r="AG50" s="174"/>
      <c r="AH50" s="329"/>
      <c r="AI50" s="215"/>
      <c r="AJ50" s="215"/>
      <c r="AK50" s="215"/>
      <c r="AL50" s="215"/>
      <c r="AM50" s="321"/>
      <c r="AN50" s="215"/>
      <c r="AO50" s="200"/>
      <c r="AP50" s="173"/>
    </row>
    <row r="51">
      <c r="A51" s="102" t="s">
        <v>93</v>
      </c>
      <c r="B51" s="93">
        <v>609.0</v>
      </c>
      <c r="C51" s="115"/>
      <c r="D51" s="215"/>
      <c r="E51" s="215"/>
      <c r="F51" s="200">
        <f t="shared" si="1"/>
        <v>0</v>
      </c>
      <c r="G51" s="173">
        <f t="shared" si="2"/>
        <v>0</v>
      </c>
      <c r="I51" s="115"/>
      <c r="J51" s="215"/>
      <c r="K51" s="215"/>
      <c r="L51" s="215"/>
      <c r="M51" s="200">
        <f t="shared" si="3"/>
        <v>0</v>
      </c>
      <c r="N51" s="173">
        <f t="shared" si="4"/>
        <v>0</v>
      </c>
      <c r="P51" s="115"/>
      <c r="Q51" s="215"/>
      <c r="R51" s="215"/>
      <c r="S51" s="215"/>
      <c r="T51" s="215"/>
      <c r="U51" s="200">
        <f t="shared" si="5"/>
        <v>0</v>
      </c>
      <c r="V51" s="173">
        <f t="shared" si="6"/>
        <v>0</v>
      </c>
      <c r="W51" s="174"/>
      <c r="X51" s="329"/>
      <c r="Y51" s="215"/>
      <c r="Z51" s="215"/>
      <c r="AA51" s="215"/>
      <c r="AB51" s="215"/>
      <c r="AC51" s="215"/>
      <c r="AD51" s="215"/>
      <c r="AE51" s="200"/>
      <c r="AF51" s="173"/>
      <c r="AG51" s="174"/>
      <c r="AH51" s="329"/>
      <c r="AI51" s="215"/>
      <c r="AJ51" s="215"/>
      <c r="AK51" s="215"/>
      <c r="AL51" s="215"/>
      <c r="AM51" s="215"/>
      <c r="AN51" s="215"/>
      <c r="AO51" s="200"/>
      <c r="AP51" s="173"/>
    </row>
    <row r="52">
      <c r="A52" s="102" t="s">
        <v>94</v>
      </c>
      <c r="B52" s="93">
        <v>329.0</v>
      </c>
      <c r="C52" s="115"/>
      <c r="D52" s="215"/>
      <c r="E52" s="215"/>
      <c r="F52" s="200">
        <f t="shared" si="1"/>
        <v>0</v>
      </c>
      <c r="G52" s="173">
        <f t="shared" si="2"/>
        <v>0</v>
      </c>
      <c r="I52" s="115"/>
      <c r="J52" s="217">
        <v>2.0</v>
      </c>
      <c r="K52" s="215"/>
      <c r="L52" s="215"/>
      <c r="M52" s="200">
        <f t="shared" si="3"/>
        <v>2</v>
      </c>
      <c r="N52" s="173">
        <f t="shared" si="4"/>
        <v>658</v>
      </c>
      <c r="P52" s="115"/>
      <c r="Q52" s="215"/>
      <c r="R52" s="215"/>
      <c r="S52" s="215"/>
      <c r="T52" s="215"/>
      <c r="U52" s="200">
        <f t="shared" si="5"/>
        <v>0</v>
      </c>
      <c r="V52" s="173">
        <f t="shared" si="6"/>
        <v>0</v>
      </c>
      <c r="W52" s="174"/>
      <c r="X52" s="329"/>
      <c r="Y52" s="221"/>
      <c r="Z52" s="221"/>
      <c r="AA52" s="221"/>
      <c r="AB52" s="221"/>
      <c r="AC52" s="215"/>
      <c r="AD52" s="215"/>
      <c r="AE52" s="200"/>
      <c r="AF52" s="173"/>
      <c r="AG52" s="174"/>
      <c r="AH52" s="329"/>
      <c r="AI52" s="221"/>
      <c r="AJ52" s="221"/>
      <c r="AK52" s="221"/>
      <c r="AL52" s="221"/>
      <c r="AM52" s="215"/>
      <c r="AN52" s="215"/>
      <c r="AO52" s="200"/>
      <c r="AP52" s="173"/>
    </row>
    <row r="53">
      <c r="A53" s="102" t="s">
        <v>263</v>
      </c>
      <c r="B53" s="93">
        <v>199.0</v>
      </c>
      <c r="C53" s="115"/>
      <c r="D53" s="215"/>
      <c r="E53" s="215"/>
      <c r="F53" s="200">
        <f t="shared" si="1"/>
        <v>0</v>
      </c>
      <c r="G53" s="173">
        <f t="shared" si="2"/>
        <v>0</v>
      </c>
      <c r="I53" s="216">
        <v>10.0</v>
      </c>
      <c r="J53" s="215"/>
      <c r="K53" s="215"/>
      <c r="L53" s="215"/>
      <c r="M53" s="200">
        <f t="shared" si="3"/>
        <v>10</v>
      </c>
      <c r="N53" s="173">
        <f t="shared" si="4"/>
        <v>1990</v>
      </c>
      <c r="P53" s="216"/>
      <c r="Q53" s="215"/>
      <c r="R53" s="215"/>
      <c r="S53" s="215"/>
      <c r="T53" s="215"/>
      <c r="U53" s="200">
        <f t="shared" si="5"/>
        <v>0</v>
      </c>
      <c r="V53" s="173">
        <f t="shared" si="6"/>
        <v>0</v>
      </c>
      <c r="W53" s="174"/>
      <c r="X53" s="329"/>
      <c r="Y53" s="215"/>
      <c r="Z53" s="215"/>
      <c r="AA53" s="215"/>
      <c r="AB53" s="215"/>
      <c r="AC53" s="215"/>
      <c r="AD53" s="215"/>
      <c r="AE53" s="200"/>
      <c r="AF53" s="173"/>
      <c r="AG53" s="174"/>
      <c r="AH53" s="329"/>
      <c r="AI53" s="215"/>
      <c r="AJ53" s="215"/>
      <c r="AK53" s="215"/>
      <c r="AL53" s="215"/>
      <c r="AM53" s="215"/>
      <c r="AN53" s="215"/>
      <c r="AO53" s="200"/>
      <c r="AP53" s="173"/>
    </row>
    <row r="54">
      <c r="A54" s="102" t="s">
        <v>264</v>
      </c>
      <c r="B54" s="93">
        <v>199.0</v>
      </c>
      <c r="C54" s="115"/>
      <c r="D54" s="215"/>
      <c r="E54" s="215"/>
      <c r="F54" s="200">
        <f t="shared" si="1"/>
        <v>0</v>
      </c>
      <c r="G54" s="173">
        <f t="shared" si="2"/>
        <v>0</v>
      </c>
      <c r="I54" s="115"/>
      <c r="J54" s="215"/>
      <c r="K54" s="215"/>
      <c r="L54" s="215"/>
      <c r="M54" s="200">
        <f t="shared" si="3"/>
        <v>0</v>
      </c>
      <c r="N54" s="173">
        <f t="shared" si="4"/>
        <v>0</v>
      </c>
      <c r="P54" s="115"/>
      <c r="Q54" s="215"/>
      <c r="R54" s="215"/>
      <c r="S54" s="215"/>
      <c r="T54" s="215"/>
      <c r="U54" s="200">
        <f t="shared" si="5"/>
        <v>0</v>
      </c>
      <c r="V54" s="173">
        <f t="shared" si="6"/>
        <v>0</v>
      </c>
      <c r="W54" s="174"/>
      <c r="X54" s="329"/>
      <c r="Y54" s="215"/>
      <c r="Z54" s="215"/>
      <c r="AA54" s="215"/>
      <c r="AB54" s="215"/>
      <c r="AC54" s="215"/>
      <c r="AD54" s="215"/>
      <c r="AE54" s="200"/>
      <c r="AF54" s="173"/>
      <c r="AG54" s="174"/>
      <c r="AH54" s="329"/>
      <c r="AI54" s="215"/>
      <c r="AJ54" s="215"/>
      <c r="AK54" s="215"/>
      <c r="AL54" s="215"/>
      <c r="AM54" s="215"/>
      <c r="AN54" s="215"/>
      <c r="AO54" s="200"/>
      <c r="AP54" s="173"/>
    </row>
    <row r="55">
      <c r="A55" s="67" t="s">
        <v>97</v>
      </c>
      <c r="B55" s="93">
        <v>599.0</v>
      </c>
      <c r="C55" s="115"/>
      <c r="D55" s="215"/>
      <c r="E55" s="215"/>
      <c r="F55" s="200">
        <f t="shared" si="1"/>
        <v>0</v>
      </c>
      <c r="G55" s="173">
        <f t="shared" si="2"/>
        <v>0</v>
      </c>
      <c r="I55" s="115"/>
      <c r="J55" s="215"/>
      <c r="K55" s="215"/>
      <c r="L55" s="215"/>
      <c r="M55" s="200">
        <f t="shared" si="3"/>
        <v>0</v>
      </c>
      <c r="N55" s="173">
        <f t="shared" si="4"/>
        <v>0</v>
      </c>
      <c r="P55" s="115"/>
      <c r="Q55" s="215"/>
      <c r="R55" s="215"/>
      <c r="S55" s="215"/>
      <c r="T55" s="215"/>
      <c r="U55" s="200">
        <f t="shared" si="5"/>
        <v>0</v>
      </c>
      <c r="V55" s="173">
        <f t="shared" si="6"/>
        <v>0</v>
      </c>
      <c r="W55" s="174"/>
      <c r="X55" s="329"/>
      <c r="Y55" s="215"/>
      <c r="Z55" s="215"/>
      <c r="AA55" s="215"/>
      <c r="AB55" s="215"/>
      <c r="AC55" s="215"/>
      <c r="AD55" s="215"/>
      <c r="AE55" s="200"/>
      <c r="AF55" s="173"/>
      <c r="AG55" s="174"/>
      <c r="AH55" s="329"/>
      <c r="AI55" s="215"/>
      <c r="AJ55" s="215"/>
      <c r="AK55" s="215"/>
      <c r="AL55" s="215"/>
      <c r="AM55" s="215"/>
      <c r="AN55" s="215"/>
      <c r="AO55" s="200"/>
      <c r="AP55" s="173"/>
    </row>
    <row r="56">
      <c r="A56" s="102" t="s">
        <v>98</v>
      </c>
      <c r="B56" s="93">
        <v>1499.0</v>
      </c>
      <c r="C56" s="115"/>
      <c r="D56" s="215"/>
      <c r="E56" s="215"/>
      <c r="F56" s="200">
        <f t="shared" si="1"/>
        <v>0</v>
      </c>
      <c r="G56" s="173">
        <f t="shared" si="2"/>
        <v>0</v>
      </c>
      <c r="I56" s="115"/>
      <c r="J56" s="215"/>
      <c r="K56" s="215"/>
      <c r="L56" s="215"/>
      <c r="M56" s="200">
        <f t="shared" si="3"/>
        <v>0</v>
      </c>
      <c r="N56" s="173">
        <f t="shared" si="4"/>
        <v>0</v>
      </c>
      <c r="P56" s="115"/>
      <c r="Q56" s="215"/>
      <c r="R56" s="215"/>
      <c r="S56" s="215"/>
      <c r="T56" s="217">
        <v>1.0</v>
      </c>
      <c r="U56" s="200">
        <f t="shared" si="5"/>
        <v>1</v>
      </c>
      <c r="V56" s="173">
        <f t="shared" si="6"/>
        <v>0</v>
      </c>
      <c r="W56" s="174"/>
      <c r="X56" s="329"/>
      <c r="Y56" s="215"/>
      <c r="Z56" s="321">
        <v>1.0</v>
      </c>
      <c r="AA56" s="215"/>
      <c r="AB56" s="215"/>
      <c r="AC56" s="215"/>
      <c r="AD56" s="215"/>
      <c r="AE56" s="200"/>
      <c r="AF56" s="173"/>
      <c r="AG56" s="174"/>
      <c r="AH56" s="329"/>
      <c r="AI56" s="215"/>
      <c r="AJ56" s="321"/>
      <c r="AK56" s="215"/>
      <c r="AL56" s="215"/>
      <c r="AM56" s="215"/>
      <c r="AN56" s="215"/>
      <c r="AO56" s="200"/>
      <c r="AP56" s="173"/>
    </row>
    <row r="57">
      <c r="A57" s="104"/>
      <c r="B57" s="99"/>
      <c r="C57" s="115"/>
      <c r="D57" s="215"/>
      <c r="E57" s="215"/>
      <c r="F57" s="200">
        <f t="shared" si="1"/>
        <v>0</v>
      </c>
      <c r="G57" s="173">
        <f t="shared" si="2"/>
        <v>0</v>
      </c>
      <c r="I57" s="115"/>
      <c r="J57" s="215"/>
      <c r="K57" s="215"/>
      <c r="L57" s="215"/>
      <c r="M57" s="200">
        <f t="shared" si="3"/>
        <v>0</v>
      </c>
      <c r="N57" s="173">
        <f t="shared" si="4"/>
        <v>0</v>
      </c>
      <c r="P57" s="115"/>
      <c r="Q57" s="215"/>
      <c r="R57" s="215"/>
      <c r="S57" s="215"/>
      <c r="T57" s="215"/>
      <c r="U57" s="200">
        <f t="shared" si="5"/>
        <v>0</v>
      </c>
      <c r="V57" s="173">
        <f t="shared" si="6"/>
        <v>0</v>
      </c>
      <c r="W57" s="174"/>
      <c r="X57" s="329"/>
      <c r="Y57" s="215"/>
      <c r="Z57" s="215"/>
      <c r="AA57" s="215"/>
      <c r="AB57" s="215"/>
      <c r="AC57" s="215"/>
      <c r="AD57" s="215"/>
      <c r="AE57" s="200"/>
      <c r="AF57" s="173"/>
      <c r="AG57" s="174"/>
      <c r="AH57" s="329"/>
      <c r="AI57" s="215"/>
      <c r="AJ57" s="215"/>
      <c r="AK57" s="215"/>
      <c r="AL57" s="215"/>
      <c r="AM57" s="215"/>
      <c r="AN57" s="215"/>
      <c r="AO57" s="200"/>
      <c r="AP57" s="173"/>
    </row>
    <row r="58">
      <c r="A58" s="102" t="s">
        <v>99</v>
      </c>
      <c r="B58" s="93">
        <v>329.0</v>
      </c>
      <c r="C58" s="115"/>
      <c r="D58" s="215"/>
      <c r="E58" s="215"/>
      <c r="F58" s="200">
        <f t="shared" si="1"/>
        <v>0</v>
      </c>
      <c r="G58" s="173">
        <f t="shared" si="2"/>
        <v>0</v>
      </c>
      <c r="I58" s="115"/>
      <c r="J58" s="217">
        <v>2.0</v>
      </c>
      <c r="K58" s="215"/>
      <c r="L58" s="215"/>
      <c r="M58" s="200">
        <f t="shared" si="3"/>
        <v>2</v>
      </c>
      <c r="N58" s="173">
        <f t="shared" si="4"/>
        <v>658</v>
      </c>
      <c r="P58" s="115"/>
      <c r="Q58" s="215"/>
      <c r="R58" s="215"/>
      <c r="S58" s="215"/>
      <c r="T58" s="215"/>
      <c r="U58" s="200">
        <f t="shared" si="5"/>
        <v>0</v>
      </c>
      <c r="V58" s="173">
        <f t="shared" si="6"/>
        <v>0</v>
      </c>
      <c r="W58" s="174"/>
      <c r="X58" s="329"/>
      <c r="Y58" s="221"/>
      <c r="Z58" s="221"/>
      <c r="AA58" s="221"/>
      <c r="AB58" s="221"/>
      <c r="AC58" s="215"/>
      <c r="AD58" s="215"/>
      <c r="AE58" s="200"/>
      <c r="AF58" s="173"/>
      <c r="AG58" s="174"/>
      <c r="AH58" s="329"/>
      <c r="AI58" s="221"/>
      <c r="AJ58" s="221"/>
      <c r="AK58" s="221"/>
      <c r="AL58" s="221"/>
      <c r="AM58" s="215"/>
      <c r="AN58" s="215"/>
      <c r="AO58" s="200"/>
      <c r="AP58" s="173"/>
    </row>
    <row r="59">
      <c r="A59" s="102" t="s">
        <v>100</v>
      </c>
      <c r="B59" s="93">
        <v>329.0</v>
      </c>
      <c r="C59" s="115"/>
      <c r="D59" s="217">
        <v>1.0</v>
      </c>
      <c r="E59" s="215"/>
      <c r="F59" s="200">
        <f t="shared" si="1"/>
        <v>1</v>
      </c>
      <c r="G59" s="173">
        <f t="shared" si="2"/>
        <v>329</v>
      </c>
      <c r="I59" s="115"/>
      <c r="J59" s="217">
        <v>2.0</v>
      </c>
      <c r="K59" s="217"/>
      <c r="L59" s="217"/>
      <c r="M59" s="200">
        <f t="shared" si="3"/>
        <v>2</v>
      </c>
      <c r="N59" s="173">
        <f t="shared" si="4"/>
        <v>658</v>
      </c>
      <c r="P59" s="115"/>
      <c r="Q59" s="217"/>
      <c r="R59" s="217"/>
      <c r="S59" s="217"/>
      <c r="T59" s="215"/>
      <c r="U59" s="200">
        <f t="shared" si="5"/>
        <v>0</v>
      </c>
      <c r="V59" s="173">
        <f t="shared" si="6"/>
        <v>0</v>
      </c>
      <c r="W59" s="174"/>
      <c r="X59" s="329"/>
      <c r="Y59" s="221"/>
      <c r="Z59" s="221"/>
      <c r="AA59" s="221"/>
      <c r="AB59" s="221"/>
      <c r="AC59" s="215"/>
      <c r="AD59" s="215"/>
      <c r="AE59" s="200"/>
      <c r="AF59" s="173"/>
      <c r="AG59" s="174"/>
      <c r="AH59" s="329"/>
      <c r="AI59" s="221"/>
      <c r="AJ59" s="221"/>
      <c r="AK59" s="221"/>
      <c r="AL59" s="221"/>
      <c r="AM59" s="215"/>
      <c r="AN59" s="215"/>
      <c r="AO59" s="200"/>
      <c r="AP59" s="173"/>
    </row>
    <row r="60">
      <c r="A60" s="102" t="s">
        <v>101</v>
      </c>
      <c r="B60" s="93">
        <v>329.0</v>
      </c>
      <c r="C60" s="115"/>
      <c r="D60" s="217">
        <v>1.0</v>
      </c>
      <c r="E60" s="215"/>
      <c r="F60" s="200">
        <f t="shared" si="1"/>
        <v>1</v>
      </c>
      <c r="G60" s="173">
        <f t="shared" si="2"/>
        <v>329</v>
      </c>
      <c r="I60" s="115"/>
      <c r="J60" s="217"/>
      <c r="K60" s="217"/>
      <c r="L60" s="217"/>
      <c r="M60" s="200">
        <f t="shared" si="3"/>
        <v>0</v>
      </c>
      <c r="N60" s="173">
        <f t="shared" si="4"/>
        <v>0</v>
      </c>
      <c r="P60" s="115"/>
      <c r="Q60" s="217"/>
      <c r="R60" s="217"/>
      <c r="S60" s="217"/>
      <c r="T60" s="215"/>
      <c r="U60" s="200">
        <f t="shared" si="5"/>
        <v>0</v>
      </c>
      <c r="V60" s="173">
        <f t="shared" si="6"/>
        <v>0</v>
      </c>
      <c r="W60" s="174"/>
      <c r="X60" s="329"/>
      <c r="Y60" s="215"/>
      <c r="Z60" s="215"/>
      <c r="AA60" s="215"/>
      <c r="AB60" s="215"/>
      <c r="AC60" s="215"/>
      <c r="AD60" s="215"/>
      <c r="AE60" s="200"/>
      <c r="AF60" s="173"/>
      <c r="AG60" s="174"/>
      <c r="AH60" s="329"/>
      <c r="AI60" s="215"/>
      <c r="AJ60" s="215"/>
      <c r="AK60" s="215"/>
      <c r="AL60" s="215"/>
      <c r="AM60" s="215"/>
      <c r="AN60" s="215"/>
      <c r="AO60" s="200"/>
      <c r="AP60" s="173"/>
    </row>
    <row r="61">
      <c r="A61" s="102" t="s">
        <v>102</v>
      </c>
      <c r="B61" s="93">
        <v>249.0</v>
      </c>
      <c r="C61" s="115"/>
      <c r="D61" s="215"/>
      <c r="E61" s="215"/>
      <c r="F61" s="200">
        <f t="shared" si="1"/>
        <v>0</v>
      </c>
      <c r="G61" s="173">
        <f t="shared" si="2"/>
        <v>0</v>
      </c>
      <c r="I61" s="115"/>
      <c r="J61" s="215"/>
      <c r="K61" s="215"/>
      <c r="L61" s="215"/>
      <c r="M61" s="200">
        <f t="shared" si="3"/>
        <v>0</v>
      </c>
      <c r="N61" s="173">
        <f t="shared" si="4"/>
        <v>0</v>
      </c>
      <c r="P61" s="115"/>
      <c r="Q61" s="215"/>
      <c r="R61" s="215"/>
      <c r="S61" s="215"/>
      <c r="T61" s="215"/>
      <c r="U61" s="200">
        <f t="shared" si="5"/>
        <v>0</v>
      </c>
      <c r="V61" s="173">
        <f t="shared" si="6"/>
        <v>0</v>
      </c>
      <c r="W61" s="174"/>
      <c r="X61" s="329"/>
      <c r="Y61" s="215"/>
      <c r="Z61" s="215"/>
      <c r="AA61" s="215"/>
      <c r="AB61" s="215"/>
      <c r="AC61" s="215"/>
      <c r="AD61" s="215"/>
      <c r="AE61" s="200"/>
      <c r="AF61" s="173"/>
      <c r="AG61" s="174"/>
      <c r="AH61" s="329"/>
      <c r="AI61" s="215"/>
      <c r="AJ61" s="215"/>
      <c r="AK61" s="215"/>
      <c r="AL61" s="215"/>
      <c r="AM61" s="215"/>
      <c r="AN61" s="215"/>
      <c r="AO61" s="200"/>
      <c r="AP61" s="173"/>
    </row>
    <row r="62">
      <c r="A62" s="102" t="s">
        <v>103</v>
      </c>
      <c r="B62" s="93">
        <v>439.0</v>
      </c>
      <c r="C62" s="115"/>
      <c r="D62" s="200"/>
      <c r="E62" s="215"/>
      <c r="F62" s="200">
        <f t="shared" si="1"/>
        <v>0</v>
      </c>
      <c r="G62" s="173">
        <f t="shared" si="2"/>
        <v>0</v>
      </c>
      <c r="I62" s="115"/>
      <c r="J62" s="200"/>
      <c r="K62" s="200"/>
      <c r="L62" s="200"/>
      <c r="M62" s="200">
        <f t="shared" si="3"/>
        <v>0</v>
      </c>
      <c r="N62" s="173">
        <f t="shared" si="4"/>
        <v>0</v>
      </c>
      <c r="P62" s="115"/>
      <c r="Q62" s="200"/>
      <c r="R62" s="200"/>
      <c r="S62" s="200"/>
      <c r="T62" s="217">
        <v>3.0</v>
      </c>
      <c r="U62" s="200">
        <f t="shared" si="5"/>
        <v>3</v>
      </c>
      <c r="V62" s="173">
        <f t="shared" si="6"/>
        <v>0</v>
      </c>
      <c r="W62" s="174"/>
      <c r="X62" s="329"/>
      <c r="Y62" s="215"/>
      <c r="Z62" s="215"/>
      <c r="AA62" s="215"/>
      <c r="AB62" s="215"/>
      <c r="AC62" s="215"/>
      <c r="AD62" s="215"/>
      <c r="AE62" s="200"/>
      <c r="AF62" s="173"/>
      <c r="AG62" s="174"/>
      <c r="AH62" s="329"/>
      <c r="AI62" s="215"/>
      <c r="AJ62" s="215"/>
      <c r="AK62" s="215"/>
      <c r="AL62" s="215"/>
      <c r="AM62" s="215"/>
      <c r="AN62" s="215"/>
      <c r="AO62" s="200"/>
      <c r="AP62" s="173"/>
    </row>
    <row r="63">
      <c r="A63" s="102" t="s">
        <v>104</v>
      </c>
      <c r="B63" s="93">
        <v>439.0</v>
      </c>
      <c r="C63" s="115"/>
      <c r="D63" s="215"/>
      <c r="E63" s="215"/>
      <c r="F63" s="200">
        <f t="shared" si="1"/>
        <v>0</v>
      </c>
      <c r="G63" s="173">
        <f t="shared" si="2"/>
        <v>0</v>
      </c>
      <c r="I63" s="115"/>
      <c r="J63" s="215"/>
      <c r="K63" s="215"/>
      <c r="L63" s="215"/>
      <c r="M63" s="200">
        <f t="shared" si="3"/>
        <v>0</v>
      </c>
      <c r="N63" s="173">
        <f t="shared" si="4"/>
        <v>0</v>
      </c>
      <c r="P63" s="115"/>
      <c r="Q63" s="215"/>
      <c r="R63" s="215"/>
      <c r="S63" s="215"/>
      <c r="T63" s="215"/>
      <c r="U63" s="200">
        <f t="shared" si="5"/>
        <v>0</v>
      </c>
      <c r="V63" s="173">
        <f t="shared" si="6"/>
        <v>0</v>
      </c>
      <c r="W63" s="174"/>
      <c r="X63" s="329"/>
      <c r="Y63" s="215"/>
      <c r="Z63" s="215"/>
      <c r="AA63" s="215"/>
      <c r="AB63" s="215"/>
      <c r="AC63" s="215"/>
      <c r="AD63" s="215"/>
      <c r="AE63" s="200"/>
      <c r="AF63" s="173"/>
      <c r="AG63" s="174"/>
      <c r="AH63" s="329"/>
      <c r="AI63" s="215"/>
      <c r="AJ63" s="215"/>
      <c r="AK63" s="215"/>
      <c r="AL63" s="215"/>
      <c r="AM63" s="215"/>
      <c r="AN63" s="215"/>
      <c r="AO63" s="200"/>
      <c r="AP63" s="173"/>
    </row>
    <row r="64">
      <c r="A64" s="102" t="s">
        <v>105</v>
      </c>
      <c r="B64" s="93">
        <v>439.0</v>
      </c>
      <c r="C64" s="115"/>
      <c r="D64" s="215"/>
      <c r="E64" s="215"/>
      <c r="F64" s="200">
        <f t="shared" si="1"/>
        <v>0</v>
      </c>
      <c r="G64" s="173">
        <f t="shared" si="2"/>
        <v>0</v>
      </c>
      <c r="I64" s="115"/>
      <c r="J64" s="215"/>
      <c r="K64" s="215"/>
      <c r="L64" s="215"/>
      <c r="M64" s="200">
        <f t="shared" si="3"/>
        <v>0</v>
      </c>
      <c r="N64" s="173">
        <f t="shared" si="4"/>
        <v>0</v>
      </c>
      <c r="P64" s="115"/>
      <c r="Q64" s="215"/>
      <c r="R64" s="215"/>
      <c r="S64" s="215"/>
      <c r="T64" s="215"/>
      <c r="U64" s="200">
        <f t="shared" si="5"/>
        <v>0</v>
      </c>
      <c r="V64" s="173">
        <f t="shared" si="6"/>
        <v>0</v>
      </c>
      <c r="W64" s="174"/>
      <c r="X64" s="329"/>
      <c r="Y64" s="215"/>
      <c r="Z64" s="215"/>
      <c r="AA64" s="215"/>
      <c r="AB64" s="215"/>
      <c r="AC64" s="215"/>
      <c r="AD64" s="215"/>
      <c r="AE64" s="200"/>
      <c r="AF64" s="173"/>
      <c r="AG64" s="174"/>
      <c r="AH64" s="329"/>
      <c r="AI64" s="215"/>
      <c r="AJ64" s="215"/>
      <c r="AK64" s="215"/>
      <c r="AL64" s="215"/>
      <c r="AM64" s="215"/>
      <c r="AN64" s="215"/>
      <c r="AO64" s="200"/>
      <c r="AP64" s="173"/>
    </row>
    <row r="65">
      <c r="A65" s="102" t="s">
        <v>106</v>
      </c>
      <c r="B65" s="93">
        <v>799.0</v>
      </c>
      <c r="C65" s="115"/>
      <c r="D65" s="215"/>
      <c r="E65" s="215"/>
      <c r="F65" s="200">
        <f t="shared" si="1"/>
        <v>0</v>
      </c>
      <c r="G65" s="173">
        <f t="shared" si="2"/>
        <v>0</v>
      </c>
      <c r="I65" s="115"/>
      <c r="J65" s="215"/>
      <c r="K65" s="215"/>
      <c r="L65" s="215"/>
      <c r="M65" s="200">
        <f t="shared" si="3"/>
        <v>0</v>
      </c>
      <c r="N65" s="173">
        <f t="shared" si="4"/>
        <v>0</v>
      </c>
      <c r="P65" s="115"/>
      <c r="Q65" s="215"/>
      <c r="R65" s="215"/>
      <c r="S65" s="215"/>
      <c r="T65" s="215"/>
      <c r="U65" s="200">
        <f t="shared" si="5"/>
        <v>0</v>
      </c>
      <c r="V65" s="173">
        <f t="shared" si="6"/>
        <v>0</v>
      </c>
      <c r="W65" s="174"/>
      <c r="X65" s="329"/>
      <c r="Y65" s="215"/>
      <c r="Z65" s="215"/>
      <c r="AA65" s="215"/>
      <c r="AB65" s="215"/>
      <c r="AC65" s="215"/>
      <c r="AD65" s="215"/>
      <c r="AE65" s="200"/>
      <c r="AF65" s="173"/>
      <c r="AG65" s="174"/>
      <c r="AH65" s="329"/>
      <c r="AI65" s="215"/>
      <c r="AJ65" s="215"/>
      <c r="AK65" s="215"/>
      <c r="AL65" s="215"/>
      <c r="AM65" s="215"/>
      <c r="AN65" s="215"/>
      <c r="AO65" s="200"/>
      <c r="AP65" s="173"/>
    </row>
    <row r="66">
      <c r="A66" s="102" t="s">
        <v>107</v>
      </c>
      <c r="B66" s="93">
        <v>799.0</v>
      </c>
      <c r="C66" s="115"/>
      <c r="D66" s="215"/>
      <c r="E66" s="215"/>
      <c r="F66" s="200">
        <f t="shared" si="1"/>
        <v>0</v>
      </c>
      <c r="G66" s="173">
        <f t="shared" si="2"/>
        <v>0</v>
      </c>
      <c r="I66" s="115"/>
      <c r="J66" s="215"/>
      <c r="K66" s="215"/>
      <c r="L66" s="215"/>
      <c r="M66" s="200">
        <f t="shared" si="3"/>
        <v>0</v>
      </c>
      <c r="N66" s="173">
        <f t="shared" si="4"/>
        <v>0</v>
      </c>
      <c r="P66" s="115"/>
      <c r="Q66" s="215"/>
      <c r="R66" s="215"/>
      <c r="S66" s="215"/>
      <c r="T66" s="215"/>
      <c r="U66" s="200">
        <f t="shared" si="5"/>
        <v>0</v>
      </c>
      <c r="V66" s="173">
        <f t="shared" si="6"/>
        <v>0</v>
      </c>
      <c r="W66" s="174"/>
      <c r="X66" s="212">
        <v>1.0</v>
      </c>
      <c r="Y66" s="215"/>
      <c r="Z66" s="215"/>
      <c r="AA66" s="215"/>
      <c r="AB66" s="215"/>
      <c r="AC66" s="215"/>
      <c r="AD66" s="215"/>
      <c r="AE66" s="200"/>
      <c r="AF66" s="173"/>
      <c r="AG66" s="174"/>
      <c r="AH66" s="212"/>
      <c r="AI66" s="215"/>
      <c r="AJ66" s="215"/>
      <c r="AK66" s="215"/>
      <c r="AL66" s="215"/>
      <c r="AM66" s="215"/>
      <c r="AN66" s="215"/>
      <c r="AO66" s="200"/>
      <c r="AP66" s="173"/>
    </row>
    <row r="67">
      <c r="A67" s="102" t="s">
        <v>108</v>
      </c>
      <c r="B67" s="93">
        <v>799.0</v>
      </c>
      <c r="C67" s="115"/>
      <c r="D67" s="215"/>
      <c r="E67" s="215"/>
      <c r="F67" s="200">
        <f t="shared" si="1"/>
        <v>0</v>
      </c>
      <c r="G67" s="173">
        <f t="shared" si="2"/>
        <v>0</v>
      </c>
      <c r="I67" s="115"/>
      <c r="J67" s="215"/>
      <c r="K67" s="215"/>
      <c r="L67" s="215"/>
      <c r="M67" s="200">
        <f t="shared" si="3"/>
        <v>0</v>
      </c>
      <c r="N67" s="173">
        <f t="shared" si="4"/>
        <v>0</v>
      </c>
      <c r="P67" s="115"/>
      <c r="Q67" s="215"/>
      <c r="R67" s="215"/>
      <c r="S67" s="215"/>
      <c r="T67" s="215"/>
      <c r="U67" s="200">
        <f t="shared" si="5"/>
        <v>0</v>
      </c>
      <c r="V67" s="173">
        <f t="shared" si="6"/>
        <v>0</v>
      </c>
      <c r="W67" s="174"/>
      <c r="X67" s="329"/>
      <c r="Y67" s="215"/>
      <c r="Z67" s="215"/>
      <c r="AA67" s="215"/>
      <c r="AB67" s="215"/>
      <c r="AC67" s="215"/>
      <c r="AD67" s="215"/>
      <c r="AE67" s="200"/>
      <c r="AF67" s="173"/>
      <c r="AG67" s="174"/>
      <c r="AH67" s="329"/>
      <c r="AI67" s="215"/>
      <c r="AJ67" s="215"/>
      <c r="AK67" s="215"/>
      <c r="AL67" s="215"/>
      <c r="AM67" s="215"/>
      <c r="AN67" s="215"/>
      <c r="AO67" s="200"/>
      <c r="AP67" s="173"/>
    </row>
    <row r="68">
      <c r="A68" s="102" t="s">
        <v>109</v>
      </c>
      <c r="B68" s="96">
        <v>1299.0</v>
      </c>
      <c r="C68" s="115"/>
      <c r="D68" s="215"/>
      <c r="E68" s="215"/>
      <c r="F68" s="200">
        <f t="shared" si="1"/>
        <v>0</v>
      </c>
      <c r="G68" s="173">
        <f t="shared" si="2"/>
        <v>0</v>
      </c>
      <c r="I68" s="115"/>
      <c r="J68" s="215"/>
      <c r="K68" s="215"/>
      <c r="L68" s="215"/>
      <c r="M68" s="200">
        <f t="shared" si="3"/>
        <v>0</v>
      </c>
      <c r="N68" s="173">
        <f t="shared" si="4"/>
        <v>0</v>
      </c>
      <c r="P68" s="115"/>
      <c r="Q68" s="215"/>
      <c r="R68" s="215"/>
      <c r="S68" s="215"/>
      <c r="T68" s="215"/>
      <c r="U68" s="200">
        <f t="shared" si="5"/>
        <v>0</v>
      </c>
      <c r="V68" s="173">
        <f t="shared" si="6"/>
        <v>0</v>
      </c>
      <c r="W68" s="174"/>
      <c r="X68" s="329"/>
      <c r="Y68" s="215"/>
      <c r="Z68" s="215"/>
      <c r="AA68" s="215"/>
      <c r="AB68" s="215"/>
      <c r="AC68" s="215"/>
      <c r="AD68" s="215"/>
      <c r="AE68" s="200"/>
      <c r="AF68" s="173"/>
      <c r="AG68" s="174"/>
      <c r="AH68" s="329"/>
      <c r="AI68" s="215"/>
      <c r="AJ68" s="215"/>
      <c r="AK68" s="215"/>
      <c r="AL68" s="215"/>
      <c r="AM68" s="215"/>
      <c r="AN68" s="215"/>
      <c r="AO68" s="200"/>
      <c r="AP68" s="173"/>
    </row>
    <row r="69">
      <c r="A69" s="102" t="s">
        <v>110</v>
      </c>
      <c r="B69" s="96">
        <v>1299.0</v>
      </c>
      <c r="C69" s="115"/>
      <c r="D69" s="215"/>
      <c r="E69" s="215"/>
      <c r="F69" s="200">
        <f t="shared" si="1"/>
        <v>0</v>
      </c>
      <c r="G69" s="173">
        <f t="shared" si="2"/>
        <v>0</v>
      </c>
      <c r="I69" s="115"/>
      <c r="J69" s="215"/>
      <c r="K69" s="215"/>
      <c r="L69" s="215"/>
      <c r="M69" s="200">
        <f t="shared" si="3"/>
        <v>0</v>
      </c>
      <c r="N69" s="173">
        <f t="shared" si="4"/>
        <v>0</v>
      </c>
      <c r="P69" s="115"/>
      <c r="Q69" s="215"/>
      <c r="R69" s="215"/>
      <c r="S69" s="215"/>
      <c r="T69" s="215"/>
      <c r="U69" s="200">
        <f t="shared" si="5"/>
        <v>0</v>
      </c>
      <c r="V69" s="173">
        <f t="shared" si="6"/>
        <v>0</v>
      </c>
      <c r="W69" s="174"/>
      <c r="X69" s="329"/>
      <c r="Y69" s="215"/>
      <c r="Z69" s="215"/>
      <c r="AA69" s="215"/>
      <c r="AB69" s="215"/>
      <c r="AC69" s="215"/>
      <c r="AD69" s="215"/>
      <c r="AE69" s="200"/>
      <c r="AF69" s="173"/>
      <c r="AG69" s="174"/>
      <c r="AH69" s="329"/>
      <c r="AI69" s="215"/>
      <c r="AJ69" s="215"/>
      <c r="AK69" s="215"/>
      <c r="AL69" s="215"/>
      <c r="AM69" s="215"/>
      <c r="AN69" s="215"/>
      <c r="AO69" s="200"/>
      <c r="AP69" s="173"/>
    </row>
    <row r="70">
      <c r="A70" s="101" t="s">
        <v>111</v>
      </c>
      <c r="B70" s="96">
        <v>1299.0</v>
      </c>
      <c r="C70" s="115"/>
      <c r="D70" s="215"/>
      <c r="E70" s="215"/>
      <c r="F70" s="200">
        <f t="shared" si="1"/>
        <v>0</v>
      </c>
      <c r="G70" s="173">
        <f t="shared" si="2"/>
        <v>0</v>
      </c>
      <c r="I70" s="115"/>
      <c r="J70" s="215"/>
      <c r="K70" s="215"/>
      <c r="L70" s="215"/>
      <c r="M70" s="200">
        <f t="shared" si="3"/>
        <v>0</v>
      </c>
      <c r="N70" s="173">
        <f t="shared" si="4"/>
        <v>0</v>
      </c>
      <c r="P70" s="115"/>
      <c r="Q70" s="215"/>
      <c r="R70" s="215"/>
      <c r="S70" s="215"/>
      <c r="T70" s="215"/>
      <c r="U70" s="200">
        <f t="shared" si="5"/>
        <v>0</v>
      </c>
      <c r="V70" s="173">
        <f t="shared" si="6"/>
        <v>0</v>
      </c>
      <c r="W70" s="174"/>
      <c r="X70" s="329"/>
      <c r="Y70" s="215"/>
      <c r="Z70" s="215"/>
      <c r="AA70" s="215"/>
      <c r="AB70" s="215"/>
      <c r="AC70" s="215"/>
      <c r="AD70" s="215"/>
      <c r="AE70" s="200"/>
      <c r="AF70" s="173"/>
      <c r="AG70" s="174"/>
      <c r="AH70" s="329"/>
      <c r="AI70" s="215"/>
      <c r="AJ70" s="215"/>
      <c r="AK70" s="215"/>
      <c r="AL70" s="215"/>
      <c r="AM70" s="215"/>
      <c r="AN70" s="215"/>
      <c r="AO70" s="200"/>
      <c r="AP70" s="173"/>
    </row>
    <row r="71">
      <c r="A71" s="101" t="s">
        <v>112</v>
      </c>
      <c r="B71" s="93">
        <v>609.0</v>
      </c>
      <c r="C71" s="115"/>
      <c r="D71" s="215"/>
      <c r="E71" s="215"/>
      <c r="F71" s="200">
        <f t="shared" si="1"/>
        <v>0</v>
      </c>
      <c r="G71" s="173">
        <f t="shared" si="2"/>
        <v>0</v>
      </c>
      <c r="I71" s="115"/>
      <c r="J71" s="215"/>
      <c r="K71" s="215"/>
      <c r="L71" s="215"/>
      <c r="M71" s="200">
        <f t="shared" si="3"/>
        <v>0</v>
      </c>
      <c r="N71" s="173">
        <f t="shared" si="4"/>
        <v>0</v>
      </c>
      <c r="P71" s="115"/>
      <c r="Q71" s="215"/>
      <c r="R71" s="215"/>
      <c r="S71" s="215"/>
      <c r="T71" s="215"/>
      <c r="U71" s="200">
        <f t="shared" si="5"/>
        <v>0</v>
      </c>
      <c r="V71" s="173">
        <f t="shared" si="6"/>
        <v>0</v>
      </c>
      <c r="W71" s="174"/>
      <c r="X71" s="329"/>
      <c r="Y71" s="215"/>
      <c r="Z71" s="215"/>
      <c r="AA71" s="215"/>
      <c r="AB71" s="215"/>
      <c r="AC71" s="215"/>
      <c r="AD71" s="215"/>
      <c r="AE71" s="200"/>
      <c r="AF71" s="173"/>
      <c r="AG71" s="174"/>
      <c r="AH71" s="329"/>
      <c r="AI71" s="215"/>
      <c r="AJ71" s="215"/>
      <c r="AK71" s="215"/>
      <c r="AL71" s="215"/>
      <c r="AM71" s="215"/>
      <c r="AN71" s="215"/>
      <c r="AO71" s="200"/>
      <c r="AP71" s="173"/>
    </row>
    <row r="72">
      <c r="A72" s="101" t="s">
        <v>113</v>
      </c>
      <c r="B72" s="187">
        <v>1599.0</v>
      </c>
      <c r="C72" s="115"/>
      <c r="D72" s="215"/>
      <c r="E72" s="215"/>
      <c r="F72" s="200">
        <f t="shared" si="1"/>
        <v>0</v>
      </c>
      <c r="G72" s="173">
        <f t="shared" si="2"/>
        <v>0</v>
      </c>
      <c r="I72" s="115"/>
      <c r="J72" s="215"/>
      <c r="K72" s="215"/>
      <c r="L72" s="215"/>
      <c r="M72" s="200">
        <f t="shared" si="3"/>
        <v>0</v>
      </c>
      <c r="N72" s="173">
        <f t="shared" si="4"/>
        <v>0</v>
      </c>
      <c r="P72" s="115"/>
      <c r="Q72" s="215"/>
      <c r="R72" s="215"/>
      <c r="S72" s="215"/>
      <c r="T72" s="215"/>
      <c r="U72" s="200">
        <f t="shared" si="5"/>
        <v>0</v>
      </c>
      <c r="V72" s="173">
        <f t="shared" si="6"/>
        <v>0</v>
      </c>
      <c r="W72" s="174"/>
      <c r="X72" s="329"/>
      <c r="Y72" s="215"/>
      <c r="Z72" s="215"/>
      <c r="AA72" s="215"/>
      <c r="AB72" s="215"/>
      <c r="AC72" s="215"/>
      <c r="AD72" s="215"/>
      <c r="AE72" s="200"/>
      <c r="AF72" s="173"/>
      <c r="AG72" s="174"/>
      <c r="AH72" s="329"/>
      <c r="AI72" s="215"/>
      <c r="AJ72" s="215"/>
      <c r="AK72" s="215"/>
      <c r="AL72" s="215"/>
      <c r="AM72" s="215"/>
      <c r="AN72" s="215"/>
      <c r="AO72" s="200"/>
      <c r="AP72" s="173"/>
    </row>
    <row r="73">
      <c r="A73" s="101" t="s">
        <v>114</v>
      </c>
      <c r="B73" s="224">
        <v>1599.0</v>
      </c>
      <c r="C73" s="216">
        <v>1.0</v>
      </c>
      <c r="D73" s="215"/>
      <c r="E73" s="215"/>
      <c r="F73" s="200">
        <f t="shared" si="1"/>
        <v>1</v>
      </c>
      <c r="G73" s="173">
        <f t="shared" si="2"/>
        <v>1599</v>
      </c>
      <c r="I73" s="216"/>
      <c r="J73" s="215"/>
      <c r="K73" s="215"/>
      <c r="L73" s="215"/>
      <c r="M73" s="200">
        <f t="shared" si="3"/>
        <v>0</v>
      </c>
      <c r="N73" s="173">
        <f t="shared" si="4"/>
        <v>0</v>
      </c>
      <c r="P73" s="216"/>
      <c r="Q73" s="215"/>
      <c r="R73" s="215"/>
      <c r="S73" s="215"/>
      <c r="T73" s="215"/>
      <c r="U73" s="200">
        <f t="shared" si="5"/>
        <v>0</v>
      </c>
      <c r="V73" s="173">
        <f t="shared" si="6"/>
        <v>0</v>
      </c>
      <c r="W73" s="174"/>
      <c r="X73" s="329"/>
      <c r="Y73" s="215"/>
      <c r="Z73" s="215"/>
      <c r="AA73" s="215"/>
      <c r="AB73" s="215"/>
      <c r="AC73" s="215"/>
      <c r="AD73" s="215"/>
      <c r="AE73" s="200"/>
      <c r="AF73" s="173"/>
      <c r="AG73" s="174"/>
      <c r="AH73" s="329"/>
      <c r="AI73" s="215"/>
      <c r="AJ73" s="215"/>
      <c r="AK73" s="215"/>
      <c r="AL73" s="215"/>
      <c r="AM73" s="215"/>
      <c r="AN73" s="215"/>
      <c r="AO73" s="200"/>
      <c r="AP73" s="173"/>
    </row>
    <row r="74">
      <c r="A74" s="101" t="s">
        <v>115</v>
      </c>
      <c r="B74" s="225">
        <v>1599.0</v>
      </c>
      <c r="C74" s="115"/>
      <c r="D74" s="215"/>
      <c r="E74" s="215"/>
      <c r="F74" s="200">
        <f t="shared" si="1"/>
        <v>0</v>
      </c>
      <c r="G74" s="173">
        <f t="shared" si="2"/>
        <v>0</v>
      </c>
      <c r="I74" s="115"/>
      <c r="J74" s="215"/>
      <c r="K74" s="215"/>
      <c r="L74" s="215"/>
      <c r="M74" s="200">
        <f t="shared" si="3"/>
        <v>0</v>
      </c>
      <c r="N74" s="173">
        <f t="shared" si="4"/>
        <v>0</v>
      </c>
      <c r="P74" s="115"/>
      <c r="Q74" s="215"/>
      <c r="R74" s="215"/>
      <c r="S74" s="215"/>
      <c r="T74" s="215"/>
      <c r="U74" s="200">
        <f t="shared" si="5"/>
        <v>0</v>
      </c>
      <c r="V74" s="173">
        <f t="shared" si="6"/>
        <v>0</v>
      </c>
      <c r="W74" s="174"/>
      <c r="X74" s="329"/>
      <c r="Y74" s="215"/>
      <c r="Z74" s="215"/>
      <c r="AA74" s="215"/>
      <c r="AB74" s="215"/>
      <c r="AC74" s="215"/>
      <c r="AD74" s="215"/>
      <c r="AE74" s="200"/>
      <c r="AF74" s="173"/>
      <c r="AG74" s="174"/>
      <c r="AH74" s="329"/>
      <c r="AI74" s="215"/>
      <c r="AJ74" s="215"/>
      <c r="AK74" s="215"/>
      <c r="AL74" s="215"/>
      <c r="AM74" s="215"/>
      <c r="AN74" s="215"/>
      <c r="AO74" s="200"/>
      <c r="AP74" s="173"/>
    </row>
    <row r="75">
      <c r="A75" s="101" t="s">
        <v>116</v>
      </c>
      <c r="B75" s="108"/>
      <c r="C75" s="115"/>
      <c r="D75" s="215"/>
      <c r="E75" s="217">
        <v>1.0</v>
      </c>
      <c r="F75" s="200">
        <f t="shared" si="1"/>
        <v>1</v>
      </c>
      <c r="G75" s="173">
        <f t="shared" si="2"/>
        <v>0</v>
      </c>
      <c r="I75" s="216">
        <v>1.0</v>
      </c>
      <c r="J75" s="215"/>
      <c r="K75" s="215"/>
      <c r="L75" s="215"/>
      <c r="M75" s="200">
        <f t="shared" si="3"/>
        <v>1</v>
      </c>
      <c r="N75" s="173">
        <f t="shared" si="4"/>
        <v>0</v>
      </c>
      <c r="P75" s="216"/>
      <c r="Q75" s="215"/>
      <c r="R75" s="215"/>
      <c r="S75" s="215"/>
      <c r="T75" s="217"/>
      <c r="U75" s="200">
        <f t="shared" si="5"/>
        <v>0</v>
      </c>
      <c r="V75" s="173">
        <f t="shared" si="6"/>
        <v>0</v>
      </c>
      <c r="W75" s="174"/>
      <c r="X75" s="329"/>
      <c r="Y75" s="215"/>
      <c r="Z75" s="321">
        <v>1.0</v>
      </c>
      <c r="AA75" s="215"/>
      <c r="AB75" s="215"/>
      <c r="AC75" s="215"/>
      <c r="AD75" s="215"/>
      <c r="AE75" s="200"/>
      <c r="AF75" s="173"/>
      <c r="AG75" s="174"/>
      <c r="AH75" s="329"/>
      <c r="AI75" s="215"/>
      <c r="AJ75" s="321"/>
      <c r="AK75" s="215"/>
      <c r="AL75" s="215"/>
      <c r="AM75" s="215"/>
      <c r="AN75" s="215"/>
      <c r="AO75" s="200"/>
      <c r="AP75" s="173"/>
    </row>
    <row r="76">
      <c r="A76" s="109"/>
      <c r="B76" s="108"/>
      <c r="C76" s="115"/>
      <c r="D76" s="215"/>
      <c r="E76" s="215"/>
      <c r="F76" s="200">
        <f t="shared" si="1"/>
        <v>0</v>
      </c>
      <c r="G76" s="173">
        <f t="shared" si="2"/>
        <v>0</v>
      </c>
      <c r="I76" s="115"/>
      <c r="J76" s="215"/>
      <c r="K76" s="215"/>
      <c r="L76" s="215"/>
      <c r="M76" s="200">
        <f t="shared" si="3"/>
        <v>0</v>
      </c>
      <c r="N76" s="173">
        <f t="shared" si="4"/>
        <v>0</v>
      </c>
      <c r="P76" s="115"/>
      <c r="Q76" s="215"/>
      <c r="R76" s="215"/>
      <c r="S76" s="215"/>
      <c r="T76" s="215"/>
      <c r="U76" s="200">
        <f t="shared" si="5"/>
        <v>0</v>
      </c>
      <c r="V76" s="173">
        <f t="shared" si="6"/>
        <v>0</v>
      </c>
      <c r="W76" s="174"/>
      <c r="X76" s="329"/>
      <c r="Y76" s="215"/>
      <c r="Z76" s="215"/>
      <c r="AA76" s="215"/>
      <c r="AB76" s="215"/>
      <c r="AC76" s="215"/>
      <c r="AD76" s="215"/>
      <c r="AE76" s="200"/>
      <c r="AF76" s="173"/>
      <c r="AG76" s="174"/>
      <c r="AH76" s="329"/>
      <c r="AI76" s="215"/>
      <c r="AJ76" s="215"/>
      <c r="AK76" s="215"/>
      <c r="AL76" s="215"/>
      <c r="AM76" s="215"/>
      <c r="AN76" s="215"/>
      <c r="AO76" s="200"/>
      <c r="AP76" s="173"/>
    </row>
    <row r="77">
      <c r="A77" s="110" t="s">
        <v>117</v>
      </c>
      <c r="B77" s="96">
        <v>379.0</v>
      </c>
      <c r="C77" s="115"/>
      <c r="D77" s="215"/>
      <c r="E77" s="215"/>
      <c r="F77" s="200">
        <f t="shared" si="1"/>
        <v>0</v>
      </c>
      <c r="G77" s="173">
        <f t="shared" si="2"/>
        <v>0</v>
      </c>
      <c r="I77" s="115"/>
      <c r="J77" s="215"/>
      <c r="K77" s="215"/>
      <c r="L77" s="215"/>
      <c r="M77" s="200">
        <f t="shared" si="3"/>
        <v>0</v>
      </c>
      <c r="N77" s="173">
        <f t="shared" si="4"/>
        <v>0</v>
      </c>
      <c r="P77" s="115"/>
      <c r="Q77" s="215"/>
      <c r="R77" s="215"/>
      <c r="S77" s="215"/>
      <c r="T77" s="215"/>
      <c r="U77" s="200">
        <f t="shared" si="5"/>
        <v>0</v>
      </c>
      <c r="V77" s="173">
        <f t="shared" si="6"/>
        <v>0</v>
      </c>
      <c r="W77" s="174"/>
      <c r="X77" s="329"/>
      <c r="Y77" s="215"/>
      <c r="Z77" s="215"/>
      <c r="AA77" s="215"/>
      <c r="AB77" s="215"/>
      <c r="AC77" s="215"/>
      <c r="AD77" s="215"/>
      <c r="AE77" s="200"/>
      <c r="AF77" s="173"/>
      <c r="AG77" s="174"/>
      <c r="AH77" s="329"/>
      <c r="AI77" s="215"/>
      <c r="AJ77" s="215"/>
      <c r="AK77" s="215"/>
      <c r="AL77" s="215"/>
      <c r="AM77" s="215"/>
      <c r="AN77" s="215"/>
      <c r="AO77" s="200"/>
      <c r="AP77" s="173"/>
    </row>
    <row r="78">
      <c r="A78" s="110" t="s">
        <v>118</v>
      </c>
      <c r="B78" s="96">
        <v>799.0</v>
      </c>
      <c r="C78" s="115"/>
      <c r="D78" s="215"/>
      <c r="E78" s="215"/>
      <c r="F78" s="200">
        <f t="shared" si="1"/>
        <v>0</v>
      </c>
      <c r="G78" s="173">
        <f t="shared" si="2"/>
        <v>0</v>
      </c>
      <c r="I78" s="115"/>
      <c r="J78" s="215"/>
      <c r="K78" s="215"/>
      <c r="L78" s="215"/>
      <c r="M78" s="200">
        <f t="shared" si="3"/>
        <v>0</v>
      </c>
      <c r="N78" s="173">
        <f t="shared" si="4"/>
        <v>0</v>
      </c>
      <c r="P78" s="115"/>
      <c r="Q78" s="215"/>
      <c r="R78" s="215"/>
      <c r="S78" s="215"/>
      <c r="T78" s="215"/>
      <c r="U78" s="200">
        <f t="shared" si="5"/>
        <v>0</v>
      </c>
      <c r="V78" s="173">
        <f t="shared" si="6"/>
        <v>0</v>
      </c>
      <c r="W78" s="174"/>
      <c r="X78" s="329"/>
      <c r="Y78" s="215"/>
      <c r="Z78" s="215"/>
      <c r="AA78" s="215"/>
      <c r="AB78" s="215"/>
      <c r="AC78" s="215"/>
      <c r="AD78" s="215"/>
      <c r="AE78" s="200"/>
      <c r="AF78" s="173"/>
      <c r="AG78" s="174"/>
      <c r="AH78" s="329"/>
      <c r="AI78" s="215"/>
      <c r="AJ78" s="215"/>
      <c r="AK78" s="215"/>
      <c r="AL78" s="215"/>
      <c r="AM78" s="215"/>
      <c r="AN78" s="215"/>
      <c r="AO78" s="200"/>
      <c r="AP78" s="173"/>
    </row>
    <row r="79">
      <c r="A79" s="110" t="s">
        <v>119</v>
      </c>
      <c r="B79" s="96">
        <v>439.0</v>
      </c>
      <c r="C79" s="115"/>
      <c r="D79" s="215"/>
      <c r="E79" s="215"/>
      <c r="F79" s="200">
        <f t="shared" si="1"/>
        <v>0</v>
      </c>
      <c r="G79" s="173">
        <f t="shared" si="2"/>
        <v>0</v>
      </c>
      <c r="I79" s="115"/>
      <c r="J79" s="215"/>
      <c r="K79" s="215"/>
      <c r="L79" s="215"/>
      <c r="M79" s="200">
        <f t="shared" si="3"/>
        <v>0</v>
      </c>
      <c r="N79" s="173">
        <f t="shared" si="4"/>
        <v>0</v>
      </c>
      <c r="P79" s="115"/>
      <c r="Q79" s="215"/>
      <c r="R79" s="215"/>
      <c r="S79" s="215"/>
      <c r="T79" s="215"/>
      <c r="U79" s="200">
        <f t="shared" si="5"/>
        <v>0</v>
      </c>
      <c r="V79" s="173">
        <f t="shared" si="6"/>
        <v>0</v>
      </c>
      <c r="W79" s="174"/>
      <c r="X79" s="329"/>
      <c r="Y79" s="215"/>
      <c r="Z79" s="215"/>
      <c r="AA79" s="215"/>
      <c r="AB79" s="215"/>
      <c r="AC79" s="215"/>
      <c r="AD79" s="215"/>
      <c r="AE79" s="200"/>
      <c r="AF79" s="173"/>
      <c r="AG79" s="174"/>
      <c r="AH79" s="329"/>
      <c r="AI79" s="215"/>
      <c r="AJ79" s="215"/>
      <c r="AK79" s="215"/>
      <c r="AL79" s="215"/>
      <c r="AM79" s="215"/>
      <c r="AN79" s="215"/>
      <c r="AO79" s="200"/>
      <c r="AP79" s="173"/>
    </row>
    <row r="80">
      <c r="A80" s="110" t="s">
        <v>120</v>
      </c>
      <c r="B80" s="96">
        <v>599.0</v>
      </c>
      <c r="C80" s="115"/>
      <c r="D80" s="215"/>
      <c r="E80" s="215"/>
      <c r="F80" s="200">
        <f t="shared" si="1"/>
        <v>0</v>
      </c>
      <c r="G80" s="173">
        <f t="shared" si="2"/>
        <v>0</v>
      </c>
      <c r="I80" s="115"/>
      <c r="J80" s="215"/>
      <c r="K80" s="215"/>
      <c r="L80" s="215"/>
      <c r="M80" s="200">
        <f t="shared" si="3"/>
        <v>0</v>
      </c>
      <c r="N80" s="173">
        <f t="shared" si="4"/>
        <v>0</v>
      </c>
      <c r="P80" s="115"/>
      <c r="Q80" s="215"/>
      <c r="R80" s="215"/>
      <c r="S80" s="215"/>
      <c r="T80" s="215"/>
      <c r="U80" s="200">
        <f t="shared" si="5"/>
        <v>0</v>
      </c>
      <c r="V80" s="173">
        <f t="shared" si="6"/>
        <v>0</v>
      </c>
      <c r="W80" s="174"/>
      <c r="X80" s="329"/>
      <c r="Y80" s="215"/>
      <c r="Z80" s="215"/>
      <c r="AA80" s="215"/>
      <c r="AB80" s="215"/>
      <c r="AC80" s="215"/>
      <c r="AD80" s="215"/>
      <c r="AE80" s="200"/>
      <c r="AF80" s="173"/>
      <c r="AG80" s="174"/>
      <c r="AH80" s="329"/>
      <c r="AI80" s="215"/>
      <c r="AJ80" s="215"/>
      <c r="AK80" s="215"/>
      <c r="AL80" s="215"/>
      <c r="AM80" s="215"/>
      <c r="AN80" s="215"/>
      <c r="AO80" s="200"/>
      <c r="AP80" s="173"/>
    </row>
    <row r="81">
      <c r="A81" s="110" t="s">
        <v>121</v>
      </c>
      <c r="B81" s="96">
        <v>229.0</v>
      </c>
      <c r="C81" s="115"/>
      <c r="D81" s="215"/>
      <c r="E81" s="215"/>
      <c r="F81" s="200">
        <f t="shared" si="1"/>
        <v>0</v>
      </c>
      <c r="G81" s="173">
        <f t="shared" si="2"/>
        <v>0</v>
      </c>
      <c r="I81" s="216">
        <v>10.0</v>
      </c>
      <c r="J81" s="215"/>
      <c r="K81" s="215"/>
      <c r="L81" s="215"/>
      <c r="M81" s="200">
        <f t="shared" si="3"/>
        <v>10</v>
      </c>
      <c r="N81" s="173">
        <f t="shared" si="4"/>
        <v>2290</v>
      </c>
      <c r="P81" s="216"/>
      <c r="Q81" s="215"/>
      <c r="R81" s="215"/>
      <c r="S81" s="215"/>
      <c r="T81" s="215"/>
      <c r="U81" s="200">
        <f t="shared" si="5"/>
        <v>0</v>
      </c>
      <c r="V81" s="173">
        <f t="shared" si="6"/>
        <v>0</v>
      </c>
      <c r="W81" s="174"/>
      <c r="X81" s="329"/>
      <c r="Y81" s="215"/>
      <c r="Z81" s="215"/>
      <c r="AA81" s="215"/>
      <c r="AB81" s="215"/>
      <c r="AC81" s="215"/>
      <c r="AD81" s="215"/>
      <c r="AE81" s="200"/>
      <c r="AF81" s="173"/>
      <c r="AG81" s="174"/>
      <c r="AH81" s="329"/>
      <c r="AI81" s="217">
        <v>2.0</v>
      </c>
      <c r="AJ81" s="217">
        <v>3.0</v>
      </c>
      <c r="AK81" s="215"/>
      <c r="AL81" s="215"/>
      <c r="AM81" s="215"/>
      <c r="AN81" s="215"/>
      <c r="AO81" s="200"/>
      <c r="AP81" s="173"/>
    </row>
    <row r="82">
      <c r="A82" s="110" t="s">
        <v>122</v>
      </c>
      <c r="B82" s="96">
        <v>219.0</v>
      </c>
      <c r="C82" s="115"/>
      <c r="D82" s="215"/>
      <c r="E82" s="215"/>
      <c r="F82" s="200">
        <f t="shared" si="1"/>
        <v>0</v>
      </c>
      <c r="G82" s="173">
        <f t="shared" si="2"/>
        <v>0</v>
      </c>
      <c r="I82" s="216">
        <v>2.0</v>
      </c>
      <c r="J82" s="215"/>
      <c r="K82" s="215"/>
      <c r="L82" s="215"/>
      <c r="M82" s="200">
        <f t="shared" si="3"/>
        <v>2</v>
      </c>
      <c r="N82" s="173">
        <f t="shared" si="4"/>
        <v>438</v>
      </c>
      <c r="P82" s="216"/>
      <c r="Q82" s="215"/>
      <c r="R82" s="215"/>
      <c r="S82" s="215"/>
      <c r="T82" s="215"/>
      <c r="U82" s="200">
        <f t="shared" si="5"/>
        <v>0</v>
      </c>
      <c r="V82" s="173">
        <f t="shared" si="6"/>
        <v>0</v>
      </c>
      <c r="W82" s="174"/>
      <c r="X82" s="329"/>
      <c r="Y82" s="215"/>
      <c r="Z82" s="215"/>
      <c r="AA82" s="215"/>
      <c r="AB82" s="215"/>
      <c r="AC82" s="215"/>
      <c r="AD82" s="215"/>
      <c r="AE82" s="200"/>
      <c r="AF82" s="173"/>
      <c r="AG82" s="174"/>
      <c r="AH82" s="329"/>
      <c r="AI82" s="215"/>
      <c r="AJ82" s="215"/>
      <c r="AK82" s="215"/>
      <c r="AL82" s="215"/>
      <c r="AM82" s="215"/>
      <c r="AN82" s="215"/>
      <c r="AO82" s="200"/>
      <c r="AP82" s="173"/>
    </row>
    <row r="83">
      <c r="A83" s="110" t="s">
        <v>123</v>
      </c>
      <c r="B83" s="96">
        <v>1299.0</v>
      </c>
      <c r="C83" s="115"/>
      <c r="D83" s="215"/>
      <c r="E83" s="215"/>
      <c r="F83" s="200">
        <f t="shared" si="1"/>
        <v>0</v>
      </c>
      <c r="G83" s="173">
        <f t="shared" si="2"/>
        <v>0</v>
      </c>
      <c r="I83" s="115"/>
      <c r="J83" s="215"/>
      <c r="K83" s="215"/>
      <c r="L83" s="215"/>
      <c r="M83" s="200">
        <f t="shared" si="3"/>
        <v>0</v>
      </c>
      <c r="N83" s="173">
        <f t="shared" si="4"/>
        <v>0</v>
      </c>
      <c r="P83" s="216">
        <v>1.0</v>
      </c>
      <c r="Q83" s="215"/>
      <c r="R83" s="215"/>
      <c r="S83" s="215"/>
      <c r="T83" s="215"/>
      <c r="U83" s="200">
        <f t="shared" si="5"/>
        <v>1</v>
      </c>
      <c r="V83" s="173">
        <f t="shared" si="6"/>
        <v>0</v>
      </c>
      <c r="W83" s="174"/>
      <c r="X83" s="329"/>
      <c r="Y83" s="215"/>
      <c r="Z83" s="215"/>
      <c r="AA83" s="215"/>
      <c r="AB83" s="215"/>
      <c r="AC83" s="215"/>
      <c r="AD83" s="215"/>
      <c r="AE83" s="200"/>
      <c r="AF83" s="173"/>
      <c r="AG83" s="174"/>
      <c r="AH83" s="329"/>
      <c r="AI83" s="215"/>
      <c r="AJ83" s="215"/>
      <c r="AK83" s="215"/>
      <c r="AL83" s="215"/>
      <c r="AM83" s="215"/>
      <c r="AN83" s="215"/>
      <c r="AO83" s="200"/>
      <c r="AP83" s="173"/>
    </row>
    <row r="84">
      <c r="A84" s="102" t="s">
        <v>124</v>
      </c>
      <c r="B84" s="96">
        <v>1299.0</v>
      </c>
      <c r="C84" s="115"/>
      <c r="D84" s="215"/>
      <c r="E84" s="215"/>
      <c r="F84" s="200">
        <f t="shared" si="1"/>
        <v>0</v>
      </c>
      <c r="G84" s="173">
        <f t="shared" si="2"/>
        <v>0</v>
      </c>
      <c r="I84" s="115"/>
      <c r="J84" s="215"/>
      <c r="K84" s="215"/>
      <c r="L84" s="215"/>
      <c r="M84" s="200">
        <f t="shared" si="3"/>
        <v>0</v>
      </c>
      <c r="N84" s="173">
        <f t="shared" si="4"/>
        <v>0</v>
      </c>
      <c r="P84" s="115"/>
      <c r="Q84" s="215"/>
      <c r="R84" s="215"/>
      <c r="S84" s="215"/>
      <c r="T84" s="215"/>
      <c r="U84" s="200">
        <f t="shared" si="5"/>
        <v>0</v>
      </c>
      <c r="V84" s="173">
        <f t="shared" si="6"/>
        <v>0</v>
      </c>
      <c r="W84" s="174"/>
      <c r="X84" s="329"/>
      <c r="Y84" s="215"/>
      <c r="Z84" s="215"/>
      <c r="AA84" s="217">
        <v>4.0</v>
      </c>
      <c r="AB84" s="215"/>
      <c r="AC84" s="215"/>
      <c r="AD84" s="215"/>
      <c r="AE84" s="200"/>
      <c r="AF84" s="173"/>
      <c r="AG84" s="174"/>
      <c r="AH84" s="329"/>
      <c r="AI84" s="215"/>
      <c r="AJ84" s="215"/>
      <c r="AK84" s="217"/>
      <c r="AL84" s="215"/>
      <c r="AM84" s="215"/>
      <c r="AN84" s="215"/>
      <c r="AO84" s="200"/>
      <c r="AP84" s="173"/>
    </row>
    <row r="85">
      <c r="A85" s="111" t="s">
        <v>125</v>
      </c>
      <c r="B85" s="96">
        <v>1299.0</v>
      </c>
      <c r="C85" s="115"/>
      <c r="D85" s="215"/>
      <c r="E85" s="215"/>
      <c r="F85" s="200">
        <f t="shared" si="1"/>
        <v>0</v>
      </c>
      <c r="G85" s="173">
        <f t="shared" si="2"/>
        <v>0</v>
      </c>
      <c r="I85" s="115"/>
      <c r="J85" s="215"/>
      <c r="K85" s="215"/>
      <c r="L85" s="215"/>
      <c r="M85" s="200">
        <f t="shared" si="3"/>
        <v>0</v>
      </c>
      <c r="N85" s="173">
        <f t="shared" si="4"/>
        <v>0</v>
      </c>
      <c r="P85" s="115"/>
      <c r="Q85" s="215"/>
      <c r="R85" s="215"/>
      <c r="S85" s="215"/>
      <c r="T85" s="215"/>
      <c r="U85" s="200">
        <f t="shared" si="5"/>
        <v>0</v>
      </c>
      <c r="V85" s="173">
        <f t="shared" si="6"/>
        <v>0</v>
      </c>
      <c r="W85" s="174"/>
      <c r="X85" s="329"/>
      <c r="Y85" s="215"/>
      <c r="Z85" s="215"/>
      <c r="AA85" s="215"/>
      <c r="AB85" s="215"/>
      <c r="AC85" s="215"/>
      <c r="AD85" s="215"/>
      <c r="AE85" s="200"/>
      <c r="AF85" s="173"/>
      <c r="AG85" s="174"/>
      <c r="AH85" s="329"/>
      <c r="AI85" s="215"/>
      <c r="AJ85" s="215"/>
      <c r="AK85" s="215"/>
      <c r="AL85" s="215"/>
      <c r="AM85" s="215"/>
      <c r="AN85" s="215"/>
      <c r="AO85" s="200"/>
      <c r="AP85" s="173"/>
    </row>
    <row r="86">
      <c r="A86" s="112" t="s">
        <v>126</v>
      </c>
      <c r="B86" s="96">
        <v>1299.0</v>
      </c>
      <c r="C86" s="226"/>
      <c r="D86" s="227"/>
      <c r="E86" s="227"/>
      <c r="F86" s="200">
        <f t="shared" si="1"/>
        <v>0</v>
      </c>
      <c r="G86" s="173">
        <f t="shared" si="2"/>
        <v>0</v>
      </c>
      <c r="I86" s="226"/>
      <c r="J86" s="227"/>
      <c r="K86" s="227"/>
      <c r="L86" s="227"/>
      <c r="M86" s="200">
        <f t="shared" si="3"/>
        <v>0</v>
      </c>
      <c r="N86" s="173">
        <f t="shared" si="4"/>
        <v>0</v>
      </c>
      <c r="P86" s="226"/>
      <c r="Q86" s="227"/>
      <c r="R86" s="227"/>
      <c r="S86" s="227"/>
      <c r="T86" s="227"/>
      <c r="U86" s="200">
        <f t="shared" si="5"/>
        <v>0</v>
      </c>
      <c r="V86" s="173">
        <f t="shared" si="6"/>
        <v>0</v>
      </c>
      <c r="W86" s="174"/>
      <c r="X86" s="334"/>
      <c r="Y86" s="227"/>
      <c r="Z86" s="227"/>
      <c r="AA86" s="227"/>
      <c r="AB86" s="227"/>
      <c r="AC86" s="227"/>
      <c r="AD86" s="227"/>
      <c r="AE86" s="200"/>
      <c r="AF86" s="173"/>
      <c r="AG86" s="174"/>
      <c r="AH86" s="334"/>
      <c r="AI86" s="227"/>
      <c r="AJ86" s="227"/>
      <c r="AK86" s="227"/>
      <c r="AL86" s="227"/>
      <c r="AM86" s="227"/>
      <c r="AN86" s="227"/>
      <c r="AO86" s="200"/>
      <c r="AP86" s="173"/>
    </row>
    <row r="87">
      <c r="A87" s="113"/>
      <c r="B87" s="114"/>
      <c r="C87" s="115"/>
      <c r="D87" s="215"/>
      <c r="E87" s="215"/>
      <c r="F87" s="200">
        <f t="shared" si="1"/>
        <v>0</v>
      </c>
      <c r="G87" s="173">
        <f t="shared" si="2"/>
        <v>0</v>
      </c>
      <c r="I87" s="115"/>
      <c r="J87" s="215"/>
      <c r="K87" s="215"/>
      <c r="L87" s="215"/>
      <c r="M87" s="200">
        <f t="shared" si="3"/>
        <v>0</v>
      </c>
      <c r="N87" s="173">
        <f t="shared" si="4"/>
        <v>0</v>
      </c>
      <c r="P87" s="115"/>
      <c r="Q87" s="215"/>
      <c r="R87" s="215"/>
      <c r="S87" s="215"/>
      <c r="T87" s="215"/>
      <c r="U87" s="200">
        <f t="shared" si="5"/>
        <v>0</v>
      </c>
      <c r="V87" s="173">
        <f t="shared" si="6"/>
        <v>0</v>
      </c>
      <c r="W87" s="174"/>
      <c r="X87" s="329"/>
      <c r="Y87" s="215"/>
      <c r="Z87" s="215"/>
      <c r="AA87" s="215"/>
      <c r="AB87" s="215"/>
      <c r="AC87" s="215"/>
      <c r="AD87" s="215"/>
      <c r="AE87" s="200"/>
      <c r="AF87" s="173"/>
      <c r="AG87" s="174"/>
      <c r="AH87" s="329"/>
      <c r="AI87" s="215"/>
      <c r="AJ87" s="215"/>
      <c r="AK87" s="215"/>
      <c r="AL87" s="215"/>
      <c r="AM87" s="215"/>
      <c r="AN87" s="215"/>
      <c r="AO87" s="200"/>
      <c r="AP87" s="173"/>
    </row>
    <row r="88">
      <c r="A88" s="94" t="s">
        <v>127</v>
      </c>
      <c r="B88" s="96">
        <v>679.0</v>
      </c>
      <c r="C88" s="115"/>
      <c r="D88" s="230"/>
      <c r="E88" s="230"/>
      <c r="F88" s="200">
        <f t="shared" si="1"/>
        <v>0</v>
      </c>
      <c r="G88" s="173">
        <f t="shared" si="2"/>
        <v>0</v>
      </c>
      <c r="I88" s="115"/>
      <c r="J88" s="230"/>
      <c r="K88" s="230"/>
      <c r="L88" s="230"/>
      <c r="M88" s="200">
        <f t="shared" si="3"/>
        <v>0</v>
      </c>
      <c r="N88" s="173">
        <f t="shared" si="4"/>
        <v>0</v>
      </c>
      <c r="P88" s="115"/>
      <c r="Q88" s="230"/>
      <c r="R88" s="230"/>
      <c r="S88" s="230"/>
      <c r="T88" s="230"/>
      <c r="U88" s="200">
        <f t="shared" si="5"/>
        <v>0</v>
      </c>
      <c r="V88" s="173">
        <f t="shared" si="6"/>
        <v>0</v>
      </c>
      <c r="W88" s="174"/>
      <c r="X88" s="329"/>
      <c r="Y88" s="230"/>
      <c r="Z88" s="230"/>
      <c r="AA88" s="230"/>
      <c r="AB88" s="230"/>
      <c r="AC88" s="230"/>
      <c r="AD88" s="230"/>
      <c r="AE88" s="200"/>
      <c r="AF88" s="173"/>
      <c r="AG88" s="174"/>
      <c r="AH88" s="329"/>
      <c r="AI88" s="230"/>
      <c r="AJ88" s="230"/>
      <c r="AK88" s="230"/>
      <c r="AL88" s="230"/>
      <c r="AM88" s="230"/>
      <c r="AN88" s="230"/>
      <c r="AO88" s="200"/>
      <c r="AP88" s="173"/>
    </row>
    <row r="89">
      <c r="A89" s="94" t="s">
        <v>128</v>
      </c>
      <c r="B89" s="96">
        <v>679.0</v>
      </c>
      <c r="C89" s="104"/>
      <c r="D89" s="230"/>
      <c r="E89" s="230"/>
      <c r="F89" s="200">
        <f t="shared" si="1"/>
        <v>0</v>
      </c>
      <c r="G89" s="173">
        <f t="shared" si="2"/>
        <v>0</v>
      </c>
      <c r="I89" s="104"/>
      <c r="J89" s="230"/>
      <c r="K89" s="230"/>
      <c r="L89" s="230"/>
      <c r="M89" s="200">
        <f t="shared" si="3"/>
        <v>0</v>
      </c>
      <c r="N89" s="173">
        <f t="shared" si="4"/>
        <v>0</v>
      </c>
      <c r="P89" s="104"/>
      <c r="Q89" s="230"/>
      <c r="R89" s="230"/>
      <c r="S89" s="230"/>
      <c r="T89" s="230"/>
      <c r="U89" s="200">
        <f t="shared" si="5"/>
        <v>0</v>
      </c>
      <c r="V89" s="173">
        <f t="shared" si="6"/>
        <v>0</v>
      </c>
      <c r="W89" s="174"/>
      <c r="X89" s="208"/>
      <c r="Y89" s="230"/>
      <c r="Z89" s="230"/>
      <c r="AA89" s="230"/>
      <c r="AB89" s="230"/>
      <c r="AC89" s="230"/>
      <c r="AD89" s="230"/>
      <c r="AE89" s="200"/>
      <c r="AF89" s="173"/>
      <c r="AG89" s="174"/>
      <c r="AH89" s="208"/>
      <c r="AI89" s="230"/>
      <c r="AJ89" s="230"/>
      <c r="AK89" s="230"/>
      <c r="AL89" s="230"/>
      <c r="AM89" s="230"/>
      <c r="AN89" s="230"/>
      <c r="AO89" s="200"/>
      <c r="AP89" s="173"/>
    </row>
    <row r="90">
      <c r="A90" s="94" t="s">
        <v>129</v>
      </c>
      <c r="B90" s="96">
        <v>679.0</v>
      </c>
      <c r="C90" s="104"/>
      <c r="D90" s="230"/>
      <c r="E90" s="230"/>
      <c r="F90" s="200">
        <f t="shared" si="1"/>
        <v>0</v>
      </c>
      <c r="G90" s="173">
        <f t="shared" si="2"/>
        <v>0</v>
      </c>
      <c r="I90" s="104"/>
      <c r="J90" s="230"/>
      <c r="K90" s="230"/>
      <c r="L90" s="230"/>
      <c r="M90" s="200">
        <f t="shared" si="3"/>
        <v>0</v>
      </c>
      <c r="N90" s="173">
        <f t="shared" si="4"/>
        <v>0</v>
      </c>
      <c r="P90" s="104"/>
      <c r="Q90" s="230"/>
      <c r="R90" s="230"/>
      <c r="S90" s="230"/>
      <c r="T90" s="230"/>
      <c r="U90" s="200">
        <f t="shared" si="5"/>
        <v>0</v>
      </c>
      <c r="V90" s="173">
        <f t="shared" si="6"/>
        <v>0</v>
      </c>
      <c r="W90" s="174"/>
      <c r="X90" s="208"/>
      <c r="Y90" s="230"/>
      <c r="Z90" s="230"/>
      <c r="AA90" s="230"/>
      <c r="AB90" s="230"/>
      <c r="AC90" s="230"/>
      <c r="AD90" s="230"/>
      <c r="AE90" s="200"/>
      <c r="AF90" s="173"/>
      <c r="AG90" s="174"/>
      <c r="AH90" s="208"/>
      <c r="AI90" s="230"/>
      <c r="AJ90" s="230"/>
      <c r="AK90" s="230"/>
      <c r="AL90" s="230"/>
      <c r="AM90" s="230"/>
      <c r="AN90" s="230"/>
      <c r="AO90" s="200"/>
      <c r="AP90" s="173"/>
    </row>
    <row r="91">
      <c r="A91" s="115"/>
      <c r="B91" s="116"/>
      <c r="C91" s="104"/>
      <c r="D91" s="230"/>
      <c r="E91" s="230"/>
      <c r="F91" s="200">
        <f t="shared" si="1"/>
        <v>0</v>
      </c>
      <c r="G91" s="173">
        <f t="shared" si="2"/>
        <v>0</v>
      </c>
      <c r="I91" s="104"/>
      <c r="J91" s="230"/>
      <c r="K91" s="230"/>
      <c r="L91" s="230"/>
      <c r="M91" s="200">
        <f t="shared" si="3"/>
        <v>0</v>
      </c>
      <c r="N91" s="173">
        <f t="shared" si="4"/>
        <v>0</v>
      </c>
      <c r="P91" s="104"/>
      <c r="Q91" s="230"/>
      <c r="R91" s="230"/>
      <c r="S91" s="230"/>
      <c r="T91" s="230"/>
      <c r="U91" s="200">
        <f t="shared" si="5"/>
        <v>0</v>
      </c>
      <c r="V91" s="173">
        <f t="shared" si="6"/>
        <v>0</v>
      </c>
      <c r="W91" s="174"/>
      <c r="X91" s="208"/>
      <c r="Y91" s="230"/>
      <c r="Z91" s="230"/>
      <c r="AA91" s="230"/>
      <c r="AB91" s="230"/>
      <c r="AC91" s="230"/>
      <c r="AD91" s="230"/>
      <c r="AE91" s="200"/>
      <c r="AF91" s="173"/>
      <c r="AG91" s="174"/>
      <c r="AH91" s="208"/>
      <c r="AI91" s="230"/>
      <c r="AJ91" s="230"/>
      <c r="AK91" s="230"/>
      <c r="AL91" s="230"/>
      <c r="AM91" s="230"/>
      <c r="AN91" s="230"/>
      <c r="AO91" s="200"/>
      <c r="AP91" s="173"/>
    </row>
    <row r="92">
      <c r="A92" s="94" t="s">
        <v>130</v>
      </c>
      <c r="B92" s="96">
        <v>490.0</v>
      </c>
      <c r="C92" s="104"/>
      <c r="D92" s="230"/>
      <c r="E92" s="230"/>
      <c r="F92" s="200">
        <f t="shared" si="1"/>
        <v>0</v>
      </c>
      <c r="G92" s="173">
        <f t="shared" si="2"/>
        <v>0</v>
      </c>
      <c r="I92" s="104"/>
      <c r="J92" s="230"/>
      <c r="K92" s="230"/>
      <c r="L92" s="230"/>
      <c r="M92" s="200">
        <f t="shared" si="3"/>
        <v>0</v>
      </c>
      <c r="N92" s="173">
        <f t="shared" si="4"/>
        <v>0</v>
      </c>
      <c r="P92" s="104"/>
      <c r="Q92" s="230"/>
      <c r="R92" s="230"/>
      <c r="S92" s="230"/>
      <c r="T92" s="230"/>
      <c r="U92" s="200">
        <f t="shared" si="5"/>
        <v>0</v>
      </c>
      <c r="V92" s="173">
        <f t="shared" si="6"/>
        <v>0</v>
      </c>
      <c r="W92" s="174"/>
      <c r="X92" s="208"/>
      <c r="Y92" s="230"/>
      <c r="Z92" s="230"/>
      <c r="AA92" s="230"/>
      <c r="AB92" s="230"/>
      <c r="AC92" s="230"/>
      <c r="AD92" s="230"/>
      <c r="AE92" s="200"/>
      <c r="AF92" s="173"/>
      <c r="AG92" s="174"/>
      <c r="AH92" s="208"/>
      <c r="AI92" s="230"/>
      <c r="AJ92" s="230"/>
      <c r="AK92" s="230"/>
      <c r="AL92" s="230"/>
      <c r="AM92" s="230"/>
      <c r="AN92" s="230"/>
      <c r="AO92" s="200"/>
      <c r="AP92" s="173"/>
    </row>
    <row r="93">
      <c r="A93" s="94" t="s">
        <v>131</v>
      </c>
      <c r="B93" s="96">
        <v>490.0</v>
      </c>
      <c r="C93" s="104"/>
      <c r="D93" s="230"/>
      <c r="E93" s="230"/>
      <c r="F93" s="200">
        <f t="shared" si="1"/>
        <v>0</v>
      </c>
      <c r="G93" s="173">
        <f t="shared" si="2"/>
        <v>0</v>
      </c>
      <c r="I93" s="104"/>
      <c r="J93" s="230"/>
      <c r="K93" s="230"/>
      <c r="L93" s="230"/>
      <c r="M93" s="200">
        <f t="shared" si="3"/>
        <v>0</v>
      </c>
      <c r="N93" s="173">
        <f t="shared" si="4"/>
        <v>0</v>
      </c>
      <c r="P93" s="104"/>
      <c r="Q93" s="230"/>
      <c r="R93" s="230"/>
      <c r="S93" s="230"/>
      <c r="T93" s="230"/>
      <c r="U93" s="200">
        <f t="shared" si="5"/>
        <v>0</v>
      </c>
      <c r="V93" s="173">
        <f t="shared" si="6"/>
        <v>0</v>
      </c>
      <c r="W93" s="174"/>
      <c r="X93" s="208"/>
      <c r="Y93" s="230"/>
      <c r="Z93" s="230"/>
      <c r="AA93" s="230"/>
      <c r="AB93" s="230"/>
      <c r="AC93" s="230"/>
      <c r="AD93" s="230"/>
      <c r="AE93" s="200"/>
      <c r="AF93" s="173"/>
      <c r="AG93" s="174"/>
      <c r="AH93" s="208"/>
      <c r="AI93" s="230"/>
      <c r="AJ93" s="230"/>
      <c r="AK93" s="230"/>
      <c r="AL93" s="230"/>
      <c r="AM93" s="230"/>
      <c r="AN93" s="230"/>
      <c r="AO93" s="200"/>
      <c r="AP93" s="173"/>
    </row>
    <row r="94">
      <c r="A94" s="94" t="s">
        <v>132</v>
      </c>
      <c r="B94" s="96">
        <v>450.0</v>
      </c>
      <c r="C94" s="104"/>
      <c r="D94" s="230"/>
      <c r="E94" s="230"/>
      <c r="F94" s="200">
        <f t="shared" si="1"/>
        <v>0</v>
      </c>
      <c r="G94" s="173">
        <f t="shared" si="2"/>
        <v>0</v>
      </c>
      <c r="I94" s="104"/>
      <c r="J94" s="230"/>
      <c r="K94" s="230"/>
      <c r="L94" s="230"/>
      <c r="M94" s="200">
        <f t="shared" si="3"/>
        <v>0</v>
      </c>
      <c r="N94" s="173">
        <f t="shared" si="4"/>
        <v>0</v>
      </c>
      <c r="P94" s="104"/>
      <c r="Q94" s="230"/>
      <c r="R94" s="230"/>
      <c r="S94" s="230"/>
      <c r="T94" s="230"/>
      <c r="U94" s="200">
        <f t="shared" si="5"/>
        <v>0</v>
      </c>
      <c r="V94" s="173">
        <f t="shared" si="6"/>
        <v>0</v>
      </c>
      <c r="W94" s="174"/>
      <c r="X94" s="208"/>
      <c r="Y94" s="230"/>
      <c r="Z94" s="230"/>
      <c r="AA94" s="230"/>
      <c r="AB94" s="230"/>
      <c r="AC94" s="230"/>
      <c r="AD94" s="230"/>
      <c r="AE94" s="200"/>
      <c r="AF94" s="173"/>
      <c r="AG94" s="174"/>
      <c r="AH94" s="208"/>
      <c r="AI94" s="230"/>
      <c r="AJ94" s="230"/>
      <c r="AK94" s="230"/>
      <c r="AL94" s="230"/>
      <c r="AM94" s="230"/>
      <c r="AN94" s="230"/>
      <c r="AO94" s="200"/>
      <c r="AP94" s="173"/>
    </row>
    <row r="95">
      <c r="A95" s="117" t="s">
        <v>265</v>
      </c>
      <c r="B95" s="118">
        <v>450.0</v>
      </c>
      <c r="C95" s="104"/>
      <c r="D95" s="230"/>
      <c r="E95" s="230"/>
      <c r="F95" s="200">
        <f t="shared" si="1"/>
        <v>0</v>
      </c>
      <c r="G95" s="173">
        <f t="shared" si="2"/>
        <v>0</v>
      </c>
      <c r="I95" s="104"/>
      <c r="J95" s="230"/>
      <c r="K95" s="230"/>
      <c r="L95" s="230"/>
      <c r="M95" s="200">
        <f t="shared" si="3"/>
        <v>0</v>
      </c>
      <c r="N95" s="173">
        <f t="shared" si="4"/>
        <v>0</v>
      </c>
      <c r="P95" s="104"/>
      <c r="Q95" s="230"/>
      <c r="R95" s="230"/>
      <c r="S95" s="230"/>
      <c r="T95" s="230"/>
      <c r="U95" s="200">
        <f t="shared" si="5"/>
        <v>0</v>
      </c>
      <c r="V95" s="173">
        <f t="shared" si="6"/>
        <v>0</v>
      </c>
      <c r="W95" s="174"/>
      <c r="X95" s="208"/>
      <c r="Y95" s="230"/>
      <c r="Z95" s="230"/>
      <c r="AA95" s="230"/>
      <c r="AB95" s="230"/>
      <c r="AC95" s="230"/>
      <c r="AD95" s="230"/>
      <c r="AE95" s="200"/>
      <c r="AF95" s="173"/>
      <c r="AG95" s="174"/>
      <c r="AH95" s="208"/>
      <c r="AI95" s="230"/>
      <c r="AJ95" s="230"/>
      <c r="AK95" s="230"/>
      <c r="AL95" s="230"/>
      <c r="AM95" s="230"/>
      <c r="AN95" s="230"/>
      <c r="AO95" s="200"/>
      <c r="AP95" s="173"/>
    </row>
    <row r="96">
      <c r="A96" s="234"/>
      <c r="B96" s="120"/>
      <c r="C96" s="104"/>
      <c r="D96" s="235"/>
      <c r="E96" s="235"/>
      <c r="F96" s="200">
        <f t="shared" si="1"/>
        <v>0</v>
      </c>
      <c r="G96" s="173">
        <f t="shared" si="2"/>
        <v>0</v>
      </c>
      <c r="I96" s="104"/>
      <c r="J96" s="235"/>
      <c r="K96" s="235"/>
      <c r="L96" s="235"/>
      <c r="M96" s="200">
        <f t="shared" si="3"/>
        <v>0</v>
      </c>
      <c r="N96" s="173">
        <f t="shared" si="4"/>
        <v>0</v>
      </c>
      <c r="P96" s="104"/>
      <c r="Q96" s="235"/>
      <c r="R96" s="235"/>
      <c r="S96" s="235"/>
      <c r="T96" s="235"/>
      <c r="U96" s="200">
        <f t="shared" si="5"/>
        <v>0</v>
      </c>
      <c r="V96" s="173">
        <f t="shared" si="6"/>
        <v>0</v>
      </c>
      <c r="W96" s="174"/>
      <c r="X96" s="208"/>
      <c r="Y96" s="235"/>
      <c r="Z96" s="235"/>
      <c r="AA96" s="235"/>
      <c r="AB96" s="235"/>
      <c r="AC96" s="235"/>
      <c r="AD96" s="235"/>
      <c r="AE96" s="200"/>
      <c r="AF96" s="173"/>
      <c r="AG96" s="174"/>
      <c r="AH96" s="208"/>
      <c r="AI96" s="235"/>
      <c r="AJ96" s="235"/>
      <c r="AK96" s="235"/>
      <c r="AL96" s="235"/>
      <c r="AM96" s="235"/>
      <c r="AN96" s="235"/>
      <c r="AO96" s="200"/>
      <c r="AP96" s="173"/>
    </row>
    <row r="97">
      <c r="A97" s="372" t="s">
        <v>134</v>
      </c>
      <c r="B97" s="118">
        <v>1054.0</v>
      </c>
      <c r="C97" s="373"/>
      <c r="D97" s="374"/>
      <c r="E97" s="374"/>
      <c r="F97" s="375">
        <f t="shared" si="1"/>
        <v>0</v>
      </c>
      <c r="G97" s="173">
        <f t="shared" si="2"/>
        <v>0</v>
      </c>
      <c r="H97" s="70"/>
      <c r="I97" s="376"/>
      <c r="J97" s="376"/>
      <c r="K97" s="376"/>
      <c r="L97" s="376"/>
      <c r="M97" s="375">
        <f t="shared" si="3"/>
        <v>0</v>
      </c>
      <c r="N97" s="173">
        <f t="shared" si="4"/>
        <v>0</v>
      </c>
      <c r="O97" s="70"/>
      <c r="P97" s="376"/>
      <c r="Q97" s="376"/>
      <c r="R97" s="376"/>
      <c r="S97" s="376"/>
      <c r="T97" s="376"/>
      <c r="U97" s="375">
        <f t="shared" si="5"/>
        <v>0</v>
      </c>
      <c r="V97" s="173">
        <f t="shared" si="6"/>
        <v>0</v>
      </c>
      <c r="W97" s="174"/>
      <c r="X97" s="208"/>
      <c r="Y97" s="376"/>
      <c r="Z97" s="376"/>
      <c r="AA97" s="376"/>
      <c r="AB97" s="376"/>
      <c r="AC97" s="376"/>
      <c r="AD97" s="376"/>
      <c r="AE97" s="375"/>
      <c r="AF97" s="173"/>
      <c r="AG97" s="174"/>
      <c r="AH97" s="208"/>
      <c r="AI97" s="376"/>
      <c r="AJ97" s="376"/>
      <c r="AK97" s="376"/>
      <c r="AL97" s="376"/>
      <c r="AM97" s="376"/>
      <c r="AN97" s="376"/>
      <c r="AO97" s="375"/>
      <c r="AP97" s="173"/>
    </row>
    <row r="98">
      <c r="A98" s="249" t="s">
        <v>266</v>
      </c>
      <c r="B98" s="377">
        <v>329.0</v>
      </c>
      <c r="C98" s="378"/>
      <c r="D98" s="379"/>
      <c r="E98" s="379"/>
      <c r="F98" s="380"/>
      <c r="G98" s="213"/>
      <c r="H98" s="381"/>
      <c r="I98" s="382"/>
      <c r="J98" s="382"/>
      <c r="K98" s="382"/>
      <c r="L98" s="382"/>
      <c r="M98" s="238"/>
      <c r="N98" s="252"/>
      <c r="O98" s="381"/>
      <c r="P98" s="382"/>
      <c r="Q98" s="382"/>
      <c r="R98" s="382"/>
      <c r="S98" s="383">
        <v>2.0</v>
      </c>
      <c r="T98" s="382"/>
      <c r="U98" s="238"/>
      <c r="V98" s="252"/>
      <c r="W98" s="174"/>
      <c r="X98" s="384">
        <v>1.0</v>
      </c>
      <c r="Y98" s="382"/>
      <c r="Z98" s="382"/>
      <c r="AA98" s="382"/>
      <c r="AB98" s="382"/>
      <c r="AC98" s="382"/>
      <c r="AD98" s="321">
        <v>5.0</v>
      </c>
      <c r="AE98" s="333"/>
      <c r="AF98" s="385"/>
      <c r="AG98" s="243"/>
      <c r="AH98" s="384"/>
      <c r="AI98" s="383">
        <v>2.0</v>
      </c>
      <c r="AJ98" s="382"/>
      <c r="AK98" s="382"/>
      <c r="AL98" s="382"/>
      <c r="AM98" s="382"/>
      <c r="AN98" s="321"/>
      <c r="AO98" s="333"/>
      <c r="AP98" s="385"/>
    </row>
    <row r="99">
      <c r="A99" s="249" t="s">
        <v>267</v>
      </c>
      <c r="B99" s="377">
        <v>439.0</v>
      </c>
      <c r="C99" s="378"/>
      <c r="D99" s="379"/>
      <c r="E99" s="379"/>
      <c r="F99" s="380"/>
      <c r="G99" s="213"/>
      <c r="H99" s="381"/>
      <c r="I99" s="382"/>
      <c r="J99" s="382"/>
      <c r="K99" s="382"/>
      <c r="L99" s="382"/>
      <c r="M99" s="238"/>
      <c r="N99" s="252"/>
      <c r="O99" s="381"/>
      <c r="P99" s="382"/>
      <c r="Q99" s="382"/>
      <c r="R99" s="382"/>
      <c r="S99" s="382"/>
      <c r="T99" s="382"/>
      <c r="U99" s="238"/>
      <c r="V99" s="252"/>
      <c r="W99" s="174"/>
      <c r="X99" s="208"/>
      <c r="Y99" s="382"/>
      <c r="Z99" s="382"/>
      <c r="AA99" s="382"/>
      <c r="AB99" s="382"/>
      <c r="AC99" s="382"/>
      <c r="AD99" s="382"/>
      <c r="AE99" s="333"/>
      <c r="AF99" s="385"/>
      <c r="AG99" s="243"/>
      <c r="AH99" s="208"/>
      <c r="AI99" s="382"/>
      <c r="AJ99" s="382"/>
      <c r="AK99" s="382"/>
      <c r="AL99" s="382"/>
      <c r="AM99" s="382"/>
      <c r="AN99" s="382"/>
      <c r="AO99" s="333"/>
      <c r="AP99" s="385"/>
    </row>
    <row r="100">
      <c r="A100" s="249" t="s">
        <v>268</v>
      </c>
      <c r="B100" s="377">
        <v>799.0</v>
      </c>
      <c r="C100" s="378"/>
      <c r="D100" s="379"/>
      <c r="E100" s="379"/>
      <c r="F100" s="380"/>
      <c r="G100" s="213"/>
      <c r="H100" s="381"/>
      <c r="I100" s="382"/>
      <c r="J100" s="382"/>
      <c r="K100" s="382"/>
      <c r="L100" s="382"/>
      <c r="M100" s="238"/>
      <c r="N100" s="252"/>
      <c r="O100" s="381"/>
      <c r="P100" s="382"/>
      <c r="Q100" s="382"/>
      <c r="R100" s="382"/>
      <c r="S100" s="382"/>
      <c r="T100" s="382"/>
      <c r="U100" s="238"/>
      <c r="V100" s="252"/>
      <c r="W100" s="174"/>
      <c r="X100" s="208"/>
      <c r="Y100" s="382"/>
      <c r="Z100" s="382"/>
      <c r="AA100" s="382"/>
      <c r="AB100" s="382"/>
      <c r="AC100" s="382"/>
      <c r="AD100" s="382"/>
      <c r="AE100" s="333"/>
      <c r="AF100" s="385"/>
      <c r="AG100" s="243"/>
      <c r="AH100" s="208"/>
      <c r="AI100" s="382"/>
      <c r="AJ100" s="382"/>
      <c r="AK100" s="382"/>
      <c r="AL100" s="382"/>
      <c r="AM100" s="382"/>
      <c r="AN100" s="382"/>
      <c r="AO100" s="333"/>
      <c r="AP100" s="385"/>
    </row>
    <row r="101">
      <c r="A101" s="260" t="s">
        <v>135</v>
      </c>
      <c r="B101" s="386"/>
      <c r="C101" s="387"/>
      <c r="D101" s="388"/>
      <c r="E101" s="388"/>
      <c r="F101" s="388"/>
      <c r="G101" s="213"/>
      <c r="H101" s="381"/>
      <c r="I101" s="388"/>
      <c r="J101" s="388"/>
      <c r="K101" s="389">
        <v>2.0</v>
      </c>
      <c r="L101" s="389">
        <v>1.0</v>
      </c>
      <c r="M101" s="267">
        <f>sum(I101:L101)</f>
        <v>3</v>
      </c>
      <c r="N101" s="265">
        <f>M101*B101</f>
        <v>0</v>
      </c>
      <c r="O101" s="381"/>
      <c r="P101" s="388"/>
      <c r="Q101" s="389">
        <v>9.0</v>
      </c>
      <c r="R101" s="388"/>
      <c r="S101" s="388"/>
      <c r="T101" s="388"/>
      <c r="U101" s="267">
        <f>sum(P101:T101)</f>
        <v>9</v>
      </c>
      <c r="V101" s="265">
        <f>U101*J101</f>
        <v>0</v>
      </c>
      <c r="W101" s="243"/>
      <c r="X101" s="388"/>
      <c r="Y101" s="389">
        <v>12.0</v>
      </c>
      <c r="Z101" s="388"/>
      <c r="AA101" s="388"/>
      <c r="AB101" s="388"/>
      <c r="AC101" s="389">
        <v>1.0</v>
      </c>
      <c r="AD101" s="388"/>
      <c r="AE101" s="267"/>
      <c r="AF101" s="265"/>
      <c r="AG101" s="243"/>
      <c r="AH101" s="389">
        <v>2.0</v>
      </c>
      <c r="AI101" s="389"/>
      <c r="AJ101" s="388"/>
      <c r="AK101" s="389">
        <v>2.0</v>
      </c>
      <c r="AL101" s="388"/>
      <c r="AM101" s="388"/>
      <c r="AN101" s="388"/>
      <c r="AO101" s="267"/>
      <c r="AP101" s="265"/>
    </row>
    <row r="102">
      <c r="A102" s="390"/>
      <c r="B102" s="390"/>
      <c r="C102" s="391">
        <v>999.0</v>
      </c>
      <c r="D102" s="277">
        <f>7*329+239*3</f>
        <v>3020</v>
      </c>
      <c r="E102" s="277">
        <f>3059+1299</f>
        <v>4358</v>
      </c>
      <c r="F102" s="276"/>
      <c r="G102" s="277">
        <f>sum(C102:E102)</f>
        <v>8377</v>
      </c>
      <c r="H102" s="281"/>
      <c r="I102" s="275">
        <f>199*10+229*10+219*2+3059</f>
        <v>7777</v>
      </c>
      <c r="J102" s="275">
        <f>SUM(J8:J14)*329+SUM(J15)*219+SUM(J19:J21)*239+SUM(J22:J24)*219+SUM(J27)*799+SUM(J28)*609+SUM(J29:J30)*329+SUM(J31:J32)*219+SUM(J33)*439+SUM(J34)*899+SUM(J35:J37)*549+SUM(J38:J39)*799+SUM(J40:J41)*439+SUM(J42)*60+SUM(J43)*609+SUM(J44:J45)*379+SUM(J46:J47)*1299+SUM(J50:J51)*609+SUM(J52)*329+SUM(J55)*599+SUM(J58:J60)*329+SUM(J61)*249+SUM(J62:J64)*439+SUM(J65:J67)*799+SUM(J68:J70)*1299+SUM(J71)*609+SUM(J72:J74)*1599+SUM(J75)*3059+SUM(J77)*379+SUM(J78)*799+SUM(J79)*439+SUM(J80)*599+SUM(J81)*229+SUM(J82)*219+SUM(J83:J86)*1299+SUM(J88:J90)*679+SUM(J92:J93)*490+SUM(J94:J95)*450+SUM(J97)*1054</f>
        <v>4888</v>
      </c>
      <c r="K102" s="275">
        <f>3800*2</f>
        <v>7600</v>
      </c>
      <c r="L102" s="282">
        <v>3099.0</v>
      </c>
      <c r="M102" s="276"/>
      <c r="N102" s="277">
        <f>sum(I102:L102)</f>
        <v>23364</v>
      </c>
      <c r="O102" s="281"/>
      <c r="P102" s="275">
        <f>SUM(P8:P14)*329+SUM(P15)*219+SUM(P19:P21)*239+SUM(P22:P24)*219+SUM(P27)*799+SUM(P28)*609+SUM(P29:P30)*329+SUM(P31:P32)*219+SUM(P33)*439+SUM(P34)*899+SUM(P35:P37)*549+SUM(P38:P39)*799+SUM(P40:P41)*439+SUM(P42)*60+SUM(P43)*609+SUM(P44:P45)*379+SUM(P46:P47)*1299+SUM(P50:P51)*609+SUM(P52)*329+SUM(P55)*599+SUM(P58:P60)*329+SUM(P61)*249+SUM(P62:P64)*439+SUM(P65:P67)*799+SUM(P68:P70)*1299+SUM(P71)*609+SUM(P72:P74)*1599+SUM(P75)*3059+SUM(P77)*379+SUM(P78)*799+SUM(P79)*439+SUM(P80)*599+SUM(P81)*229+SUM(P82)*219+SUM(P83:P86)*1299+SUM(P88:P90)*679+SUM(P92:P93)*490+SUM(P94:P95)*450+SUM(P97)*1054</f>
        <v>3207</v>
      </c>
      <c r="Q102" s="275">
        <f>2830*9</f>
        <v>25470</v>
      </c>
      <c r="R102" s="275">
        <f t="shared" ref="R102:S102" si="7">SUM(R8:R14)*329+SUM(R15)*219+SUM(R19:R21)*239+SUM(R22:R24)*219+SUM(R27)*799+SUM(R28)*609+SUM(R29:R30)*329+SUM(R31:R32)*219+SUM(R33)*439+SUM(R34)*899+SUM(R35:R37)*549+SUM(R38:R39)*799+SUM(R40:R41)*439+SUM(R42)*60+SUM(R43)*609+SUM(R44:R45)*379+SUM(R46:R47)*1299+SUM(R50:R51)*609+SUM(R52)*329+SUM(R55)*599+SUM(R58:R60)*329+SUM(R61)*249+SUM(R62:R64)*439+SUM(R65:R67)*799+SUM(R68:R70)*1299+SUM(R71)*609+SUM(R72:R74)*1599+SUM(R75)*3059+SUM(R77)*379+SUM(R78)*799+SUM(R79)*439+SUM(R80)*599+SUM(R81)*229+SUM(R82)*219+SUM(R83:R86)*1299+SUM(R88:R90)*679+SUM(R92:R93)*490+SUM(R94:R95)*450+SUM(R97)*1054</f>
        <v>658</v>
      </c>
      <c r="S102" s="275">
        <f t="shared" si="7"/>
        <v>329</v>
      </c>
      <c r="T102" s="275">
        <f>1499+459*3+180</f>
        <v>3056</v>
      </c>
      <c r="U102" s="276"/>
      <c r="V102" s="277">
        <f>sum(P102:T102)</f>
        <v>32720</v>
      </c>
      <c r="W102" s="277"/>
      <c r="X102" s="278">
        <f>329*3</f>
        <v>987</v>
      </c>
      <c r="Y102" s="278">
        <f>12*1320</f>
        <v>15840</v>
      </c>
      <c r="Z102" s="278">
        <f>1499+3059</f>
        <v>4558</v>
      </c>
      <c r="AA102" s="278">
        <f>1299*4</f>
        <v>5196</v>
      </c>
      <c r="AB102" s="278">
        <f>379+329</f>
        <v>708</v>
      </c>
      <c r="AC102" s="392">
        <v>4350.0</v>
      </c>
      <c r="AD102" s="278">
        <f>329*10</f>
        <v>3290</v>
      </c>
      <c r="AE102" s="279"/>
      <c r="AF102" s="277">
        <f>sum(X102:AD102)</f>
        <v>34929</v>
      </c>
      <c r="AG102" s="277"/>
      <c r="AH102" s="275">
        <f>3800*2</f>
        <v>7600</v>
      </c>
      <c r="AI102" s="278">
        <f>329*4+609*2+379*2+219*2+229*2</f>
        <v>4188</v>
      </c>
      <c r="AJ102" s="278">
        <f>229*3</f>
        <v>687</v>
      </c>
      <c r="AK102" s="392">
        <v>15800.0</v>
      </c>
      <c r="AL102" s="392">
        <v>658.0</v>
      </c>
      <c r="AM102" s="278"/>
      <c r="AN102" s="278"/>
      <c r="AO102" s="279"/>
      <c r="AP102" s="277">
        <f>sum(AH102:AK102)</f>
        <v>28275</v>
      </c>
    </row>
    <row r="103">
      <c r="A103" s="390"/>
      <c r="B103" s="390"/>
      <c r="C103" s="281"/>
      <c r="D103" s="281"/>
      <c r="E103" s="281"/>
      <c r="F103" s="281"/>
      <c r="G103" s="281"/>
      <c r="H103" s="281"/>
      <c r="M103" s="281"/>
      <c r="N103" s="368">
        <v>22564.0</v>
      </c>
      <c r="O103" s="281"/>
      <c r="U103" s="281"/>
      <c r="V103" s="368">
        <v>52649.0</v>
      </c>
      <c r="W103" s="281"/>
      <c r="X103" s="285"/>
      <c r="Y103" s="283"/>
      <c r="Z103" s="283"/>
      <c r="AA103" s="283"/>
      <c r="AB103" s="283"/>
      <c r="AC103" s="283"/>
      <c r="AD103" s="283"/>
      <c r="AE103" s="283"/>
      <c r="AF103" s="283"/>
      <c r="AG103" s="281"/>
      <c r="AH103" s="285"/>
      <c r="AI103" s="283"/>
      <c r="AJ103" s="283"/>
      <c r="AK103" s="283"/>
      <c r="AL103" s="283"/>
      <c r="AM103" s="283"/>
      <c r="AN103" s="283"/>
      <c r="AO103" s="283"/>
      <c r="AP103" s="283"/>
    </row>
    <row r="104">
      <c r="A104" s="284" t="s">
        <v>270</v>
      </c>
      <c r="C104" s="281"/>
      <c r="D104" s="281"/>
      <c r="E104" s="281"/>
      <c r="F104" s="281"/>
      <c r="G104" s="281"/>
      <c r="H104" s="281"/>
      <c r="M104" s="281"/>
      <c r="N104" s="281">
        <f>N102-N103</f>
        <v>800</v>
      </c>
      <c r="O104" s="281"/>
      <c r="U104" s="281"/>
      <c r="V104" s="281"/>
      <c r="W104" s="281"/>
      <c r="X104" s="285"/>
      <c r="Y104" s="283"/>
      <c r="Z104" s="283"/>
      <c r="AA104" s="283"/>
      <c r="AB104" s="283"/>
      <c r="AC104" s="283"/>
      <c r="AD104" s="283"/>
      <c r="AE104" s="283"/>
      <c r="AF104" s="283"/>
      <c r="AG104" s="281"/>
      <c r="AH104" s="285"/>
      <c r="AI104" s="283"/>
      <c r="AJ104" s="283"/>
      <c r="AK104" s="283"/>
      <c r="AL104" s="283"/>
      <c r="AM104" s="283"/>
      <c r="AN104" s="283"/>
      <c r="AO104" s="283"/>
      <c r="AP104" s="283"/>
    </row>
    <row r="105">
      <c r="A105" s="393"/>
      <c r="B105" s="284" t="s">
        <v>271</v>
      </c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5"/>
      <c r="Y105" s="283"/>
      <c r="Z105" s="283"/>
      <c r="AA105" s="283"/>
      <c r="AB105" s="283"/>
      <c r="AC105" s="283"/>
      <c r="AD105" s="283"/>
      <c r="AE105" s="283"/>
      <c r="AF105" s="283"/>
      <c r="AG105" s="281"/>
      <c r="AH105" s="285"/>
      <c r="AI105" s="283"/>
      <c r="AJ105" s="283"/>
      <c r="AK105" s="283"/>
      <c r="AL105" s="283"/>
      <c r="AM105" s="283"/>
      <c r="AN105" s="283"/>
      <c r="AO105" s="283"/>
      <c r="AP105" s="283"/>
    </row>
    <row r="106">
      <c r="A106" s="286" t="s">
        <v>272</v>
      </c>
      <c r="C106" s="281"/>
      <c r="D106" s="368">
        <v>151.0</v>
      </c>
      <c r="E106" s="368">
        <v>1743.2</v>
      </c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5"/>
      <c r="Y106" s="283"/>
      <c r="Z106" s="283"/>
      <c r="AA106" s="283"/>
      <c r="AB106" s="283"/>
      <c r="AC106" s="283"/>
      <c r="AD106" s="283"/>
      <c r="AE106" s="283"/>
      <c r="AF106" s="283"/>
      <c r="AG106" s="281"/>
      <c r="AH106" s="285"/>
      <c r="AI106" s="283"/>
      <c r="AJ106" s="283"/>
      <c r="AK106" s="283"/>
      <c r="AL106" s="283"/>
      <c r="AM106" s="283"/>
      <c r="AN106" s="283"/>
      <c r="AO106" s="283"/>
      <c r="AP106" s="283"/>
    </row>
    <row r="107">
      <c r="A107" s="286" t="s">
        <v>273</v>
      </c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5"/>
      <c r="Y107" s="283"/>
      <c r="Z107" s="283"/>
      <c r="AA107" s="283"/>
      <c r="AB107" s="283"/>
      <c r="AC107" s="283"/>
      <c r="AD107" s="283"/>
      <c r="AE107" s="283"/>
      <c r="AF107" s="283"/>
      <c r="AG107" s="281"/>
      <c r="AH107" s="285"/>
      <c r="AI107" s="283"/>
      <c r="AJ107" s="283"/>
      <c r="AK107" s="283"/>
      <c r="AL107" s="283"/>
      <c r="AM107" s="283"/>
      <c r="AN107" s="283"/>
      <c r="AO107" s="283"/>
      <c r="AP107" s="283"/>
    </row>
    <row r="108">
      <c r="A108" s="394" t="s">
        <v>274</v>
      </c>
      <c r="B108" s="288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1"/>
      <c r="X108" s="395"/>
      <c r="Y108" s="290"/>
      <c r="Z108" s="290"/>
      <c r="AA108" s="290"/>
      <c r="AB108" s="290"/>
      <c r="AC108" s="290"/>
      <c r="AD108" s="290"/>
      <c r="AE108" s="290"/>
      <c r="AF108" s="290"/>
      <c r="AG108" s="281"/>
      <c r="AH108" s="395"/>
      <c r="AI108" s="290"/>
      <c r="AJ108" s="290"/>
      <c r="AK108" s="290"/>
      <c r="AL108" s="290"/>
      <c r="AM108" s="290"/>
      <c r="AN108" s="290"/>
      <c r="AO108" s="290"/>
      <c r="AP108" s="290"/>
    </row>
    <row r="109">
      <c r="A109" s="291" t="s">
        <v>275</v>
      </c>
      <c r="X109" s="129"/>
      <c r="Y109" s="72"/>
      <c r="Z109" s="72"/>
      <c r="AA109" s="72"/>
      <c r="AB109" s="72"/>
      <c r="AC109" s="72"/>
      <c r="AD109" s="72"/>
      <c r="AE109" s="72"/>
      <c r="AF109" s="72"/>
      <c r="AH109" s="129"/>
      <c r="AI109" s="72"/>
      <c r="AJ109" s="72"/>
      <c r="AK109" s="72"/>
      <c r="AL109" s="72"/>
      <c r="AM109" s="72"/>
      <c r="AN109" s="72"/>
      <c r="AO109" s="72"/>
      <c r="AP109" s="72"/>
    </row>
    <row r="110">
      <c r="A110" s="72"/>
      <c r="B110" s="280"/>
      <c r="X110" s="129"/>
      <c r="Y110" s="72"/>
      <c r="Z110" s="72"/>
      <c r="AA110" s="72"/>
      <c r="AB110" s="72"/>
      <c r="AC110" s="72"/>
      <c r="AD110" s="72"/>
      <c r="AE110" s="72"/>
      <c r="AF110" s="72"/>
      <c r="AH110" s="129"/>
      <c r="AI110" s="72"/>
      <c r="AJ110" s="72"/>
      <c r="AK110" s="72"/>
      <c r="AL110" s="72"/>
      <c r="AM110" s="72"/>
      <c r="AN110" s="72"/>
      <c r="AO110" s="72"/>
      <c r="AP110" s="72"/>
    </row>
    <row r="111">
      <c r="A111" s="291">
        <f>G102</f>
        <v>8377</v>
      </c>
      <c r="B111" s="243" t="s">
        <v>136</v>
      </c>
      <c r="X111" s="129"/>
      <c r="Y111" s="72"/>
      <c r="Z111" s="72"/>
      <c r="AA111" s="72"/>
      <c r="AB111" s="72"/>
      <c r="AC111" s="72"/>
      <c r="AD111" s="72"/>
      <c r="AE111" s="72"/>
      <c r="AF111" s="72"/>
      <c r="AH111" s="129"/>
      <c r="AI111" s="72"/>
      <c r="AJ111" s="72"/>
      <c r="AK111" s="72"/>
      <c r="AL111" s="72"/>
      <c r="AM111" s="72"/>
      <c r="AN111" s="72"/>
      <c r="AO111" s="72"/>
      <c r="AP111" s="72"/>
    </row>
    <row r="112">
      <c r="A112" s="291">
        <f>N102</f>
        <v>23364</v>
      </c>
      <c r="B112" s="243" t="s">
        <v>276</v>
      </c>
      <c r="X112" s="129"/>
      <c r="Y112" s="72"/>
      <c r="Z112" s="72"/>
      <c r="AA112" s="72"/>
      <c r="AB112" s="72"/>
      <c r="AC112" s="72"/>
      <c r="AD112" s="72"/>
      <c r="AE112" s="72"/>
      <c r="AF112" s="72"/>
    </row>
    <row r="113">
      <c r="A113" s="291">
        <f>V102</f>
        <v>32720</v>
      </c>
      <c r="B113" s="243" t="s">
        <v>277</v>
      </c>
      <c r="X113" s="129"/>
      <c r="Y113" s="72"/>
      <c r="Z113" s="72"/>
      <c r="AA113" s="72"/>
      <c r="AB113" s="72"/>
      <c r="AC113" s="72"/>
      <c r="AD113" s="72"/>
      <c r="AE113" s="72"/>
      <c r="AF113" s="72"/>
    </row>
    <row r="114">
      <c r="A114" s="291">
        <f>AF102</f>
        <v>34929</v>
      </c>
      <c r="B114" s="243" t="s">
        <v>278</v>
      </c>
      <c r="X114" s="129"/>
      <c r="Y114" s="72"/>
      <c r="Z114" s="72"/>
      <c r="AA114" s="72"/>
      <c r="AB114" s="72"/>
      <c r="AC114" s="72"/>
      <c r="AD114" s="72"/>
      <c r="AE114" s="72"/>
      <c r="AF114" s="72"/>
    </row>
    <row r="115">
      <c r="A115" s="291">
        <f>AP102</f>
        <v>28275</v>
      </c>
      <c r="B115" s="243" t="s">
        <v>4</v>
      </c>
      <c r="X115" s="129"/>
      <c r="Y115" s="72"/>
      <c r="Z115" s="72"/>
      <c r="AA115" s="72"/>
      <c r="AB115" s="72"/>
      <c r="AC115" s="72"/>
      <c r="AD115" s="72"/>
      <c r="AE115" s="72"/>
      <c r="AF115" s="72"/>
    </row>
    <row r="116">
      <c r="A116" s="291" t="str">
        <f>IG102</f>
        <v/>
      </c>
      <c r="B116" s="243" t="s">
        <v>279</v>
      </c>
      <c r="X116" s="129"/>
      <c r="Y116" s="72"/>
      <c r="Z116" s="72"/>
      <c r="AA116" s="72"/>
      <c r="AB116" s="72"/>
      <c r="AC116" s="72"/>
      <c r="AD116" s="72"/>
      <c r="AE116" s="72"/>
      <c r="AF116" s="72"/>
    </row>
    <row r="117">
      <c r="A117" s="291" t="str">
        <f>JW102</f>
        <v/>
      </c>
      <c r="B117" s="243" t="s">
        <v>280</v>
      </c>
      <c r="X117" s="129"/>
      <c r="Y117" s="72"/>
      <c r="Z117" s="72"/>
      <c r="AA117" s="72"/>
      <c r="AB117" s="72"/>
      <c r="AC117" s="72"/>
      <c r="AD117" s="72"/>
      <c r="AE117" s="72"/>
      <c r="AF117" s="72"/>
    </row>
    <row r="118">
      <c r="A118" s="291" t="str">
        <f>LR102</f>
        <v/>
      </c>
      <c r="B118" s="243" t="s">
        <v>281</v>
      </c>
      <c r="X118" s="129"/>
      <c r="Y118" s="72"/>
      <c r="Z118" s="72"/>
      <c r="AA118" s="72"/>
      <c r="AB118" s="72"/>
      <c r="AC118" s="72"/>
      <c r="AD118" s="72"/>
      <c r="AE118" s="72"/>
      <c r="AF118" s="72"/>
    </row>
    <row r="119">
      <c r="A119" s="291" t="str">
        <f>NO102</f>
        <v/>
      </c>
      <c r="B119" s="243" t="s">
        <v>282</v>
      </c>
      <c r="X119" s="129"/>
      <c r="Y119" s="72"/>
      <c r="Z119" s="72"/>
      <c r="AA119" s="72"/>
      <c r="AB119" s="72"/>
      <c r="AC119" s="72"/>
      <c r="AD119" s="72"/>
      <c r="AE119" s="72"/>
      <c r="AF119" s="72"/>
    </row>
    <row r="120">
      <c r="A120" s="291" t="str">
        <f>OZ102</f>
        <v/>
      </c>
      <c r="B120" s="243" t="s">
        <v>283</v>
      </c>
      <c r="X120" s="129"/>
      <c r="Y120" s="72"/>
      <c r="Z120" s="72"/>
      <c r="AA120" s="72"/>
      <c r="AB120" s="72"/>
      <c r="AC120" s="72"/>
      <c r="AD120" s="72"/>
      <c r="AE120" s="72"/>
      <c r="AF120" s="72"/>
    </row>
    <row r="121">
      <c r="A121" s="291" t="str">
        <f>QT102</f>
        <v/>
      </c>
      <c r="B121" s="243" t="s">
        <v>284</v>
      </c>
      <c r="X121" s="129"/>
      <c r="Y121" s="72"/>
      <c r="Z121" s="72"/>
      <c r="AA121" s="72"/>
      <c r="AB121" s="72"/>
      <c r="AC121" s="72"/>
      <c r="AD121" s="72"/>
      <c r="AE121" s="72"/>
      <c r="AF121" s="72"/>
    </row>
    <row r="122">
      <c r="A122" s="290" t="str">
        <f>ARS103</f>
        <v/>
      </c>
      <c r="B122" s="292" t="s">
        <v>285</v>
      </c>
      <c r="X122" s="129"/>
      <c r="Y122" s="72"/>
      <c r="Z122" s="72"/>
      <c r="AA122" s="72"/>
      <c r="AB122" s="72"/>
      <c r="AC122" s="72"/>
      <c r="AD122" s="72"/>
      <c r="AE122" s="72"/>
      <c r="AF122" s="72"/>
    </row>
    <row r="123">
      <c r="A123" s="291">
        <f>sum(A111:A119)</f>
        <v>127665</v>
      </c>
      <c r="B123" s="280"/>
      <c r="X123" s="129"/>
      <c r="Y123" s="72"/>
      <c r="Z123" s="72"/>
      <c r="AA123" s="72"/>
      <c r="AB123" s="72"/>
      <c r="AC123" s="72"/>
      <c r="AD123" s="72"/>
      <c r="AE123" s="72"/>
      <c r="AF123" s="72"/>
    </row>
    <row r="124">
      <c r="A124" s="72"/>
      <c r="B124" s="280"/>
      <c r="X124" s="129"/>
      <c r="Y124" s="72"/>
      <c r="Z124" s="72"/>
      <c r="AA124" s="72"/>
      <c r="AB124" s="72"/>
      <c r="AC124" s="72"/>
      <c r="AD124" s="72"/>
      <c r="AE124" s="72"/>
      <c r="AF124" s="72"/>
    </row>
    <row r="125">
      <c r="A125" s="72"/>
      <c r="B125" s="280"/>
      <c r="X125" s="129"/>
      <c r="Y125" s="72"/>
      <c r="Z125" s="72"/>
      <c r="AA125" s="72"/>
      <c r="AB125" s="72"/>
      <c r="AC125" s="72"/>
      <c r="AD125" s="72"/>
      <c r="AE125" s="72"/>
      <c r="AF125" s="72"/>
    </row>
    <row r="126">
      <c r="X126" s="129"/>
      <c r="Y126" s="72"/>
      <c r="Z126" s="72"/>
      <c r="AA126" s="72"/>
      <c r="AB126" s="72"/>
      <c r="AC126" s="72"/>
      <c r="AD126" s="72"/>
      <c r="AE126" s="72"/>
      <c r="AF126" s="72"/>
    </row>
    <row r="127">
      <c r="X127" s="129"/>
      <c r="Y127" s="72"/>
      <c r="Z127" s="72"/>
      <c r="AA127" s="72"/>
      <c r="AB127" s="72"/>
      <c r="AC127" s="72"/>
      <c r="AD127" s="72"/>
      <c r="AE127" s="72"/>
      <c r="AF127" s="72"/>
    </row>
    <row r="128">
      <c r="X128" s="129"/>
      <c r="Y128" s="72"/>
      <c r="Z128" s="72"/>
      <c r="AA128" s="72"/>
      <c r="AB128" s="72"/>
      <c r="AC128" s="72"/>
      <c r="AD128" s="72"/>
      <c r="AE128" s="72"/>
      <c r="AF128" s="72"/>
    </row>
    <row r="129">
      <c r="X129" s="129"/>
      <c r="Y129" s="72"/>
      <c r="Z129" s="72"/>
      <c r="AA129" s="72"/>
      <c r="AB129" s="72"/>
      <c r="AC129" s="72"/>
      <c r="AD129" s="72"/>
      <c r="AE129" s="72"/>
      <c r="AF129" s="72"/>
    </row>
    <row r="130">
      <c r="X130" s="129"/>
      <c r="Y130" s="72"/>
      <c r="Z130" s="72"/>
      <c r="AA130" s="72"/>
      <c r="AB130" s="72"/>
      <c r="AC130" s="72"/>
      <c r="AD130" s="72"/>
      <c r="AE130" s="72"/>
      <c r="AF130" s="72"/>
    </row>
    <row r="131">
      <c r="X131" s="129"/>
      <c r="Y131" s="72"/>
      <c r="Z131" s="72"/>
      <c r="AA131" s="72"/>
      <c r="AB131" s="72"/>
      <c r="AC131" s="72"/>
      <c r="AD131" s="72"/>
      <c r="AE131" s="72"/>
      <c r="AF131" s="72"/>
    </row>
    <row r="132">
      <c r="X132" s="129"/>
      <c r="Y132" s="72"/>
      <c r="Z132" s="72"/>
      <c r="AA132" s="72"/>
      <c r="AB132" s="72"/>
      <c r="AC132" s="72"/>
      <c r="AD132" s="72"/>
      <c r="AE132" s="72"/>
      <c r="AF132" s="72"/>
    </row>
    <row r="133">
      <c r="X133" s="129"/>
      <c r="Y133" s="72"/>
      <c r="Z133" s="72"/>
      <c r="AA133" s="72"/>
      <c r="AB133" s="72"/>
      <c r="AC133" s="72"/>
      <c r="AD133" s="72"/>
      <c r="AE133" s="72"/>
      <c r="AF133" s="72"/>
    </row>
    <row r="134">
      <c r="X134" s="129"/>
      <c r="Y134" s="72"/>
      <c r="Z134" s="72"/>
      <c r="AA134" s="72"/>
      <c r="AB134" s="72"/>
      <c r="AC134" s="72"/>
      <c r="AD134" s="72"/>
      <c r="AE134" s="72"/>
      <c r="AF134" s="72"/>
    </row>
    <row r="135">
      <c r="X135" s="129"/>
      <c r="Y135" s="72"/>
      <c r="Z135" s="72"/>
      <c r="AA135" s="72"/>
      <c r="AB135" s="72"/>
      <c r="AC135" s="72"/>
      <c r="AD135" s="72"/>
      <c r="AE135" s="72"/>
      <c r="AF135" s="72"/>
    </row>
    <row r="136">
      <c r="X136" s="129"/>
      <c r="Y136" s="72"/>
      <c r="Z136" s="72"/>
      <c r="AA136" s="72"/>
      <c r="AB136" s="72"/>
      <c r="AC136" s="72"/>
      <c r="AD136" s="72"/>
      <c r="AE136" s="72"/>
      <c r="AF136" s="72"/>
    </row>
    <row r="137">
      <c r="X137" s="129"/>
      <c r="Y137" s="72"/>
      <c r="Z137" s="72"/>
      <c r="AA137" s="72"/>
      <c r="AB137" s="72"/>
      <c r="AC137" s="72"/>
      <c r="AD137" s="72"/>
      <c r="AE137" s="72"/>
      <c r="AF137" s="72"/>
    </row>
    <row r="138">
      <c r="X138" s="129"/>
      <c r="Y138" s="72"/>
      <c r="Z138" s="72"/>
      <c r="AA138" s="72"/>
      <c r="AB138" s="72"/>
      <c r="AC138" s="72"/>
      <c r="AD138" s="72"/>
      <c r="AE138" s="72"/>
      <c r="AF138" s="72"/>
    </row>
    <row r="139">
      <c r="X139" s="129"/>
      <c r="Y139" s="72"/>
      <c r="Z139" s="72"/>
      <c r="AA139" s="72"/>
      <c r="AB139" s="72"/>
      <c r="AC139" s="72"/>
      <c r="AD139" s="72"/>
      <c r="AE139" s="72"/>
      <c r="AF139" s="72"/>
    </row>
    <row r="140">
      <c r="X140" s="129"/>
      <c r="Y140" s="72"/>
      <c r="Z140" s="72"/>
      <c r="AA140" s="72"/>
      <c r="AB140" s="72"/>
      <c r="AC140" s="72"/>
      <c r="AD140" s="72"/>
      <c r="AE140" s="72"/>
      <c r="AF140" s="72"/>
    </row>
    <row r="141">
      <c r="X141" s="129"/>
      <c r="Y141" s="72"/>
      <c r="Z141" s="72"/>
      <c r="AA141" s="72"/>
      <c r="AB141" s="72"/>
      <c r="AC141" s="72"/>
      <c r="AD141" s="72"/>
      <c r="AE141" s="72"/>
      <c r="AF141" s="72"/>
    </row>
    <row r="142">
      <c r="X142" s="129"/>
      <c r="Y142" s="72"/>
      <c r="Z142" s="72"/>
      <c r="AA142" s="72"/>
      <c r="AB142" s="72"/>
      <c r="AC142" s="72"/>
      <c r="AD142" s="72"/>
      <c r="AE142" s="72"/>
      <c r="AF142" s="72"/>
    </row>
    <row r="143">
      <c r="X143" s="129"/>
      <c r="Y143" s="72"/>
      <c r="Z143" s="72"/>
      <c r="AA143" s="72"/>
      <c r="AB143" s="72"/>
      <c r="AC143" s="72"/>
      <c r="AD143" s="72"/>
      <c r="AE143" s="72"/>
      <c r="AF143" s="72"/>
    </row>
    <row r="144">
      <c r="X144" s="129"/>
      <c r="Y144" s="72"/>
      <c r="Z144" s="72"/>
      <c r="AA144" s="72"/>
      <c r="AB144" s="72"/>
      <c r="AC144" s="72"/>
      <c r="AD144" s="72"/>
      <c r="AE144" s="72"/>
      <c r="AF144" s="72"/>
    </row>
    <row r="145">
      <c r="X145" s="129"/>
      <c r="Y145" s="72"/>
      <c r="Z145" s="72"/>
      <c r="AA145" s="72"/>
      <c r="AB145" s="72"/>
      <c r="AC145" s="72"/>
      <c r="AD145" s="72"/>
      <c r="AE145" s="72"/>
      <c r="AF145" s="72"/>
    </row>
    <row r="146">
      <c r="X146" s="129"/>
      <c r="Y146" s="72"/>
      <c r="Z146" s="72"/>
      <c r="AA146" s="72"/>
      <c r="AB146" s="72"/>
      <c r="AC146" s="72"/>
      <c r="AD146" s="72"/>
      <c r="AE146" s="72"/>
      <c r="AF146" s="72"/>
    </row>
    <row r="147">
      <c r="X147" s="129"/>
      <c r="Y147" s="72"/>
      <c r="Z147" s="72"/>
      <c r="AA147" s="72"/>
      <c r="AB147" s="72"/>
      <c r="AC147" s="72"/>
      <c r="AD147" s="72"/>
      <c r="AE147" s="72"/>
      <c r="AF147" s="72"/>
    </row>
    <row r="148">
      <c r="X148" s="129"/>
      <c r="Y148" s="72"/>
      <c r="Z148" s="72"/>
      <c r="AA148" s="72"/>
      <c r="AB148" s="72"/>
      <c r="AC148" s="72"/>
      <c r="AD148" s="72"/>
      <c r="AE148" s="72"/>
      <c r="AF148" s="72"/>
    </row>
    <row r="149">
      <c r="X149" s="129"/>
      <c r="Y149" s="72"/>
      <c r="Z149" s="72"/>
      <c r="AA149" s="72"/>
      <c r="AB149" s="72"/>
      <c r="AC149" s="72"/>
      <c r="AD149" s="72"/>
      <c r="AE149" s="72"/>
      <c r="AF149" s="72"/>
    </row>
    <row r="150">
      <c r="X150" s="129"/>
      <c r="Y150" s="72"/>
      <c r="Z150" s="72"/>
      <c r="AA150" s="72"/>
      <c r="AB150" s="72"/>
      <c r="AC150" s="72"/>
      <c r="AD150" s="72"/>
      <c r="AE150" s="72"/>
      <c r="AF150" s="72"/>
    </row>
    <row r="151">
      <c r="X151" s="129"/>
      <c r="Y151" s="72"/>
      <c r="Z151" s="72"/>
      <c r="AA151" s="72"/>
      <c r="AB151" s="72"/>
      <c r="AC151" s="72"/>
      <c r="AD151" s="72"/>
      <c r="AE151" s="72"/>
      <c r="AF151" s="72"/>
    </row>
    <row r="152">
      <c r="X152" s="129"/>
      <c r="Y152" s="72"/>
      <c r="Z152" s="72"/>
      <c r="AA152" s="72"/>
      <c r="AB152" s="72"/>
      <c r="AC152" s="72"/>
      <c r="AD152" s="72"/>
      <c r="AE152" s="72"/>
      <c r="AF152" s="72"/>
    </row>
    <row r="153">
      <c r="X153" s="129"/>
      <c r="Y153" s="72"/>
      <c r="Z153" s="72"/>
      <c r="AA153" s="72"/>
      <c r="AB153" s="72"/>
      <c r="AC153" s="72"/>
      <c r="AD153" s="72"/>
      <c r="AE153" s="72"/>
      <c r="AF153" s="72"/>
    </row>
    <row r="154">
      <c r="X154" s="129"/>
      <c r="Y154" s="72"/>
      <c r="Z154" s="72"/>
      <c r="AA154" s="72"/>
      <c r="AB154" s="72"/>
      <c r="AC154" s="72"/>
      <c r="AD154" s="72"/>
      <c r="AE154" s="72"/>
      <c r="AF154" s="72"/>
    </row>
    <row r="155">
      <c r="X155" s="129"/>
      <c r="Y155" s="72"/>
      <c r="Z155" s="72"/>
      <c r="AA155" s="72"/>
      <c r="AB155" s="72"/>
      <c r="AC155" s="72"/>
      <c r="AD155" s="72"/>
      <c r="AE155" s="72"/>
      <c r="AF155" s="72"/>
    </row>
    <row r="156">
      <c r="X156" s="129"/>
      <c r="Y156" s="72"/>
      <c r="Z156" s="72"/>
      <c r="AA156" s="72"/>
      <c r="AB156" s="72"/>
      <c r="AC156" s="72"/>
      <c r="AD156" s="72"/>
      <c r="AE156" s="72"/>
      <c r="AF156" s="72"/>
    </row>
    <row r="157">
      <c r="X157" s="129"/>
      <c r="Y157" s="72"/>
      <c r="Z157" s="72"/>
      <c r="AA157" s="72"/>
      <c r="AB157" s="72"/>
      <c r="AC157" s="72"/>
      <c r="AD157" s="72"/>
      <c r="AE157" s="72"/>
      <c r="AF157" s="72"/>
    </row>
    <row r="158">
      <c r="X158" s="129"/>
      <c r="Y158" s="72"/>
      <c r="Z158" s="72"/>
      <c r="AA158" s="72"/>
      <c r="AB158" s="72"/>
      <c r="AC158" s="72"/>
      <c r="AD158" s="72"/>
      <c r="AE158" s="72"/>
      <c r="AF158" s="72"/>
    </row>
    <row r="159">
      <c r="X159" s="129"/>
      <c r="Y159" s="72"/>
      <c r="Z159" s="72"/>
      <c r="AA159" s="72"/>
      <c r="AB159" s="72"/>
      <c r="AC159" s="72"/>
      <c r="AD159" s="72"/>
      <c r="AE159" s="72"/>
      <c r="AF159" s="72"/>
    </row>
    <row r="160">
      <c r="X160" s="129"/>
      <c r="Y160" s="72"/>
      <c r="Z160" s="72"/>
      <c r="AA160" s="72"/>
      <c r="AB160" s="72"/>
      <c r="AC160" s="72"/>
      <c r="AD160" s="72"/>
      <c r="AE160" s="72"/>
      <c r="AF160" s="72"/>
    </row>
    <row r="161">
      <c r="X161" s="129"/>
      <c r="Y161" s="72"/>
      <c r="Z161" s="72"/>
      <c r="AA161" s="72"/>
      <c r="AB161" s="72"/>
      <c r="AC161" s="72"/>
      <c r="AD161" s="72"/>
      <c r="AE161" s="72"/>
      <c r="AF161" s="72"/>
    </row>
    <row r="162">
      <c r="X162" s="129"/>
      <c r="Y162" s="72"/>
      <c r="Z162" s="72"/>
      <c r="AA162" s="72"/>
      <c r="AB162" s="72"/>
      <c r="AC162" s="72"/>
      <c r="AD162" s="72"/>
      <c r="AE162" s="72"/>
      <c r="AF162" s="72"/>
    </row>
    <row r="163">
      <c r="X163" s="129"/>
      <c r="Y163" s="72"/>
      <c r="Z163" s="72"/>
      <c r="AA163" s="72"/>
      <c r="AB163" s="72"/>
      <c r="AC163" s="72"/>
      <c r="AD163" s="72"/>
      <c r="AE163" s="72"/>
      <c r="AF163" s="72"/>
    </row>
    <row r="164">
      <c r="X164" s="129"/>
      <c r="Y164" s="72"/>
      <c r="Z164" s="72"/>
      <c r="AA164" s="72"/>
      <c r="AB164" s="72"/>
      <c r="AC164" s="72"/>
      <c r="AD164" s="72"/>
      <c r="AE164" s="72"/>
      <c r="AF164" s="72"/>
    </row>
    <row r="165">
      <c r="X165" s="129"/>
      <c r="Y165" s="72"/>
      <c r="Z165" s="72"/>
      <c r="AA165" s="72"/>
      <c r="AB165" s="72"/>
      <c r="AC165" s="72"/>
      <c r="AD165" s="72"/>
      <c r="AE165" s="72"/>
      <c r="AF165" s="72"/>
    </row>
    <row r="166">
      <c r="X166" s="129"/>
      <c r="Y166" s="72"/>
      <c r="Z166" s="72"/>
      <c r="AA166" s="72"/>
      <c r="AB166" s="72"/>
      <c r="AC166" s="72"/>
      <c r="AD166" s="72"/>
      <c r="AE166" s="72"/>
      <c r="AF166" s="72"/>
    </row>
    <row r="167">
      <c r="X167" s="129"/>
      <c r="Y167" s="72"/>
      <c r="Z167" s="72"/>
      <c r="AA167" s="72"/>
      <c r="AB167" s="72"/>
      <c r="AC167" s="72"/>
      <c r="AD167" s="72"/>
      <c r="AE167" s="72"/>
      <c r="AF167" s="72"/>
    </row>
    <row r="168">
      <c r="X168" s="129"/>
      <c r="Y168" s="72"/>
      <c r="Z168" s="72"/>
      <c r="AA168" s="72"/>
      <c r="AB168" s="72"/>
      <c r="AC168" s="72"/>
      <c r="AD168" s="72"/>
      <c r="AE168" s="72"/>
      <c r="AF168" s="72"/>
    </row>
    <row r="169">
      <c r="X169" s="129"/>
      <c r="Y169" s="72"/>
      <c r="Z169" s="72"/>
      <c r="AA169" s="72"/>
      <c r="AB169" s="72"/>
      <c r="AC169" s="72"/>
      <c r="AD169" s="72"/>
      <c r="AE169" s="72"/>
      <c r="AF169" s="72"/>
    </row>
    <row r="170">
      <c r="X170" s="129"/>
      <c r="Y170" s="72"/>
      <c r="Z170" s="72"/>
      <c r="AA170" s="72"/>
      <c r="AB170" s="72"/>
      <c r="AC170" s="72"/>
      <c r="AD170" s="72"/>
      <c r="AE170" s="72"/>
      <c r="AF170" s="72"/>
    </row>
    <row r="171">
      <c r="X171" s="129"/>
      <c r="Y171" s="72"/>
      <c r="Z171" s="72"/>
      <c r="AA171" s="72"/>
      <c r="AB171" s="72"/>
      <c r="AC171" s="72"/>
      <c r="AD171" s="72"/>
      <c r="AE171" s="72"/>
      <c r="AF171" s="72"/>
    </row>
    <row r="172">
      <c r="X172" s="129"/>
      <c r="Y172" s="72"/>
      <c r="Z172" s="72"/>
      <c r="AA172" s="72"/>
      <c r="AB172" s="72"/>
      <c r="AC172" s="72"/>
      <c r="AD172" s="72"/>
      <c r="AE172" s="72"/>
      <c r="AF172" s="72"/>
    </row>
    <row r="173">
      <c r="X173" s="129"/>
      <c r="Y173" s="72"/>
      <c r="Z173" s="72"/>
      <c r="AA173" s="72"/>
      <c r="AB173" s="72"/>
      <c r="AC173" s="72"/>
      <c r="AD173" s="72"/>
      <c r="AE173" s="72"/>
      <c r="AF173" s="72"/>
    </row>
    <row r="174">
      <c r="X174" s="129"/>
      <c r="Y174" s="72"/>
      <c r="Z174" s="72"/>
      <c r="AA174" s="72"/>
      <c r="AB174" s="72"/>
      <c r="AC174" s="72"/>
      <c r="AD174" s="72"/>
      <c r="AE174" s="72"/>
      <c r="AF174" s="72"/>
    </row>
    <row r="175">
      <c r="X175" s="129"/>
      <c r="Y175" s="72"/>
      <c r="Z175" s="72"/>
      <c r="AA175" s="72"/>
      <c r="AB175" s="72"/>
      <c r="AC175" s="72"/>
      <c r="AD175" s="72"/>
      <c r="AE175" s="72"/>
      <c r="AF175" s="72"/>
    </row>
    <row r="176">
      <c r="X176" s="129"/>
      <c r="Y176" s="72"/>
      <c r="Z176" s="72"/>
      <c r="AA176" s="72"/>
      <c r="AB176" s="72"/>
      <c r="AC176" s="72"/>
      <c r="AD176" s="72"/>
      <c r="AE176" s="72"/>
      <c r="AF176" s="72"/>
    </row>
    <row r="177">
      <c r="X177" s="129"/>
      <c r="Y177" s="72"/>
      <c r="Z177" s="72"/>
      <c r="AA177" s="72"/>
      <c r="AB177" s="72"/>
      <c r="AC177" s="72"/>
      <c r="AD177" s="72"/>
      <c r="AE177" s="72"/>
      <c r="AF177" s="72"/>
    </row>
    <row r="178">
      <c r="X178" s="129"/>
      <c r="Y178" s="72"/>
      <c r="Z178" s="72"/>
      <c r="AA178" s="72"/>
      <c r="AB178" s="72"/>
      <c r="AC178" s="72"/>
      <c r="AD178" s="72"/>
      <c r="AE178" s="72"/>
      <c r="AF178" s="72"/>
    </row>
    <row r="179">
      <c r="X179" s="129"/>
      <c r="Y179" s="72"/>
      <c r="Z179" s="72"/>
      <c r="AA179" s="72"/>
      <c r="AB179" s="72"/>
      <c r="AC179" s="72"/>
      <c r="AD179" s="72"/>
      <c r="AE179" s="72"/>
      <c r="AF179" s="72"/>
    </row>
    <row r="180">
      <c r="X180" s="129"/>
      <c r="Y180" s="72"/>
      <c r="Z180" s="72"/>
      <c r="AA180" s="72"/>
      <c r="AB180" s="72"/>
      <c r="AC180" s="72"/>
      <c r="AD180" s="72"/>
      <c r="AE180" s="72"/>
      <c r="AF180" s="72"/>
    </row>
    <row r="181">
      <c r="X181" s="129"/>
      <c r="Y181" s="72"/>
      <c r="Z181" s="72"/>
      <c r="AA181" s="72"/>
      <c r="AB181" s="72"/>
      <c r="AC181" s="72"/>
      <c r="AD181" s="72"/>
      <c r="AE181" s="72"/>
      <c r="AF181" s="72"/>
    </row>
    <row r="182">
      <c r="X182" s="129"/>
      <c r="Y182" s="72"/>
      <c r="Z182" s="72"/>
      <c r="AA182" s="72"/>
      <c r="AB182" s="72"/>
      <c r="AC182" s="72"/>
      <c r="AD182" s="72"/>
      <c r="AE182" s="72"/>
      <c r="AF182" s="72"/>
    </row>
    <row r="183">
      <c r="X183" s="129"/>
      <c r="Y183" s="72"/>
      <c r="Z183" s="72"/>
      <c r="AA183" s="72"/>
      <c r="AB183" s="72"/>
      <c r="AC183" s="72"/>
      <c r="AD183" s="72"/>
      <c r="AE183" s="72"/>
      <c r="AF183" s="72"/>
    </row>
    <row r="184">
      <c r="X184" s="129"/>
      <c r="Y184" s="72"/>
      <c r="Z184" s="72"/>
      <c r="AA184" s="72"/>
      <c r="AB184" s="72"/>
      <c r="AC184" s="72"/>
      <c r="AD184" s="72"/>
      <c r="AE184" s="72"/>
      <c r="AF184" s="72"/>
    </row>
    <row r="185">
      <c r="X185" s="129"/>
      <c r="Y185" s="72"/>
      <c r="Z185" s="72"/>
      <c r="AA185" s="72"/>
      <c r="AB185" s="72"/>
      <c r="AC185" s="72"/>
      <c r="AD185" s="72"/>
      <c r="AE185" s="72"/>
      <c r="AF185" s="72"/>
    </row>
    <row r="186">
      <c r="X186" s="129"/>
      <c r="Y186" s="72"/>
      <c r="Z186" s="72"/>
      <c r="AA186" s="72"/>
      <c r="AB186" s="72"/>
      <c r="AC186" s="72"/>
      <c r="AD186" s="72"/>
      <c r="AE186" s="72"/>
      <c r="AF186" s="72"/>
    </row>
    <row r="187">
      <c r="X187" s="129"/>
      <c r="Y187" s="72"/>
      <c r="Z187" s="72"/>
      <c r="AA187" s="72"/>
      <c r="AB187" s="72"/>
      <c r="AC187" s="72"/>
      <c r="AD187" s="72"/>
      <c r="AE187" s="72"/>
      <c r="AF187" s="72"/>
    </row>
    <row r="188">
      <c r="X188" s="129"/>
      <c r="Y188" s="72"/>
      <c r="Z188" s="72"/>
      <c r="AA188" s="72"/>
      <c r="AB188" s="72"/>
      <c r="AC188" s="72"/>
      <c r="AD188" s="72"/>
      <c r="AE188" s="72"/>
      <c r="AF188" s="72"/>
    </row>
    <row r="189">
      <c r="X189" s="129"/>
      <c r="Y189" s="72"/>
      <c r="Z189" s="72"/>
      <c r="AA189" s="72"/>
      <c r="AB189" s="72"/>
      <c r="AC189" s="72"/>
      <c r="AD189" s="72"/>
      <c r="AE189" s="72"/>
      <c r="AF189" s="72"/>
    </row>
    <row r="190">
      <c r="X190" s="129"/>
      <c r="Y190" s="72"/>
      <c r="Z190" s="72"/>
      <c r="AA190" s="72"/>
      <c r="AB190" s="72"/>
      <c r="AC190" s="72"/>
      <c r="AD190" s="72"/>
      <c r="AE190" s="72"/>
      <c r="AF190" s="72"/>
    </row>
    <row r="191">
      <c r="X191" s="129"/>
      <c r="Y191" s="72"/>
      <c r="Z191" s="72"/>
      <c r="AA191" s="72"/>
      <c r="AB191" s="72"/>
      <c r="AC191" s="72"/>
      <c r="AD191" s="72"/>
      <c r="AE191" s="72"/>
      <c r="AF191" s="72"/>
    </row>
    <row r="192">
      <c r="X192" s="129"/>
      <c r="Y192" s="72"/>
      <c r="Z192" s="72"/>
      <c r="AA192" s="72"/>
      <c r="AB192" s="72"/>
      <c r="AC192" s="72"/>
      <c r="AD192" s="72"/>
      <c r="AE192" s="72"/>
      <c r="AF192" s="72"/>
    </row>
    <row r="193">
      <c r="X193" s="129"/>
      <c r="Y193" s="72"/>
      <c r="Z193" s="72"/>
      <c r="AA193" s="72"/>
      <c r="AB193" s="72"/>
      <c r="AC193" s="72"/>
      <c r="AD193" s="72"/>
      <c r="AE193" s="72"/>
      <c r="AF193" s="72"/>
    </row>
    <row r="194">
      <c r="X194" s="129"/>
      <c r="Y194" s="72"/>
      <c r="Z194" s="72"/>
      <c r="AA194" s="72"/>
      <c r="AB194" s="72"/>
      <c r="AC194" s="72"/>
      <c r="AD194" s="72"/>
      <c r="AE194" s="72"/>
      <c r="AF194" s="72"/>
    </row>
    <row r="195">
      <c r="X195" s="129"/>
      <c r="Y195" s="72"/>
      <c r="Z195" s="72"/>
      <c r="AA195" s="72"/>
      <c r="AB195" s="72"/>
      <c r="AC195" s="72"/>
      <c r="AD195" s="72"/>
      <c r="AE195" s="72"/>
      <c r="AF195" s="72"/>
    </row>
    <row r="196">
      <c r="X196" s="129"/>
      <c r="Y196" s="72"/>
      <c r="Z196" s="72"/>
      <c r="AA196" s="72"/>
      <c r="AB196" s="72"/>
      <c r="AC196" s="72"/>
      <c r="AD196" s="72"/>
      <c r="AE196" s="72"/>
      <c r="AF196" s="72"/>
    </row>
    <row r="197">
      <c r="X197" s="129"/>
      <c r="Y197" s="72"/>
      <c r="Z197" s="72"/>
      <c r="AA197" s="72"/>
      <c r="AB197" s="72"/>
      <c r="AC197" s="72"/>
      <c r="AD197" s="72"/>
      <c r="AE197" s="72"/>
      <c r="AF197" s="72"/>
    </row>
    <row r="198">
      <c r="X198" s="129"/>
      <c r="Y198" s="72"/>
      <c r="Z198" s="72"/>
      <c r="AA198" s="72"/>
      <c r="AB198" s="72"/>
      <c r="AC198" s="72"/>
      <c r="AD198" s="72"/>
      <c r="AE198" s="72"/>
      <c r="AF198" s="72"/>
    </row>
    <row r="199">
      <c r="X199" s="129"/>
      <c r="Y199" s="72"/>
      <c r="Z199" s="72"/>
      <c r="AA199" s="72"/>
      <c r="AB199" s="72"/>
      <c r="AC199" s="72"/>
      <c r="AD199" s="72"/>
      <c r="AE199" s="72"/>
      <c r="AF199" s="72"/>
    </row>
    <row r="200">
      <c r="X200" s="129"/>
      <c r="Y200" s="72"/>
      <c r="Z200" s="72"/>
      <c r="AA200" s="72"/>
      <c r="AB200" s="72"/>
      <c r="AC200" s="72"/>
      <c r="AD200" s="72"/>
      <c r="AE200" s="72"/>
      <c r="AF200" s="72"/>
    </row>
    <row r="201">
      <c r="X201" s="129"/>
      <c r="Y201" s="72"/>
      <c r="Z201" s="72"/>
      <c r="AA201" s="72"/>
      <c r="AB201" s="72"/>
      <c r="AC201" s="72"/>
      <c r="AD201" s="72"/>
      <c r="AE201" s="72"/>
      <c r="AF201" s="72"/>
    </row>
    <row r="202">
      <c r="X202" s="129"/>
      <c r="Y202" s="72"/>
      <c r="Z202" s="72"/>
      <c r="AA202" s="72"/>
      <c r="AB202" s="72"/>
      <c r="AC202" s="72"/>
      <c r="AD202" s="72"/>
      <c r="AE202" s="72"/>
      <c r="AF202" s="72"/>
    </row>
    <row r="203">
      <c r="X203" s="129"/>
      <c r="Y203" s="72"/>
      <c r="Z203" s="72"/>
      <c r="AA203" s="72"/>
      <c r="AB203" s="72"/>
      <c r="AC203" s="72"/>
      <c r="AD203" s="72"/>
      <c r="AE203" s="72"/>
      <c r="AF203" s="72"/>
    </row>
    <row r="204">
      <c r="X204" s="129"/>
      <c r="Y204" s="72"/>
      <c r="Z204" s="72"/>
      <c r="AA204" s="72"/>
      <c r="AB204" s="72"/>
      <c r="AC204" s="72"/>
      <c r="AD204" s="72"/>
      <c r="AE204" s="72"/>
      <c r="AF204" s="72"/>
    </row>
    <row r="205">
      <c r="X205" s="129"/>
      <c r="Y205" s="72"/>
      <c r="Z205" s="72"/>
      <c r="AA205" s="72"/>
      <c r="AB205" s="72"/>
      <c r="AC205" s="72"/>
      <c r="AD205" s="72"/>
      <c r="AE205" s="72"/>
      <c r="AF205" s="72"/>
    </row>
    <row r="206">
      <c r="X206" s="129"/>
      <c r="Y206" s="72"/>
      <c r="Z206" s="72"/>
      <c r="AA206" s="72"/>
      <c r="AB206" s="72"/>
      <c r="AC206" s="72"/>
      <c r="AD206" s="72"/>
      <c r="AE206" s="72"/>
      <c r="AF206" s="72"/>
    </row>
    <row r="207">
      <c r="X207" s="129"/>
      <c r="Y207" s="72"/>
      <c r="Z207" s="72"/>
      <c r="AA207" s="72"/>
      <c r="AB207" s="72"/>
      <c r="AC207" s="72"/>
      <c r="AD207" s="72"/>
      <c r="AE207" s="72"/>
      <c r="AF207" s="72"/>
    </row>
    <row r="208">
      <c r="X208" s="129"/>
      <c r="Y208" s="72"/>
      <c r="Z208" s="72"/>
      <c r="AA208" s="72"/>
      <c r="AB208" s="72"/>
      <c r="AC208" s="72"/>
      <c r="AD208" s="72"/>
      <c r="AE208" s="72"/>
      <c r="AF208" s="72"/>
    </row>
    <row r="209">
      <c r="X209" s="129"/>
      <c r="Y209" s="72"/>
      <c r="Z209" s="72"/>
      <c r="AA209" s="72"/>
      <c r="AB209" s="72"/>
      <c r="AC209" s="72"/>
      <c r="AD209" s="72"/>
      <c r="AE209" s="72"/>
      <c r="AF209" s="72"/>
    </row>
    <row r="210">
      <c r="X210" s="129"/>
      <c r="Y210" s="72"/>
      <c r="Z210" s="72"/>
      <c r="AA210" s="72"/>
      <c r="AB210" s="72"/>
      <c r="AC210" s="72"/>
      <c r="AD210" s="72"/>
      <c r="AE210" s="72"/>
      <c r="AF210" s="72"/>
    </row>
    <row r="211">
      <c r="X211" s="129"/>
      <c r="Y211" s="72"/>
      <c r="Z211" s="72"/>
      <c r="AA211" s="72"/>
      <c r="AB211" s="72"/>
      <c r="AC211" s="72"/>
      <c r="AD211" s="72"/>
      <c r="AE211" s="72"/>
      <c r="AF211" s="72"/>
    </row>
    <row r="212">
      <c r="X212" s="129"/>
      <c r="Y212" s="72"/>
      <c r="Z212" s="72"/>
      <c r="AA212" s="72"/>
      <c r="AB212" s="72"/>
      <c r="AC212" s="72"/>
      <c r="AD212" s="72"/>
      <c r="AE212" s="72"/>
      <c r="AF212" s="72"/>
    </row>
    <row r="213">
      <c r="X213" s="129"/>
      <c r="Y213" s="72"/>
      <c r="Z213" s="72"/>
      <c r="AA213" s="72"/>
      <c r="AB213" s="72"/>
      <c r="AC213" s="72"/>
      <c r="AD213" s="72"/>
      <c r="AE213" s="72"/>
      <c r="AF213" s="72"/>
    </row>
    <row r="214">
      <c r="X214" s="129"/>
      <c r="Y214" s="72"/>
      <c r="Z214" s="72"/>
      <c r="AA214" s="72"/>
      <c r="AB214" s="72"/>
      <c r="AC214" s="72"/>
      <c r="AD214" s="72"/>
      <c r="AE214" s="72"/>
      <c r="AF214" s="72"/>
    </row>
    <row r="215">
      <c r="X215" s="129"/>
      <c r="Y215" s="72"/>
      <c r="Z215" s="72"/>
      <c r="AA215" s="72"/>
      <c r="AB215" s="72"/>
      <c r="AC215" s="72"/>
      <c r="AD215" s="72"/>
      <c r="AE215" s="72"/>
      <c r="AF215" s="72"/>
    </row>
    <row r="216">
      <c r="X216" s="129"/>
      <c r="Y216" s="72"/>
      <c r="Z216" s="72"/>
      <c r="AA216" s="72"/>
      <c r="AB216" s="72"/>
      <c r="AC216" s="72"/>
      <c r="AD216" s="72"/>
      <c r="AE216" s="72"/>
      <c r="AF216" s="72"/>
    </row>
    <row r="217">
      <c r="X217" s="129"/>
      <c r="Y217" s="72"/>
      <c r="Z217" s="72"/>
      <c r="AA217" s="72"/>
      <c r="AB217" s="72"/>
      <c r="AC217" s="72"/>
      <c r="AD217" s="72"/>
      <c r="AE217" s="72"/>
      <c r="AF217" s="72"/>
    </row>
    <row r="218">
      <c r="X218" s="129"/>
      <c r="Y218" s="72"/>
      <c r="Z218" s="72"/>
      <c r="AA218" s="72"/>
      <c r="AB218" s="72"/>
      <c r="AC218" s="72"/>
      <c r="AD218" s="72"/>
      <c r="AE218" s="72"/>
      <c r="AF218" s="72"/>
    </row>
    <row r="219">
      <c r="X219" s="129"/>
      <c r="Y219" s="72"/>
      <c r="Z219" s="72"/>
      <c r="AA219" s="72"/>
      <c r="AB219" s="72"/>
      <c r="AC219" s="72"/>
      <c r="AD219" s="72"/>
      <c r="AE219" s="72"/>
      <c r="AF219" s="72"/>
    </row>
    <row r="220">
      <c r="X220" s="129"/>
      <c r="Y220" s="72"/>
      <c r="Z220" s="72"/>
      <c r="AA220" s="72"/>
      <c r="AB220" s="72"/>
      <c r="AC220" s="72"/>
      <c r="AD220" s="72"/>
      <c r="AE220" s="72"/>
      <c r="AF220" s="72"/>
    </row>
    <row r="221">
      <c r="X221" s="129"/>
      <c r="Y221" s="72"/>
      <c r="Z221" s="72"/>
      <c r="AA221" s="72"/>
      <c r="AB221" s="72"/>
      <c r="AC221" s="72"/>
      <c r="AD221" s="72"/>
      <c r="AE221" s="72"/>
      <c r="AF221" s="72"/>
    </row>
    <row r="222">
      <c r="X222" s="129"/>
      <c r="Y222" s="72"/>
      <c r="Z222" s="72"/>
      <c r="AA222" s="72"/>
      <c r="AB222" s="72"/>
      <c r="AC222" s="72"/>
      <c r="AD222" s="72"/>
      <c r="AE222" s="72"/>
      <c r="AF222" s="72"/>
    </row>
    <row r="223">
      <c r="X223" s="129"/>
      <c r="Y223" s="72"/>
      <c r="Z223" s="72"/>
      <c r="AA223" s="72"/>
      <c r="AB223" s="72"/>
      <c r="AC223" s="72"/>
      <c r="AD223" s="72"/>
      <c r="AE223" s="72"/>
      <c r="AF223" s="72"/>
    </row>
    <row r="224">
      <c r="X224" s="129"/>
      <c r="Y224" s="72"/>
      <c r="Z224" s="72"/>
      <c r="AA224" s="72"/>
      <c r="AB224" s="72"/>
      <c r="AC224" s="72"/>
      <c r="AD224" s="72"/>
      <c r="AE224" s="72"/>
      <c r="AF224" s="72"/>
    </row>
    <row r="225">
      <c r="X225" s="129"/>
      <c r="Y225" s="72"/>
      <c r="Z225" s="72"/>
      <c r="AA225" s="72"/>
      <c r="AB225" s="72"/>
      <c r="AC225" s="72"/>
      <c r="AD225" s="72"/>
      <c r="AE225" s="72"/>
      <c r="AF225" s="72"/>
    </row>
    <row r="226">
      <c r="X226" s="129"/>
      <c r="Y226" s="72"/>
      <c r="Z226" s="72"/>
      <c r="AA226" s="72"/>
      <c r="AB226" s="72"/>
      <c r="AC226" s="72"/>
      <c r="AD226" s="72"/>
      <c r="AE226" s="72"/>
      <c r="AF226" s="72"/>
    </row>
    <row r="227">
      <c r="X227" s="129"/>
      <c r="Y227" s="72"/>
      <c r="Z227" s="72"/>
      <c r="AA227" s="72"/>
      <c r="AB227" s="72"/>
      <c r="AC227" s="72"/>
      <c r="AD227" s="72"/>
      <c r="AE227" s="72"/>
      <c r="AF227" s="72"/>
    </row>
    <row r="228">
      <c r="X228" s="129"/>
      <c r="Y228" s="72"/>
      <c r="Z228" s="72"/>
      <c r="AA228" s="72"/>
      <c r="AB228" s="72"/>
      <c r="AC228" s="72"/>
      <c r="AD228" s="72"/>
      <c r="AE228" s="72"/>
      <c r="AF228" s="72"/>
    </row>
    <row r="229">
      <c r="X229" s="129"/>
      <c r="Y229" s="72"/>
      <c r="Z229" s="72"/>
      <c r="AA229" s="72"/>
      <c r="AB229" s="72"/>
      <c r="AC229" s="72"/>
      <c r="AD229" s="72"/>
      <c r="AE229" s="72"/>
      <c r="AF229" s="72"/>
    </row>
    <row r="230">
      <c r="X230" s="129"/>
      <c r="Y230" s="72"/>
      <c r="Z230" s="72"/>
      <c r="AA230" s="72"/>
      <c r="AB230" s="72"/>
      <c r="AC230" s="72"/>
      <c r="AD230" s="72"/>
      <c r="AE230" s="72"/>
      <c r="AF230" s="72"/>
    </row>
    <row r="231">
      <c r="X231" s="129"/>
      <c r="Y231" s="72"/>
      <c r="Z231" s="72"/>
      <c r="AA231" s="72"/>
      <c r="AB231" s="72"/>
      <c r="AC231" s="72"/>
      <c r="AD231" s="72"/>
      <c r="AE231" s="72"/>
      <c r="AF231" s="72"/>
    </row>
    <row r="232">
      <c r="X232" s="129"/>
      <c r="Y232" s="72"/>
      <c r="Z232" s="72"/>
      <c r="AA232" s="72"/>
      <c r="AB232" s="72"/>
      <c r="AC232" s="72"/>
      <c r="AD232" s="72"/>
      <c r="AE232" s="72"/>
      <c r="AF232" s="72"/>
    </row>
    <row r="233">
      <c r="X233" s="129"/>
      <c r="Y233" s="72"/>
      <c r="Z233" s="72"/>
      <c r="AA233" s="72"/>
      <c r="AB233" s="72"/>
      <c r="AC233" s="72"/>
      <c r="AD233" s="72"/>
      <c r="AE233" s="72"/>
      <c r="AF233" s="72"/>
    </row>
    <row r="234">
      <c r="X234" s="129"/>
      <c r="Y234" s="72"/>
      <c r="Z234" s="72"/>
      <c r="AA234" s="72"/>
      <c r="AB234" s="72"/>
      <c r="AC234" s="72"/>
      <c r="AD234" s="72"/>
      <c r="AE234" s="72"/>
      <c r="AF234" s="72"/>
    </row>
    <row r="235">
      <c r="X235" s="129"/>
      <c r="Y235" s="72"/>
      <c r="Z235" s="72"/>
      <c r="AA235" s="72"/>
      <c r="AB235" s="72"/>
      <c r="AC235" s="72"/>
      <c r="AD235" s="72"/>
      <c r="AE235" s="72"/>
      <c r="AF235" s="72"/>
    </row>
    <row r="236">
      <c r="X236" s="129"/>
      <c r="Y236" s="72"/>
      <c r="Z236" s="72"/>
      <c r="AA236" s="72"/>
      <c r="AB236" s="72"/>
      <c r="AC236" s="72"/>
      <c r="AD236" s="72"/>
      <c r="AE236" s="72"/>
      <c r="AF236" s="72"/>
    </row>
    <row r="237">
      <c r="X237" s="129"/>
      <c r="Y237" s="72"/>
      <c r="Z237" s="72"/>
      <c r="AA237" s="72"/>
      <c r="AB237" s="72"/>
      <c r="AC237" s="72"/>
      <c r="AD237" s="72"/>
      <c r="AE237" s="72"/>
      <c r="AF237" s="72"/>
    </row>
    <row r="238">
      <c r="X238" s="129"/>
      <c r="Y238" s="72"/>
      <c r="Z238" s="72"/>
      <c r="AA238" s="72"/>
      <c r="AB238" s="72"/>
      <c r="AC238" s="72"/>
      <c r="AD238" s="72"/>
      <c r="AE238" s="72"/>
      <c r="AF238" s="72"/>
    </row>
    <row r="239">
      <c r="X239" s="129"/>
      <c r="Y239" s="72"/>
      <c r="Z239" s="72"/>
      <c r="AA239" s="72"/>
      <c r="AB239" s="72"/>
      <c r="AC239" s="72"/>
      <c r="AD239" s="72"/>
      <c r="AE239" s="72"/>
      <c r="AF239" s="72"/>
    </row>
    <row r="240">
      <c r="X240" s="129"/>
      <c r="Y240" s="72"/>
      <c r="Z240" s="72"/>
      <c r="AA240" s="72"/>
      <c r="AB240" s="72"/>
      <c r="AC240" s="72"/>
      <c r="AD240" s="72"/>
      <c r="AE240" s="72"/>
      <c r="AF240" s="72"/>
    </row>
    <row r="241">
      <c r="X241" s="129"/>
      <c r="Y241" s="72"/>
      <c r="Z241" s="72"/>
      <c r="AA241" s="72"/>
      <c r="AB241" s="72"/>
      <c r="AC241" s="72"/>
      <c r="AD241" s="72"/>
      <c r="AE241" s="72"/>
      <c r="AF241" s="72"/>
    </row>
    <row r="242">
      <c r="X242" s="129"/>
      <c r="Y242" s="72"/>
      <c r="Z242" s="72"/>
      <c r="AA242" s="72"/>
      <c r="AB242" s="72"/>
      <c r="AC242" s="72"/>
      <c r="AD242" s="72"/>
      <c r="AE242" s="72"/>
      <c r="AF242" s="72"/>
    </row>
    <row r="243">
      <c r="X243" s="129"/>
      <c r="Y243" s="72"/>
      <c r="Z243" s="72"/>
      <c r="AA243" s="72"/>
      <c r="AB243" s="72"/>
      <c r="AC243" s="72"/>
      <c r="AD243" s="72"/>
      <c r="AE243" s="72"/>
      <c r="AF243" s="72"/>
    </row>
    <row r="244">
      <c r="X244" s="129"/>
      <c r="Y244" s="72"/>
      <c r="Z244" s="72"/>
      <c r="AA244" s="72"/>
      <c r="AB244" s="72"/>
      <c r="AC244" s="72"/>
      <c r="AD244" s="72"/>
      <c r="AE244" s="72"/>
      <c r="AF244" s="72"/>
    </row>
    <row r="245">
      <c r="X245" s="129"/>
      <c r="Y245" s="72"/>
      <c r="Z245" s="72"/>
      <c r="AA245" s="72"/>
      <c r="AB245" s="72"/>
      <c r="AC245" s="72"/>
      <c r="AD245" s="72"/>
      <c r="AE245" s="72"/>
      <c r="AF245" s="72"/>
    </row>
    <row r="246">
      <c r="X246" s="129"/>
      <c r="Y246" s="72"/>
      <c r="Z246" s="72"/>
      <c r="AA246" s="72"/>
      <c r="AB246" s="72"/>
      <c r="AC246" s="72"/>
      <c r="AD246" s="72"/>
      <c r="AE246" s="72"/>
      <c r="AF246" s="72"/>
    </row>
    <row r="247">
      <c r="X247" s="129"/>
      <c r="Y247" s="72"/>
      <c r="Z247" s="72"/>
      <c r="AA247" s="72"/>
      <c r="AB247" s="72"/>
      <c r="AC247" s="72"/>
      <c r="AD247" s="72"/>
      <c r="AE247" s="72"/>
      <c r="AF247" s="72"/>
    </row>
    <row r="248">
      <c r="X248" s="129"/>
      <c r="Y248" s="72"/>
      <c r="Z248" s="72"/>
      <c r="AA248" s="72"/>
      <c r="AB248" s="72"/>
      <c r="AC248" s="72"/>
      <c r="AD248" s="72"/>
      <c r="AE248" s="72"/>
      <c r="AF248" s="72"/>
    </row>
    <row r="249">
      <c r="X249" s="129"/>
      <c r="Y249" s="72"/>
      <c r="Z249" s="72"/>
      <c r="AA249" s="72"/>
      <c r="AB249" s="72"/>
      <c r="AC249" s="72"/>
      <c r="AD249" s="72"/>
      <c r="AE249" s="72"/>
      <c r="AF249" s="72"/>
    </row>
    <row r="250">
      <c r="X250" s="129"/>
      <c r="Y250" s="72"/>
      <c r="Z250" s="72"/>
      <c r="AA250" s="72"/>
      <c r="AB250" s="72"/>
      <c r="AC250" s="72"/>
      <c r="AD250" s="72"/>
      <c r="AE250" s="72"/>
      <c r="AF250" s="72"/>
    </row>
    <row r="251">
      <c r="X251" s="129"/>
      <c r="Y251" s="72"/>
      <c r="Z251" s="72"/>
      <c r="AA251" s="72"/>
      <c r="AB251" s="72"/>
      <c r="AC251" s="72"/>
      <c r="AD251" s="72"/>
      <c r="AE251" s="72"/>
      <c r="AF251" s="72"/>
    </row>
    <row r="252">
      <c r="X252" s="129"/>
      <c r="Y252" s="72"/>
      <c r="Z252" s="72"/>
      <c r="AA252" s="72"/>
      <c r="AB252" s="72"/>
      <c r="AC252" s="72"/>
      <c r="AD252" s="72"/>
      <c r="AE252" s="72"/>
      <c r="AF252" s="72"/>
    </row>
    <row r="253">
      <c r="X253" s="129"/>
      <c r="Y253" s="72"/>
      <c r="Z253" s="72"/>
      <c r="AA253" s="72"/>
      <c r="AB253" s="72"/>
      <c r="AC253" s="72"/>
      <c r="AD253" s="72"/>
      <c r="AE253" s="72"/>
      <c r="AF253" s="72"/>
    </row>
    <row r="254">
      <c r="X254" s="129"/>
      <c r="Y254" s="72"/>
      <c r="Z254" s="72"/>
      <c r="AA254" s="72"/>
      <c r="AB254" s="72"/>
      <c r="AC254" s="72"/>
      <c r="AD254" s="72"/>
      <c r="AE254" s="72"/>
      <c r="AF254" s="72"/>
    </row>
    <row r="255">
      <c r="X255" s="129"/>
      <c r="Y255" s="72"/>
      <c r="Z255" s="72"/>
      <c r="AA255" s="72"/>
      <c r="AB255" s="72"/>
      <c r="AC255" s="72"/>
      <c r="AD255" s="72"/>
      <c r="AE255" s="72"/>
      <c r="AF255" s="72"/>
    </row>
    <row r="256">
      <c r="X256" s="129"/>
      <c r="Y256" s="72"/>
      <c r="Z256" s="72"/>
      <c r="AA256" s="72"/>
      <c r="AB256" s="72"/>
      <c r="AC256" s="72"/>
      <c r="AD256" s="72"/>
      <c r="AE256" s="72"/>
      <c r="AF256" s="72"/>
    </row>
    <row r="257">
      <c r="X257" s="129"/>
      <c r="Y257" s="72"/>
      <c r="Z257" s="72"/>
      <c r="AA257" s="72"/>
      <c r="AB257" s="72"/>
      <c r="AC257" s="72"/>
      <c r="AD257" s="72"/>
      <c r="AE257" s="72"/>
      <c r="AF257" s="72"/>
    </row>
    <row r="258">
      <c r="X258" s="129"/>
      <c r="Y258" s="72"/>
      <c r="Z258" s="72"/>
      <c r="AA258" s="72"/>
      <c r="AB258" s="72"/>
      <c r="AC258" s="72"/>
      <c r="AD258" s="72"/>
      <c r="AE258" s="72"/>
      <c r="AF258" s="72"/>
    </row>
    <row r="259">
      <c r="X259" s="129"/>
      <c r="Y259" s="72"/>
      <c r="Z259" s="72"/>
      <c r="AA259" s="72"/>
      <c r="AB259" s="72"/>
      <c r="AC259" s="72"/>
      <c r="AD259" s="72"/>
      <c r="AE259" s="72"/>
      <c r="AF259" s="72"/>
    </row>
    <row r="260">
      <c r="X260" s="129"/>
      <c r="Y260" s="72"/>
      <c r="Z260" s="72"/>
      <c r="AA260" s="72"/>
      <c r="AB260" s="72"/>
      <c r="AC260" s="72"/>
      <c r="AD260" s="72"/>
      <c r="AE260" s="72"/>
      <c r="AF260" s="72"/>
    </row>
    <row r="261">
      <c r="X261" s="129"/>
      <c r="Y261" s="72"/>
      <c r="Z261" s="72"/>
      <c r="AA261" s="72"/>
      <c r="AB261" s="72"/>
      <c r="AC261" s="72"/>
      <c r="AD261" s="72"/>
      <c r="AE261" s="72"/>
      <c r="AF261" s="72"/>
    </row>
    <row r="262">
      <c r="X262" s="129"/>
      <c r="Y262" s="72"/>
      <c r="Z262" s="72"/>
      <c r="AA262" s="72"/>
      <c r="AB262" s="72"/>
      <c r="AC262" s="72"/>
      <c r="AD262" s="72"/>
      <c r="AE262" s="72"/>
      <c r="AF262" s="72"/>
    </row>
    <row r="263">
      <c r="X263" s="129"/>
      <c r="Y263" s="72"/>
      <c r="Z263" s="72"/>
      <c r="AA263" s="72"/>
      <c r="AB263" s="72"/>
      <c r="AC263" s="72"/>
      <c r="AD263" s="72"/>
      <c r="AE263" s="72"/>
      <c r="AF263" s="72"/>
    </row>
    <row r="264">
      <c r="X264" s="129"/>
      <c r="Y264" s="72"/>
      <c r="Z264" s="72"/>
      <c r="AA264" s="72"/>
      <c r="AB264" s="72"/>
      <c r="AC264" s="72"/>
      <c r="AD264" s="72"/>
      <c r="AE264" s="72"/>
      <c r="AF264" s="72"/>
    </row>
    <row r="265">
      <c r="X265" s="129"/>
      <c r="Y265" s="72"/>
      <c r="Z265" s="72"/>
      <c r="AA265" s="72"/>
      <c r="AB265" s="72"/>
      <c r="AC265" s="72"/>
      <c r="AD265" s="72"/>
      <c r="AE265" s="72"/>
      <c r="AF265" s="72"/>
    </row>
    <row r="266">
      <c r="X266" s="129"/>
      <c r="Y266" s="72"/>
      <c r="Z266" s="72"/>
      <c r="AA266" s="72"/>
      <c r="AB266" s="72"/>
      <c r="AC266" s="72"/>
      <c r="AD266" s="72"/>
      <c r="AE266" s="72"/>
      <c r="AF266" s="72"/>
    </row>
    <row r="267">
      <c r="X267" s="129"/>
      <c r="Y267" s="72"/>
      <c r="Z267" s="72"/>
      <c r="AA267" s="72"/>
      <c r="AB267" s="72"/>
      <c r="AC267" s="72"/>
      <c r="AD267" s="72"/>
      <c r="AE267" s="72"/>
      <c r="AF267" s="72"/>
    </row>
    <row r="268">
      <c r="X268" s="129"/>
      <c r="Y268" s="72"/>
      <c r="Z268" s="72"/>
      <c r="AA268" s="72"/>
      <c r="AB268" s="72"/>
      <c r="AC268" s="72"/>
      <c r="AD268" s="72"/>
      <c r="AE268" s="72"/>
      <c r="AF268" s="72"/>
    </row>
    <row r="269">
      <c r="X269" s="129"/>
      <c r="Y269" s="72"/>
      <c r="Z269" s="72"/>
      <c r="AA269" s="72"/>
      <c r="AB269" s="72"/>
      <c r="AC269" s="72"/>
      <c r="AD269" s="72"/>
      <c r="AE269" s="72"/>
      <c r="AF269" s="72"/>
    </row>
    <row r="270">
      <c r="X270" s="129"/>
      <c r="Y270" s="72"/>
      <c r="Z270" s="72"/>
      <c r="AA270" s="72"/>
      <c r="AB270" s="72"/>
      <c r="AC270" s="72"/>
      <c r="AD270" s="72"/>
      <c r="AE270" s="72"/>
      <c r="AF270" s="72"/>
    </row>
    <row r="271">
      <c r="X271" s="129"/>
      <c r="Y271" s="72"/>
      <c r="Z271" s="72"/>
      <c r="AA271" s="72"/>
      <c r="AB271" s="72"/>
      <c r="AC271" s="72"/>
      <c r="AD271" s="72"/>
      <c r="AE271" s="72"/>
      <c r="AF271" s="72"/>
    </row>
    <row r="272">
      <c r="X272" s="129"/>
      <c r="Y272" s="72"/>
      <c r="Z272" s="72"/>
      <c r="AA272" s="72"/>
      <c r="AB272" s="72"/>
      <c r="AC272" s="72"/>
      <c r="AD272" s="72"/>
      <c r="AE272" s="72"/>
      <c r="AF272" s="72"/>
    </row>
    <row r="273">
      <c r="X273" s="129"/>
      <c r="Y273" s="72"/>
      <c r="Z273" s="72"/>
      <c r="AA273" s="72"/>
      <c r="AB273" s="72"/>
      <c r="AC273" s="72"/>
      <c r="AD273" s="72"/>
      <c r="AE273" s="72"/>
      <c r="AF273" s="72"/>
    </row>
    <row r="274">
      <c r="X274" s="129"/>
      <c r="Y274" s="72"/>
      <c r="Z274" s="72"/>
      <c r="AA274" s="72"/>
      <c r="AB274" s="72"/>
      <c r="AC274" s="72"/>
      <c r="AD274" s="72"/>
      <c r="AE274" s="72"/>
      <c r="AF274" s="72"/>
    </row>
    <row r="275">
      <c r="X275" s="129"/>
      <c r="Y275" s="72"/>
      <c r="Z275" s="72"/>
      <c r="AA275" s="72"/>
      <c r="AB275" s="72"/>
      <c r="AC275" s="72"/>
      <c r="AD275" s="72"/>
      <c r="AE275" s="72"/>
      <c r="AF275" s="72"/>
    </row>
    <row r="276">
      <c r="X276" s="129"/>
      <c r="Y276" s="72"/>
      <c r="Z276" s="72"/>
      <c r="AA276" s="72"/>
      <c r="AB276" s="72"/>
      <c r="AC276" s="72"/>
      <c r="AD276" s="72"/>
      <c r="AE276" s="72"/>
      <c r="AF276" s="72"/>
    </row>
    <row r="277">
      <c r="X277" s="129"/>
      <c r="Y277" s="72"/>
      <c r="Z277" s="72"/>
      <c r="AA277" s="72"/>
      <c r="AB277" s="72"/>
      <c r="AC277" s="72"/>
      <c r="AD277" s="72"/>
      <c r="AE277" s="72"/>
      <c r="AF277" s="72"/>
    </row>
    <row r="278">
      <c r="X278" s="129"/>
      <c r="Y278" s="72"/>
      <c r="Z278" s="72"/>
      <c r="AA278" s="72"/>
      <c r="AB278" s="72"/>
      <c r="AC278" s="72"/>
      <c r="AD278" s="72"/>
      <c r="AE278" s="72"/>
      <c r="AF278" s="72"/>
    </row>
    <row r="279">
      <c r="X279" s="129"/>
      <c r="Y279" s="72"/>
      <c r="Z279" s="72"/>
      <c r="AA279" s="72"/>
      <c r="AB279" s="72"/>
      <c r="AC279" s="72"/>
      <c r="AD279" s="72"/>
      <c r="AE279" s="72"/>
      <c r="AF279" s="72"/>
    </row>
    <row r="280">
      <c r="X280" s="129"/>
      <c r="Y280" s="72"/>
      <c r="Z280" s="72"/>
      <c r="AA280" s="72"/>
      <c r="AB280" s="72"/>
      <c r="AC280" s="72"/>
      <c r="AD280" s="72"/>
      <c r="AE280" s="72"/>
      <c r="AF280" s="72"/>
    </row>
    <row r="281">
      <c r="X281" s="129"/>
      <c r="Y281" s="72"/>
      <c r="Z281" s="72"/>
      <c r="AA281" s="72"/>
      <c r="AB281" s="72"/>
      <c r="AC281" s="72"/>
      <c r="AD281" s="72"/>
      <c r="AE281" s="72"/>
      <c r="AF281" s="72"/>
    </row>
    <row r="282">
      <c r="X282" s="129"/>
      <c r="Y282" s="72"/>
      <c r="Z282" s="72"/>
      <c r="AA282" s="72"/>
      <c r="AB282" s="72"/>
      <c r="AC282" s="72"/>
      <c r="AD282" s="72"/>
      <c r="AE282" s="72"/>
      <c r="AF282" s="72"/>
    </row>
    <row r="283">
      <c r="X283" s="129"/>
      <c r="Y283" s="72"/>
      <c r="Z283" s="72"/>
      <c r="AA283" s="72"/>
      <c r="AB283" s="72"/>
      <c r="AC283" s="72"/>
      <c r="AD283" s="72"/>
      <c r="AE283" s="72"/>
      <c r="AF283" s="72"/>
    </row>
    <row r="284">
      <c r="X284" s="129"/>
      <c r="Y284" s="72"/>
      <c r="Z284" s="72"/>
      <c r="AA284" s="72"/>
      <c r="AB284" s="72"/>
      <c r="AC284" s="72"/>
      <c r="AD284" s="72"/>
      <c r="AE284" s="72"/>
      <c r="AF284" s="72"/>
    </row>
    <row r="285">
      <c r="X285" s="129"/>
      <c r="Y285" s="72"/>
      <c r="Z285" s="72"/>
      <c r="AA285" s="72"/>
      <c r="AB285" s="72"/>
      <c r="AC285" s="72"/>
      <c r="AD285" s="72"/>
      <c r="AE285" s="72"/>
      <c r="AF285" s="72"/>
    </row>
    <row r="286">
      <c r="X286" s="129"/>
      <c r="Y286" s="72"/>
      <c r="Z286" s="72"/>
      <c r="AA286" s="72"/>
      <c r="AB286" s="72"/>
      <c r="AC286" s="72"/>
      <c r="AD286" s="72"/>
      <c r="AE286" s="72"/>
      <c r="AF286" s="72"/>
    </row>
    <row r="287">
      <c r="X287" s="129"/>
      <c r="Y287" s="72"/>
      <c r="Z287" s="72"/>
      <c r="AA287" s="72"/>
      <c r="AB287" s="72"/>
      <c r="AC287" s="72"/>
      <c r="AD287" s="72"/>
      <c r="AE287" s="72"/>
      <c r="AF287" s="72"/>
    </row>
    <row r="288">
      <c r="X288" s="129"/>
      <c r="Y288" s="72"/>
      <c r="Z288" s="72"/>
      <c r="AA288" s="72"/>
      <c r="AB288" s="72"/>
      <c r="AC288" s="72"/>
      <c r="AD288" s="72"/>
      <c r="AE288" s="72"/>
      <c r="AF288" s="72"/>
    </row>
    <row r="289">
      <c r="X289" s="129"/>
      <c r="Y289" s="72"/>
      <c r="Z289" s="72"/>
      <c r="AA289" s="72"/>
      <c r="AB289" s="72"/>
      <c r="AC289" s="72"/>
      <c r="AD289" s="72"/>
      <c r="AE289" s="72"/>
      <c r="AF289" s="72"/>
    </row>
    <row r="290">
      <c r="X290" s="129"/>
      <c r="Y290" s="72"/>
      <c r="Z290" s="72"/>
      <c r="AA290" s="72"/>
      <c r="AB290" s="72"/>
      <c r="AC290" s="72"/>
      <c r="AD290" s="72"/>
      <c r="AE290" s="72"/>
      <c r="AF290" s="72"/>
    </row>
    <row r="291">
      <c r="X291" s="129"/>
      <c r="Y291" s="72"/>
      <c r="Z291" s="72"/>
      <c r="AA291" s="72"/>
      <c r="AB291" s="72"/>
      <c r="AC291" s="72"/>
      <c r="AD291" s="72"/>
      <c r="AE291" s="72"/>
      <c r="AF291" s="72"/>
    </row>
    <row r="292">
      <c r="X292" s="129"/>
      <c r="Y292" s="72"/>
      <c r="Z292" s="72"/>
      <c r="AA292" s="72"/>
      <c r="AB292" s="72"/>
      <c r="AC292" s="72"/>
      <c r="AD292" s="72"/>
      <c r="AE292" s="72"/>
      <c r="AF292" s="72"/>
    </row>
    <row r="293">
      <c r="X293" s="129"/>
      <c r="Y293" s="72"/>
      <c r="Z293" s="72"/>
      <c r="AA293" s="72"/>
      <c r="AB293" s="72"/>
      <c r="AC293" s="72"/>
      <c r="AD293" s="72"/>
      <c r="AE293" s="72"/>
      <c r="AF293" s="72"/>
    </row>
    <row r="294">
      <c r="X294" s="129"/>
      <c r="Y294" s="72"/>
      <c r="Z294" s="72"/>
      <c r="AA294" s="72"/>
      <c r="AB294" s="72"/>
      <c r="AC294" s="72"/>
      <c r="AD294" s="72"/>
      <c r="AE294" s="72"/>
      <c r="AF294" s="72"/>
    </row>
    <row r="295">
      <c r="X295" s="129"/>
      <c r="Y295" s="72"/>
      <c r="Z295" s="72"/>
      <c r="AA295" s="72"/>
      <c r="AB295" s="72"/>
      <c r="AC295" s="72"/>
      <c r="AD295" s="72"/>
      <c r="AE295" s="72"/>
      <c r="AF295" s="72"/>
    </row>
    <row r="296">
      <c r="X296" s="129"/>
      <c r="Y296" s="72"/>
      <c r="Z296" s="72"/>
      <c r="AA296" s="72"/>
      <c r="AB296" s="72"/>
      <c r="AC296" s="72"/>
      <c r="AD296" s="72"/>
      <c r="AE296" s="72"/>
      <c r="AF296" s="72"/>
    </row>
    <row r="297">
      <c r="X297" s="129"/>
      <c r="Y297" s="72"/>
      <c r="Z297" s="72"/>
      <c r="AA297" s="72"/>
      <c r="AB297" s="72"/>
      <c r="AC297" s="72"/>
      <c r="AD297" s="72"/>
      <c r="AE297" s="72"/>
      <c r="AF297" s="72"/>
    </row>
    <row r="298">
      <c r="X298" s="129"/>
      <c r="Y298" s="72"/>
      <c r="Z298" s="72"/>
      <c r="AA298" s="72"/>
      <c r="AB298" s="72"/>
      <c r="AC298" s="72"/>
      <c r="AD298" s="72"/>
      <c r="AE298" s="72"/>
      <c r="AF298" s="72"/>
    </row>
    <row r="299">
      <c r="X299" s="129"/>
      <c r="Y299" s="72"/>
      <c r="Z299" s="72"/>
      <c r="AA299" s="72"/>
      <c r="AB299" s="72"/>
      <c r="AC299" s="72"/>
      <c r="AD299" s="72"/>
      <c r="AE299" s="72"/>
      <c r="AF299" s="72"/>
    </row>
    <row r="300">
      <c r="X300" s="129"/>
      <c r="Y300" s="72"/>
      <c r="Z300" s="72"/>
      <c r="AA300" s="72"/>
      <c r="AB300" s="72"/>
      <c r="AC300" s="72"/>
      <c r="AD300" s="72"/>
      <c r="AE300" s="72"/>
      <c r="AF300" s="72"/>
    </row>
    <row r="301">
      <c r="X301" s="129"/>
      <c r="Y301" s="72"/>
      <c r="Z301" s="72"/>
      <c r="AA301" s="72"/>
      <c r="AB301" s="72"/>
      <c r="AC301" s="72"/>
      <c r="AD301" s="72"/>
      <c r="AE301" s="72"/>
      <c r="AF301" s="72"/>
    </row>
    <row r="302">
      <c r="X302" s="129"/>
      <c r="Y302" s="72"/>
      <c r="Z302" s="72"/>
      <c r="AA302" s="72"/>
      <c r="AB302" s="72"/>
      <c r="AC302" s="72"/>
      <c r="AD302" s="72"/>
      <c r="AE302" s="72"/>
      <c r="AF302" s="72"/>
    </row>
    <row r="303">
      <c r="X303" s="129"/>
      <c r="Y303" s="72"/>
      <c r="Z303" s="72"/>
      <c r="AA303" s="72"/>
      <c r="AB303" s="72"/>
      <c r="AC303" s="72"/>
      <c r="AD303" s="72"/>
      <c r="AE303" s="72"/>
      <c r="AF303" s="72"/>
    </row>
    <row r="304">
      <c r="X304" s="129"/>
      <c r="Y304" s="72"/>
      <c r="Z304" s="72"/>
      <c r="AA304" s="72"/>
      <c r="AB304" s="72"/>
      <c r="AC304" s="72"/>
      <c r="AD304" s="72"/>
      <c r="AE304" s="72"/>
      <c r="AF304" s="72"/>
    </row>
    <row r="305">
      <c r="X305" s="129"/>
      <c r="Y305" s="72"/>
      <c r="Z305" s="72"/>
      <c r="AA305" s="72"/>
      <c r="AB305" s="72"/>
      <c r="AC305" s="72"/>
      <c r="AD305" s="72"/>
      <c r="AE305" s="72"/>
      <c r="AF305" s="72"/>
    </row>
    <row r="306">
      <c r="X306" s="129"/>
      <c r="Y306" s="72"/>
      <c r="Z306" s="72"/>
      <c r="AA306" s="72"/>
      <c r="AB306" s="72"/>
      <c r="AC306" s="72"/>
      <c r="AD306" s="72"/>
      <c r="AE306" s="72"/>
      <c r="AF306" s="72"/>
    </row>
    <row r="307">
      <c r="X307" s="129"/>
      <c r="Y307" s="72"/>
      <c r="Z307" s="72"/>
      <c r="AA307" s="72"/>
      <c r="AB307" s="72"/>
      <c r="AC307" s="72"/>
      <c r="AD307" s="72"/>
      <c r="AE307" s="72"/>
      <c r="AF307" s="72"/>
    </row>
    <row r="308">
      <c r="X308" s="129"/>
      <c r="Y308" s="72"/>
      <c r="Z308" s="72"/>
      <c r="AA308" s="72"/>
      <c r="AB308" s="72"/>
      <c r="AC308" s="72"/>
      <c r="AD308" s="72"/>
      <c r="AE308" s="72"/>
      <c r="AF308" s="72"/>
    </row>
    <row r="309">
      <c r="X309" s="129"/>
      <c r="Y309" s="72"/>
      <c r="Z309" s="72"/>
      <c r="AA309" s="72"/>
      <c r="AB309" s="72"/>
      <c r="AC309" s="72"/>
      <c r="AD309" s="72"/>
      <c r="AE309" s="72"/>
      <c r="AF309" s="72"/>
    </row>
    <row r="310">
      <c r="X310" s="129"/>
      <c r="Y310" s="72"/>
      <c r="Z310" s="72"/>
      <c r="AA310" s="72"/>
      <c r="AB310" s="72"/>
      <c r="AC310" s="72"/>
      <c r="AD310" s="72"/>
      <c r="AE310" s="72"/>
      <c r="AF310" s="72"/>
    </row>
    <row r="311">
      <c r="X311" s="129"/>
      <c r="Y311" s="72"/>
      <c r="Z311" s="72"/>
      <c r="AA311" s="72"/>
      <c r="AB311" s="72"/>
      <c r="AC311" s="72"/>
      <c r="AD311" s="72"/>
      <c r="AE311" s="72"/>
      <c r="AF311" s="72"/>
    </row>
    <row r="312">
      <c r="X312" s="129"/>
      <c r="Y312" s="72"/>
      <c r="Z312" s="72"/>
      <c r="AA312" s="72"/>
      <c r="AB312" s="72"/>
      <c r="AC312" s="72"/>
      <c r="AD312" s="72"/>
      <c r="AE312" s="72"/>
      <c r="AF312" s="72"/>
    </row>
    <row r="313">
      <c r="X313" s="129"/>
      <c r="Y313" s="72"/>
      <c r="Z313" s="72"/>
      <c r="AA313" s="72"/>
      <c r="AB313" s="72"/>
      <c r="AC313" s="72"/>
      <c r="AD313" s="72"/>
      <c r="AE313" s="72"/>
      <c r="AF313" s="72"/>
    </row>
    <row r="314">
      <c r="X314" s="129"/>
      <c r="Y314" s="72"/>
      <c r="Z314" s="72"/>
      <c r="AA314" s="72"/>
      <c r="AB314" s="72"/>
      <c r="AC314" s="72"/>
      <c r="AD314" s="72"/>
      <c r="AE314" s="72"/>
      <c r="AF314" s="72"/>
    </row>
    <row r="315">
      <c r="X315" s="129"/>
      <c r="Y315" s="72"/>
      <c r="Z315" s="72"/>
      <c r="AA315" s="72"/>
      <c r="AB315" s="72"/>
      <c r="AC315" s="72"/>
      <c r="AD315" s="72"/>
      <c r="AE315" s="72"/>
      <c r="AF315" s="72"/>
    </row>
    <row r="316">
      <c r="X316" s="129"/>
      <c r="Y316" s="72"/>
      <c r="Z316" s="72"/>
      <c r="AA316" s="72"/>
      <c r="AB316" s="72"/>
      <c r="AC316" s="72"/>
      <c r="AD316" s="72"/>
      <c r="AE316" s="72"/>
      <c r="AF316" s="72"/>
    </row>
    <row r="317">
      <c r="X317" s="129"/>
      <c r="Y317" s="72"/>
      <c r="Z317" s="72"/>
      <c r="AA317" s="72"/>
      <c r="AB317" s="72"/>
      <c r="AC317" s="72"/>
      <c r="AD317" s="72"/>
      <c r="AE317" s="72"/>
      <c r="AF317" s="72"/>
    </row>
    <row r="318">
      <c r="X318" s="129"/>
      <c r="Y318" s="72"/>
      <c r="Z318" s="72"/>
      <c r="AA318" s="72"/>
      <c r="AB318" s="72"/>
      <c r="AC318" s="72"/>
      <c r="AD318" s="72"/>
      <c r="AE318" s="72"/>
      <c r="AF318" s="72"/>
    </row>
    <row r="319">
      <c r="X319" s="129"/>
      <c r="Y319" s="72"/>
      <c r="Z319" s="72"/>
      <c r="AA319" s="72"/>
      <c r="AB319" s="72"/>
      <c r="AC319" s="72"/>
      <c r="AD319" s="72"/>
      <c r="AE319" s="72"/>
      <c r="AF319" s="72"/>
    </row>
    <row r="320">
      <c r="X320" s="129"/>
      <c r="Y320" s="72"/>
      <c r="Z320" s="72"/>
      <c r="AA320" s="72"/>
      <c r="AB320" s="72"/>
      <c r="AC320" s="72"/>
      <c r="AD320" s="72"/>
      <c r="AE320" s="72"/>
      <c r="AF320" s="72"/>
    </row>
    <row r="321">
      <c r="X321" s="129"/>
      <c r="Y321" s="72"/>
      <c r="Z321" s="72"/>
      <c r="AA321" s="72"/>
      <c r="AB321" s="72"/>
      <c r="AC321" s="72"/>
      <c r="AD321" s="72"/>
      <c r="AE321" s="72"/>
      <c r="AF321" s="72"/>
    </row>
    <row r="322">
      <c r="X322" s="129"/>
      <c r="Y322" s="72"/>
      <c r="Z322" s="72"/>
      <c r="AA322" s="72"/>
      <c r="AB322" s="72"/>
      <c r="AC322" s="72"/>
      <c r="AD322" s="72"/>
      <c r="AE322" s="72"/>
      <c r="AF322" s="72"/>
    </row>
    <row r="323">
      <c r="X323" s="129"/>
      <c r="Y323" s="72"/>
      <c r="Z323" s="72"/>
      <c r="AA323" s="72"/>
      <c r="AB323" s="72"/>
      <c r="AC323" s="72"/>
      <c r="AD323" s="72"/>
      <c r="AE323" s="72"/>
      <c r="AF323" s="72"/>
    </row>
    <row r="324">
      <c r="X324" s="129"/>
      <c r="Y324" s="72"/>
      <c r="Z324" s="72"/>
      <c r="AA324" s="72"/>
      <c r="AB324" s="72"/>
      <c r="AC324" s="72"/>
      <c r="AD324" s="72"/>
      <c r="AE324" s="72"/>
      <c r="AF324" s="72"/>
    </row>
    <row r="325">
      <c r="X325" s="129"/>
      <c r="Y325" s="72"/>
      <c r="Z325" s="72"/>
      <c r="AA325" s="72"/>
      <c r="AB325" s="72"/>
      <c r="AC325" s="72"/>
      <c r="AD325" s="72"/>
      <c r="AE325" s="72"/>
      <c r="AF325" s="72"/>
    </row>
    <row r="326">
      <c r="X326" s="129"/>
      <c r="Y326" s="72"/>
      <c r="Z326" s="72"/>
      <c r="AA326" s="72"/>
      <c r="AB326" s="72"/>
      <c r="AC326" s="72"/>
      <c r="AD326" s="72"/>
      <c r="AE326" s="72"/>
      <c r="AF326" s="72"/>
    </row>
    <row r="327">
      <c r="X327" s="129"/>
      <c r="Y327" s="72"/>
      <c r="Z327" s="72"/>
      <c r="AA327" s="72"/>
      <c r="AB327" s="72"/>
      <c r="AC327" s="72"/>
      <c r="AD327" s="72"/>
      <c r="AE327" s="72"/>
      <c r="AF327" s="72"/>
    </row>
    <row r="328">
      <c r="X328" s="129"/>
      <c r="Y328" s="72"/>
      <c r="Z328" s="72"/>
      <c r="AA328" s="72"/>
      <c r="AB328" s="72"/>
      <c r="AC328" s="72"/>
      <c r="AD328" s="72"/>
      <c r="AE328" s="72"/>
      <c r="AF328" s="72"/>
    </row>
    <row r="329">
      <c r="X329" s="129"/>
      <c r="Y329" s="72"/>
      <c r="Z329" s="72"/>
      <c r="AA329" s="72"/>
      <c r="AB329" s="72"/>
      <c r="AC329" s="72"/>
      <c r="AD329" s="72"/>
      <c r="AE329" s="72"/>
      <c r="AF329" s="72"/>
    </row>
    <row r="330">
      <c r="X330" s="129"/>
      <c r="Y330" s="72"/>
      <c r="Z330" s="72"/>
      <c r="AA330" s="72"/>
      <c r="AB330" s="72"/>
      <c r="AC330" s="72"/>
      <c r="AD330" s="72"/>
      <c r="AE330" s="72"/>
      <c r="AF330" s="72"/>
    </row>
    <row r="331">
      <c r="X331" s="129"/>
      <c r="Y331" s="72"/>
      <c r="Z331" s="72"/>
      <c r="AA331" s="72"/>
      <c r="AB331" s="72"/>
      <c r="AC331" s="72"/>
      <c r="AD331" s="72"/>
      <c r="AE331" s="72"/>
      <c r="AF331" s="72"/>
    </row>
    <row r="332">
      <c r="X332" s="129"/>
      <c r="Y332" s="72"/>
      <c r="Z332" s="72"/>
      <c r="AA332" s="72"/>
      <c r="AB332" s="72"/>
      <c r="AC332" s="72"/>
      <c r="AD332" s="72"/>
      <c r="AE332" s="72"/>
      <c r="AF332" s="72"/>
    </row>
    <row r="333">
      <c r="X333" s="129"/>
      <c r="Y333" s="72"/>
      <c r="Z333" s="72"/>
      <c r="AA333" s="72"/>
      <c r="AB333" s="72"/>
      <c r="AC333" s="72"/>
      <c r="AD333" s="72"/>
      <c r="AE333" s="72"/>
      <c r="AF333" s="72"/>
    </row>
    <row r="334">
      <c r="X334" s="129"/>
      <c r="Y334" s="72"/>
      <c r="Z334" s="72"/>
      <c r="AA334" s="72"/>
      <c r="AB334" s="72"/>
      <c r="AC334" s="72"/>
      <c r="AD334" s="72"/>
      <c r="AE334" s="72"/>
      <c r="AF334" s="72"/>
    </row>
    <row r="335">
      <c r="X335" s="129"/>
      <c r="Y335" s="72"/>
      <c r="Z335" s="72"/>
      <c r="AA335" s="72"/>
      <c r="AB335" s="72"/>
      <c r="AC335" s="72"/>
      <c r="AD335" s="72"/>
      <c r="AE335" s="72"/>
      <c r="AF335" s="72"/>
    </row>
    <row r="336">
      <c r="X336" s="129"/>
      <c r="Y336" s="72"/>
      <c r="Z336" s="72"/>
      <c r="AA336" s="72"/>
      <c r="AB336" s="72"/>
      <c r="AC336" s="72"/>
      <c r="AD336" s="72"/>
      <c r="AE336" s="72"/>
      <c r="AF336" s="72"/>
    </row>
    <row r="337">
      <c r="X337" s="129"/>
      <c r="Y337" s="72"/>
      <c r="Z337" s="72"/>
      <c r="AA337" s="72"/>
      <c r="AB337" s="72"/>
      <c r="AC337" s="72"/>
      <c r="AD337" s="72"/>
      <c r="AE337" s="72"/>
      <c r="AF337" s="72"/>
    </row>
    <row r="338">
      <c r="X338" s="129"/>
      <c r="Y338" s="72"/>
      <c r="Z338" s="72"/>
      <c r="AA338" s="72"/>
      <c r="AB338" s="72"/>
      <c r="AC338" s="72"/>
      <c r="AD338" s="72"/>
      <c r="AE338" s="72"/>
      <c r="AF338" s="72"/>
    </row>
    <row r="339">
      <c r="X339" s="129"/>
      <c r="Y339" s="72"/>
      <c r="Z339" s="72"/>
      <c r="AA339" s="72"/>
      <c r="AB339" s="72"/>
      <c r="AC339" s="72"/>
      <c r="AD339" s="72"/>
      <c r="AE339" s="72"/>
      <c r="AF339" s="72"/>
    </row>
    <row r="340">
      <c r="X340" s="129"/>
      <c r="Y340" s="72"/>
      <c r="Z340" s="72"/>
      <c r="AA340" s="72"/>
      <c r="AB340" s="72"/>
      <c r="AC340" s="72"/>
      <c r="AD340" s="72"/>
      <c r="AE340" s="72"/>
      <c r="AF340" s="72"/>
    </row>
    <row r="341">
      <c r="X341" s="129"/>
      <c r="Y341" s="72"/>
      <c r="Z341" s="72"/>
      <c r="AA341" s="72"/>
      <c r="AB341" s="72"/>
      <c r="AC341" s="72"/>
      <c r="AD341" s="72"/>
      <c r="AE341" s="72"/>
      <c r="AF341" s="72"/>
    </row>
    <row r="342">
      <c r="X342" s="129"/>
      <c r="Y342" s="72"/>
      <c r="Z342" s="72"/>
      <c r="AA342" s="72"/>
      <c r="AB342" s="72"/>
      <c r="AC342" s="72"/>
      <c r="AD342" s="72"/>
      <c r="AE342" s="72"/>
      <c r="AF342" s="72"/>
    </row>
    <row r="343">
      <c r="X343" s="129"/>
      <c r="Y343" s="72"/>
      <c r="Z343" s="72"/>
      <c r="AA343" s="72"/>
      <c r="AB343" s="72"/>
      <c r="AC343" s="72"/>
      <c r="AD343" s="72"/>
      <c r="AE343" s="72"/>
      <c r="AF343" s="72"/>
    </row>
    <row r="344">
      <c r="X344" s="129"/>
      <c r="Y344" s="72"/>
      <c r="Z344" s="72"/>
      <c r="AA344" s="72"/>
      <c r="AB344" s="72"/>
      <c r="AC344" s="72"/>
      <c r="AD344" s="72"/>
      <c r="AE344" s="72"/>
      <c r="AF344" s="72"/>
    </row>
    <row r="345">
      <c r="X345" s="129"/>
      <c r="Y345" s="72"/>
      <c r="Z345" s="72"/>
      <c r="AA345" s="72"/>
      <c r="AB345" s="72"/>
      <c r="AC345" s="72"/>
      <c r="AD345" s="72"/>
      <c r="AE345" s="72"/>
      <c r="AF345" s="72"/>
    </row>
    <row r="346">
      <c r="X346" s="129"/>
      <c r="Y346" s="72"/>
      <c r="Z346" s="72"/>
      <c r="AA346" s="72"/>
      <c r="AB346" s="72"/>
      <c r="AC346" s="72"/>
      <c r="AD346" s="72"/>
      <c r="AE346" s="72"/>
      <c r="AF346" s="72"/>
    </row>
    <row r="347">
      <c r="X347" s="129"/>
      <c r="Y347" s="72"/>
      <c r="Z347" s="72"/>
      <c r="AA347" s="72"/>
      <c r="AB347" s="72"/>
      <c r="AC347" s="72"/>
      <c r="AD347" s="72"/>
      <c r="AE347" s="72"/>
      <c r="AF347" s="72"/>
    </row>
    <row r="348">
      <c r="X348" s="129"/>
      <c r="Y348" s="72"/>
      <c r="Z348" s="72"/>
      <c r="AA348" s="72"/>
      <c r="AB348" s="72"/>
      <c r="AC348" s="72"/>
      <c r="AD348" s="72"/>
      <c r="AE348" s="72"/>
      <c r="AF348" s="72"/>
    </row>
    <row r="349">
      <c r="X349" s="129"/>
      <c r="Y349" s="72"/>
      <c r="Z349" s="72"/>
      <c r="AA349" s="72"/>
      <c r="AB349" s="72"/>
      <c r="AC349" s="72"/>
      <c r="AD349" s="72"/>
      <c r="AE349" s="72"/>
      <c r="AF349" s="72"/>
    </row>
    <row r="350">
      <c r="X350" s="129"/>
      <c r="Y350" s="72"/>
      <c r="Z350" s="72"/>
      <c r="AA350" s="72"/>
      <c r="AB350" s="72"/>
      <c r="AC350" s="72"/>
      <c r="AD350" s="72"/>
      <c r="AE350" s="72"/>
      <c r="AF350" s="72"/>
    </row>
    <row r="351">
      <c r="X351" s="129"/>
      <c r="Y351" s="72"/>
      <c r="Z351" s="72"/>
      <c r="AA351" s="72"/>
      <c r="AB351" s="72"/>
      <c r="AC351" s="72"/>
      <c r="AD351" s="72"/>
      <c r="AE351" s="72"/>
      <c r="AF351" s="72"/>
    </row>
    <row r="352">
      <c r="X352" s="129"/>
      <c r="Y352" s="72"/>
      <c r="Z352" s="72"/>
      <c r="AA352" s="72"/>
      <c r="AB352" s="72"/>
      <c r="AC352" s="72"/>
      <c r="AD352" s="72"/>
      <c r="AE352" s="72"/>
      <c r="AF352" s="72"/>
    </row>
    <row r="353">
      <c r="X353" s="129"/>
      <c r="Y353" s="72"/>
      <c r="Z353" s="72"/>
      <c r="AA353" s="72"/>
      <c r="AB353" s="72"/>
      <c r="AC353" s="72"/>
      <c r="AD353" s="72"/>
      <c r="AE353" s="72"/>
      <c r="AF353" s="72"/>
    </row>
    <row r="354">
      <c r="X354" s="129"/>
      <c r="Y354" s="72"/>
      <c r="Z354" s="72"/>
      <c r="AA354" s="72"/>
      <c r="AB354" s="72"/>
      <c r="AC354" s="72"/>
      <c r="AD354" s="72"/>
      <c r="AE354" s="72"/>
      <c r="AF354" s="72"/>
    </row>
    <row r="355">
      <c r="X355" s="129"/>
      <c r="Y355" s="72"/>
      <c r="Z355" s="72"/>
      <c r="AA355" s="72"/>
      <c r="AB355" s="72"/>
      <c r="AC355" s="72"/>
      <c r="AD355" s="72"/>
      <c r="AE355" s="72"/>
      <c r="AF355" s="72"/>
    </row>
    <row r="356">
      <c r="X356" s="129"/>
      <c r="Y356" s="72"/>
      <c r="Z356" s="72"/>
      <c r="AA356" s="72"/>
      <c r="AB356" s="72"/>
      <c r="AC356" s="72"/>
      <c r="AD356" s="72"/>
      <c r="AE356" s="72"/>
      <c r="AF356" s="72"/>
    </row>
    <row r="357">
      <c r="X357" s="129"/>
      <c r="Y357" s="72"/>
      <c r="Z357" s="72"/>
      <c r="AA357" s="72"/>
      <c r="AB357" s="72"/>
      <c r="AC357" s="72"/>
      <c r="AD357" s="72"/>
      <c r="AE357" s="72"/>
      <c r="AF357" s="72"/>
    </row>
    <row r="358">
      <c r="X358" s="129"/>
      <c r="Y358" s="72"/>
      <c r="Z358" s="72"/>
      <c r="AA358" s="72"/>
      <c r="AB358" s="72"/>
      <c r="AC358" s="72"/>
      <c r="AD358" s="72"/>
      <c r="AE358" s="72"/>
      <c r="AF358" s="72"/>
    </row>
    <row r="359">
      <c r="X359" s="129"/>
      <c r="Y359" s="72"/>
      <c r="Z359" s="72"/>
      <c r="AA359" s="72"/>
      <c r="AB359" s="72"/>
      <c r="AC359" s="72"/>
      <c r="AD359" s="72"/>
      <c r="AE359" s="72"/>
      <c r="AF359" s="72"/>
    </row>
    <row r="360">
      <c r="X360" s="129"/>
      <c r="Y360" s="72"/>
      <c r="Z360" s="72"/>
      <c r="AA360" s="72"/>
      <c r="AB360" s="72"/>
      <c r="AC360" s="72"/>
      <c r="AD360" s="72"/>
      <c r="AE360" s="72"/>
      <c r="AF360" s="72"/>
    </row>
    <row r="361">
      <c r="X361" s="129"/>
      <c r="Y361" s="72"/>
      <c r="Z361" s="72"/>
      <c r="AA361" s="72"/>
      <c r="AB361" s="72"/>
      <c r="AC361" s="72"/>
      <c r="AD361" s="72"/>
      <c r="AE361" s="72"/>
      <c r="AF361" s="72"/>
    </row>
    <row r="362">
      <c r="X362" s="129"/>
      <c r="Y362" s="72"/>
      <c r="Z362" s="72"/>
      <c r="AA362" s="72"/>
      <c r="AB362" s="72"/>
      <c r="AC362" s="72"/>
      <c r="AD362" s="72"/>
      <c r="AE362" s="72"/>
      <c r="AF362" s="72"/>
    </row>
    <row r="363">
      <c r="X363" s="129"/>
      <c r="Y363" s="72"/>
      <c r="Z363" s="72"/>
      <c r="AA363" s="72"/>
      <c r="AB363" s="72"/>
      <c r="AC363" s="72"/>
      <c r="AD363" s="72"/>
      <c r="AE363" s="72"/>
      <c r="AF363" s="72"/>
    </row>
    <row r="364">
      <c r="X364" s="129"/>
      <c r="Y364" s="72"/>
      <c r="Z364" s="72"/>
      <c r="AA364" s="72"/>
      <c r="AB364" s="72"/>
      <c r="AC364" s="72"/>
      <c r="AD364" s="72"/>
      <c r="AE364" s="72"/>
      <c r="AF364" s="72"/>
    </row>
    <row r="365">
      <c r="X365" s="129"/>
      <c r="Y365" s="72"/>
      <c r="Z365" s="72"/>
      <c r="AA365" s="72"/>
      <c r="AB365" s="72"/>
      <c r="AC365" s="72"/>
      <c r="AD365" s="72"/>
      <c r="AE365" s="72"/>
      <c r="AF365" s="72"/>
    </row>
    <row r="366">
      <c r="X366" s="129"/>
      <c r="Y366" s="72"/>
      <c r="Z366" s="72"/>
      <c r="AA366" s="72"/>
      <c r="AB366" s="72"/>
      <c r="AC366" s="72"/>
      <c r="AD366" s="72"/>
      <c r="AE366" s="72"/>
      <c r="AF366" s="72"/>
    </row>
    <row r="367">
      <c r="X367" s="129"/>
      <c r="Y367" s="72"/>
      <c r="Z367" s="72"/>
      <c r="AA367" s="72"/>
      <c r="AB367" s="72"/>
      <c r="AC367" s="72"/>
      <c r="AD367" s="72"/>
      <c r="AE367" s="72"/>
      <c r="AF367" s="72"/>
    </row>
    <row r="368">
      <c r="X368" s="129"/>
      <c r="Y368" s="72"/>
      <c r="Z368" s="72"/>
      <c r="AA368" s="72"/>
      <c r="AB368" s="72"/>
      <c r="AC368" s="72"/>
      <c r="AD368" s="72"/>
      <c r="AE368" s="72"/>
      <c r="AF368" s="72"/>
    </row>
    <row r="369">
      <c r="X369" s="129"/>
      <c r="Y369" s="72"/>
      <c r="Z369" s="72"/>
      <c r="AA369" s="72"/>
      <c r="AB369" s="72"/>
      <c r="AC369" s="72"/>
      <c r="AD369" s="72"/>
      <c r="AE369" s="72"/>
      <c r="AF369" s="72"/>
    </row>
    <row r="370">
      <c r="X370" s="129"/>
      <c r="Y370" s="72"/>
      <c r="Z370" s="72"/>
      <c r="AA370" s="72"/>
      <c r="AB370" s="72"/>
      <c r="AC370" s="72"/>
      <c r="AD370" s="72"/>
      <c r="AE370" s="72"/>
      <c r="AF370" s="72"/>
    </row>
    <row r="371">
      <c r="X371" s="129"/>
      <c r="Y371" s="72"/>
      <c r="Z371" s="72"/>
      <c r="AA371" s="72"/>
      <c r="AB371" s="72"/>
      <c r="AC371" s="72"/>
      <c r="AD371" s="72"/>
      <c r="AE371" s="72"/>
      <c r="AF371" s="72"/>
    </row>
    <row r="372">
      <c r="X372" s="129"/>
      <c r="Y372" s="72"/>
      <c r="Z372" s="72"/>
      <c r="AA372" s="72"/>
      <c r="AB372" s="72"/>
      <c r="AC372" s="72"/>
      <c r="AD372" s="72"/>
      <c r="AE372" s="72"/>
      <c r="AF372" s="72"/>
    </row>
    <row r="373">
      <c r="X373" s="129"/>
      <c r="Y373" s="72"/>
      <c r="Z373" s="72"/>
      <c r="AA373" s="72"/>
      <c r="AB373" s="72"/>
      <c r="AC373" s="72"/>
      <c r="AD373" s="72"/>
      <c r="AE373" s="72"/>
      <c r="AF373" s="72"/>
    </row>
    <row r="374">
      <c r="X374" s="129"/>
      <c r="Y374" s="72"/>
      <c r="Z374" s="72"/>
      <c r="AA374" s="72"/>
      <c r="AB374" s="72"/>
      <c r="AC374" s="72"/>
      <c r="AD374" s="72"/>
      <c r="AE374" s="72"/>
      <c r="AF374" s="72"/>
    </row>
    <row r="375">
      <c r="X375" s="129"/>
      <c r="Y375" s="72"/>
      <c r="Z375" s="72"/>
      <c r="AA375" s="72"/>
      <c r="AB375" s="72"/>
      <c r="AC375" s="72"/>
      <c r="AD375" s="72"/>
      <c r="AE375" s="72"/>
      <c r="AF375" s="72"/>
    </row>
    <row r="376">
      <c r="X376" s="129"/>
      <c r="Y376" s="72"/>
      <c r="Z376" s="72"/>
      <c r="AA376" s="72"/>
      <c r="AB376" s="72"/>
      <c r="AC376" s="72"/>
      <c r="AD376" s="72"/>
      <c r="AE376" s="72"/>
      <c r="AF376" s="72"/>
    </row>
    <row r="377">
      <c r="X377" s="129"/>
      <c r="Y377" s="72"/>
      <c r="Z377" s="72"/>
      <c r="AA377" s="72"/>
      <c r="AB377" s="72"/>
      <c r="AC377" s="72"/>
      <c r="AD377" s="72"/>
      <c r="AE377" s="72"/>
      <c r="AF377" s="72"/>
    </row>
    <row r="378">
      <c r="X378" s="129"/>
      <c r="Y378" s="72"/>
      <c r="Z378" s="72"/>
      <c r="AA378" s="72"/>
      <c r="AB378" s="72"/>
      <c r="AC378" s="72"/>
      <c r="AD378" s="72"/>
      <c r="AE378" s="72"/>
      <c r="AF378" s="72"/>
    </row>
    <row r="379">
      <c r="X379" s="129"/>
      <c r="Y379" s="72"/>
      <c r="Z379" s="72"/>
      <c r="AA379" s="72"/>
      <c r="AB379" s="72"/>
      <c r="AC379" s="72"/>
      <c r="AD379" s="72"/>
      <c r="AE379" s="72"/>
      <c r="AF379" s="72"/>
    </row>
    <row r="380">
      <c r="X380" s="129"/>
      <c r="Y380" s="72"/>
      <c r="Z380" s="72"/>
      <c r="AA380" s="72"/>
      <c r="AB380" s="72"/>
      <c r="AC380" s="72"/>
      <c r="AD380" s="72"/>
      <c r="AE380" s="72"/>
      <c r="AF380" s="72"/>
    </row>
    <row r="381">
      <c r="X381" s="129"/>
      <c r="Y381" s="72"/>
      <c r="Z381" s="72"/>
      <c r="AA381" s="72"/>
      <c r="AB381" s="72"/>
      <c r="AC381" s="72"/>
      <c r="AD381" s="72"/>
      <c r="AE381" s="72"/>
      <c r="AF381" s="72"/>
    </row>
    <row r="382">
      <c r="X382" s="129"/>
      <c r="Y382" s="72"/>
      <c r="Z382" s="72"/>
      <c r="AA382" s="72"/>
      <c r="AB382" s="72"/>
      <c r="AC382" s="72"/>
      <c r="AD382" s="72"/>
      <c r="AE382" s="72"/>
      <c r="AF382" s="72"/>
    </row>
    <row r="383">
      <c r="X383" s="129"/>
      <c r="Y383" s="72"/>
      <c r="Z383" s="72"/>
      <c r="AA383" s="72"/>
      <c r="AB383" s="72"/>
      <c r="AC383" s="72"/>
      <c r="AD383" s="72"/>
      <c r="AE383" s="72"/>
      <c r="AF383" s="72"/>
    </row>
    <row r="384">
      <c r="X384" s="129"/>
      <c r="Y384" s="72"/>
      <c r="Z384" s="72"/>
      <c r="AA384" s="72"/>
      <c r="AB384" s="72"/>
      <c r="AC384" s="72"/>
      <c r="AD384" s="72"/>
      <c r="AE384" s="72"/>
      <c r="AF384" s="72"/>
    </row>
    <row r="385">
      <c r="X385" s="129"/>
      <c r="Y385" s="72"/>
      <c r="Z385" s="72"/>
      <c r="AA385" s="72"/>
      <c r="AB385" s="72"/>
      <c r="AC385" s="72"/>
      <c r="AD385" s="72"/>
      <c r="AE385" s="72"/>
      <c r="AF385" s="72"/>
    </row>
    <row r="386">
      <c r="X386" s="129"/>
      <c r="Y386" s="72"/>
      <c r="Z386" s="72"/>
      <c r="AA386" s="72"/>
      <c r="AB386" s="72"/>
      <c r="AC386" s="72"/>
      <c r="AD386" s="72"/>
      <c r="AE386" s="72"/>
      <c r="AF386" s="72"/>
    </row>
    <row r="387">
      <c r="X387" s="129"/>
      <c r="Y387" s="72"/>
      <c r="Z387" s="72"/>
      <c r="AA387" s="72"/>
      <c r="AB387" s="72"/>
      <c r="AC387" s="72"/>
      <c r="AD387" s="72"/>
      <c r="AE387" s="72"/>
      <c r="AF387" s="72"/>
    </row>
    <row r="388">
      <c r="X388" s="129"/>
      <c r="Y388" s="72"/>
      <c r="Z388" s="72"/>
      <c r="AA388" s="72"/>
      <c r="AB388" s="72"/>
      <c r="AC388" s="72"/>
      <c r="AD388" s="72"/>
      <c r="AE388" s="72"/>
      <c r="AF388" s="72"/>
    </row>
    <row r="389">
      <c r="X389" s="129"/>
      <c r="Y389" s="72"/>
      <c r="Z389" s="72"/>
      <c r="AA389" s="72"/>
      <c r="AB389" s="72"/>
      <c r="AC389" s="72"/>
      <c r="AD389" s="72"/>
      <c r="AE389" s="72"/>
      <c r="AF389" s="72"/>
    </row>
    <row r="390">
      <c r="X390" s="129"/>
      <c r="Y390" s="72"/>
      <c r="Z390" s="72"/>
      <c r="AA390" s="72"/>
      <c r="AB390" s="72"/>
      <c r="AC390" s="72"/>
      <c r="AD390" s="72"/>
      <c r="AE390" s="72"/>
      <c r="AF390" s="72"/>
    </row>
    <row r="391">
      <c r="X391" s="129"/>
      <c r="Y391" s="72"/>
      <c r="Z391" s="72"/>
      <c r="AA391" s="72"/>
      <c r="AB391" s="72"/>
      <c r="AC391" s="72"/>
      <c r="AD391" s="72"/>
      <c r="AE391" s="72"/>
      <c r="AF391" s="72"/>
    </row>
    <row r="392">
      <c r="X392" s="129"/>
      <c r="Y392" s="72"/>
      <c r="Z392" s="72"/>
      <c r="AA392" s="72"/>
      <c r="AB392" s="72"/>
      <c r="AC392" s="72"/>
      <c r="AD392" s="72"/>
      <c r="AE392" s="72"/>
      <c r="AF392" s="72"/>
    </row>
    <row r="393">
      <c r="X393" s="129"/>
      <c r="Y393" s="72"/>
      <c r="Z393" s="72"/>
      <c r="AA393" s="72"/>
      <c r="AB393" s="72"/>
      <c r="AC393" s="72"/>
      <c r="AD393" s="72"/>
      <c r="AE393" s="72"/>
      <c r="AF393" s="72"/>
    </row>
    <row r="394">
      <c r="X394" s="129"/>
      <c r="Y394" s="72"/>
      <c r="Z394" s="72"/>
      <c r="AA394" s="72"/>
      <c r="AB394" s="72"/>
      <c r="AC394" s="72"/>
      <c r="AD394" s="72"/>
      <c r="AE394" s="72"/>
      <c r="AF394" s="72"/>
    </row>
    <row r="395">
      <c r="X395" s="129"/>
      <c r="Y395" s="72"/>
      <c r="Z395" s="72"/>
      <c r="AA395" s="72"/>
      <c r="AB395" s="72"/>
      <c r="AC395" s="72"/>
      <c r="AD395" s="72"/>
      <c r="AE395" s="72"/>
      <c r="AF395" s="72"/>
    </row>
    <row r="396">
      <c r="X396" s="129"/>
      <c r="Y396" s="72"/>
      <c r="Z396" s="72"/>
      <c r="AA396" s="72"/>
      <c r="AB396" s="72"/>
      <c r="AC396" s="72"/>
      <c r="AD396" s="72"/>
      <c r="AE396" s="72"/>
      <c r="AF396" s="72"/>
    </row>
    <row r="397">
      <c r="X397" s="129"/>
      <c r="Y397" s="72"/>
      <c r="Z397" s="72"/>
      <c r="AA397" s="72"/>
      <c r="AB397" s="72"/>
      <c r="AC397" s="72"/>
      <c r="AD397" s="72"/>
      <c r="AE397" s="72"/>
      <c r="AF397" s="72"/>
    </row>
    <row r="398">
      <c r="X398" s="129"/>
      <c r="Y398" s="72"/>
      <c r="Z398" s="72"/>
      <c r="AA398" s="72"/>
      <c r="AB398" s="72"/>
      <c r="AC398" s="72"/>
      <c r="AD398" s="72"/>
      <c r="AE398" s="72"/>
      <c r="AF398" s="72"/>
    </row>
    <row r="399">
      <c r="X399" s="129"/>
      <c r="Y399" s="72"/>
      <c r="Z399" s="72"/>
      <c r="AA399" s="72"/>
      <c r="AB399" s="72"/>
      <c r="AC399" s="72"/>
      <c r="AD399" s="72"/>
      <c r="AE399" s="72"/>
      <c r="AF399" s="72"/>
    </row>
    <row r="400">
      <c r="X400" s="129"/>
      <c r="Y400" s="72"/>
      <c r="Z400" s="72"/>
      <c r="AA400" s="72"/>
      <c r="AB400" s="72"/>
      <c r="AC400" s="72"/>
      <c r="AD400" s="72"/>
      <c r="AE400" s="72"/>
      <c r="AF400" s="72"/>
    </row>
    <row r="401">
      <c r="X401" s="129"/>
      <c r="Y401" s="72"/>
      <c r="Z401" s="72"/>
      <c r="AA401" s="72"/>
      <c r="AB401" s="72"/>
      <c r="AC401" s="72"/>
      <c r="AD401" s="72"/>
      <c r="AE401" s="72"/>
      <c r="AF401" s="72"/>
    </row>
    <row r="402">
      <c r="X402" s="129"/>
      <c r="Y402" s="72"/>
      <c r="Z402" s="72"/>
      <c r="AA402" s="72"/>
      <c r="AB402" s="72"/>
      <c r="AC402" s="72"/>
      <c r="AD402" s="72"/>
      <c r="AE402" s="72"/>
      <c r="AF402" s="72"/>
    </row>
    <row r="403">
      <c r="X403" s="129"/>
      <c r="Y403" s="72"/>
      <c r="Z403" s="72"/>
      <c r="AA403" s="72"/>
      <c r="AB403" s="72"/>
      <c r="AC403" s="72"/>
      <c r="AD403" s="72"/>
      <c r="AE403" s="72"/>
      <c r="AF403" s="72"/>
    </row>
    <row r="404">
      <c r="X404" s="129"/>
      <c r="Y404" s="72"/>
      <c r="Z404" s="72"/>
      <c r="AA404" s="72"/>
      <c r="AB404" s="72"/>
      <c r="AC404" s="72"/>
      <c r="AD404" s="72"/>
      <c r="AE404" s="72"/>
      <c r="AF404" s="72"/>
    </row>
    <row r="405">
      <c r="X405" s="129"/>
      <c r="Y405" s="72"/>
      <c r="Z405" s="72"/>
      <c r="AA405" s="72"/>
      <c r="AB405" s="72"/>
      <c r="AC405" s="72"/>
      <c r="AD405" s="72"/>
      <c r="AE405" s="72"/>
      <c r="AF405" s="72"/>
    </row>
    <row r="406">
      <c r="X406" s="129"/>
      <c r="Y406" s="72"/>
      <c r="Z406" s="72"/>
      <c r="AA406" s="72"/>
      <c r="AB406" s="72"/>
      <c r="AC406" s="72"/>
      <c r="AD406" s="72"/>
      <c r="AE406" s="72"/>
      <c r="AF406" s="72"/>
    </row>
    <row r="407">
      <c r="X407" s="129"/>
      <c r="Y407" s="72"/>
      <c r="Z407" s="72"/>
      <c r="AA407" s="72"/>
      <c r="AB407" s="72"/>
      <c r="AC407" s="72"/>
      <c r="AD407" s="72"/>
      <c r="AE407" s="72"/>
      <c r="AF407" s="72"/>
    </row>
    <row r="408">
      <c r="X408" s="129"/>
      <c r="Y408" s="72"/>
      <c r="Z408" s="72"/>
      <c r="AA408" s="72"/>
      <c r="AB408" s="72"/>
      <c r="AC408" s="72"/>
      <c r="AD408" s="72"/>
      <c r="AE408" s="72"/>
      <c r="AF408" s="72"/>
    </row>
    <row r="409">
      <c r="X409" s="129"/>
      <c r="Y409" s="72"/>
      <c r="Z409" s="72"/>
      <c r="AA409" s="72"/>
      <c r="AB409" s="72"/>
      <c r="AC409" s="72"/>
      <c r="AD409" s="72"/>
      <c r="AE409" s="72"/>
      <c r="AF409" s="72"/>
    </row>
    <row r="410">
      <c r="X410" s="129"/>
      <c r="Y410" s="72"/>
      <c r="Z410" s="72"/>
      <c r="AA410" s="72"/>
      <c r="AB410" s="72"/>
      <c r="AC410" s="72"/>
      <c r="AD410" s="72"/>
      <c r="AE410" s="72"/>
      <c r="AF410" s="72"/>
    </row>
    <row r="411">
      <c r="X411" s="129"/>
      <c r="Y411" s="72"/>
      <c r="Z411" s="72"/>
      <c r="AA411" s="72"/>
      <c r="AB411" s="72"/>
      <c r="AC411" s="72"/>
      <c r="AD411" s="72"/>
      <c r="AE411" s="72"/>
      <c r="AF411" s="72"/>
    </row>
    <row r="412">
      <c r="X412" s="129"/>
      <c r="Y412" s="72"/>
      <c r="Z412" s="72"/>
      <c r="AA412" s="72"/>
      <c r="AB412" s="72"/>
      <c r="AC412" s="72"/>
      <c r="AD412" s="72"/>
      <c r="AE412" s="72"/>
      <c r="AF412" s="72"/>
    </row>
    <row r="413">
      <c r="X413" s="129"/>
      <c r="Y413" s="72"/>
      <c r="Z413" s="72"/>
      <c r="AA413" s="72"/>
      <c r="AB413" s="72"/>
      <c r="AC413" s="72"/>
      <c r="AD413" s="72"/>
      <c r="AE413" s="72"/>
      <c r="AF413" s="72"/>
    </row>
    <row r="414">
      <c r="X414" s="129"/>
      <c r="Y414" s="72"/>
      <c r="Z414" s="72"/>
      <c r="AA414" s="72"/>
      <c r="AB414" s="72"/>
      <c r="AC414" s="72"/>
      <c r="AD414" s="72"/>
      <c r="AE414" s="72"/>
      <c r="AF414" s="72"/>
    </row>
    <row r="415">
      <c r="X415" s="129"/>
      <c r="Y415" s="72"/>
      <c r="Z415" s="72"/>
      <c r="AA415" s="72"/>
      <c r="AB415" s="72"/>
      <c r="AC415" s="72"/>
      <c r="AD415" s="72"/>
      <c r="AE415" s="72"/>
      <c r="AF415" s="72"/>
    </row>
    <row r="416">
      <c r="X416" s="129"/>
      <c r="Y416" s="72"/>
      <c r="Z416" s="72"/>
      <c r="AA416" s="72"/>
      <c r="AB416" s="72"/>
      <c r="AC416" s="72"/>
      <c r="AD416" s="72"/>
      <c r="AE416" s="72"/>
      <c r="AF416" s="72"/>
    </row>
    <row r="417">
      <c r="X417" s="129"/>
      <c r="Y417" s="72"/>
      <c r="Z417" s="72"/>
      <c r="AA417" s="72"/>
      <c r="AB417" s="72"/>
      <c r="AC417" s="72"/>
      <c r="AD417" s="72"/>
      <c r="AE417" s="72"/>
      <c r="AF417" s="72"/>
    </row>
    <row r="418">
      <c r="X418" s="129"/>
      <c r="Y418" s="72"/>
      <c r="Z418" s="72"/>
      <c r="AA418" s="72"/>
      <c r="AB418" s="72"/>
      <c r="AC418" s="72"/>
      <c r="AD418" s="72"/>
      <c r="AE418" s="72"/>
      <c r="AF418" s="72"/>
    </row>
    <row r="419">
      <c r="X419" s="129"/>
      <c r="Y419" s="72"/>
      <c r="Z419" s="72"/>
      <c r="AA419" s="72"/>
      <c r="AB419" s="72"/>
      <c r="AC419" s="72"/>
      <c r="AD419" s="72"/>
      <c r="AE419" s="72"/>
      <c r="AF419" s="72"/>
    </row>
    <row r="420">
      <c r="X420" s="129"/>
      <c r="Y420" s="72"/>
      <c r="Z420" s="72"/>
      <c r="AA420" s="72"/>
      <c r="AB420" s="72"/>
      <c r="AC420" s="72"/>
      <c r="AD420" s="72"/>
      <c r="AE420" s="72"/>
      <c r="AF420" s="72"/>
    </row>
    <row r="421">
      <c r="X421" s="129"/>
      <c r="Y421" s="72"/>
      <c r="Z421" s="72"/>
      <c r="AA421" s="72"/>
      <c r="AB421" s="72"/>
      <c r="AC421" s="72"/>
      <c r="AD421" s="72"/>
      <c r="AE421" s="72"/>
      <c r="AF421" s="72"/>
    </row>
    <row r="422">
      <c r="X422" s="129"/>
      <c r="Y422" s="72"/>
      <c r="Z422" s="72"/>
      <c r="AA422" s="72"/>
      <c r="AB422" s="72"/>
      <c r="AC422" s="72"/>
      <c r="AD422" s="72"/>
      <c r="AE422" s="72"/>
      <c r="AF422" s="72"/>
    </row>
    <row r="423">
      <c r="X423" s="129"/>
      <c r="Y423" s="72"/>
      <c r="Z423" s="72"/>
      <c r="AA423" s="72"/>
      <c r="AB423" s="72"/>
      <c r="AC423" s="72"/>
      <c r="AD423" s="72"/>
      <c r="AE423" s="72"/>
      <c r="AF423" s="72"/>
    </row>
    <row r="424">
      <c r="X424" s="129"/>
      <c r="Y424" s="72"/>
      <c r="Z424" s="72"/>
      <c r="AA424" s="72"/>
      <c r="AB424" s="72"/>
      <c r="AC424" s="72"/>
      <c r="AD424" s="72"/>
      <c r="AE424" s="72"/>
      <c r="AF424" s="72"/>
    </row>
    <row r="425">
      <c r="X425" s="129"/>
      <c r="Y425" s="72"/>
      <c r="Z425" s="72"/>
      <c r="AA425" s="72"/>
      <c r="AB425" s="72"/>
      <c r="AC425" s="72"/>
      <c r="AD425" s="72"/>
      <c r="AE425" s="72"/>
      <c r="AF425" s="72"/>
    </row>
    <row r="426">
      <c r="X426" s="129"/>
      <c r="Y426" s="72"/>
      <c r="Z426" s="72"/>
      <c r="AA426" s="72"/>
      <c r="AB426" s="72"/>
      <c r="AC426" s="72"/>
      <c r="AD426" s="72"/>
      <c r="AE426" s="72"/>
      <c r="AF426" s="72"/>
    </row>
    <row r="427">
      <c r="X427" s="129"/>
      <c r="Y427" s="72"/>
      <c r="Z427" s="72"/>
      <c r="AA427" s="72"/>
      <c r="AB427" s="72"/>
      <c r="AC427" s="72"/>
      <c r="AD427" s="72"/>
      <c r="AE427" s="72"/>
      <c r="AF427" s="72"/>
    </row>
    <row r="428">
      <c r="X428" s="129"/>
      <c r="Y428" s="72"/>
      <c r="Z428" s="72"/>
      <c r="AA428" s="72"/>
      <c r="AB428" s="72"/>
      <c r="AC428" s="72"/>
      <c r="AD428" s="72"/>
      <c r="AE428" s="72"/>
      <c r="AF428" s="72"/>
    </row>
    <row r="429">
      <c r="X429" s="129"/>
      <c r="Y429" s="72"/>
      <c r="Z429" s="72"/>
      <c r="AA429" s="72"/>
      <c r="AB429" s="72"/>
      <c r="AC429" s="72"/>
      <c r="AD429" s="72"/>
      <c r="AE429" s="72"/>
      <c r="AF429" s="72"/>
    </row>
    <row r="430">
      <c r="X430" s="129"/>
      <c r="Y430" s="72"/>
      <c r="Z430" s="72"/>
      <c r="AA430" s="72"/>
      <c r="AB430" s="72"/>
      <c r="AC430" s="72"/>
      <c r="AD430" s="72"/>
      <c r="AE430" s="72"/>
      <c r="AF430" s="72"/>
    </row>
    <row r="431">
      <c r="X431" s="129"/>
      <c r="Y431" s="72"/>
      <c r="Z431" s="72"/>
      <c r="AA431" s="72"/>
      <c r="AB431" s="72"/>
      <c r="AC431" s="72"/>
      <c r="AD431" s="72"/>
      <c r="AE431" s="72"/>
      <c r="AF431" s="72"/>
    </row>
    <row r="432">
      <c r="X432" s="129"/>
      <c r="Y432" s="72"/>
      <c r="Z432" s="72"/>
      <c r="AA432" s="72"/>
      <c r="AB432" s="72"/>
      <c r="AC432" s="72"/>
      <c r="AD432" s="72"/>
      <c r="AE432" s="72"/>
      <c r="AF432" s="72"/>
    </row>
    <row r="433">
      <c r="X433" s="129"/>
      <c r="Y433" s="72"/>
      <c r="Z433" s="72"/>
      <c r="AA433" s="72"/>
      <c r="AB433" s="72"/>
      <c r="AC433" s="72"/>
      <c r="AD433" s="72"/>
      <c r="AE433" s="72"/>
      <c r="AF433" s="72"/>
    </row>
    <row r="434">
      <c r="X434" s="129"/>
      <c r="Y434" s="72"/>
      <c r="Z434" s="72"/>
      <c r="AA434" s="72"/>
      <c r="AB434" s="72"/>
      <c r="AC434" s="72"/>
      <c r="AD434" s="72"/>
      <c r="AE434" s="72"/>
      <c r="AF434" s="72"/>
    </row>
    <row r="435">
      <c r="X435" s="129"/>
      <c r="Y435" s="72"/>
      <c r="Z435" s="72"/>
      <c r="AA435" s="72"/>
      <c r="AB435" s="72"/>
      <c r="AC435" s="72"/>
      <c r="AD435" s="72"/>
      <c r="AE435" s="72"/>
      <c r="AF435" s="72"/>
    </row>
    <row r="436">
      <c r="X436" s="129"/>
      <c r="Y436" s="72"/>
      <c r="Z436" s="72"/>
      <c r="AA436" s="72"/>
      <c r="AB436" s="72"/>
      <c r="AC436" s="72"/>
      <c r="AD436" s="72"/>
      <c r="AE436" s="72"/>
      <c r="AF436" s="72"/>
    </row>
    <row r="437">
      <c r="X437" s="129"/>
      <c r="Y437" s="72"/>
      <c r="Z437" s="72"/>
      <c r="AA437" s="72"/>
      <c r="AB437" s="72"/>
      <c r="AC437" s="72"/>
      <c r="AD437" s="72"/>
      <c r="AE437" s="72"/>
      <c r="AF437" s="72"/>
    </row>
    <row r="438">
      <c r="X438" s="129"/>
      <c r="Y438" s="72"/>
      <c r="Z438" s="72"/>
      <c r="AA438" s="72"/>
      <c r="AB438" s="72"/>
      <c r="AC438" s="72"/>
      <c r="AD438" s="72"/>
      <c r="AE438" s="72"/>
      <c r="AF438" s="72"/>
    </row>
    <row r="439">
      <c r="X439" s="129"/>
      <c r="Y439" s="72"/>
      <c r="Z439" s="72"/>
      <c r="AA439" s="72"/>
      <c r="AB439" s="72"/>
      <c r="AC439" s="72"/>
      <c r="AD439" s="72"/>
      <c r="AE439" s="72"/>
      <c r="AF439" s="72"/>
    </row>
    <row r="440">
      <c r="X440" s="129"/>
      <c r="Y440" s="72"/>
      <c r="Z440" s="72"/>
      <c r="AA440" s="72"/>
      <c r="AB440" s="72"/>
      <c r="AC440" s="72"/>
      <c r="AD440" s="72"/>
      <c r="AE440" s="72"/>
      <c r="AF440" s="72"/>
    </row>
    <row r="441">
      <c r="X441" s="129"/>
      <c r="Y441" s="72"/>
      <c r="Z441" s="72"/>
      <c r="AA441" s="72"/>
      <c r="AB441" s="72"/>
      <c r="AC441" s="72"/>
      <c r="AD441" s="72"/>
      <c r="AE441" s="72"/>
      <c r="AF441" s="72"/>
    </row>
    <row r="442">
      <c r="X442" s="129"/>
      <c r="Y442" s="72"/>
      <c r="Z442" s="72"/>
      <c r="AA442" s="72"/>
      <c r="AB442" s="72"/>
      <c r="AC442" s="72"/>
      <c r="AD442" s="72"/>
      <c r="AE442" s="72"/>
      <c r="AF442" s="72"/>
    </row>
    <row r="443">
      <c r="X443" s="129"/>
      <c r="Y443" s="72"/>
      <c r="Z443" s="72"/>
      <c r="AA443" s="72"/>
      <c r="AB443" s="72"/>
      <c r="AC443" s="72"/>
      <c r="AD443" s="72"/>
      <c r="AE443" s="72"/>
      <c r="AF443" s="72"/>
    </row>
    <row r="444">
      <c r="X444" s="129"/>
      <c r="Y444" s="72"/>
      <c r="Z444" s="72"/>
      <c r="AA444" s="72"/>
      <c r="AB444" s="72"/>
      <c r="AC444" s="72"/>
      <c r="AD444" s="72"/>
      <c r="AE444" s="72"/>
      <c r="AF444" s="72"/>
    </row>
    <row r="445">
      <c r="X445" s="129"/>
      <c r="Y445" s="72"/>
      <c r="Z445" s="72"/>
      <c r="AA445" s="72"/>
      <c r="AB445" s="72"/>
      <c r="AC445" s="72"/>
      <c r="AD445" s="72"/>
      <c r="AE445" s="72"/>
      <c r="AF445" s="72"/>
    </row>
    <row r="446">
      <c r="X446" s="129"/>
      <c r="Y446" s="72"/>
      <c r="Z446" s="72"/>
      <c r="AA446" s="72"/>
      <c r="AB446" s="72"/>
      <c r="AC446" s="72"/>
      <c r="AD446" s="72"/>
      <c r="AE446" s="72"/>
      <c r="AF446" s="72"/>
    </row>
    <row r="447">
      <c r="X447" s="129"/>
      <c r="Y447" s="72"/>
      <c r="Z447" s="72"/>
      <c r="AA447" s="72"/>
      <c r="AB447" s="72"/>
      <c r="AC447" s="72"/>
      <c r="AD447" s="72"/>
      <c r="AE447" s="72"/>
      <c r="AF447" s="72"/>
    </row>
    <row r="448">
      <c r="X448" s="129"/>
      <c r="Y448" s="72"/>
      <c r="Z448" s="72"/>
      <c r="AA448" s="72"/>
      <c r="AB448" s="72"/>
      <c r="AC448" s="72"/>
      <c r="AD448" s="72"/>
      <c r="AE448" s="72"/>
      <c r="AF448" s="72"/>
    </row>
    <row r="449">
      <c r="X449" s="129"/>
      <c r="Y449" s="72"/>
      <c r="Z449" s="72"/>
      <c r="AA449" s="72"/>
      <c r="AB449" s="72"/>
      <c r="AC449" s="72"/>
      <c r="AD449" s="72"/>
      <c r="AE449" s="72"/>
      <c r="AF449" s="72"/>
    </row>
    <row r="450">
      <c r="X450" s="129"/>
      <c r="Y450" s="72"/>
      <c r="Z450" s="72"/>
      <c r="AA450" s="72"/>
      <c r="AB450" s="72"/>
      <c r="AC450" s="72"/>
      <c r="AD450" s="72"/>
      <c r="AE450" s="72"/>
      <c r="AF450" s="72"/>
    </row>
    <row r="451">
      <c r="X451" s="129"/>
      <c r="Y451" s="72"/>
      <c r="Z451" s="72"/>
      <c r="AA451" s="72"/>
      <c r="AB451" s="72"/>
      <c r="AC451" s="72"/>
      <c r="AD451" s="72"/>
      <c r="AE451" s="72"/>
      <c r="AF451" s="72"/>
    </row>
    <row r="452">
      <c r="X452" s="129"/>
      <c r="Y452" s="72"/>
      <c r="Z452" s="72"/>
      <c r="AA452" s="72"/>
      <c r="AB452" s="72"/>
      <c r="AC452" s="72"/>
      <c r="AD452" s="72"/>
      <c r="AE452" s="72"/>
      <c r="AF452" s="72"/>
    </row>
    <row r="453">
      <c r="X453" s="129"/>
      <c r="Y453" s="72"/>
      <c r="Z453" s="72"/>
      <c r="AA453" s="72"/>
      <c r="AB453" s="72"/>
      <c r="AC453" s="72"/>
      <c r="AD453" s="72"/>
      <c r="AE453" s="72"/>
      <c r="AF453" s="72"/>
    </row>
    <row r="454">
      <c r="X454" s="129"/>
      <c r="Y454" s="72"/>
      <c r="Z454" s="72"/>
      <c r="AA454" s="72"/>
      <c r="AB454" s="72"/>
      <c r="AC454" s="72"/>
      <c r="AD454" s="72"/>
      <c r="AE454" s="72"/>
      <c r="AF454" s="72"/>
    </row>
    <row r="455">
      <c r="X455" s="129"/>
      <c r="Y455" s="72"/>
      <c r="Z455" s="72"/>
      <c r="AA455" s="72"/>
      <c r="AB455" s="72"/>
      <c r="AC455" s="72"/>
      <c r="AD455" s="72"/>
      <c r="AE455" s="72"/>
      <c r="AF455" s="72"/>
    </row>
    <row r="456">
      <c r="X456" s="129"/>
      <c r="Y456" s="72"/>
      <c r="Z456" s="72"/>
      <c r="AA456" s="72"/>
      <c r="AB456" s="72"/>
      <c r="AC456" s="72"/>
      <c r="AD456" s="72"/>
      <c r="AE456" s="72"/>
      <c r="AF456" s="72"/>
    </row>
    <row r="457">
      <c r="X457" s="129"/>
      <c r="Y457" s="72"/>
      <c r="Z457" s="72"/>
      <c r="AA457" s="72"/>
      <c r="AB457" s="72"/>
      <c r="AC457" s="72"/>
      <c r="AD457" s="72"/>
      <c r="AE457" s="72"/>
      <c r="AF457" s="72"/>
    </row>
    <row r="458">
      <c r="X458" s="129"/>
      <c r="Y458" s="72"/>
      <c r="Z458" s="72"/>
      <c r="AA458" s="72"/>
      <c r="AB458" s="72"/>
      <c r="AC458" s="72"/>
      <c r="AD458" s="72"/>
      <c r="AE458" s="72"/>
      <c r="AF458" s="72"/>
    </row>
    <row r="459">
      <c r="X459" s="129"/>
      <c r="Y459" s="72"/>
      <c r="Z459" s="72"/>
      <c r="AA459" s="72"/>
      <c r="AB459" s="72"/>
      <c r="AC459" s="72"/>
      <c r="AD459" s="72"/>
      <c r="AE459" s="72"/>
      <c r="AF459" s="72"/>
    </row>
    <row r="460">
      <c r="X460" s="129"/>
      <c r="Y460" s="72"/>
      <c r="Z460" s="72"/>
      <c r="AA460" s="72"/>
      <c r="AB460" s="72"/>
      <c r="AC460" s="72"/>
      <c r="AD460" s="72"/>
      <c r="AE460" s="72"/>
      <c r="AF460" s="72"/>
    </row>
    <row r="461">
      <c r="X461" s="129"/>
      <c r="Y461" s="72"/>
      <c r="Z461" s="72"/>
      <c r="AA461" s="72"/>
      <c r="AB461" s="72"/>
      <c r="AC461" s="72"/>
      <c r="AD461" s="72"/>
      <c r="AE461" s="72"/>
      <c r="AF461" s="72"/>
    </row>
    <row r="462">
      <c r="X462" s="129"/>
      <c r="Y462" s="72"/>
      <c r="Z462" s="72"/>
      <c r="AA462" s="72"/>
      <c r="AB462" s="72"/>
      <c r="AC462" s="72"/>
      <c r="AD462" s="72"/>
      <c r="AE462" s="72"/>
      <c r="AF462" s="72"/>
    </row>
    <row r="463">
      <c r="X463" s="129"/>
      <c r="Y463" s="72"/>
      <c r="Z463" s="72"/>
      <c r="AA463" s="72"/>
      <c r="AB463" s="72"/>
      <c r="AC463" s="72"/>
      <c r="AD463" s="72"/>
      <c r="AE463" s="72"/>
      <c r="AF463" s="72"/>
    </row>
    <row r="464">
      <c r="X464" s="129"/>
      <c r="Y464" s="72"/>
      <c r="Z464" s="72"/>
      <c r="AA464" s="72"/>
      <c r="AB464" s="72"/>
      <c r="AC464" s="72"/>
      <c r="AD464" s="72"/>
      <c r="AE464" s="72"/>
      <c r="AF464" s="72"/>
    </row>
    <row r="465">
      <c r="X465" s="129"/>
      <c r="Y465" s="72"/>
      <c r="Z465" s="72"/>
      <c r="AA465" s="72"/>
      <c r="AB465" s="72"/>
      <c r="AC465" s="72"/>
      <c r="AD465" s="72"/>
      <c r="AE465" s="72"/>
      <c r="AF465" s="72"/>
    </row>
    <row r="466">
      <c r="X466" s="129"/>
      <c r="Y466" s="72"/>
      <c r="Z466" s="72"/>
      <c r="AA466" s="72"/>
      <c r="AB466" s="72"/>
      <c r="AC466" s="72"/>
      <c r="AD466" s="72"/>
      <c r="AE466" s="72"/>
      <c r="AF466" s="72"/>
    </row>
    <row r="467">
      <c r="X467" s="129"/>
      <c r="Y467" s="72"/>
      <c r="Z467" s="72"/>
      <c r="AA467" s="72"/>
      <c r="AB467" s="72"/>
      <c r="AC467" s="72"/>
      <c r="AD467" s="72"/>
      <c r="AE467" s="72"/>
      <c r="AF467" s="72"/>
    </row>
    <row r="468">
      <c r="X468" s="129"/>
      <c r="Y468" s="72"/>
      <c r="Z468" s="72"/>
      <c r="AA468" s="72"/>
      <c r="AB468" s="72"/>
      <c r="AC468" s="72"/>
      <c r="AD468" s="72"/>
      <c r="AE468" s="72"/>
      <c r="AF468" s="72"/>
    </row>
    <row r="469">
      <c r="X469" s="129"/>
      <c r="Y469" s="72"/>
      <c r="Z469" s="72"/>
      <c r="AA469" s="72"/>
      <c r="AB469" s="72"/>
      <c r="AC469" s="72"/>
      <c r="AD469" s="72"/>
      <c r="AE469" s="72"/>
      <c r="AF469" s="72"/>
    </row>
    <row r="470">
      <c r="X470" s="129"/>
      <c r="Y470" s="72"/>
      <c r="Z470" s="72"/>
      <c r="AA470" s="72"/>
      <c r="AB470" s="72"/>
      <c r="AC470" s="72"/>
      <c r="AD470" s="72"/>
      <c r="AE470" s="72"/>
      <c r="AF470" s="72"/>
    </row>
    <row r="471">
      <c r="X471" s="129"/>
      <c r="Y471" s="72"/>
      <c r="Z471" s="72"/>
      <c r="AA471" s="72"/>
      <c r="AB471" s="72"/>
      <c r="AC471" s="72"/>
      <c r="AD471" s="72"/>
      <c r="AE471" s="72"/>
      <c r="AF471" s="72"/>
    </row>
    <row r="472">
      <c r="X472" s="129"/>
      <c r="Y472" s="72"/>
      <c r="Z472" s="72"/>
      <c r="AA472" s="72"/>
      <c r="AB472" s="72"/>
      <c r="AC472" s="72"/>
      <c r="AD472" s="72"/>
      <c r="AE472" s="72"/>
      <c r="AF472" s="72"/>
    </row>
    <row r="473">
      <c r="X473" s="129"/>
      <c r="Y473" s="72"/>
      <c r="Z473" s="72"/>
      <c r="AA473" s="72"/>
      <c r="AB473" s="72"/>
      <c r="AC473" s="72"/>
      <c r="AD473" s="72"/>
      <c r="AE473" s="72"/>
      <c r="AF473" s="72"/>
    </row>
    <row r="474">
      <c r="X474" s="129"/>
      <c r="Y474" s="72"/>
      <c r="Z474" s="72"/>
      <c r="AA474" s="72"/>
      <c r="AB474" s="72"/>
      <c r="AC474" s="72"/>
      <c r="AD474" s="72"/>
      <c r="AE474" s="72"/>
      <c r="AF474" s="72"/>
    </row>
    <row r="475">
      <c r="X475" s="129"/>
      <c r="Y475" s="72"/>
      <c r="Z475" s="72"/>
      <c r="AA475" s="72"/>
      <c r="AB475" s="72"/>
      <c r="AC475" s="72"/>
      <c r="AD475" s="72"/>
      <c r="AE475" s="72"/>
      <c r="AF475" s="72"/>
    </row>
    <row r="476">
      <c r="X476" s="129"/>
      <c r="Y476" s="72"/>
      <c r="Z476" s="72"/>
      <c r="AA476" s="72"/>
      <c r="AB476" s="72"/>
      <c r="AC476" s="72"/>
      <c r="AD476" s="72"/>
      <c r="AE476" s="72"/>
      <c r="AF476" s="72"/>
    </row>
    <row r="477">
      <c r="X477" s="129"/>
      <c r="Y477" s="72"/>
      <c r="Z477" s="72"/>
      <c r="AA477" s="72"/>
      <c r="AB477" s="72"/>
      <c r="AC477" s="72"/>
      <c r="AD477" s="72"/>
      <c r="AE477" s="72"/>
      <c r="AF477" s="72"/>
    </row>
    <row r="478">
      <c r="X478" s="129"/>
      <c r="Y478" s="72"/>
      <c r="Z478" s="72"/>
      <c r="AA478" s="72"/>
      <c r="AB478" s="72"/>
      <c r="AC478" s="72"/>
      <c r="AD478" s="72"/>
      <c r="AE478" s="72"/>
      <c r="AF478" s="72"/>
    </row>
    <row r="479">
      <c r="X479" s="129"/>
      <c r="Y479" s="72"/>
      <c r="Z479" s="72"/>
      <c r="AA479" s="72"/>
      <c r="AB479" s="72"/>
      <c r="AC479" s="72"/>
      <c r="AD479" s="72"/>
      <c r="AE479" s="72"/>
      <c r="AF479" s="72"/>
    </row>
    <row r="480">
      <c r="X480" s="129"/>
      <c r="Y480" s="72"/>
      <c r="Z480" s="72"/>
      <c r="AA480" s="72"/>
      <c r="AB480" s="72"/>
      <c r="AC480" s="72"/>
      <c r="AD480" s="72"/>
      <c r="AE480" s="72"/>
      <c r="AF480" s="72"/>
    </row>
    <row r="481">
      <c r="X481" s="129"/>
      <c r="Y481" s="72"/>
      <c r="Z481" s="72"/>
      <c r="AA481" s="72"/>
      <c r="AB481" s="72"/>
      <c r="AC481" s="72"/>
      <c r="AD481" s="72"/>
      <c r="AE481" s="72"/>
      <c r="AF481" s="72"/>
    </row>
    <row r="482">
      <c r="X482" s="129"/>
      <c r="Y482" s="72"/>
      <c r="Z482" s="72"/>
      <c r="AA482" s="72"/>
      <c r="AB482" s="72"/>
      <c r="AC482" s="72"/>
      <c r="AD482" s="72"/>
      <c r="AE482" s="72"/>
      <c r="AF482" s="72"/>
    </row>
    <row r="483">
      <c r="X483" s="129"/>
      <c r="Y483" s="72"/>
      <c r="Z483" s="72"/>
      <c r="AA483" s="72"/>
      <c r="AB483" s="72"/>
      <c r="AC483" s="72"/>
      <c r="AD483" s="72"/>
      <c r="AE483" s="72"/>
      <c r="AF483" s="72"/>
    </row>
    <row r="484">
      <c r="X484" s="129"/>
      <c r="Y484" s="72"/>
      <c r="Z484" s="72"/>
      <c r="AA484" s="72"/>
      <c r="AB484" s="72"/>
      <c r="AC484" s="72"/>
      <c r="AD484" s="72"/>
      <c r="AE484" s="72"/>
      <c r="AF484" s="72"/>
    </row>
    <row r="485">
      <c r="X485" s="129"/>
      <c r="Y485" s="72"/>
      <c r="Z485" s="72"/>
      <c r="AA485" s="72"/>
      <c r="AB485" s="72"/>
      <c r="AC485" s="72"/>
      <c r="AD485" s="72"/>
      <c r="AE485" s="72"/>
      <c r="AF485" s="72"/>
    </row>
    <row r="486">
      <c r="X486" s="129"/>
      <c r="Y486" s="72"/>
      <c r="Z486" s="72"/>
      <c r="AA486" s="72"/>
      <c r="AB486" s="72"/>
      <c r="AC486" s="72"/>
      <c r="AD486" s="72"/>
      <c r="AE486" s="72"/>
      <c r="AF486" s="72"/>
    </row>
    <row r="487">
      <c r="X487" s="129"/>
      <c r="Y487" s="72"/>
      <c r="Z487" s="72"/>
      <c r="AA487" s="72"/>
      <c r="AB487" s="72"/>
      <c r="AC487" s="72"/>
      <c r="AD487" s="72"/>
      <c r="AE487" s="72"/>
      <c r="AF487" s="72"/>
    </row>
    <row r="488">
      <c r="X488" s="129"/>
      <c r="Y488" s="72"/>
      <c r="Z488" s="72"/>
      <c r="AA488" s="72"/>
      <c r="AB488" s="72"/>
      <c r="AC488" s="72"/>
      <c r="AD488" s="72"/>
      <c r="AE488" s="72"/>
      <c r="AF488" s="72"/>
    </row>
    <row r="489">
      <c r="X489" s="129"/>
      <c r="Y489" s="72"/>
      <c r="Z489" s="72"/>
      <c r="AA489" s="72"/>
      <c r="AB489" s="72"/>
      <c r="AC489" s="72"/>
      <c r="AD489" s="72"/>
      <c r="AE489" s="72"/>
      <c r="AF489" s="72"/>
    </row>
    <row r="490">
      <c r="X490" s="129"/>
      <c r="Y490" s="72"/>
      <c r="Z490" s="72"/>
      <c r="AA490" s="72"/>
      <c r="AB490" s="72"/>
      <c r="AC490" s="72"/>
      <c r="AD490" s="72"/>
      <c r="AE490" s="72"/>
      <c r="AF490" s="72"/>
    </row>
    <row r="491">
      <c r="X491" s="129"/>
      <c r="Y491" s="72"/>
      <c r="Z491" s="72"/>
      <c r="AA491" s="72"/>
      <c r="AB491" s="72"/>
      <c r="AC491" s="72"/>
      <c r="AD491" s="72"/>
      <c r="AE491" s="72"/>
      <c r="AF491" s="72"/>
    </row>
    <row r="492">
      <c r="X492" s="129"/>
      <c r="Y492" s="72"/>
      <c r="Z492" s="72"/>
      <c r="AA492" s="72"/>
      <c r="AB492" s="72"/>
      <c r="AC492" s="72"/>
      <c r="AD492" s="72"/>
      <c r="AE492" s="72"/>
      <c r="AF492" s="72"/>
    </row>
    <row r="493">
      <c r="X493" s="129"/>
      <c r="Y493" s="72"/>
      <c r="Z493" s="72"/>
      <c r="AA493" s="72"/>
      <c r="AB493" s="72"/>
      <c r="AC493" s="72"/>
      <c r="AD493" s="72"/>
      <c r="AE493" s="72"/>
      <c r="AF493" s="72"/>
    </row>
    <row r="494">
      <c r="X494" s="129"/>
      <c r="Y494" s="72"/>
      <c r="Z494" s="72"/>
      <c r="AA494" s="72"/>
      <c r="AB494" s="72"/>
      <c r="AC494" s="72"/>
      <c r="AD494" s="72"/>
      <c r="AE494" s="72"/>
      <c r="AF494" s="72"/>
    </row>
    <row r="495">
      <c r="X495" s="129"/>
      <c r="Y495" s="72"/>
      <c r="Z495" s="72"/>
      <c r="AA495" s="72"/>
      <c r="AB495" s="72"/>
      <c r="AC495" s="72"/>
      <c r="AD495" s="72"/>
      <c r="AE495" s="72"/>
      <c r="AF495" s="72"/>
    </row>
    <row r="496">
      <c r="X496" s="129"/>
      <c r="Y496" s="72"/>
      <c r="Z496" s="72"/>
      <c r="AA496" s="72"/>
      <c r="AB496" s="72"/>
      <c r="AC496" s="72"/>
      <c r="AD496" s="72"/>
      <c r="AE496" s="72"/>
      <c r="AF496" s="72"/>
    </row>
    <row r="497">
      <c r="X497" s="129"/>
      <c r="Y497" s="72"/>
      <c r="Z497" s="72"/>
      <c r="AA497" s="72"/>
      <c r="AB497" s="72"/>
      <c r="AC497" s="72"/>
      <c r="AD497" s="72"/>
      <c r="AE497" s="72"/>
      <c r="AF497" s="72"/>
    </row>
    <row r="498">
      <c r="X498" s="129"/>
      <c r="Y498" s="72"/>
      <c r="Z498" s="72"/>
      <c r="AA498" s="72"/>
      <c r="AB498" s="72"/>
      <c r="AC498" s="72"/>
      <c r="AD498" s="72"/>
      <c r="AE498" s="72"/>
      <c r="AF498" s="72"/>
    </row>
    <row r="499">
      <c r="X499" s="129"/>
      <c r="Y499" s="72"/>
      <c r="Z499" s="72"/>
      <c r="AA499" s="72"/>
      <c r="AB499" s="72"/>
      <c r="AC499" s="72"/>
      <c r="AD499" s="72"/>
      <c r="AE499" s="72"/>
      <c r="AF499" s="72"/>
    </row>
    <row r="500">
      <c r="X500" s="129"/>
      <c r="Y500" s="72"/>
      <c r="Z500" s="72"/>
      <c r="AA500" s="72"/>
      <c r="AB500" s="72"/>
      <c r="AC500" s="72"/>
      <c r="AD500" s="72"/>
      <c r="AE500" s="72"/>
      <c r="AF500" s="72"/>
    </row>
    <row r="501">
      <c r="X501" s="129"/>
      <c r="Y501" s="72"/>
      <c r="Z501" s="72"/>
      <c r="AA501" s="72"/>
      <c r="AB501" s="72"/>
      <c r="AC501" s="72"/>
      <c r="AD501" s="72"/>
      <c r="AE501" s="72"/>
      <c r="AF501" s="72"/>
    </row>
    <row r="502">
      <c r="X502" s="129"/>
      <c r="Y502" s="72"/>
      <c r="Z502" s="72"/>
      <c r="AA502" s="72"/>
      <c r="AB502" s="72"/>
      <c r="AC502" s="72"/>
      <c r="AD502" s="72"/>
      <c r="AE502" s="72"/>
      <c r="AF502" s="72"/>
    </row>
    <row r="503">
      <c r="X503" s="129"/>
      <c r="Y503" s="72"/>
      <c r="Z503" s="72"/>
      <c r="AA503" s="72"/>
      <c r="AB503" s="72"/>
      <c r="AC503" s="72"/>
      <c r="AD503" s="72"/>
      <c r="AE503" s="72"/>
      <c r="AF503" s="72"/>
    </row>
    <row r="504">
      <c r="X504" s="129"/>
      <c r="Y504" s="72"/>
      <c r="Z504" s="72"/>
      <c r="AA504" s="72"/>
      <c r="AB504" s="72"/>
      <c r="AC504" s="72"/>
      <c r="AD504" s="72"/>
      <c r="AE504" s="72"/>
      <c r="AF504" s="72"/>
    </row>
    <row r="505">
      <c r="X505" s="129"/>
      <c r="Y505" s="72"/>
      <c r="Z505" s="72"/>
      <c r="AA505" s="72"/>
      <c r="AB505" s="72"/>
      <c r="AC505" s="72"/>
      <c r="AD505" s="72"/>
      <c r="AE505" s="72"/>
      <c r="AF505" s="72"/>
    </row>
    <row r="506">
      <c r="X506" s="129"/>
      <c r="Y506" s="72"/>
      <c r="Z506" s="72"/>
      <c r="AA506" s="72"/>
      <c r="AB506" s="72"/>
      <c r="AC506" s="72"/>
      <c r="AD506" s="72"/>
      <c r="AE506" s="72"/>
      <c r="AF506" s="72"/>
    </row>
    <row r="507">
      <c r="X507" s="129"/>
      <c r="Y507" s="72"/>
      <c r="Z507" s="72"/>
      <c r="AA507" s="72"/>
      <c r="AB507" s="72"/>
      <c r="AC507" s="72"/>
      <c r="AD507" s="72"/>
      <c r="AE507" s="72"/>
      <c r="AF507" s="72"/>
    </row>
    <row r="508">
      <c r="X508" s="129"/>
      <c r="Y508" s="72"/>
      <c r="Z508" s="72"/>
      <c r="AA508" s="72"/>
      <c r="AB508" s="72"/>
      <c r="AC508" s="72"/>
      <c r="AD508" s="72"/>
      <c r="AE508" s="72"/>
      <c r="AF508" s="72"/>
    </row>
    <row r="509">
      <c r="X509" s="129"/>
      <c r="Y509" s="72"/>
      <c r="Z509" s="72"/>
      <c r="AA509" s="72"/>
      <c r="AB509" s="72"/>
      <c r="AC509" s="72"/>
      <c r="AD509" s="72"/>
      <c r="AE509" s="72"/>
      <c r="AF509" s="72"/>
    </row>
    <row r="510">
      <c r="X510" s="129"/>
      <c r="Y510" s="72"/>
      <c r="Z510" s="72"/>
      <c r="AA510" s="72"/>
      <c r="AB510" s="72"/>
      <c r="AC510" s="72"/>
      <c r="AD510" s="72"/>
      <c r="AE510" s="72"/>
      <c r="AF510" s="72"/>
    </row>
    <row r="511">
      <c r="X511" s="129"/>
      <c r="Y511" s="72"/>
      <c r="Z511" s="72"/>
      <c r="AA511" s="72"/>
      <c r="AB511" s="72"/>
      <c r="AC511" s="72"/>
      <c r="AD511" s="72"/>
      <c r="AE511" s="72"/>
      <c r="AF511" s="72"/>
    </row>
    <row r="512">
      <c r="X512" s="129"/>
      <c r="Y512" s="72"/>
      <c r="Z512" s="72"/>
      <c r="AA512" s="72"/>
      <c r="AB512" s="72"/>
      <c r="AC512" s="72"/>
      <c r="AD512" s="72"/>
      <c r="AE512" s="72"/>
      <c r="AF512" s="72"/>
    </row>
    <row r="513">
      <c r="X513" s="129"/>
      <c r="Y513" s="72"/>
      <c r="Z513" s="72"/>
      <c r="AA513" s="72"/>
      <c r="AB513" s="72"/>
      <c r="AC513" s="72"/>
      <c r="AD513" s="72"/>
      <c r="AE513" s="72"/>
      <c r="AF513" s="72"/>
    </row>
    <row r="514">
      <c r="X514" s="129"/>
      <c r="Y514" s="72"/>
      <c r="Z514" s="72"/>
      <c r="AA514" s="72"/>
      <c r="AB514" s="72"/>
      <c r="AC514" s="72"/>
      <c r="AD514" s="72"/>
      <c r="AE514" s="72"/>
      <c r="AF514" s="72"/>
    </row>
    <row r="515">
      <c r="X515" s="129"/>
      <c r="Y515" s="72"/>
      <c r="Z515" s="72"/>
      <c r="AA515" s="72"/>
      <c r="AB515" s="72"/>
      <c r="AC515" s="72"/>
      <c r="AD515" s="72"/>
      <c r="AE515" s="72"/>
      <c r="AF515" s="72"/>
    </row>
    <row r="516">
      <c r="X516" s="129"/>
      <c r="Y516" s="72"/>
      <c r="Z516" s="72"/>
      <c r="AA516" s="72"/>
      <c r="AB516" s="72"/>
      <c r="AC516" s="72"/>
      <c r="AD516" s="72"/>
      <c r="AE516" s="72"/>
      <c r="AF516" s="72"/>
    </row>
    <row r="517">
      <c r="X517" s="129"/>
      <c r="Y517" s="72"/>
      <c r="Z517" s="72"/>
      <c r="AA517" s="72"/>
      <c r="AB517" s="72"/>
      <c r="AC517" s="72"/>
      <c r="AD517" s="72"/>
      <c r="AE517" s="72"/>
      <c r="AF517" s="72"/>
    </row>
    <row r="518">
      <c r="X518" s="129"/>
      <c r="Y518" s="72"/>
      <c r="Z518" s="72"/>
      <c r="AA518" s="72"/>
      <c r="AB518" s="72"/>
      <c r="AC518" s="72"/>
      <c r="AD518" s="72"/>
      <c r="AE518" s="72"/>
      <c r="AF518" s="72"/>
    </row>
    <row r="519">
      <c r="X519" s="129"/>
      <c r="Y519" s="72"/>
      <c r="Z519" s="72"/>
      <c r="AA519" s="72"/>
      <c r="AB519" s="72"/>
      <c r="AC519" s="72"/>
      <c r="AD519" s="72"/>
      <c r="AE519" s="72"/>
      <c r="AF519" s="72"/>
    </row>
    <row r="520">
      <c r="X520" s="129"/>
      <c r="Y520" s="72"/>
      <c r="Z520" s="72"/>
      <c r="AA520" s="72"/>
      <c r="AB520" s="72"/>
      <c r="AC520" s="72"/>
      <c r="AD520" s="72"/>
      <c r="AE520" s="72"/>
      <c r="AF520" s="72"/>
    </row>
    <row r="521">
      <c r="X521" s="129"/>
      <c r="Y521" s="72"/>
      <c r="Z521" s="72"/>
      <c r="AA521" s="72"/>
      <c r="AB521" s="72"/>
      <c r="AC521" s="72"/>
      <c r="AD521" s="72"/>
      <c r="AE521" s="72"/>
      <c r="AF521" s="72"/>
    </row>
    <row r="522">
      <c r="X522" s="129"/>
      <c r="Y522" s="72"/>
      <c r="Z522" s="72"/>
      <c r="AA522" s="72"/>
      <c r="AB522" s="72"/>
      <c r="AC522" s="72"/>
      <c r="AD522" s="72"/>
      <c r="AE522" s="72"/>
      <c r="AF522" s="72"/>
    </row>
    <row r="523">
      <c r="X523" s="129"/>
      <c r="Y523" s="72"/>
      <c r="Z523" s="72"/>
      <c r="AA523" s="72"/>
      <c r="AB523" s="72"/>
      <c r="AC523" s="72"/>
      <c r="AD523" s="72"/>
      <c r="AE523" s="72"/>
      <c r="AF523" s="72"/>
    </row>
    <row r="524">
      <c r="X524" s="129"/>
      <c r="Y524" s="72"/>
      <c r="Z524" s="72"/>
      <c r="AA524" s="72"/>
      <c r="AB524" s="72"/>
      <c r="AC524" s="72"/>
      <c r="AD524" s="72"/>
      <c r="AE524" s="72"/>
      <c r="AF524" s="72"/>
    </row>
    <row r="525">
      <c r="X525" s="129"/>
      <c r="Y525" s="72"/>
      <c r="Z525" s="72"/>
      <c r="AA525" s="72"/>
      <c r="AB525" s="72"/>
      <c r="AC525" s="72"/>
      <c r="AD525" s="72"/>
      <c r="AE525" s="72"/>
      <c r="AF525" s="72"/>
    </row>
    <row r="526">
      <c r="X526" s="129"/>
      <c r="Y526" s="72"/>
      <c r="Z526" s="72"/>
      <c r="AA526" s="72"/>
      <c r="AB526" s="72"/>
      <c r="AC526" s="72"/>
      <c r="AD526" s="72"/>
      <c r="AE526" s="72"/>
      <c r="AF526" s="72"/>
    </row>
    <row r="527">
      <c r="X527" s="129"/>
      <c r="Y527" s="72"/>
      <c r="Z527" s="72"/>
      <c r="AA527" s="72"/>
      <c r="AB527" s="72"/>
      <c r="AC527" s="72"/>
      <c r="AD527" s="72"/>
      <c r="AE527" s="72"/>
      <c r="AF527" s="72"/>
    </row>
    <row r="528">
      <c r="X528" s="129"/>
      <c r="Y528" s="72"/>
      <c r="Z528" s="72"/>
      <c r="AA528" s="72"/>
      <c r="AB528" s="72"/>
      <c r="AC528" s="72"/>
      <c r="AD528" s="72"/>
      <c r="AE528" s="72"/>
      <c r="AF528" s="72"/>
    </row>
    <row r="529">
      <c r="X529" s="129"/>
      <c r="Y529" s="72"/>
      <c r="Z529" s="72"/>
      <c r="AA529" s="72"/>
      <c r="AB529" s="72"/>
      <c r="AC529" s="72"/>
      <c r="AD529" s="72"/>
      <c r="AE529" s="72"/>
      <c r="AF529" s="72"/>
    </row>
    <row r="530">
      <c r="X530" s="129"/>
      <c r="Y530" s="72"/>
      <c r="Z530" s="72"/>
      <c r="AA530" s="72"/>
      <c r="AB530" s="72"/>
      <c r="AC530" s="72"/>
      <c r="AD530" s="72"/>
      <c r="AE530" s="72"/>
      <c r="AF530" s="72"/>
    </row>
    <row r="531">
      <c r="X531" s="129"/>
      <c r="Y531" s="72"/>
      <c r="Z531" s="72"/>
      <c r="AA531" s="72"/>
      <c r="AB531" s="72"/>
      <c r="AC531" s="72"/>
      <c r="AD531" s="72"/>
      <c r="AE531" s="72"/>
      <c r="AF531" s="72"/>
    </row>
    <row r="532">
      <c r="X532" s="129"/>
      <c r="Y532" s="72"/>
      <c r="Z532" s="72"/>
      <c r="AA532" s="72"/>
      <c r="AB532" s="72"/>
      <c r="AC532" s="72"/>
      <c r="AD532" s="72"/>
      <c r="AE532" s="72"/>
      <c r="AF532" s="72"/>
    </row>
    <row r="533">
      <c r="X533" s="129"/>
      <c r="Y533" s="72"/>
      <c r="Z533" s="72"/>
      <c r="AA533" s="72"/>
      <c r="AB533" s="72"/>
      <c r="AC533" s="72"/>
      <c r="AD533" s="72"/>
      <c r="AE533" s="72"/>
      <c r="AF533" s="72"/>
    </row>
    <row r="534">
      <c r="X534" s="129"/>
      <c r="Y534" s="72"/>
      <c r="Z534" s="72"/>
      <c r="AA534" s="72"/>
      <c r="AB534" s="72"/>
      <c r="AC534" s="72"/>
      <c r="AD534" s="72"/>
      <c r="AE534" s="72"/>
      <c r="AF534" s="72"/>
    </row>
    <row r="535">
      <c r="X535" s="129"/>
      <c r="Y535" s="72"/>
      <c r="Z535" s="72"/>
      <c r="AA535" s="72"/>
      <c r="AB535" s="72"/>
      <c r="AC535" s="72"/>
      <c r="AD535" s="72"/>
      <c r="AE535" s="72"/>
      <c r="AF535" s="72"/>
    </row>
    <row r="536">
      <c r="X536" s="129"/>
      <c r="Y536" s="72"/>
      <c r="Z536" s="72"/>
      <c r="AA536" s="72"/>
      <c r="AB536" s="72"/>
      <c r="AC536" s="72"/>
      <c r="AD536" s="72"/>
      <c r="AE536" s="72"/>
      <c r="AF536" s="72"/>
    </row>
    <row r="537">
      <c r="X537" s="129"/>
      <c r="Y537" s="72"/>
      <c r="Z537" s="72"/>
      <c r="AA537" s="72"/>
      <c r="AB537" s="72"/>
      <c r="AC537" s="72"/>
      <c r="AD537" s="72"/>
      <c r="AE537" s="72"/>
      <c r="AF537" s="72"/>
    </row>
    <row r="538">
      <c r="X538" s="129"/>
      <c r="Y538" s="72"/>
      <c r="Z538" s="72"/>
      <c r="AA538" s="72"/>
      <c r="AB538" s="72"/>
      <c r="AC538" s="72"/>
      <c r="AD538" s="72"/>
      <c r="AE538" s="72"/>
      <c r="AF538" s="72"/>
    </row>
    <row r="539">
      <c r="X539" s="129"/>
      <c r="Y539" s="72"/>
      <c r="Z539" s="72"/>
      <c r="AA539" s="72"/>
      <c r="AB539" s="72"/>
      <c r="AC539" s="72"/>
      <c r="AD539" s="72"/>
      <c r="AE539" s="72"/>
      <c r="AF539" s="72"/>
    </row>
    <row r="540">
      <c r="X540" s="129"/>
      <c r="Y540" s="72"/>
      <c r="Z540" s="72"/>
      <c r="AA540" s="72"/>
      <c r="AB540" s="72"/>
      <c r="AC540" s="72"/>
      <c r="AD540" s="72"/>
      <c r="AE540" s="72"/>
      <c r="AF540" s="72"/>
    </row>
    <row r="541">
      <c r="X541" s="129"/>
      <c r="Y541" s="72"/>
      <c r="Z541" s="72"/>
      <c r="AA541" s="72"/>
      <c r="AB541" s="72"/>
      <c r="AC541" s="72"/>
      <c r="AD541" s="72"/>
      <c r="AE541" s="72"/>
      <c r="AF541" s="72"/>
    </row>
    <row r="542">
      <c r="X542" s="129"/>
      <c r="Y542" s="72"/>
      <c r="Z542" s="72"/>
      <c r="AA542" s="72"/>
      <c r="AB542" s="72"/>
      <c r="AC542" s="72"/>
      <c r="AD542" s="72"/>
      <c r="AE542" s="72"/>
      <c r="AF542" s="72"/>
    </row>
    <row r="543">
      <c r="X543" s="129"/>
      <c r="Y543" s="72"/>
      <c r="Z543" s="72"/>
      <c r="AA543" s="72"/>
      <c r="AB543" s="72"/>
      <c r="AC543" s="72"/>
      <c r="AD543" s="72"/>
      <c r="AE543" s="72"/>
      <c r="AF543" s="72"/>
    </row>
    <row r="544">
      <c r="X544" s="129"/>
      <c r="Y544" s="72"/>
      <c r="Z544" s="72"/>
      <c r="AA544" s="72"/>
      <c r="AB544" s="72"/>
      <c r="AC544" s="72"/>
      <c r="AD544" s="72"/>
      <c r="AE544" s="72"/>
      <c r="AF544" s="72"/>
    </row>
    <row r="545">
      <c r="X545" s="129"/>
      <c r="Y545" s="72"/>
      <c r="Z545" s="72"/>
      <c r="AA545" s="72"/>
      <c r="AB545" s="72"/>
      <c r="AC545" s="72"/>
      <c r="AD545" s="72"/>
      <c r="AE545" s="72"/>
      <c r="AF545" s="72"/>
    </row>
    <row r="546">
      <c r="X546" s="129"/>
      <c r="Y546" s="72"/>
      <c r="Z546" s="72"/>
      <c r="AA546" s="72"/>
      <c r="AB546" s="72"/>
      <c r="AC546" s="72"/>
      <c r="AD546" s="72"/>
      <c r="AE546" s="72"/>
      <c r="AF546" s="72"/>
    </row>
    <row r="547">
      <c r="X547" s="129"/>
      <c r="Y547" s="72"/>
      <c r="Z547" s="72"/>
      <c r="AA547" s="72"/>
      <c r="AB547" s="72"/>
      <c r="AC547" s="72"/>
      <c r="AD547" s="72"/>
      <c r="AE547" s="72"/>
      <c r="AF547" s="72"/>
    </row>
    <row r="548">
      <c r="X548" s="129"/>
      <c r="Y548" s="72"/>
      <c r="Z548" s="72"/>
      <c r="AA548" s="72"/>
      <c r="AB548" s="72"/>
      <c r="AC548" s="72"/>
      <c r="AD548" s="72"/>
      <c r="AE548" s="72"/>
      <c r="AF548" s="72"/>
    </row>
    <row r="549">
      <c r="X549" s="129"/>
      <c r="Y549" s="72"/>
      <c r="Z549" s="72"/>
      <c r="AA549" s="72"/>
      <c r="AB549" s="72"/>
      <c r="AC549" s="72"/>
      <c r="AD549" s="72"/>
      <c r="AE549" s="72"/>
      <c r="AF549" s="72"/>
    </row>
    <row r="550">
      <c r="X550" s="129"/>
      <c r="Y550" s="72"/>
      <c r="Z550" s="72"/>
      <c r="AA550" s="72"/>
      <c r="AB550" s="72"/>
      <c r="AC550" s="72"/>
      <c r="AD550" s="72"/>
      <c r="AE550" s="72"/>
      <c r="AF550" s="72"/>
    </row>
    <row r="551">
      <c r="X551" s="129"/>
      <c r="Y551" s="72"/>
      <c r="Z551" s="72"/>
      <c r="AA551" s="72"/>
      <c r="AB551" s="72"/>
      <c r="AC551" s="72"/>
      <c r="AD551" s="72"/>
      <c r="AE551" s="72"/>
      <c r="AF551" s="72"/>
    </row>
    <row r="552">
      <c r="X552" s="129"/>
      <c r="Y552" s="72"/>
      <c r="Z552" s="72"/>
      <c r="AA552" s="72"/>
      <c r="AB552" s="72"/>
      <c r="AC552" s="72"/>
      <c r="AD552" s="72"/>
      <c r="AE552" s="72"/>
      <c r="AF552" s="72"/>
    </row>
    <row r="553">
      <c r="X553" s="129"/>
      <c r="Y553" s="72"/>
      <c r="Z553" s="72"/>
      <c r="AA553" s="72"/>
      <c r="AB553" s="72"/>
      <c r="AC553" s="72"/>
      <c r="AD553" s="72"/>
      <c r="AE553" s="72"/>
      <c r="AF553" s="72"/>
    </row>
    <row r="554">
      <c r="X554" s="129"/>
      <c r="Y554" s="72"/>
      <c r="Z554" s="72"/>
      <c r="AA554" s="72"/>
      <c r="AB554" s="72"/>
      <c r="AC554" s="72"/>
      <c r="AD554" s="72"/>
      <c r="AE554" s="72"/>
      <c r="AF554" s="72"/>
    </row>
    <row r="555">
      <c r="X555" s="129"/>
      <c r="Y555" s="72"/>
      <c r="Z555" s="72"/>
      <c r="AA555" s="72"/>
      <c r="AB555" s="72"/>
      <c r="AC555" s="72"/>
      <c r="AD555" s="72"/>
      <c r="AE555" s="72"/>
      <c r="AF555" s="72"/>
    </row>
    <row r="556">
      <c r="X556" s="129"/>
      <c r="Y556" s="72"/>
      <c r="Z556" s="72"/>
      <c r="AA556" s="72"/>
      <c r="AB556" s="72"/>
      <c r="AC556" s="72"/>
      <c r="AD556" s="72"/>
      <c r="AE556" s="72"/>
      <c r="AF556" s="72"/>
    </row>
    <row r="557">
      <c r="X557" s="129"/>
      <c r="Y557" s="72"/>
      <c r="Z557" s="72"/>
      <c r="AA557" s="72"/>
      <c r="AB557" s="72"/>
      <c r="AC557" s="72"/>
      <c r="AD557" s="72"/>
      <c r="AE557" s="72"/>
      <c r="AF557" s="72"/>
    </row>
    <row r="558">
      <c r="X558" s="129"/>
      <c r="Y558" s="72"/>
      <c r="Z558" s="72"/>
      <c r="AA558" s="72"/>
      <c r="AB558" s="72"/>
      <c r="AC558" s="72"/>
      <c r="AD558" s="72"/>
      <c r="AE558" s="72"/>
      <c r="AF558" s="72"/>
    </row>
    <row r="559">
      <c r="X559" s="129"/>
      <c r="Y559" s="72"/>
      <c r="Z559" s="72"/>
      <c r="AA559" s="72"/>
      <c r="AB559" s="72"/>
      <c r="AC559" s="72"/>
      <c r="AD559" s="72"/>
      <c r="AE559" s="72"/>
      <c r="AF559" s="72"/>
    </row>
    <row r="560">
      <c r="X560" s="129"/>
      <c r="Y560" s="72"/>
      <c r="Z560" s="72"/>
      <c r="AA560" s="72"/>
      <c r="AB560" s="72"/>
      <c r="AC560" s="72"/>
      <c r="AD560" s="72"/>
      <c r="AE560" s="72"/>
      <c r="AF560" s="72"/>
    </row>
    <row r="561">
      <c r="X561" s="129"/>
      <c r="Y561" s="72"/>
      <c r="Z561" s="72"/>
      <c r="AA561" s="72"/>
      <c r="AB561" s="72"/>
      <c r="AC561" s="72"/>
      <c r="AD561" s="72"/>
      <c r="AE561" s="72"/>
      <c r="AF561" s="72"/>
    </row>
    <row r="562">
      <c r="X562" s="129"/>
      <c r="Y562" s="72"/>
      <c r="Z562" s="72"/>
      <c r="AA562" s="72"/>
      <c r="AB562" s="72"/>
      <c r="AC562" s="72"/>
      <c r="AD562" s="72"/>
      <c r="AE562" s="72"/>
      <c r="AF562" s="72"/>
    </row>
    <row r="563">
      <c r="X563" s="129"/>
      <c r="Y563" s="72"/>
      <c r="Z563" s="72"/>
      <c r="AA563" s="72"/>
      <c r="AB563" s="72"/>
      <c r="AC563" s="72"/>
      <c r="AD563" s="72"/>
      <c r="AE563" s="72"/>
      <c r="AF563" s="72"/>
    </row>
    <row r="564">
      <c r="X564" s="129"/>
      <c r="Y564" s="72"/>
      <c r="Z564" s="72"/>
      <c r="AA564" s="72"/>
      <c r="AB564" s="72"/>
      <c r="AC564" s="72"/>
      <c r="AD564" s="72"/>
      <c r="AE564" s="72"/>
      <c r="AF564" s="72"/>
    </row>
    <row r="565">
      <c r="X565" s="129"/>
      <c r="Y565" s="72"/>
      <c r="Z565" s="72"/>
      <c r="AA565" s="72"/>
      <c r="AB565" s="72"/>
      <c r="AC565" s="72"/>
      <c r="AD565" s="72"/>
      <c r="AE565" s="72"/>
      <c r="AF565" s="72"/>
    </row>
    <row r="566">
      <c r="X566" s="129"/>
      <c r="Y566" s="72"/>
      <c r="Z566" s="72"/>
      <c r="AA566" s="72"/>
      <c r="AB566" s="72"/>
      <c r="AC566" s="72"/>
      <c r="AD566" s="72"/>
      <c r="AE566" s="72"/>
      <c r="AF566" s="72"/>
    </row>
    <row r="567">
      <c r="X567" s="129"/>
      <c r="Y567" s="72"/>
      <c r="Z567" s="72"/>
      <c r="AA567" s="72"/>
      <c r="AB567" s="72"/>
      <c r="AC567" s="72"/>
      <c r="AD567" s="72"/>
      <c r="AE567" s="72"/>
      <c r="AF567" s="72"/>
    </row>
    <row r="568">
      <c r="X568" s="129"/>
      <c r="Y568" s="72"/>
      <c r="Z568" s="72"/>
      <c r="AA568" s="72"/>
      <c r="AB568" s="72"/>
      <c r="AC568" s="72"/>
      <c r="AD568" s="72"/>
      <c r="AE568" s="72"/>
      <c r="AF568" s="72"/>
    </row>
    <row r="569">
      <c r="X569" s="129"/>
      <c r="Y569" s="72"/>
      <c r="Z569" s="72"/>
      <c r="AA569" s="72"/>
      <c r="AB569" s="72"/>
      <c r="AC569" s="72"/>
      <c r="AD569" s="72"/>
      <c r="AE569" s="72"/>
      <c r="AF569" s="72"/>
    </row>
    <row r="570">
      <c r="X570" s="129"/>
      <c r="Y570" s="72"/>
      <c r="Z570" s="72"/>
      <c r="AA570" s="72"/>
      <c r="AB570" s="72"/>
      <c r="AC570" s="72"/>
      <c r="AD570" s="72"/>
      <c r="AE570" s="72"/>
      <c r="AF570" s="72"/>
    </row>
    <row r="571">
      <c r="X571" s="129"/>
      <c r="Y571" s="72"/>
      <c r="Z571" s="72"/>
      <c r="AA571" s="72"/>
      <c r="AB571" s="72"/>
      <c r="AC571" s="72"/>
      <c r="AD571" s="72"/>
      <c r="AE571" s="72"/>
      <c r="AF571" s="72"/>
    </row>
    <row r="572">
      <c r="X572" s="129"/>
      <c r="Y572" s="72"/>
      <c r="Z572" s="72"/>
      <c r="AA572" s="72"/>
      <c r="AB572" s="72"/>
      <c r="AC572" s="72"/>
      <c r="AD572" s="72"/>
      <c r="AE572" s="72"/>
      <c r="AF572" s="72"/>
    </row>
    <row r="573">
      <c r="X573" s="129"/>
      <c r="Y573" s="72"/>
      <c r="Z573" s="72"/>
      <c r="AA573" s="72"/>
      <c r="AB573" s="72"/>
      <c r="AC573" s="72"/>
      <c r="AD573" s="72"/>
      <c r="AE573" s="72"/>
      <c r="AF573" s="72"/>
    </row>
    <row r="574">
      <c r="X574" s="129"/>
      <c r="Y574" s="72"/>
      <c r="Z574" s="72"/>
      <c r="AA574" s="72"/>
      <c r="AB574" s="72"/>
      <c r="AC574" s="72"/>
      <c r="AD574" s="72"/>
      <c r="AE574" s="72"/>
      <c r="AF574" s="72"/>
    </row>
    <row r="575">
      <c r="X575" s="129"/>
      <c r="Y575" s="72"/>
      <c r="Z575" s="72"/>
      <c r="AA575" s="72"/>
      <c r="AB575" s="72"/>
      <c r="AC575" s="72"/>
      <c r="AD575" s="72"/>
      <c r="AE575" s="72"/>
      <c r="AF575" s="72"/>
    </row>
    <row r="576">
      <c r="X576" s="129"/>
      <c r="Y576" s="72"/>
      <c r="Z576" s="72"/>
      <c r="AA576" s="72"/>
      <c r="AB576" s="72"/>
      <c r="AC576" s="72"/>
      <c r="AD576" s="72"/>
      <c r="AE576" s="72"/>
      <c r="AF576" s="72"/>
    </row>
    <row r="577">
      <c r="X577" s="129"/>
      <c r="Y577" s="72"/>
      <c r="Z577" s="72"/>
      <c r="AA577" s="72"/>
      <c r="AB577" s="72"/>
      <c r="AC577" s="72"/>
      <c r="AD577" s="72"/>
      <c r="AE577" s="72"/>
      <c r="AF577" s="72"/>
    </row>
    <row r="578">
      <c r="X578" s="129"/>
      <c r="Y578" s="72"/>
      <c r="Z578" s="72"/>
      <c r="AA578" s="72"/>
      <c r="AB578" s="72"/>
      <c r="AC578" s="72"/>
      <c r="AD578" s="72"/>
      <c r="AE578" s="72"/>
      <c r="AF578" s="72"/>
    </row>
    <row r="579">
      <c r="X579" s="129"/>
      <c r="Y579" s="72"/>
      <c r="Z579" s="72"/>
      <c r="AA579" s="72"/>
      <c r="AB579" s="72"/>
      <c r="AC579" s="72"/>
      <c r="AD579" s="72"/>
      <c r="AE579" s="72"/>
      <c r="AF579" s="72"/>
    </row>
    <row r="580">
      <c r="X580" s="129"/>
      <c r="Y580" s="72"/>
      <c r="Z580" s="72"/>
      <c r="AA580" s="72"/>
      <c r="AB580" s="72"/>
      <c r="AC580" s="72"/>
      <c r="AD580" s="72"/>
      <c r="AE580" s="72"/>
      <c r="AF580" s="72"/>
    </row>
    <row r="581">
      <c r="X581" s="129"/>
      <c r="Y581" s="72"/>
      <c r="Z581" s="72"/>
      <c r="AA581" s="72"/>
      <c r="AB581" s="72"/>
      <c r="AC581" s="72"/>
      <c r="AD581" s="72"/>
      <c r="AE581" s="72"/>
      <c r="AF581" s="72"/>
    </row>
    <row r="582">
      <c r="X582" s="129"/>
      <c r="Y582" s="72"/>
      <c r="Z582" s="72"/>
      <c r="AA582" s="72"/>
      <c r="AB582" s="72"/>
      <c r="AC582" s="72"/>
      <c r="AD582" s="72"/>
      <c r="AE582" s="72"/>
      <c r="AF582" s="72"/>
    </row>
    <row r="583">
      <c r="X583" s="129"/>
      <c r="Y583" s="72"/>
      <c r="Z583" s="72"/>
      <c r="AA583" s="72"/>
      <c r="AB583" s="72"/>
      <c r="AC583" s="72"/>
      <c r="AD583" s="72"/>
      <c r="AE583" s="72"/>
      <c r="AF583" s="72"/>
    </row>
    <row r="584">
      <c r="X584" s="129"/>
      <c r="Y584" s="72"/>
      <c r="Z584" s="72"/>
      <c r="AA584" s="72"/>
      <c r="AB584" s="72"/>
      <c r="AC584" s="72"/>
      <c r="AD584" s="72"/>
      <c r="AE584" s="72"/>
      <c r="AF584" s="72"/>
    </row>
    <row r="585">
      <c r="X585" s="129"/>
      <c r="Y585" s="72"/>
      <c r="Z585" s="72"/>
      <c r="AA585" s="72"/>
      <c r="AB585" s="72"/>
      <c r="AC585" s="72"/>
      <c r="AD585" s="72"/>
      <c r="AE585" s="72"/>
      <c r="AF585" s="72"/>
    </row>
    <row r="586">
      <c r="X586" s="129"/>
      <c r="Y586" s="72"/>
      <c r="Z586" s="72"/>
      <c r="AA586" s="72"/>
      <c r="AB586" s="72"/>
      <c r="AC586" s="72"/>
      <c r="AD586" s="72"/>
      <c r="AE586" s="72"/>
      <c r="AF586" s="72"/>
    </row>
    <row r="587">
      <c r="X587" s="129"/>
      <c r="Y587" s="72"/>
      <c r="Z587" s="72"/>
      <c r="AA587" s="72"/>
      <c r="AB587" s="72"/>
      <c r="AC587" s="72"/>
      <c r="AD587" s="72"/>
      <c r="AE587" s="72"/>
      <c r="AF587" s="72"/>
    </row>
    <row r="588">
      <c r="X588" s="129"/>
      <c r="Y588" s="72"/>
      <c r="Z588" s="72"/>
      <c r="AA588" s="72"/>
      <c r="AB588" s="72"/>
      <c r="AC588" s="72"/>
      <c r="AD588" s="72"/>
      <c r="AE588" s="72"/>
      <c r="AF588" s="72"/>
    </row>
    <row r="589">
      <c r="X589" s="129"/>
      <c r="Y589" s="72"/>
      <c r="Z589" s="72"/>
      <c r="AA589" s="72"/>
      <c r="AB589" s="72"/>
      <c r="AC589" s="72"/>
      <c r="AD589" s="72"/>
      <c r="AE589" s="72"/>
      <c r="AF589" s="72"/>
    </row>
    <row r="590">
      <c r="X590" s="129"/>
      <c r="Y590" s="72"/>
      <c r="Z590" s="72"/>
      <c r="AA590" s="72"/>
      <c r="AB590" s="72"/>
      <c r="AC590" s="72"/>
      <c r="AD590" s="72"/>
      <c r="AE590" s="72"/>
      <c r="AF590" s="72"/>
    </row>
    <row r="591">
      <c r="X591" s="129"/>
      <c r="Y591" s="72"/>
      <c r="Z591" s="72"/>
      <c r="AA591" s="72"/>
      <c r="AB591" s="72"/>
      <c r="AC591" s="72"/>
      <c r="AD591" s="72"/>
      <c r="AE591" s="72"/>
      <c r="AF591" s="72"/>
    </row>
    <row r="592">
      <c r="X592" s="129"/>
      <c r="Y592" s="72"/>
      <c r="Z592" s="72"/>
      <c r="AA592" s="72"/>
      <c r="AB592" s="72"/>
      <c r="AC592" s="72"/>
      <c r="AD592" s="72"/>
      <c r="AE592" s="72"/>
      <c r="AF592" s="72"/>
    </row>
    <row r="593">
      <c r="X593" s="129"/>
      <c r="Y593" s="72"/>
      <c r="Z593" s="72"/>
      <c r="AA593" s="72"/>
      <c r="AB593" s="72"/>
      <c r="AC593" s="72"/>
      <c r="AD593" s="72"/>
      <c r="AE593" s="72"/>
      <c r="AF593" s="72"/>
    </row>
    <row r="594">
      <c r="X594" s="129"/>
      <c r="Y594" s="72"/>
      <c r="Z594" s="72"/>
      <c r="AA594" s="72"/>
      <c r="AB594" s="72"/>
      <c r="AC594" s="72"/>
      <c r="AD594" s="72"/>
      <c r="AE594" s="72"/>
      <c r="AF594" s="72"/>
    </row>
    <row r="595">
      <c r="X595" s="129"/>
      <c r="Y595" s="72"/>
      <c r="Z595" s="72"/>
      <c r="AA595" s="72"/>
      <c r="AB595" s="72"/>
      <c r="AC595" s="72"/>
      <c r="AD595" s="72"/>
      <c r="AE595" s="72"/>
      <c r="AF595" s="72"/>
    </row>
    <row r="596">
      <c r="X596" s="129"/>
      <c r="Y596" s="72"/>
      <c r="Z596" s="72"/>
      <c r="AA596" s="72"/>
      <c r="AB596" s="72"/>
      <c r="AC596" s="72"/>
      <c r="AD596" s="72"/>
      <c r="AE596" s="72"/>
      <c r="AF596" s="72"/>
    </row>
    <row r="597">
      <c r="X597" s="129"/>
      <c r="Y597" s="72"/>
      <c r="Z597" s="72"/>
      <c r="AA597" s="72"/>
      <c r="AB597" s="72"/>
      <c r="AC597" s="72"/>
      <c r="AD597" s="72"/>
      <c r="AE597" s="72"/>
      <c r="AF597" s="72"/>
    </row>
    <row r="598">
      <c r="X598" s="129"/>
      <c r="Y598" s="72"/>
      <c r="Z598" s="72"/>
      <c r="AA598" s="72"/>
      <c r="AB598" s="72"/>
      <c r="AC598" s="72"/>
      <c r="AD598" s="72"/>
      <c r="AE598" s="72"/>
      <c r="AF598" s="72"/>
    </row>
    <row r="599">
      <c r="X599" s="129"/>
      <c r="Y599" s="72"/>
      <c r="Z599" s="72"/>
      <c r="AA599" s="72"/>
      <c r="AB599" s="72"/>
      <c r="AC599" s="72"/>
      <c r="AD599" s="72"/>
      <c r="AE599" s="72"/>
      <c r="AF599" s="72"/>
    </row>
    <row r="600">
      <c r="X600" s="129"/>
      <c r="Y600" s="72"/>
      <c r="Z600" s="72"/>
      <c r="AA600" s="72"/>
      <c r="AB600" s="72"/>
      <c r="AC600" s="72"/>
      <c r="AD600" s="72"/>
      <c r="AE600" s="72"/>
      <c r="AF600" s="72"/>
    </row>
    <row r="601">
      <c r="X601" s="129"/>
      <c r="Y601" s="72"/>
      <c r="Z601" s="72"/>
      <c r="AA601" s="72"/>
      <c r="AB601" s="72"/>
      <c r="AC601" s="72"/>
      <c r="AD601" s="72"/>
      <c r="AE601" s="72"/>
      <c r="AF601" s="72"/>
    </row>
    <row r="602">
      <c r="X602" s="129"/>
      <c r="Y602" s="72"/>
      <c r="Z602" s="72"/>
      <c r="AA602" s="72"/>
      <c r="AB602" s="72"/>
      <c r="AC602" s="72"/>
      <c r="AD602" s="72"/>
      <c r="AE602" s="72"/>
      <c r="AF602" s="72"/>
    </row>
    <row r="603">
      <c r="X603" s="129"/>
      <c r="Y603" s="72"/>
      <c r="Z603" s="72"/>
      <c r="AA603" s="72"/>
      <c r="AB603" s="72"/>
      <c r="AC603" s="72"/>
      <c r="AD603" s="72"/>
      <c r="AE603" s="72"/>
      <c r="AF603" s="72"/>
    </row>
    <row r="604">
      <c r="X604" s="129"/>
      <c r="Y604" s="72"/>
      <c r="Z604" s="72"/>
      <c r="AA604" s="72"/>
      <c r="AB604" s="72"/>
      <c r="AC604" s="72"/>
      <c r="AD604" s="72"/>
      <c r="AE604" s="72"/>
      <c r="AF604" s="72"/>
    </row>
    <row r="605">
      <c r="X605" s="129"/>
      <c r="Y605" s="72"/>
      <c r="Z605" s="72"/>
      <c r="AA605" s="72"/>
      <c r="AB605" s="72"/>
      <c r="AC605" s="72"/>
      <c r="AD605" s="72"/>
      <c r="AE605" s="72"/>
      <c r="AF605" s="72"/>
    </row>
    <row r="606">
      <c r="X606" s="129"/>
      <c r="Y606" s="72"/>
      <c r="Z606" s="72"/>
      <c r="AA606" s="72"/>
      <c r="AB606" s="72"/>
      <c r="AC606" s="72"/>
      <c r="AD606" s="72"/>
      <c r="AE606" s="72"/>
      <c r="AF606" s="72"/>
    </row>
    <row r="607">
      <c r="X607" s="129"/>
      <c r="Y607" s="72"/>
      <c r="Z607" s="72"/>
      <c r="AA607" s="72"/>
      <c r="AB607" s="72"/>
      <c r="AC607" s="72"/>
      <c r="AD607" s="72"/>
      <c r="AE607" s="72"/>
      <c r="AF607" s="72"/>
    </row>
    <row r="608">
      <c r="X608" s="129"/>
      <c r="Y608" s="72"/>
      <c r="Z608" s="72"/>
      <c r="AA608" s="72"/>
      <c r="AB608" s="72"/>
      <c r="AC608" s="72"/>
      <c r="AD608" s="72"/>
      <c r="AE608" s="72"/>
      <c r="AF608" s="72"/>
    </row>
    <row r="609">
      <c r="X609" s="129"/>
      <c r="Y609" s="72"/>
      <c r="Z609" s="72"/>
      <c r="AA609" s="72"/>
      <c r="AB609" s="72"/>
      <c r="AC609" s="72"/>
      <c r="AD609" s="72"/>
      <c r="AE609" s="72"/>
      <c r="AF609" s="72"/>
    </row>
    <row r="610">
      <c r="X610" s="129"/>
      <c r="Y610" s="72"/>
      <c r="Z610" s="72"/>
      <c r="AA610" s="72"/>
      <c r="AB610" s="72"/>
      <c r="AC610" s="72"/>
      <c r="AD610" s="72"/>
      <c r="AE610" s="72"/>
      <c r="AF610" s="72"/>
    </row>
    <row r="611">
      <c r="X611" s="129"/>
      <c r="Y611" s="72"/>
      <c r="Z611" s="72"/>
      <c r="AA611" s="72"/>
      <c r="AB611" s="72"/>
      <c r="AC611" s="72"/>
      <c r="AD611" s="72"/>
      <c r="AE611" s="72"/>
      <c r="AF611" s="72"/>
    </row>
    <row r="612">
      <c r="X612" s="129"/>
      <c r="Y612" s="72"/>
      <c r="Z612" s="72"/>
      <c r="AA612" s="72"/>
      <c r="AB612" s="72"/>
      <c r="AC612" s="72"/>
      <c r="AD612" s="72"/>
      <c r="AE612" s="72"/>
      <c r="AF612" s="72"/>
    </row>
    <row r="613">
      <c r="X613" s="129"/>
      <c r="Y613" s="72"/>
      <c r="Z613" s="72"/>
      <c r="AA613" s="72"/>
      <c r="AB613" s="72"/>
      <c r="AC613" s="72"/>
      <c r="AD613" s="72"/>
      <c r="AE613" s="72"/>
      <c r="AF613" s="72"/>
    </row>
    <row r="614">
      <c r="X614" s="129"/>
      <c r="Y614" s="72"/>
      <c r="Z614" s="72"/>
      <c r="AA614" s="72"/>
      <c r="AB614" s="72"/>
      <c r="AC614" s="72"/>
      <c r="AD614" s="72"/>
      <c r="AE614" s="72"/>
      <c r="AF614" s="72"/>
    </row>
    <row r="615">
      <c r="X615" s="129"/>
      <c r="Y615" s="72"/>
      <c r="Z615" s="72"/>
      <c r="AA615" s="72"/>
      <c r="AB615" s="72"/>
      <c r="AC615" s="72"/>
      <c r="AD615" s="72"/>
      <c r="AE615" s="72"/>
      <c r="AF615" s="72"/>
    </row>
    <row r="616">
      <c r="X616" s="129"/>
      <c r="Y616" s="72"/>
      <c r="Z616" s="72"/>
      <c r="AA616" s="72"/>
      <c r="AB616" s="72"/>
      <c r="AC616" s="72"/>
      <c r="AD616" s="72"/>
      <c r="AE616" s="72"/>
      <c r="AF616" s="72"/>
    </row>
    <row r="617">
      <c r="X617" s="129"/>
      <c r="Y617" s="72"/>
      <c r="Z617" s="72"/>
      <c r="AA617" s="72"/>
      <c r="AB617" s="72"/>
      <c r="AC617" s="72"/>
      <c r="AD617" s="72"/>
      <c r="AE617" s="72"/>
      <c r="AF617" s="72"/>
    </row>
    <row r="618">
      <c r="X618" s="129"/>
      <c r="Y618" s="72"/>
      <c r="Z618" s="72"/>
      <c r="AA618" s="72"/>
      <c r="AB618" s="72"/>
      <c r="AC618" s="72"/>
      <c r="AD618" s="72"/>
      <c r="AE618" s="72"/>
      <c r="AF618" s="72"/>
    </row>
    <row r="619">
      <c r="X619" s="129"/>
      <c r="Y619" s="72"/>
      <c r="Z619" s="72"/>
      <c r="AA619" s="72"/>
      <c r="AB619" s="72"/>
      <c r="AC619" s="72"/>
      <c r="AD619" s="72"/>
      <c r="AE619" s="72"/>
      <c r="AF619" s="72"/>
    </row>
    <row r="620">
      <c r="X620" s="129"/>
      <c r="Y620" s="72"/>
      <c r="Z620" s="72"/>
      <c r="AA620" s="72"/>
      <c r="AB620" s="72"/>
      <c r="AC620" s="72"/>
      <c r="AD620" s="72"/>
      <c r="AE620" s="72"/>
      <c r="AF620" s="72"/>
    </row>
    <row r="621">
      <c r="X621" s="129"/>
      <c r="Y621" s="72"/>
      <c r="Z621" s="72"/>
      <c r="AA621" s="72"/>
      <c r="AB621" s="72"/>
      <c r="AC621" s="72"/>
      <c r="AD621" s="72"/>
      <c r="AE621" s="72"/>
      <c r="AF621" s="72"/>
    </row>
    <row r="622">
      <c r="X622" s="129"/>
      <c r="Y622" s="72"/>
      <c r="Z622" s="72"/>
      <c r="AA622" s="72"/>
      <c r="AB622" s="72"/>
      <c r="AC622" s="72"/>
      <c r="AD622" s="72"/>
      <c r="AE622" s="72"/>
      <c r="AF622" s="72"/>
    </row>
    <row r="623">
      <c r="X623" s="129"/>
      <c r="Y623" s="72"/>
      <c r="Z623" s="72"/>
      <c r="AA623" s="72"/>
      <c r="AB623" s="72"/>
      <c r="AC623" s="72"/>
      <c r="AD623" s="72"/>
      <c r="AE623" s="72"/>
      <c r="AF623" s="72"/>
    </row>
    <row r="624">
      <c r="X624" s="129"/>
      <c r="Y624" s="72"/>
      <c r="Z624" s="72"/>
      <c r="AA624" s="72"/>
      <c r="AB624" s="72"/>
      <c r="AC624" s="72"/>
      <c r="AD624" s="72"/>
      <c r="AE624" s="72"/>
      <c r="AF624" s="72"/>
    </row>
    <row r="625">
      <c r="X625" s="129"/>
      <c r="Y625" s="72"/>
      <c r="Z625" s="72"/>
      <c r="AA625" s="72"/>
      <c r="AB625" s="72"/>
      <c r="AC625" s="72"/>
      <c r="AD625" s="72"/>
      <c r="AE625" s="72"/>
      <c r="AF625" s="72"/>
    </row>
    <row r="626">
      <c r="X626" s="129"/>
      <c r="Y626" s="72"/>
      <c r="Z626" s="72"/>
      <c r="AA626" s="72"/>
      <c r="AB626" s="72"/>
      <c r="AC626" s="72"/>
      <c r="AD626" s="72"/>
      <c r="AE626" s="72"/>
      <c r="AF626" s="72"/>
    </row>
    <row r="627">
      <c r="X627" s="129"/>
      <c r="Y627" s="72"/>
      <c r="Z627" s="72"/>
      <c r="AA627" s="72"/>
      <c r="AB627" s="72"/>
      <c r="AC627" s="72"/>
      <c r="AD627" s="72"/>
      <c r="AE627" s="72"/>
      <c r="AF627" s="72"/>
    </row>
    <row r="628">
      <c r="X628" s="129"/>
      <c r="Y628" s="72"/>
      <c r="Z628" s="72"/>
      <c r="AA628" s="72"/>
      <c r="AB628" s="72"/>
      <c r="AC628" s="72"/>
      <c r="AD628" s="72"/>
      <c r="AE628" s="72"/>
      <c r="AF628" s="72"/>
    </row>
    <row r="629">
      <c r="X629" s="129"/>
      <c r="Y629" s="72"/>
      <c r="Z629" s="72"/>
      <c r="AA629" s="72"/>
      <c r="AB629" s="72"/>
      <c r="AC629" s="72"/>
      <c r="AD629" s="72"/>
      <c r="AE629" s="72"/>
      <c r="AF629" s="72"/>
    </row>
    <row r="630">
      <c r="X630" s="129"/>
      <c r="Y630" s="72"/>
      <c r="Z630" s="72"/>
      <c r="AA630" s="72"/>
      <c r="AB630" s="72"/>
      <c r="AC630" s="72"/>
      <c r="AD630" s="72"/>
      <c r="AE630" s="72"/>
      <c r="AF630" s="72"/>
    </row>
    <row r="631">
      <c r="X631" s="129"/>
      <c r="Y631" s="72"/>
      <c r="Z631" s="72"/>
      <c r="AA631" s="72"/>
      <c r="AB631" s="72"/>
      <c r="AC631" s="72"/>
      <c r="AD631" s="72"/>
      <c r="AE631" s="72"/>
      <c r="AF631" s="72"/>
    </row>
    <row r="632">
      <c r="X632" s="129"/>
      <c r="Y632" s="72"/>
      <c r="Z632" s="72"/>
      <c r="AA632" s="72"/>
      <c r="AB632" s="72"/>
      <c r="AC632" s="72"/>
      <c r="AD632" s="72"/>
      <c r="AE632" s="72"/>
      <c r="AF632" s="72"/>
    </row>
    <row r="633">
      <c r="X633" s="129"/>
      <c r="Y633" s="72"/>
      <c r="Z633" s="72"/>
      <c r="AA633" s="72"/>
      <c r="AB633" s="72"/>
      <c r="AC633" s="72"/>
      <c r="AD633" s="72"/>
      <c r="AE633" s="72"/>
      <c r="AF633" s="72"/>
    </row>
    <row r="634">
      <c r="X634" s="129"/>
      <c r="Y634" s="72"/>
      <c r="Z634" s="72"/>
      <c r="AA634" s="72"/>
      <c r="AB634" s="72"/>
      <c r="AC634" s="72"/>
      <c r="AD634" s="72"/>
      <c r="AE634" s="72"/>
      <c r="AF634" s="72"/>
    </row>
    <row r="635">
      <c r="X635" s="129"/>
      <c r="Y635" s="72"/>
      <c r="Z635" s="72"/>
      <c r="AA635" s="72"/>
      <c r="AB635" s="72"/>
      <c r="AC635" s="72"/>
      <c r="AD635" s="72"/>
      <c r="AE635" s="72"/>
      <c r="AF635" s="72"/>
    </row>
    <row r="636">
      <c r="X636" s="129"/>
      <c r="Y636" s="72"/>
      <c r="Z636" s="72"/>
      <c r="AA636" s="72"/>
      <c r="AB636" s="72"/>
      <c r="AC636" s="72"/>
      <c r="AD636" s="72"/>
      <c r="AE636" s="72"/>
      <c r="AF636" s="72"/>
    </row>
    <row r="637">
      <c r="X637" s="129"/>
      <c r="Y637" s="72"/>
      <c r="Z637" s="72"/>
      <c r="AA637" s="72"/>
      <c r="AB637" s="72"/>
      <c r="AC637" s="72"/>
      <c r="AD637" s="72"/>
      <c r="AE637" s="72"/>
      <c r="AF637" s="72"/>
    </row>
    <row r="638">
      <c r="X638" s="129"/>
      <c r="Y638" s="72"/>
      <c r="Z638" s="72"/>
      <c r="AA638" s="72"/>
      <c r="AB638" s="72"/>
      <c r="AC638" s="72"/>
      <c r="AD638" s="72"/>
      <c r="AE638" s="72"/>
      <c r="AF638" s="72"/>
    </row>
    <row r="639">
      <c r="X639" s="129"/>
      <c r="Y639" s="72"/>
      <c r="Z639" s="72"/>
      <c r="AA639" s="72"/>
      <c r="AB639" s="72"/>
      <c r="AC639" s="72"/>
      <c r="AD639" s="72"/>
      <c r="AE639" s="72"/>
      <c r="AF639" s="72"/>
    </row>
    <row r="640">
      <c r="X640" s="129"/>
      <c r="Y640" s="72"/>
      <c r="Z640" s="72"/>
      <c r="AA640" s="72"/>
      <c r="AB640" s="72"/>
      <c r="AC640" s="72"/>
      <c r="AD640" s="72"/>
      <c r="AE640" s="72"/>
      <c r="AF640" s="72"/>
    </row>
    <row r="641">
      <c r="X641" s="129"/>
      <c r="Y641" s="72"/>
      <c r="Z641" s="72"/>
      <c r="AA641" s="72"/>
      <c r="AB641" s="72"/>
      <c r="AC641" s="72"/>
      <c r="AD641" s="72"/>
      <c r="AE641" s="72"/>
      <c r="AF641" s="72"/>
    </row>
    <row r="642">
      <c r="X642" s="129"/>
      <c r="Y642" s="72"/>
      <c r="Z642" s="72"/>
      <c r="AA642" s="72"/>
      <c r="AB642" s="72"/>
      <c r="AC642" s="72"/>
      <c r="AD642" s="72"/>
      <c r="AE642" s="72"/>
      <c r="AF642" s="72"/>
    </row>
    <row r="643">
      <c r="X643" s="129"/>
      <c r="Y643" s="72"/>
      <c r="Z643" s="72"/>
      <c r="AA643" s="72"/>
      <c r="AB643" s="72"/>
      <c r="AC643" s="72"/>
      <c r="AD643" s="72"/>
      <c r="AE643" s="72"/>
      <c r="AF643" s="72"/>
    </row>
    <row r="644">
      <c r="X644" s="129"/>
      <c r="Y644" s="72"/>
      <c r="Z644" s="72"/>
      <c r="AA644" s="72"/>
      <c r="AB644" s="72"/>
      <c r="AC644" s="72"/>
      <c r="AD644" s="72"/>
      <c r="AE644" s="72"/>
      <c r="AF644" s="72"/>
    </row>
    <row r="645">
      <c r="X645" s="129"/>
      <c r="Y645" s="72"/>
      <c r="Z645" s="72"/>
      <c r="AA645" s="72"/>
      <c r="AB645" s="72"/>
      <c r="AC645" s="72"/>
      <c r="AD645" s="72"/>
      <c r="AE645" s="72"/>
      <c r="AF645" s="72"/>
    </row>
    <row r="646">
      <c r="X646" s="129"/>
      <c r="Y646" s="72"/>
      <c r="Z646" s="72"/>
      <c r="AA646" s="72"/>
      <c r="AB646" s="72"/>
      <c r="AC646" s="72"/>
      <c r="AD646" s="72"/>
      <c r="AE646" s="72"/>
      <c r="AF646" s="72"/>
    </row>
    <row r="647">
      <c r="X647" s="129"/>
      <c r="Y647" s="72"/>
      <c r="Z647" s="72"/>
      <c r="AA647" s="72"/>
      <c r="AB647" s="72"/>
      <c r="AC647" s="72"/>
      <c r="AD647" s="72"/>
      <c r="AE647" s="72"/>
      <c r="AF647" s="72"/>
    </row>
    <row r="648">
      <c r="X648" s="129"/>
      <c r="Y648" s="72"/>
      <c r="Z648" s="72"/>
      <c r="AA648" s="72"/>
      <c r="AB648" s="72"/>
      <c r="AC648" s="72"/>
      <c r="AD648" s="72"/>
      <c r="AE648" s="72"/>
      <c r="AF648" s="72"/>
    </row>
    <row r="649">
      <c r="X649" s="129"/>
      <c r="Y649" s="72"/>
      <c r="Z649" s="72"/>
      <c r="AA649" s="72"/>
      <c r="AB649" s="72"/>
      <c r="AC649" s="72"/>
      <c r="AD649" s="72"/>
      <c r="AE649" s="72"/>
      <c r="AF649" s="72"/>
    </row>
    <row r="650">
      <c r="X650" s="129"/>
      <c r="Y650" s="72"/>
      <c r="Z650" s="72"/>
      <c r="AA650" s="72"/>
      <c r="AB650" s="72"/>
      <c r="AC650" s="72"/>
      <c r="AD650" s="72"/>
      <c r="AE650" s="72"/>
      <c r="AF650" s="72"/>
    </row>
    <row r="651">
      <c r="X651" s="129"/>
      <c r="Y651" s="72"/>
      <c r="Z651" s="72"/>
      <c r="AA651" s="72"/>
      <c r="AB651" s="72"/>
      <c r="AC651" s="72"/>
      <c r="AD651" s="72"/>
      <c r="AE651" s="72"/>
      <c r="AF651" s="72"/>
    </row>
    <row r="652">
      <c r="X652" s="129"/>
      <c r="Y652" s="72"/>
      <c r="Z652" s="72"/>
      <c r="AA652" s="72"/>
      <c r="AB652" s="72"/>
      <c r="AC652" s="72"/>
      <c r="AD652" s="72"/>
      <c r="AE652" s="72"/>
      <c r="AF652" s="72"/>
    </row>
    <row r="653">
      <c r="X653" s="129"/>
      <c r="Y653" s="72"/>
      <c r="Z653" s="72"/>
      <c r="AA653" s="72"/>
      <c r="AB653" s="72"/>
      <c r="AC653" s="72"/>
      <c r="AD653" s="72"/>
      <c r="AE653" s="72"/>
      <c r="AF653" s="72"/>
    </row>
    <row r="654">
      <c r="X654" s="129"/>
      <c r="Y654" s="72"/>
      <c r="Z654" s="72"/>
      <c r="AA654" s="72"/>
      <c r="AB654" s="72"/>
      <c r="AC654" s="72"/>
      <c r="AD654" s="72"/>
      <c r="AE654" s="72"/>
      <c r="AF654" s="72"/>
    </row>
    <row r="655">
      <c r="X655" s="129"/>
      <c r="Y655" s="72"/>
      <c r="Z655" s="72"/>
      <c r="AA655" s="72"/>
      <c r="AB655" s="72"/>
      <c r="AC655" s="72"/>
      <c r="AD655" s="72"/>
      <c r="AE655" s="72"/>
      <c r="AF655" s="72"/>
    </row>
    <row r="656">
      <c r="X656" s="129"/>
      <c r="Y656" s="72"/>
      <c r="Z656" s="72"/>
      <c r="AA656" s="72"/>
      <c r="AB656" s="72"/>
      <c r="AC656" s="72"/>
      <c r="AD656" s="72"/>
      <c r="AE656" s="72"/>
      <c r="AF656" s="72"/>
    </row>
    <row r="657">
      <c r="X657" s="129"/>
      <c r="Y657" s="72"/>
      <c r="Z657" s="72"/>
      <c r="AA657" s="72"/>
      <c r="AB657" s="72"/>
      <c r="AC657" s="72"/>
      <c r="AD657" s="72"/>
      <c r="AE657" s="72"/>
      <c r="AF657" s="72"/>
    </row>
    <row r="658">
      <c r="X658" s="129"/>
      <c r="Y658" s="72"/>
      <c r="Z658" s="72"/>
      <c r="AA658" s="72"/>
      <c r="AB658" s="72"/>
      <c r="AC658" s="72"/>
      <c r="AD658" s="72"/>
      <c r="AE658" s="72"/>
      <c r="AF658" s="72"/>
    </row>
    <row r="659">
      <c r="X659" s="129"/>
      <c r="Y659" s="72"/>
      <c r="Z659" s="72"/>
      <c r="AA659" s="72"/>
      <c r="AB659" s="72"/>
      <c r="AC659" s="72"/>
      <c r="AD659" s="72"/>
      <c r="AE659" s="72"/>
      <c r="AF659" s="72"/>
    </row>
    <row r="660">
      <c r="X660" s="129"/>
      <c r="Y660" s="72"/>
      <c r="Z660" s="72"/>
      <c r="AA660" s="72"/>
      <c r="AB660" s="72"/>
      <c r="AC660" s="72"/>
      <c r="AD660" s="72"/>
      <c r="AE660" s="72"/>
      <c r="AF660" s="72"/>
    </row>
    <row r="661">
      <c r="X661" s="129"/>
      <c r="Y661" s="72"/>
      <c r="Z661" s="72"/>
      <c r="AA661" s="72"/>
      <c r="AB661" s="72"/>
      <c r="AC661" s="72"/>
      <c r="AD661" s="72"/>
      <c r="AE661" s="72"/>
      <c r="AF661" s="72"/>
    </row>
    <row r="662">
      <c r="X662" s="129"/>
      <c r="Y662" s="72"/>
      <c r="Z662" s="72"/>
      <c r="AA662" s="72"/>
      <c r="AB662" s="72"/>
      <c r="AC662" s="72"/>
      <c r="AD662" s="72"/>
      <c r="AE662" s="72"/>
      <c r="AF662" s="72"/>
    </row>
    <row r="663">
      <c r="X663" s="129"/>
      <c r="Y663" s="72"/>
      <c r="Z663" s="72"/>
      <c r="AA663" s="72"/>
      <c r="AB663" s="72"/>
      <c r="AC663" s="72"/>
      <c r="AD663" s="72"/>
      <c r="AE663" s="72"/>
      <c r="AF663" s="72"/>
    </row>
    <row r="664">
      <c r="X664" s="129"/>
      <c r="Y664" s="72"/>
      <c r="Z664" s="72"/>
      <c r="AA664" s="72"/>
      <c r="AB664" s="72"/>
      <c r="AC664" s="72"/>
      <c r="AD664" s="72"/>
      <c r="AE664" s="72"/>
      <c r="AF664" s="72"/>
    </row>
    <row r="665">
      <c r="X665" s="129"/>
      <c r="Y665" s="72"/>
      <c r="Z665" s="72"/>
      <c r="AA665" s="72"/>
      <c r="AB665" s="72"/>
      <c r="AC665" s="72"/>
      <c r="AD665" s="72"/>
      <c r="AE665" s="72"/>
      <c r="AF665" s="72"/>
    </row>
    <row r="666">
      <c r="X666" s="129"/>
      <c r="Y666" s="72"/>
      <c r="Z666" s="72"/>
      <c r="AA666" s="72"/>
      <c r="AB666" s="72"/>
      <c r="AC666" s="72"/>
      <c r="AD666" s="72"/>
      <c r="AE666" s="72"/>
      <c r="AF666" s="72"/>
    </row>
    <row r="667">
      <c r="X667" s="129"/>
      <c r="Y667" s="72"/>
      <c r="Z667" s="72"/>
      <c r="AA667" s="72"/>
      <c r="AB667" s="72"/>
      <c r="AC667" s="72"/>
      <c r="AD667" s="72"/>
      <c r="AE667" s="72"/>
      <c r="AF667" s="72"/>
    </row>
    <row r="668">
      <c r="X668" s="129"/>
      <c r="Y668" s="72"/>
      <c r="Z668" s="72"/>
      <c r="AA668" s="72"/>
      <c r="AB668" s="72"/>
      <c r="AC668" s="72"/>
      <c r="AD668" s="72"/>
      <c r="AE668" s="72"/>
      <c r="AF668" s="72"/>
    </row>
    <row r="669">
      <c r="X669" s="129"/>
      <c r="Y669" s="72"/>
      <c r="Z669" s="72"/>
      <c r="AA669" s="72"/>
      <c r="AB669" s="72"/>
      <c r="AC669" s="72"/>
      <c r="AD669" s="72"/>
      <c r="AE669" s="72"/>
      <c r="AF669" s="72"/>
    </row>
    <row r="670">
      <c r="X670" s="129"/>
      <c r="Y670" s="72"/>
      <c r="Z670" s="72"/>
      <c r="AA670" s="72"/>
      <c r="AB670" s="72"/>
      <c r="AC670" s="72"/>
      <c r="AD670" s="72"/>
      <c r="AE670" s="72"/>
      <c r="AF670" s="72"/>
    </row>
    <row r="671">
      <c r="X671" s="129"/>
      <c r="Y671" s="72"/>
      <c r="Z671" s="72"/>
      <c r="AA671" s="72"/>
      <c r="AB671" s="72"/>
      <c r="AC671" s="72"/>
      <c r="AD671" s="72"/>
      <c r="AE671" s="72"/>
      <c r="AF671" s="72"/>
    </row>
    <row r="672">
      <c r="X672" s="129"/>
      <c r="Y672" s="72"/>
      <c r="Z672" s="72"/>
      <c r="AA672" s="72"/>
      <c r="AB672" s="72"/>
      <c r="AC672" s="72"/>
      <c r="AD672" s="72"/>
      <c r="AE672" s="72"/>
      <c r="AF672" s="72"/>
    </row>
    <row r="673">
      <c r="X673" s="129"/>
      <c r="Y673" s="72"/>
      <c r="Z673" s="72"/>
      <c r="AA673" s="72"/>
      <c r="AB673" s="72"/>
      <c r="AC673" s="72"/>
      <c r="AD673" s="72"/>
      <c r="AE673" s="72"/>
      <c r="AF673" s="72"/>
    </row>
    <row r="674">
      <c r="X674" s="129"/>
      <c r="Y674" s="72"/>
      <c r="Z674" s="72"/>
      <c r="AA674" s="72"/>
      <c r="AB674" s="72"/>
      <c r="AC674" s="72"/>
      <c r="AD674" s="72"/>
      <c r="AE674" s="72"/>
      <c r="AF674" s="72"/>
    </row>
    <row r="675">
      <c r="X675" s="129"/>
      <c r="Y675" s="72"/>
      <c r="Z675" s="72"/>
      <c r="AA675" s="72"/>
      <c r="AB675" s="72"/>
      <c r="AC675" s="72"/>
      <c r="AD675" s="72"/>
      <c r="AE675" s="72"/>
      <c r="AF675" s="72"/>
    </row>
    <row r="676">
      <c r="X676" s="129"/>
      <c r="Y676" s="72"/>
      <c r="Z676" s="72"/>
      <c r="AA676" s="72"/>
      <c r="AB676" s="72"/>
      <c r="AC676" s="72"/>
      <c r="AD676" s="72"/>
      <c r="AE676" s="72"/>
      <c r="AF676" s="72"/>
    </row>
    <row r="677">
      <c r="X677" s="129"/>
      <c r="Y677" s="72"/>
      <c r="Z677" s="72"/>
      <c r="AA677" s="72"/>
      <c r="AB677" s="72"/>
      <c r="AC677" s="72"/>
      <c r="AD677" s="72"/>
      <c r="AE677" s="72"/>
      <c r="AF677" s="72"/>
    </row>
    <row r="678">
      <c r="X678" s="129"/>
      <c r="Y678" s="72"/>
      <c r="Z678" s="72"/>
      <c r="AA678" s="72"/>
      <c r="AB678" s="72"/>
      <c r="AC678" s="72"/>
      <c r="AD678" s="72"/>
      <c r="AE678" s="72"/>
      <c r="AF678" s="72"/>
    </row>
    <row r="679">
      <c r="X679" s="129"/>
      <c r="Y679" s="72"/>
      <c r="Z679" s="72"/>
      <c r="AA679" s="72"/>
      <c r="AB679" s="72"/>
      <c r="AC679" s="72"/>
      <c r="AD679" s="72"/>
      <c r="AE679" s="72"/>
      <c r="AF679" s="72"/>
    </row>
    <row r="680">
      <c r="X680" s="129"/>
      <c r="Y680" s="72"/>
      <c r="Z680" s="72"/>
      <c r="AA680" s="72"/>
      <c r="AB680" s="72"/>
      <c r="AC680" s="72"/>
      <c r="AD680" s="72"/>
      <c r="AE680" s="72"/>
      <c r="AF680" s="72"/>
    </row>
    <row r="681">
      <c r="X681" s="129"/>
      <c r="Y681" s="72"/>
      <c r="Z681" s="72"/>
      <c r="AA681" s="72"/>
      <c r="AB681" s="72"/>
      <c r="AC681" s="72"/>
      <c r="AD681" s="72"/>
      <c r="AE681" s="72"/>
      <c r="AF681" s="72"/>
    </row>
    <row r="682">
      <c r="X682" s="129"/>
      <c r="Y682" s="72"/>
      <c r="Z682" s="72"/>
      <c r="AA682" s="72"/>
      <c r="AB682" s="72"/>
      <c r="AC682" s="72"/>
      <c r="AD682" s="72"/>
      <c r="AE682" s="72"/>
      <c r="AF682" s="72"/>
    </row>
    <row r="683">
      <c r="X683" s="129"/>
      <c r="Y683" s="72"/>
      <c r="Z683" s="72"/>
      <c r="AA683" s="72"/>
      <c r="AB683" s="72"/>
      <c r="AC683" s="72"/>
      <c r="AD683" s="72"/>
      <c r="AE683" s="72"/>
      <c r="AF683" s="72"/>
    </row>
    <row r="684">
      <c r="X684" s="129"/>
      <c r="Y684" s="72"/>
      <c r="Z684" s="72"/>
      <c r="AA684" s="72"/>
      <c r="AB684" s="72"/>
      <c r="AC684" s="72"/>
      <c r="AD684" s="72"/>
      <c r="AE684" s="72"/>
      <c r="AF684" s="72"/>
    </row>
    <row r="685">
      <c r="X685" s="129"/>
      <c r="Y685" s="72"/>
      <c r="Z685" s="72"/>
      <c r="AA685" s="72"/>
      <c r="AB685" s="72"/>
      <c r="AC685" s="72"/>
      <c r="AD685" s="72"/>
      <c r="AE685" s="72"/>
      <c r="AF685" s="72"/>
    </row>
    <row r="686">
      <c r="X686" s="129"/>
      <c r="Y686" s="72"/>
      <c r="Z686" s="72"/>
      <c r="AA686" s="72"/>
      <c r="AB686" s="72"/>
      <c r="AC686" s="72"/>
      <c r="AD686" s="72"/>
      <c r="AE686" s="72"/>
      <c r="AF686" s="72"/>
    </row>
    <row r="687">
      <c r="X687" s="129"/>
      <c r="Y687" s="72"/>
      <c r="Z687" s="72"/>
      <c r="AA687" s="72"/>
      <c r="AB687" s="72"/>
      <c r="AC687" s="72"/>
      <c r="AD687" s="72"/>
      <c r="AE687" s="72"/>
      <c r="AF687" s="72"/>
    </row>
    <row r="688">
      <c r="X688" s="129"/>
      <c r="Y688" s="72"/>
      <c r="Z688" s="72"/>
      <c r="AA688" s="72"/>
      <c r="AB688" s="72"/>
      <c r="AC688" s="72"/>
      <c r="AD688" s="72"/>
      <c r="AE688" s="72"/>
      <c r="AF688" s="72"/>
    </row>
    <row r="689">
      <c r="X689" s="129"/>
      <c r="Y689" s="72"/>
      <c r="Z689" s="72"/>
      <c r="AA689" s="72"/>
      <c r="AB689" s="72"/>
      <c r="AC689" s="72"/>
      <c r="AD689" s="72"/>
      <c r="AE689" s="72"/>
      <c r="AF689" s="72"/>
    </row>
    <row r="690">
      <c r="X690" s="129"/>
      <c r="Y690" s="72"/>
      <c r="Z690" s="72"/>
      <c r="AA690" s="72"/>
      <c r="AB690" s="72"/>
      <c r="AC690" s="72"/>
      <c r="AD690" s="72"/>
      <c r="AE690" s="72"/>
      <c r="AF690" s="72"/>
    </row>
    <row r="691">
      <c r="X691" s="129"/>
      <c r="Y691" s="72"/>
      <c r="Z691" s="72"/>
      <c r="AA691" s="72"/>
      <c r="AB691" s="72"/>
      <c r="AC691" s="72"/>
      <c r="AD691" s="72"/>
      <c r="AE691" s="72"/>
      <c r="AF691" s="72"/>
    </row>
    <row r="692">
      <c r="X692" s="129"/>
      <c r="Y692" s="72"/>
      <c r="Z692" s="72"/>
      <c r="AA692" s="72"/>
      <c r="AB692" s="72"/>
      <c r="AC692" s="72"/>
      <c r="AD692" s="72"/>
      <c r="AE692" s="72"/>
      <c r="AF692" s="72"/>
    </row>
    <row r="693">
      <c r="X693" s="129"/>
      <c r="Y693" s="72"/>
      <c r="Z693" s="72"/>
      <c r="AA693" s="72"/>
      <c r="AB693" s="72"/>
      <c r="AC693" s="72"/>
      <c r="AD693" s="72"/>
      <c r="AE693" s="72"/>
      <c r="AF693" s="72"/>
    </row>
    <row r="694">
      <c r="X694" s="129"/>
      <c r="Y694" s="72"/>
      <c r="Z694" s="72"/>
      <c r="AA694" s="72"/>
      <c r="AB694" s="72"/>
      <c r="AC694" s="72"/>
      <c r="AD694" s="72"/>
      <c r="AE694" s="72"/>
      <c r="AF694" s="72"/>
    </row>
    <row r="695">
      <c r="X695" s="129"/>
      <c r="Y695" s="72"/>
      <c r="Z695" s="72"/>
      <c r="AA695" s="72"/>
      <c r="AB695" s="72"/>
      <c r="AC695" s="72"/>
      <c r="AD695" s="72"/>
      <c r="AE695" s="72"/>
      <c r="AF695" s="72"/>
    </row>
    <row r="696">
      <c r="X696" s="129"/>
      <c r="Y696" s="72"/>
      <c r="Z696" s="72"/>
      <c r="AA696" s="72"/>
      <c r="AB696" s="72"/>
      <c r="AC696" s="72"/>
      <c r="AD696" s="72"/>
      <c r="AE696" s="72"/>
      <c r="AF696" s="72"/>
    </row>
    <row r="697">
      <c r="X697" s="129"/>
      <c r="Y697" s="72"/>
      <c r="Z697" s="72"/>
      <c r="AA697" s="72"/>
      <c r="AB697" s="72"/>
      <c r="AC697" s="72"/>
      <c r="AD697" s="72"/>
      <c r="AE697" s="72"/>
      <c r="AF697" s="72"/>
    </row>
    <row r="698">
      <c r="X698" s="129"/>
      <c r="Y698" s="72"/>
      <c r="Z698" s="72"/>
      <c r="AA698" s="72"/>
      <c r="AB698" s="72"/>
      <c r="AC698" s="72"/>
      <c r="AD698" s="72"/>
      <c r="AE698" s="72"/>
      <c r="AF698" s="72"/>
    </row>
    <row r="699">
      <c r="X699" s="129"/>
      <c r="Y699" s="72"/>
      <c r="Z699" s="72"/>
      <c r="AA699" s="72"/>
      <c r="AB699" s="72"/>
      <c r="AC699" s="72"/>
      <c r="AD699" s="72"/>
      <c r="AE699" s="72"/>
      <c r="AF699" s="72"/>
    </row>
    <row r="700">
      <c r="X700" s="129"/>
      <c r="Y700" s="72"/>
      <c r="Z700" s="72"/>
      <c r="AA700" s="72"/>
      <c r="AB700" s="72"/>
      <c r="AC700" s="72"/>
      <c r="AD700" s="72"/>
      <c r="AE700" s="72"/>
      <c r="AF700" s="72"/>
    </row>
    <row r="701">
      <c r="X701" s="129"/>
      <c r="Y701" s="72"/>
      <c r="Z701" s="72"/>
      <c r="AA701" s="72"/>
      <c r="AB701" s="72"/>
      <c r="AC701" s="72"/>
      <c r="AD701" s="72"/>
      <c r="AE701" s="72"/>
      <c r="AF701" s="72"/>
    </row>
    <row r="702">
      <c r="X702" s="129"/>
      <c r="Y702" s="72"/>
      <c r="Z702" s="72"/>
      <c r="AA702" s="72"/>
      <c r="AB702" s="72"/>
      <c r="AC702" s="72"/>
      <c r="AD702" s="72"/>
      <c r="AE702" s="72"/>
      <c r="AF702" s="72"/>
    </row>
    <row r="703">
      <c r="X703" s="129"/>
      <c r="Y703" s="72"/>
      <c r="Z703" s="72"/>
      <c r="AA703" s="72"/>
      <c r="AB703" s="72"/>
      <c r="AC703" s="72"/>
      <c r="AD703" s="72"/>
      <c r="AE703" s="72"/>
      <c r="AF703" s="72"/>
    </row>
    <row r="704">
      <c r="X704" s="129"/>
      <c r="Y704" s="72"/>
      <c r="Z704" s="72"/>
      <c r="AA704" s="72"/>
      <c r="AB704" s="72"/>
      <c r="AC704" s="72"/>
      <c r="AD704" s="72"/>
      <c r="AE704" s="72"/>
      <c r="AF704" s="72"/>
    </row>
    <row r="705">
      <c r="X705" s="129"/>
      <c r="Y705" s="72"/>
      <c r="Z705" s="72"/>
      <c r="AA705" s="72"/>
      <c r="AB705" s="72"/>
      <c r="AC705" s="72"/>
      <c r="AD705" s="72"/>
      <c r="AE705" s="72"/>
      <c r="AF705" s="72"/>
    </row>
    <row r="706">
      <c r="X706" s="129"/>
      <c r="Y706" s="72"/>
      <c r="Z706" s="72"/>
      <c r="AA706" s="72"/>
      <c r="AB706" s="72"/>
      <c r="AC706" s="72"/>
      <c r="AD706" s="72"/>
      <c r="AE706" s="72"/>
      <c r="AF706" s="72"/>
    </row>
    <row r="707">
      <c r="X707" s="129"/>
      <c r="Y707" s="72"/>
      <c r="Z707" s="72"/>
      <c r="AA707" s="72"/>
      <c r="AB707" s="72"/>
      <c r="AC707" s="72"/>
      <c r="AD707" s="72"/>
      <c r="AE707" s="72"/>
      <c r="AF707" s="72"/>
    </row>
    <row r="708">
      <c r="X708" s="129"/>
      <c r="Y708" s="72"/>
      <c r="Z708" s="72"/>
      <c r="AA708" s="72"/>
      <c r="AB708" s="72"/>
      <c r="AC708" s="72"/>
      <c r="AD708" s="72"/>
      <c r="AE708" s="72"/>
      <c r="AF708" s="72"/>
    </row>
    <row r="709">
      <c r="X709" s="129"/>
      <c r="Y709" s="72"/>
      <c r="Z709" s="72"/>
      <c r="AA709" s="72"/>
      <c r="AB709" s="72"/>
      <c r="AC709" s="72"/>
      <c r="AD709" s="72"/>
      <c r="AE709" s="72"/>
      <c r="AF709" s="72"/>
    </row>
    <row r="710">
      <c r="X710" s="129"/>
      <c r="Y710" s="72"/>
      <c r="Z710" s="72"/>
      <c r="AA710" s="72"/>
      <c r="AB710" s="72"/>
      <c r="AC710" s="72"/>
      <c r="AD710" s="72"/>
      <c r="AE710" s="72"/>
      <c r="AF710" s="72"/>
    </row>
    <row r="711">
      <c r="X711" s="129"/>
      <c r="Y711" s="72"/>
      <c r="Z711" s="72"/>
      <c r="AA711" s="72"/>
      <c r="AB711" s="72"/>
      <c r="AC711" s="72"/>
      <c r="AD711" s="72"/>
      <c r="AE711" s="72"/>
      <c r="AF711" s="72"/>
    </row>
    <row r="712">
      <c r="X712" s="129"/>
      <c r="Y712" s="72"/>
      <c r="Z712" s="72"/>
      <c r="AA712" s="72"/>
      <c r="AB712" s="72"/>
      <c r="AC712" s="72"/>
      <c r="AD712" s="72"/>
      <c r="AE712" s="72"/>
      <c r="AF712" s="72"/>
    </row>
    <row r="713">
      <c r="X713" s="129"/>
      <c r="Y713" s="72"/>
      <c r="Z713" s="72"/>
      <c r="AA713" s="72"/>
      <c r="AB713" s="72"/>
      <c r="AC713" s="72"/>
      <c r="AD713" s="72"/>
      <c r="AE713" s="72"/>
      <c r="AF713" s="72"/>
    </row>
    <row r="714">
      <c r="X714" s="129"/>
      <c r="Y714" s="72"/>
      <c r="Z714" s="72"/>
      <c r="AA714" s="72"/>
      <c r="AB714" s="72"/>
      <c r="AC714" s="72"/>
      <c r="AD714" s="72"/>
      <c r="AE714" s="72"/>
      <c r="AF714" s="72"/>
    </row>
    <row r="715">
      <c r="X715" s="129"/>
      <c r="Y715" s="72"/>
      <c r="Z715" s="72"/>
      <c r="AA715" s="72"/>
      <c r="AB715" s="72"/>
      <c r="AC715" s="72"/>
      <c r="AD715" s="72"/>
      <c r="AE715" s="72"/>
      <c r="AF715" s="72"/>
    </row>
    <row r="716">
      <c r="X716" s="129"/>
      <c r="Y716" s="72"/>
      <c r="Z716" s="72"/>
      <c r="AA716" s="72"/>
      <c r="AB716" s="72"/>
      <c r="AC716" s="72"/>
      <c r="AD716" s="72"/>
      <c r="AE716" s="72"/>
      <c r="AF716" s="72"/>
    </row>
    <row r="717">
      <c r="X717" s="129"/>
      <c r="Y717" s="72"/>
      <c r="Z717" s="72"/>
      <c r="AA717" s="72"/>
      <c r="AB717" s="72"/>
      <c r="AC717" s="72"/>
      <c r="AD717" s="72"/>
      <c r="AE717" s="72"/>
      <c r="AF717" s="72"/>
    </row>
    <row r="718">
      <c r="X718" s="129"/>
      <c r="Y718" s="72"/>
      <c r="Z718" s="72"/>
      <c r="AA718" s="72"/>
      <c r="AB718" s="72"/>
      <c r="AC718" s="72"/>
      <c r="AD718" s="72"/>
      <c r="AE718" s="72"/>
      <c r="AF718" s="72"/>
    </row>
    <row r="719">
      <c r="X719" s="129"/>
      <c r="Y719" s="72"/>
      <c r="Z719" s="72"/>
      <c r="AA719" s="72"/>
      <c r="AB719" s="72"/>
      <c r="AC719" s="72"/>
      <c r="AD719" s="72"/>
      <c r="AE719" s="72"/>
      <c r="AF719" s="72"/>
    </row>
    <row r="720">
      <c r="X720" s="129"/>
      <c r="Y720" s="72"/>
      <c r="Z720" s="72"/>
      <c r="AA720" s="72"/>
      <c r="AB720" s="72"/>
      <c r="AC720" s="72"/>
      <c r="AD720" s="72"/>
      <c r="AE720" s="72"/>
      <c r="AF720" s="72"/>
    </row>
    <row r="721">
      <c r="X721" s="129"/>
      <c r="Y721" s="72"/>
      <c r="Z721" s="72"/>
      <c r="AA721" s="72"/>
      <c r="AB721" s="72"/>
      <c r="AC721" s="72"/>
      <c r="AD721" s="72"/>
      <c r="AE721" s="72"/>
      <c r="AF721" s="72"/>
    </row>
    <row r="722">
      <c r="X722" s="129"/>
      <c r="Y722" s="72"/>
      <c r="Z722" s="72"/>
      <c r="AA722" s="72"/>
      <c r="AB722" s="72"/>
      <c r="AC722" s="72"/>
      <c r="AD722" s="72"/>
      <c r="AE722" s="72"/>
      <c r="AF722" s="72"/>
    </row>
    <row r="723">
      <c r="X723" s="129"/>
      <c r="Y723" s="72"/>
      <c r="Z723" s="72"/>
      <c r="AA723" s="72"/>
      <c r="AB723" s="72"/>
      <c r="AC723" s="72"/>
      <c r="AD723" s="72"/>
      <c r="AE723" s="72"/>
      <c r="AF723" s="72"/>
    </row>
    <row r="724">
      <c r="X724" s="129"/>
      <c r="Y724" s="72"/>
      <c r="Z724" s="72"/>
      <c r="AA724" s="72"/>
      <c r="AB724" s="72"/>
      <c r="AC724" s="72"/>
      <c r="AD724" s="72"/>
      <c r="AE724" s="72"/>
      <c r="AF724" s="72"/>
    </row>
    <row r="725">
      <c r="X725" s="129"/>
      <c r="Y725" s="72"/>
      <c r="Z725" s="72"/>
      <c r="AA725" s="72"/>
      <c r="AB725" s="72"/>
      <c r="AC725" s="72"/>
      <c r="AD725" s="72"/>
      <c r="AE725" s="72"/>
      <c r="AF725" s="72"/>
    </row>
    <row r="726">
      <c r="X726" s="129"/>
      <c r="Y726" s="72"/>
      <c r="Z726" s="72"/>
      <c r="AA726" s="72"/>
      <c r="AB726" s="72"/>
      <c r="AC726" s="72"/>
      <c r="AD726" s="72"/>
      <c r="AE726" s="72"/>
      <c r="AF726" s="72"/>
    </row>
    <row r="727">
      <c r="X727" s="129"/>
      <c r="Y727" s="72"/>
      <c r="Z727" s="72"/>
      <c r="AA727" s="72"/>
      <c r="AB727" s="72"/>
      <c r="AC727" s="72"/>
      <c r="AD727" s="72"/>
      <c r="AE727" s="72"/>
      <c r="AF727" s="72"/>
    </row>
    <row r="728">
      <c r="X728" s="129"/>
      <c r="Y728" s="72"/>
      <c r="Z728" s="72"/>
      <c r="AA728" s="72"/>
      <c r="AB728" s="72"/>
      <c r="AC728" s="72"/>
      <c r="AD728" s="72"/>
      <c r="AE728" s="72"/>
      <c r="AF728" s="72"/>
    </row>
    <row r="729">
      <c r="X729" s="129"/>
      <c r="Y729" s="72"/>
      <c r="Z729" s="72"/>
      <c r="AA729" s="72"/>
      <c r="AB729" s="72"/>
      <c r="AC729" s="72"/>
      <c r="AD729" s="72"/>
      <c r="AE729" s="72"/>
      <c r="AF729" s="72"/>
    </row>
    <row r="730">
      <c r="X730" s="129"/>
      <c r="Y730" s="72"/>
      <c r="Z730" s="72"/>
      <c r="AA730" s="72"/>
      <c r="AB730" s="72"/>
      <c r="AC730" s="72"/>
      <c r="AD730" s="72"/>
      <c r="AE730" s="72"/>
      <c r="AF730" s="72"/>
    </row>
    <row r="731">
      <c r="X731" s="129"/>
      <c r="Y731" s="72"/>
      <c r="Z731" s="72"/>
      <c r="AA731" s="72"/>
      <c r="AB731" s="72"/>
      <c r="AC731" s="72"/>
      <c r="AD731" s="72"/>
      <c r="AE731" s="72"/>
      <c r="AF731" s="72"/>
    </row>
    <row r="732">
      <c r="X732" s="129"/>
      <c r="Y732" s="72"/>
      <c r="Z732" s="72"/>
      <c r="AA732" s="72"/>
      <c r="AB732" s="72"/>
      <c r="AC732" s="72"/>
      <c r="AD732" s="72"/>
      <c r="AE732" s="72"/>
      <c r="AF732" s="72"/>
    </row>
    <row r="733">
      <c r="X733" s="129"/>
      <c r="Y733" s="72"/>
      <c r="Z733" s="72"/>
      <c r="AA733" s="72"/>
      <c r="AB733" s="72"/>
      <c r="AC733" s="72"/>
      <c r="AD733" s="72"/>
      <c r="AE733" s="72"/>
      <c r="AF733" s="72"/>
    </row>
    <row r="734">
      <c r="X734" s="129"/>
      <c r="Y734" s="72"/>
      <c r="Z734" s="72"/>
      <c r="AA734" s="72"/>
      <c r="AB734" s="72"/>
      <c r="AC734" s="72"/>
      <c r="AD734" s="72"/>
      <c r="AE734" s="72"/>
      <c r="AF734" s="72"/>
    </row>
    <row r="735">
      <c r="X735" s="129"/>
      <c r="Y735" s="72"/>
      <c r="Z735" s="72"/>
      <c r="AA735" s="72"/>
      <c r="AB735" s="72"/>
      <c r="AC735" s="72"/>
      <c r="AD735" s="72"/>
      <c r="AE735" s="72"/>
      <c r="AF735" s="72"/>
    </row>
    <row r="736">
      <c r="X736" s="129"/>
      <c r="Y736" s="72"/>
      <c r="Z736" s="72"/>
      <c r="AA736" s="72"/>
      <c r="AB736" s="72"/>
      <c r="AC736" s="72"/>
      <c r="AD736" s="72"/>
      <c r="AE736" s="72"/>
      <c r="AF736" s="72"/>
    </row>
    <row r="737">
      <c r="X737" s="129"/>
      <c r="Y737" s="72"/>
      <c r="Z737" s="72"/>
      <c r="AA737" s="72"/>
      <c r="AB737" s="72"/>
      <c r="AC737" s="72"/>
      <c r="AD737" s="72"/>
      <c r="AE737" s="72"/>
      <c r="AF737" s="72"/>
    </row>
    <row r="738">
      <c r="X738" s="129"/>
      <c r="Y738" s="72"/>
      <c r="Z738" s="72"/>
      <c r="AA738" s="72"/>
      <c r="AB738" s="72"/>
      <c r="AC738" s="72"/>
      <c r="AD738" s="72"/>
      <c r="AE738" s="72"/>
      <c r="AF738" s="72"/>
    </row>
    <row r="739">
      <c r="X739" s="129"/>
      <c r="Y739" s="72"/>
      <c r="Z739" s="72"/>
      <c r="AA739" s="72"/>
      <c r="AB739" s="72"/>
      <c r="AC739" s="72"/>
      <c r="AD739" s="72"/>
      <c r="AE739" s="72"/>
      <c r="AF739" s="72"/>
    </row>
    <row r="740">
      <c r="X740" s="129"/>
      <c r="Y740" s="72"/>
      <c r="Z740" s="72"/>
      <c r="AA740" s="72"/>
      <c r="AB740" s="72"/>
      <c r="AC740" s="72"/>
      <c r="AD740" s="72"/>
      <c r="AE740" s="72"/>
      <c r="AF740" s="72"/>
    </row>
    <row r="741">
      <c r="X741" s="129"/>
      <c r="Y741" s="72"/>
      <c r="Z741" s="72"/>
      <c r="AA741" s="72"/>
      <c r="AB741" s="72"/>
      <c r="AC741" s="72"/>
      <c r="AD741" s="72"/>
      <c r="AE741" s="72"/>
      <c r="AF741" s="72"/>
    </row>
    <row r="742">
      <c r="X742" s="129"/>
      <c r="Y742" s="72"/>
      <c r="Z742" s="72"/>
      <c r="AA742" s="72"/>
      <c r="AB742" s="72"/>
      <c r="AC742" s="72"/>
      <c r="AD742" s="72"/>
      <c r="AE742" s="72"/>
      <c r="AF742" s="72"/>
    </row>
    <row r="743">
      <c r="X743" s="129"/>
      <c r="Y743" s="72"/>
      <c r="Z743" s="72"/>
      <c r="AA743" s="72"/>
      <c r="AB743" s="72"/>
      <c r="AC743" s="72"/>
      <c r="AD743" s="72"/>
      <c r="AE743" s="72"/>
      <c r="AF743" s="72"/>
    </row>
    <row r="744">
      <c r="X744" s="129"/>
      <c r="Y744" s="72"/>
      <c r="Z744" s="72"/>
      <c r="AA744" s="72"/>
      <c r="AB744" s="72"/>
      <c r="AC744" s="72"/>
      <c r="AD744" s="72"/>
      <c r="AE744" s="72"/>
      <c r="AF744" s="72"/>
    </row>
    <row r="745">
      <c r="X745" s="129"/>
      <c r="Y745" s="72"/>
      <c r="Z745" s="72"/>
      <c r="AA745" s="72"/>
      <c r="AB745" s="72"/>
      <c r="AC745" s="72"/>
      <c r="AD745" s="72"/>
      <c r="AE745" s="72"/>
      <c r="AF745" s="72"/>
    </row>
    <row r="746">
      <c r="X746" s="129"/>
      <c r="Y746" s="72"/>
      <c r="Z746" s="72"/>
      <c r="AA746" s="72"/>
      <c r="AB746" s="72"/>
      <c r="AC746" s="72"/>
      <c r="AD746" s="72"/>
      <c r="AE746" s="72"/>
      <c r="AF746" s="72"/>
    </row>
    <row r="747">
      <c r="X747" s="129"/>
      <c r="Y747" s="72"/>
      <c r="Z747" s="72"/>
      <c r="AA747" s="72"/>
      <c r="AB747" s="72"/>
      <c r="AC747" s="72"/>
      <c r="AD747" s="72"/>
      <c r="AE747" s="72"/>
      <c r="AF747" s="72"/>
    </row>
    <row r="748">
      <c r="X748" s="129"/>
      <c r="Y748" s="72"/>
      <c r="Z748" s="72"/>
      <c r="AA748" s="72"/>
      <c r="AB748" s="72"/>
      <c r="AC748" s="72"/>
      <c r="AD748" s="72"/>
      <c r="AE748" s="72"/>
      <c r="AF748" s="72"/>
    </row>
    <row r="749">
      <c r="X749" s="129"/>
      <c r="Y749" s="72"/>
      <c r="Z749" s="72"/>
      <c r="AA749" s="72"/>
      <c r="AB749" s="72"/>
      <c r="AC749" s="72"/>
      <c r="AD749" s="72"/>
      <c r="AE749" s="72"/>
      <c r="AF749" s="72"/>
    </row>
    <row r="750">
      <c r="X750" s="129"/>
      <c r="Y750" s="72"/>
      <c r="Z750" s="72"/>
      <c r="AA750" s="72"/>
      <c r="AB750" s="72"/>
      <c r="AC750" s="72"/>
      <c r="AD750" s="72"/>
      <c r="AE750" s="72"/>
      <c r="AF750" s="72"/>
    </row>
    <row r="751">
      <c r="X751" s="129"/>
      <c r="Y751" s="72"/>
      <c r="Z751" s="72"/>
      <c r="AA751" s="72"/>
      <c r="AB751" s="72"/>
      <c r="AC751" s="72"/>
      <c r="AD751" s="72"/>
      <c r="AE751" s="72"/>
      <c r="AF751" s="72"/>
    </row>
    <row r="752">
      <c r="X752" s="129"/>
      <c r="Y752" s="72"/>
      <c r="Z752" s="72"/>
      <c r="AA752" s="72"/>
      <c r="AB752" s="72"/>
      <c r="AC752" s="72"/>
      <c r="AD752" s="72"/>
      <c r="AE752" s="72"/>
      <c r="AF752" s="72"/>
    </row>
    <row r="753">
      <c r="X753" s="129"/>
      <c r="Y753" s="72"/>
      <c r="Z753" s="72"/>
      <c r="AA753" s="72"/>
      <c r="AB753" s="72"/>
      <c r="AC753" s="72"/>
      <c r="AD753" s="72"/>
      <c r="AE753" s="72"/>
      <c r="AF753" s="72"/>
    </row>
    <row r="754">
      <c r="X754" s="129"/>
      <c r="Y754" s="72"/>
      <c r="Z754" s="72"/>
      <c r="AA754" s="72"/>
      <c r="AB754" s="72"/>
      <c r="AC754" s="72"/>
      <c r="AD754" s="72"/>
      <c r="AE754" s="72"/>
      <c r="AF754" s="72"/>
    </row>
    <row r="755">
      <c r="X755" s="129"/>
      <c r="Y755" s="72"/>
      <c r="Z755" s="72"/>
      <c r="AA755" s="72"/>
      <c r="AB755" s="72"/>
      <c r="AC755" s="72"/>
      <c r="AD755" s="72"/>
      <c r="AE755" s="72"/>
      <c r="AF755" s="72"/>
    </row>
    <row r="756">
      <c r="X756" s="129"/>
      <c r="Y756" s="72"/>
      <c r="Z756" s="72"/>
      <c r="AA756" s="72"/>
      <c r="AB756" s="72"/>
      <c r="AC756" s="72"/>
      <c r="AD756" s="72"/>
      <c r="AE756" s="72"/>
      <c r="AF756" s="72"/>
    </row>
    <row r="757">
      <c r="X757" s="129"/>
      <c r="Y757" s="72"/>
      <c r="Z757" s="72"/>
      <c r="AA757" s="72"/>
      <c r="AB757" s="72"/>
      <c r="AC757" s="72"/>
      <c r="AD757" s="72"/>
      <c r="AE757" s="72"/>
      <c r="AF757" s="72"/>
    </row>
    <row r="758">
      <c r="X758" s="129"/>
      <c r="Y758" s="72"/>
      <c r="Z758" s="72"/>
      <c r="AA758" s="72"/>
      <c r="AB758" s="72"/>
      <c r="AC758" s="72"/>
      <c r="AD758" s="72"/>
      <c r="AE758" s="72"/>
      <c r="AF758" s="72"/>
    </row>
    <row r="759">
      <c r="X759" s="129"/>
      <c r="Y759" s="72"/>
      <c r="Z759" s="72"/>
      <c r="AA759" s="72"/>
      <c r="AB759" s="72"/>
      <c r="AC759" s="72"/>
      <c r="AD759" s="72"/>
      <c r="AE759" s="72"/>
      <c r="AF759" s="72"/>
    </row>
    <row r="760">
      <c r="X760" s="129"/>
      <c r="Y760" s="72"/>
      <c r="Z760" s="72"/>
      <c r="AA760" s="72"/>
      <c r="AB760" s="72"/>
      <c r="AC760" s="72"/>
      <c r="AD760" s="72"/>
      <c r="AE760" s="72"/>
      <c r="AF760" s="72"/>
    </row>
    <row r="761">
      <c r="X761" s="129"/>
      <c r="Y761" s="72"/>
      <c r="Z761" s="72"/>
      <c r="AA761" s="72"/>
      <c r="AB761" s="72"/>
      <c r="AC761" s="72"/>
      <c r="AD761" s="72"/>
      <c r="AE761" s="72"/>
      <c r="AF761" s="72"/>
    </row>
    <row r="762">
      <c r="X762" s="129"/>
      <c r="Y762" s="72"/>
      <c r="Z762" s="72"/>
      <c r="AA762" s="72"/>
      <c r="AB762" s="72"/>
      <c r="AC762" s="72"/>
      <c r="AD762" s="72"/>
      <c r="AE762" s="72"/>
      <c r="AF762" s="72"/>
    </row>
    <row r="763">
      <c r="X763" s="129"/>
      <c r="Y763" s="72"/>
      <c r="Z763" s="72"/>
      <c r="AA763" s="72"/>
      <c r="AB763" s="72"/>
      <c r="AC763" s="72"/>
      <c r="AD763" s="72"/>
      <c r="AE763" s="72"/>
      <c r="AF763" s="72"/>
    </row>
    <row r="764">
      <c r="X764" s="129"/>
      <c r="Y764" s="72"/>
      <c r="Z764" s="72"/>
      <c r="AA764" s="72"/>
      <c r="AB764" s="72"/>
      <c r="AC764" s="72"/>
      <c r="AD764" s="72"/>
      <c r="AE764" s="72"/>
      <c r="AF764" s="72"/>
    </row>
    <row r="765">
      <c r="X765" s="129"/>
      <c r="Y765" s="72"/>
      <c r="Z765" s="72"/>
      <c r="AA765" s="72"/>
      <c r="AB765" s="72"/>
      <c r="AC765" s="72"/>
      <c r="AD765" s="72"/>
      <c r="AE765" s="72"/>
      <c r="AF765" s="72"/>
    </row>
    <row r="766">
      <c r="X766" s="129"/>
      <c r="Y766" s="72"/>
      <c r="Z766" s="72"/>
      <c r="AA766" s="72"/>
      <c r="AB766" s="72"/>
      <c r="AC766" s="72"/>
      <c r="AD766" s="72"/>
      <c r="AE766" s="72"/>
      <c r="AF766" s="72"/>
    </row>
    <row r="767">
      <c r="X767" s="129"/>
      <c r="Y767" s="72"/>
      <c r="Z767" s="72"/>
      <c r="AA767" s="72"/>
      <c r="AB767" s="72"/>
      <c r="AC767" s="72"/>
      <c r="AD767" s="72"/>
      <c r="AE767" s="72"/>
      <c r="AF767" s="72"/>
    </row>
    <row r="768">
      <c r="X768" s="129"/>
      <c r="Y768" s="72"/>
      <c r="Z768" s="72"/>
      <c r="AA768" s="72"/>
      <c r="AB768" s="72"/>
      <c r="AC768" s="72"/>
      <c r="AD768" s="72"/>
      <c r="AE768" s="72"/>
      <c r="AF768" s="72"/>
    </row>
    <row r="769">
      <c r="X769" s="129"/>
      <c r="Y769" s="72"/>
      <c r="Z769" s="72"/>
      <c r="AA769" s="72"/>
      <c r="AB769" s="72"/>
      <c r="AC769" s="72"/>
      <c r="AD769" s="72"/>
      <c r="AE769" s="72"/>
      <c r="AF769" s="72"/>
    </row>
    <row r="770">
      <c r="X770" s="129"/>
      <c r="Y770" s="72"/>
      <c r="Z770" s="72"/>
      <c r="AA770" s="72"/>
      <c r="AB770" s="72"/>
      <c r="AC770" s="72"/>
      <c r="AD770" s="72"/>
      <c r="AE770" s="72"/>
      <c r="AF770" s="72"/>
    </row>
    <row r="771">
      <c r="X771" s="129"/>
      <c r="Y771" s="72"/>
      <c r="Z771" s="72"/>
      <c r="AA771" s="72"/>
      <c r="AB771" s="72"/>
      <c r="AC771" s="72"/>
      <c r="AD771" s="72"/>
      <c r="AE771" s="72"/>
      <c r="AF771" s="72"/>
    </row>
    <row r="772">
      <c r="X772" s="129"/>
      <c r="Y772" s="72"/>
      <c r="Z772" s="72"/>
      <c r="AA772" s="72"/>
      <c r="AB772" s="72"/>
      <c r="AC772" s="72"/>
      <c r="AD772" s="72"/>
      <c r="AE772" s="72"/>
      <c r="AF772" s="72"/>
    </row>
    <row r="773">
      <c r="X773" s="129"/>
      <c r="Y773" s="72"/>
      <c r="Z773" s="72"/>
      <c r="AA773" s="72"/>
      <c r="AB773" s="72"/>
      <c r="AC773" s="72"/>
      <c r="AD773" s="72"/>
      <c r="AE773" s="72"/>
      <c r="AF773" s="72"/>
    </row>
    <row r="774">
      <c r="X774" s="129"/>
      <c r="Y774" s="72"/>
      <c r="Z774" s="72"/>
      <c r="AA774" s="72"/>
      <c r="AB774" s="72"/>
      <c r="AC774" s="72"/>
      <c r="AD774" s="72"/>
      <c r="AE774" s="72"/>
      <c r="AF774" s="72"/>
    </row>
    <row r="775">
      <c r="X775" s="129"/>
      <c r="Y775" s="72"/>
      <c r="Z775" s="72"/>
      <c r="AA775" s="72"/>
      <c r="AB775" s="72"/>
      <c r="AC775" s="72"/>
      <c r="AD775" s="72"/>
      <c r="AE775" s="72"/>
      <c r="AF775" s="72"/>
    </row>
    <row r="776">
      <c r="X776" s="129"/>
      <c r="Y776" s="72"/>
      <c r="Z776" s="72"/>
      <c r="AA776" s="72"/>
      <c r="AB776" s="72"/>
      <c r="AC776" s="72"/>
      <c r="AD776" s="72"/>
      <c r="AE776" s="72"/>
      <c r="AF776" s="72"/>
    </row>
    <row r="777">
      <c r="X777" s="129"/>
      <c r="Y777" s="72"/>
      <c r="Z777" s="72"/>
      <c r="AA777" s="72"/>
      <c r="AB777" s="72"/>
      <c r="AC777" s="72"/>
      <c r="AD777" s="72"/>
      <c r="AE777" s="72"/>
      <c r="AF777" s="72"/>
    </row>
    <row r="778">
      <c r="X778" s="129"/>
      <c r="Y778" s="72"/>
      <c r="Z778" s="72"/>
      <c r="AA778" s="72"/>
      <c r="AB778" s="72"/>
      <c r="AC778" s="72"/>
      <c r="AD778" s="72"/>
      <c r="AE778" s="72"/>
      <c r="AF778" s="72"/>
    </row>
    <row r="779">
      <c r="X779" s="129"/>
      <c r="Y779" s="72"/>
      <c r="Z779" s="72"/>
      <c r="AA779" s="72"/>
      <c r="AB779" s="72"/>
      <c r="AC779" s="72"/>
      <c r="AD779" s="72"/>
      <c r="AE779" s="72"/>
      <c r="AF779" s="72"/>
    </row>
    <row r="780">
      <c r="X780" s="129"/>
      <c r="Y780" s="72"/>
      <c r="Z780" s="72"/>
      <c r="AA780" s="72"/>
      <c r="AB780" s="72"/>
      <c r="AC780" s="72"/>
      <c r="AD780" s="72"/>
      <c r="AE780" s="72"/>
      <c r="AF780" s="72"/>
    </row>
    <row r="781">
      <c r="X781" s="129"/>
      <c r="Y781" s="72"/>
      <c r="Z781" s="72"/>
      <c r="AA781" s="72"/>
      <c r="AB781" s="72"/>
      <c r="AC781" s="72"/>
      <c r="AD781" s="72"/>
      <c r="AE781" s="72"/>
      <c r="AF781" s="72"/>
    </row>
    <row r="782">
      <c r="X782" s="129"/>
      <c r="Y782" s="72"/>
      <c r="Z782" s="72"/>
      <c r="AA782" s="72"/>
      <c r="AB782" s="72"/>
      <c r="AC782" s="72"/>
      <c r="AD782" s="72"/>
      <c r="AE782" s="72"/>
      <c r="AF782" s="72"/>
    </row>
    <row r="783">
      <c r="X783" s="129"/>
      <c r="Y783" s="72"/>
      <c r="Z783" s="72"/>
      <c r="AA783" s="72"/>
      <c r="AB783" s="72"/>
      <c r="AC783" s="72"/>
      <c r="AD783" s="72"/>
      <c r="AE783" s="72"/>
      <c r="AF783" s="72"/>
    </row>
    <row r="784">
      <c r="X784" s="129"/>
      <c r="Y784" s="72"/>
      <c r="Z784" s="72"/>
      <c r="AA784" s="72"/>
      <c r="AB784" s="72"/>
      <c r="AC784" s="72"/>
      <c r="AD784" s="72"/>
      <c r="AE784" s="72"/>
      <c r="AF784" s="72"/>
    </row>
    <row r="785">
      <c r="X785" s="129"/>
      <c r="Y785" s="72"/>
      <c r="Z785" s="72"/>
      <c r="AA785" s="72"/>
      <c r="AB785" s="72"/>
      <c r="AC785" s="72"/>
      <c r="AD785" s="72"/>
      <c r="AE785" s="72"/>
      <c r="AF785" s="72"/>
    </row>
    <row r="786">
      <c r="X786" s="129"/>
      <c r="Y786" s="72"/>
      <c r="Z786" s="72"/>
      <c r="AA786" s="72"/>
      <c r="AB786" s="72"/>
      <c r="AC786" s="72"/>
      <c r="AD786" s="72"/>
      <c r="AE786" s="72"/>
      <c r="AF786" s="72"/>
    </row>
    <row r="787">
      <c r="X787" s="129"/>
      <c r="Y787" s="72"/>
      <c r="Z787" s="72"/>
      <c r="AA787" s="72"/>
      <c r="AB787" s="72"/>
      <c r="AC787" s="72"/>
      <c r="AD787" s="72"/>
      <c r="AE787" s="72"/>
      <c r="AF787" s="72"/>
    </row>
    <row r="788">
      <c r="X788" s="129"/>
      <c r="Y788" s="72"/>
      <c r="Z788" s="72"/>
      <c r="AA788" s="72"/>
      <c r="AB788" s="72"/>
      <c r="AC788" s="72"/>
      <c r="AD788" s="72"/>
      <c r="AE788" s="72"/>
      <c r="AF788" s="72"/>
    </row>
    <row r="789">
      <c r="X789" s="129"/>
      <c r="Y789" s="72"/>
      <c r="Z789" s="72"/>
      <c r="AA789" s="72"/>
      <c r="AB789" s="72"/>
      <c r="AC789" s="72"/>
      <c r="AD789" s="72"/>
      <c r="AE789" s="72"/>
      <c r="AF789" s="72"/>
    </row>
    <row r="790">
      <c r="X790" s="129"/>
      <c r="Y790" s="72"/>
      <c r="Z790" s="72"/>
      <c r="AA790" s="72"/>
      <c r="AB790" s="72"/>
      <c r="AC790" s="72"/>
      <c r="AD790" s="72"/>
      <c r="AE790" s="72"/>
      <c r="AF790" s="72"/>
    </row>
    <row r="791">
      <c r="X791" s="129"/>
      <c r="Y791" s="72"/>
      <c r="Z791" s="72"/>
      <c r="AA791" s="72"/>
      <c r="AB791" s="72"/>
      <c r="AC791" s="72"/>
      <c r="AD791" s="72"/>
      <c r="AE791" s="72"/>
      <c r="AF791" s="72"/>
    </row>
    <row r="792">
      <c r="X792" s="129"/>
      <c r="Y792" s="72"/>
      <c r="Z792" s="72"/>
      <c r="AA792" s="72"/>
      <c r="AB792" s="72"/>
      <c r="AC792" s="72"/>
      <c r="AD792" s="72"/>
      <c r="AE792" s="72"/>
      <c r="AF792" s="72"/>
    </row>
    <row r="793">
      <c r="X793" s="129"/>
      <c r="Y793" s="72"/>
      <c r="Z793" s="72"/>
      <c r="AA793" s="72"/>
      <c r="AB793" s="72"/>
      <c r="AC793" s="72"/>
      <c r="AD793" s="72"/>
      <c r="AE793" s="72"/>
      <c r="AF793" s="72"/>
    </row>
    <row r="794">
      <c r="X794" s="129"/>
      <c r="Y794" s="72"/>
      <c r="Z794" s="72"/>
      <c r="AA794" s="72"/>
      <c r="AB794" s="72"/>
      <c r="AC794" s="72"/>
      <c r="AD794" s="72"/>
      <c r="AE794" s="72"/>
      <c r="AF794" s="72"/>
    </row>
    <row r="795">
      <c r="X795" s="129"/>
      <c r="Y795" s="72"/>
      <c r="Z795" s="72"/>
      <c r="AA795" s="72"/>
      <c r="AB795" s="72"/>
      <c r="AC795" s="72"/>
      <c r="AD795" s="72"/>
      <c r="AE795" s="72"/>
      <c r="AF795" s="72"/>
    </row>
    <row r="796">
      <c r="X796" s="129"/>
      <c r="Y796" s="72"/>
      <c r="Z796" s="72"/>
      <c r="AA796" s="72"/>
      <c r="AB796" s="72"/>
      <c r="AC796" s="72"/>
      <c r="AD796" s="72"/>
      <c r="AE796" s="72"/>
      <c r="AF796" s="72"/>
    </row>
    <row r="797">
      <c r="X797" s="129"/>
      <c r="Y797" s="72"/>
      <c r="Z797" s="72"/>
      <c r="AA797" s="72"/>
      <c r="AB797" s="72"/>
      <c r="AC797" s="72"/>
      <c r="AD797" s="72"/>
      <c r="AE797" s="72"/>
      <c r="AF797" s="72"/>
    </row>
    <row r="798">
      <c r="X798" s="129"/>
      <c r="Y798" s="72"/>
      <c r="Z798" s="72"/>
      <c r="AA798" s="72"/>
      <c r="AB798" s="72"/>
      <c r="AC798" s="72"/>
      <c r="AD798" s="72"/>
      <c r="AE798" s="72"/>
      <c r="AF798" s="72"/>
    </row>
    <row r="799">
      <c r="X799" s="129"/>
      <c r="Y799" s="72"/>
      <c r="Z799" s="72"/>
      <c r="AA799" s="72"/>
      <c r="AB799" s="72"/>
      <c r="AC799" s="72"/>
      <c r="AD799" s="72"/>
      <c r="AE799" s="72"/>
      <c r="AF799" s="72"/>
    </row>
    <row r="800">
      <c r="X800" s="129"/>
      <c r="Y800" s="72"/>
      <c r="Z800" s="72"/>
      <c r="AA800" s="72"/>
      <c r="AB800" s="72"/>
      <c r="AC800" s="72"/>
      <c r="AD800" s="72"/>
      <c r="AE800" s="72"/>
      <c r="AF800" s="72"/>
    </row>
    <row r="801">
      <c r="X801" s="129"/>
      <c r="Y801" s="72"/>
      <c r="Z801" s="72"/>
      <c r="AA801" s="72"/>
      <c r="AB801" s="72"/>
      <c r="AC801" s="72"/>
      <c r="AD801" s="72"/>
      <c r="AE801" s="72"/>
      <c r="AF801" s="72"/>
    </row>
    <row r="802">
      <c r="X802" s="129"/>
      <c r="Y802" s="72"/>
      <c r="Z802" s="72"/>
      <c r="AA802" s="72"/>
      <c r="AB802" s="72"/>
      <c r="AC802" s="72"/>
      <c r="AD802" s="72"/>
      <c r="AE802" s="72"/>
      <c r="AF802" s="72"/>
    </row>
    <row r="803">
      <c r="X803" s="129"/>
      <c r="Y803" s="72"/>
      <c r="Z803" s="72"/>
      <c r="AA803" s="72"/>
      <c r="AB803" s="72"/>
      <c r="AC803" s="72"/>
      <c r="AD803" s="72"/>
      <c r="AE803" s="72"/>
      <c r="AF803" s="72"/>
    </row>
    <row r="804">
      <c r="X804" s="129"/>
      <c r="Y804" s="72"/>
      <c r="Z804" s="72"/>
      <c r="AA804" s="72"/>
      <c r="AB804" s="72"/>
      <c r="AC804" s="72"/>
      <c r="AD804" s="72"/>
      <c r="AE804" s="72"/>
      <c r="AF804" s="72"/>
    </row>
    <row r="805">
      <c r="X805" s="129"/>
      <c r="Y805" s="72"/>
      <c r="Z805" s="72"/>
      <c r="AA805" s="72"/>
      <c r="AB805" s="72"/>
      <c r="AC805" s="72"/>
      <c r="AD805" s="72"/>
      <c r="AE805" s="72"/>
      <c r="AF805" s="72"/>
    </row>
    <row r="806">
      <c r="X806" s="129"/>
      <c r="Y806" s="72"/>
      <c r="Z806" s="72"/>
      <c r="AA806" s="72"/>
      <c r="AB806" s="72"/>
      <c r="AC806" s="72"/>
      <c r="AD806" s="72"/>
      <c r="AE806" s="72"/>
      <c r="AF806" s="72"/>
    </row>
    <row r="807">
      <c r="X807" s="129"/>
      <c r="Y807" s="72"/>
      <c r="Z807" s="72"/>
      <c r="AA807" s="72"/>
      <c r="AB807" s="72"/>
      <c r="AC807" s="72"/>
      <c r="AD807" s="72"/>
      <c r="AE807" s="72"/>
      <c r="AF807" s="72"/>
    </row>
    <row r="808">
      <c r="X808" s="129"/>
      <c r="Y808" s="72"/>
      <c r="Z808" s="72"/>
      <c r="AA808" s="72"/>
      <c r="AB808" s="72"/>
      <c r="AC808" s="72"/>
      <c r="AD808" s="72"/>
      <c r="AE808" s="72"/>
      <c r="AF808" s="72"/>
    </row>
    <row r="809">
      <c r="X809" s="129"/>
      <c r="Y809" s="72"/>
      <c r="Z809" s="72"/>
      <c r="AA809" s="72"/>
      <c r="AB809" s="72"/>
      <c r="AC809" s="72"/>
      <c r="AD809" s="72"/>
      <c r="AE809" s="72"/>
      <c r="AF809" s="72"/>
    </row>
    <row r="810">
      <c r="X810" s="129"/>
      <c r="Y810" s="72"/>
      <c r="Z810" s="72"/>
      <c r="AA810" s="72"/>
      <c r="AB810" s="72"/>
      <c r="AC810" s="72"/>
      <c r="AD810" s="72"/>
      <c r="AE810" s="72"/>
      <c r="AF810" s="72"/>
    </row>
    <row r="811">
      <c r="X811" s="129"/>
      <c r="Y811" s="72"/>
      <c r="Z811" s="72"/>
      <c r="AA811" s="72"/>
      <c r="AB811" s="72"/>
      <c r="AC811" s="72"/>
      <c r="AD811" s="72"/>
      <c r="AE811" s="72"/>
      <c r="AF811" s="72"/>
    </row>
    <row r="812">
      <c r="X812" s="129"/>
      <c r="Y812" s="72"/>
      <c r="Z812" s="72"/>
      <c r="AA812" s="72"/>
      <c r="AB812" s="72"/>
      <c r="AC812" s="72"/>
      <c r="AD812" s="72"/>
      <c r="AE812" s="72"/>
      <c r="AF812" s="72"/>
    </row>
    <row r="813">
      <c r="X813" s="129"/>
      <c r="Y813" s="72"/>
      <c r="Z813" s="72"/>
      <c r="AA813" s="72"/>
      <c r="AB813" s="72"/>
      <c r="AC813" s="72"/>
      <c r="AD813" s="72"/>
      <c r="AE813" s="72"/>
      <c r="AF813" s="72"/>
    </row>
    <row r="814">
      <c r="X814" s="129"/>
      <c r="Y814" s="72"/>
      <c r="Z814" s="72"/>
      <c r="AA814" s="72"/>
      <c r="AB814" s="72"/>
      <c r="AC814" s="72"/>
      <c r="AD814" s="72"/>
      <c r="AE814" s="72"/>
      <c r="AF814" s="72"/>
    </row>
    <row r="815">
      <c r="X815" s="129"/>
      <c r="Y815" s="72"/>
      <c r="Z815" s="72"/>
      <c r="AA815" s="72"/>
      <c r="AB815" s="72"/>
      <c r="AC815" s="72"/>
      <c r="AD815" s="72"/>
      <c r="AE815" s="72"/>
      <c r="AF815" s="72"/>
    </row>
    <row r="816">
      <c r="X816" s="129"/>
      <c r="Y816" s="72"/>
      <c r="Z816" s="72"/>
      <c r="AA816" s="72"/>
      <c r="AB816" s="72"/>
      <c r="AC816" s="72"/>
      <c r="AD816" s="72"/>
      <c r="AE816" s="72"/>
      <c r="AF816" s="72"/>
    </row>
    <row r="817">
      <c r="X817" s="129"/>
      <c r="Y817" s="72"/>
      <c r="Z817" s="72"/>
      <c r="AA817" s="72"/>
      <c r="AB817" s="72"/>
      <c r="AC817" s="72"/>
      <c r="AD817" s="72"/>
      <c r="AE817" s="72"/>
      <c r="AF817" s="72"/>
    </row>
    <row r="818">
      <c r="X818" s="129"/>
      <c r="Y818" s="72"/>
      <c r="Z818" s="72"/>
      <c r="AA818" s="72"/>
      <c r="AB818" s="72"/>
      <c r="AC818" s="72"/>
      <c r="AD818" s="72"/>
      <c r="AE818" s="72"/>
      <c r="AF818" s="72"/>
    </row>
    <row r="819">
      <c r="X819" s="129"/>
      <c r="Y819" s="72"/>
      <c r="Z819" s="72"/>
      <c r="AA819" s="72"/>
      <c r="AB819" s="72"/>
      <c r="AC819" s="72"/>
      <c r="AD819" s="72"/>
      <c r="AE819" s="72"/>
      <c r="AF819" s="72"/>
    </row>
    <row r="820">
      <c r="X820" s="129"/>
      <c r="Y820" s="72"/>
      <c r="Z820" s="72"/>
      <c r="AA820" s="72"/>
      <c r="AB820" s="72"/>
      <c r="AC820" s="72"/>
      <c r="AD820" s="72"/>
      <c r="AE820" s="72"/>
      <c r="AF820" s="72"/>
    </row>
    <row r="821">
      <c r="X821" s="129"/>
      <c r="Y821" s="72"/>
      <c r="Z821" s="72"/>
      <c r="AA821" s="72"/>
      <c r="AB821" s="72"/>
      <c r="AC821" s="72"/>
      <c r="AD821" s="72"/>
      <c r="AE821" s="72"/>
      <c r="AF821" s="72"/>
    </row>
    <row r="822">
      <c r="X822" s="129"/>
      <c r="Y822" s="72"/>
      <c r="Z822" s="72"/>
      <c r="AA822" s="72"/>
      <c r="AB822" s="72"/>
      <c r="AC822" s="72"/>
      <c r="AD822" s="72"/>
      <c r="AE822" s="72"/>
      <c r="AF822" s="72"/>
    </row>
    <row r="823">
      <c r="X823" s="129"/>
      <c r="Y823" s="72"/>
      <c r="Z823" s="72"/>
      <c r="AA823" s="72"/>
      <c r="AB823" s="72"/>
      <c r="AC823" s="72"/>
      <c r="AD823" s="72"/>
      <c r="AE823" s="72"/>
      <c r="AF823" s="72"/>
    </row>
    <row r="824">
      <c r="X824" s="129"/>
      <c r="Y824" s="72"/>
      <c r="Z824" s="72"/>
      <c r="AA824" s="72"/>
      <c r="AB824" s="72"/>
      <c r="AC824" s="72"/>
      <c r="AD824" s="72"/>
      <c r="AE824" s="72"/>
      <c r="AF824" s="72"/>
    </row>
    <row r="825">
      <c r="X825" s="129"/>
      <c r="Y825" s="72"/>
      <c r="Z825" s="72"/>
      <c r="AA825" s="72"/>
      <c r="AB825" s="72"/>
      <c r="AC825" s="72"/>
      <c r="AD825" s="72"/>
      <c r="AE825" s="72"/>
      <c r="AF825" s="72"/>
    </row>
    <row r="826">
      <c r="X826" s="129"/>
      <c r="Y826" s="72"/>
      <c r="Z826" s="72"/>
      <c r="AA826" s="72"/>
      <c r="AB826" s="72"/>
      <c r="AC826" s="72"/>
      <c r="AD826" s="72"/>
      <c r="AE826" s="72"/>
      <c r="AF826" s="72"/>
    </row>
    <row r="827">
      <c r="X827" s="129"/>
      <c r="Y827" s="72"/>
      <c r="Z827" s="72"/>
      <c r="AA827" s="72"/>
      <c r="AB827" s="72"/>
      <c r="AC827" s="72"/>
      <c r="AD827" s="72"/>
      <c r="AE827" s="72"/>
      <c r="AF827" s="72"/>
    </row>
    <row r="828">
      <c r="X828" s="129"/>
      <c r="Y828" s="72"/>
      <c r="Z828" s="72"/>
      <c r="AA828" s="72"/>
      <c r="AB828" s="72"/>
      <c r="AC828" s="72"/>
      <c r="AD828" s="72"/>
      <c r="AE828" s="72"/>
      <c r="AF828" s="72"/>
    </row>
    <row r="829">
      <c r="X829" s="129"/>
      <c r="Y829" s="72"/>
      <c r="Z829" s="72"/>
      <c r="AA829" s="72"/>
      <c r="AB829" s="72"/>
      <c r="AC829" s="72"/>
      <c r="AD829" s="72"/>
      <c r="AE829" s="72"/>
      <c r="AF829" s="72"/>
    </row>
    <row r="830">
      <c r="X830" s="129"/>
      <c r="Y830" s="72"/>
      <c r="Z830" s="72"/>
      <c r="AA830" s="72"/>
      <c r="AB830" s="72"/>
      <c r="AC830" s="72"/>
      <c r="AD830" s="72"/>
      <c r="AE830" s="72"/>
      <c r="AF830" s="72"/>
    </row>
    <row r="831">
      <c r="X831" s="129"/>
      <c r="Y831" s="72"/>
      <c r="Z831" s="72"/>
      <c r="AA831" s="72"/>
      <c r="AB831" s="72"/>
      <c r="AC831" s="72"/>
      <c r="AD831" s="72"/>
      <c r="AE831" s="72"/>
      <c r="AF831" s="72"/>
    </row>
    <row r="832">
      <c r="X832" s="129"/>
      <c r="Y832" s="72"/>
      <c r="Z832" s="72"/>
      <c r="AA832" s="72"/>
      <c r="AB832" s="72"/>
      <c r="AC832" s="72"/>
      <c r="AD832" s="72"/>
      <c r="AE832" s="72"/>
      <c r="AF832" s="72"/>
    </row>
    <row r="833">
      <c r="X833" s="129"/>
      <c r="Y833" s="72"/>
      <c r="Z833" s="72"/>
      <c r="AA833" s="72"/>
      <c r="AB833" s="72"/>
      <c r="AC833" s="72"/>
      <c r="AD833" s="72"/>
      <c r="AE833" s="72"/>
      <c r="AF833" s="72"/>
    </row>
    <row r="834">
      <c r="X834" s="129"/>
      <c r="Y834" s="72"/>
      <c r="Z834" s="72"/>
      <c r="AA834" s="72"/>
      <c r="AB834" s="72"/>
      <c r="AC834" s="72"/>
      <c r="AD834" s="72"/>
      <c r="AE834" s="72"/>
      <c r="AF834" s="72"/>
    </row>
    <row r="835">
      <c r="X835" s="129"/>
      <c r="Y835" s="72"/>
      <c r="Z835" s="72"/>
      <c r="AA835" s="72"/>
      <c r="AB835" s="72"/>
      <c r="AC835" s="72"/>
      <c r="AD835" s="72"/>
      <c r="AE835" s="72"/>
      <c r="AF835" s="72"/>
    </row>
    <row r="836">
      <c r="X836" s="129"/>
      <c r="Y836" s="72"/>
      <c r="Z836" s="72"/>
      <c r="AA836" s="72"/>
      <c r="AB836" s="72"/>
      <c r="AC836" s="72"/>
      <c r="AD836" s="72"/>
      <c r="AE836" s="72"/>
      <c r="AF836" s="72"/>
    </row>
    <row r="837">
      <c r="X837" s="129"/>
      <c r="Y837" s="72"/>
      <c r="Z837" s="72"/>
      <c r="AA837" s="72"/>
      <c r="AB837" s="72"/>
      <c r="AC837" s="72"/>
      <c r="AD837" s="72"/>
      <c r="AE837" s="72"/>
      <c r="AF837" s="72"/>
    </row>
    <row r="838">
      <c r="X838" s="129"/>
      <c r="Y838" s="72"/>
      <c r="Z838" s="72"/>
      <c r="AA838" s="72"/>
      <c r="AB838" s="72"/>
      <c r="AC838" s="72"/>
      <c r="AD838" s="72"/>
      <c r="AE838" s="72"/>
      <c r="AF838" s="72"/>
    </row>
    <row r="839">
      <c r="X839" s="129"/>
      <c r="Y839" s="72"/>
      <c r="Z839" s="72"/>
      <c r="AA839" s="72"/>
      <c r="AB839" s="72"/>
      <c r="AC839" s="72"/>
      <c r="AD839" s="72"/>
      <c r="AE839" s="72"/>
      <c r="AF839" s="72"/>
    </row>
    <row r="840">
      <c r="X840" s="129"/>
      <c r="Y840" s="72"/>
      <c r="Z840" s="72"/>
      <c r="AA840" s="72"/>
      <c r="AB840" s="72"/>
      <c r="AC840" s="72"/>
      <c r="AD840" s="72"/>
      <c r="AE840" s="72"/>
      <c r="AF840" s="72"/>
    </row>
    <row r="841">
      <c r="X841" s="129"/>
      <c r="Y841" s="72"/>
      <c r="Z841" s="72"/>
      <c r="AA841" s="72"/>
      <c r="AB841" s="72"/>
      <c r="AC841" s="72"/>
      <c r="AD841" s="72"/>
      <c r="AE841" s="72"/>
      <c r="AF841" s="72"/>
    </row>
    <row r="842">
      <c r="X842" s="129"/>
      <c r="Y842" s="72"/>
      <c r="Z842" s="72"/>
      <c r="AA842" s="72"/>
      <c r="AB842" s="72"/>
      <c r="AC842" s="72"/>
      <c r="AD842" s="72"/>
      <c r="AE842" s="72"/>
      <c r="AF842" s="72"/>
    </row>
    <row r="843">
      <c r="X843" s="129"/>
      <c r="Y843" s="72"/>
      <c r="Z843" s="72"/>
      <c r="AA843" s="72"/>
      <c r="AB843" s="72"/>
      <c r="AC843" s="72"/>
      <c r="AD843" s="72"/>
      <c r="AE843" s="72"/>
      <c r="AF843" s="72"/>
    </row>
    <row r="844">
      <c r="X844" s="129"/>
      <c r="Y844" s="72"/>
      <c r="Z844" s="72"/>
      <c r="AA844" s="72"/>
      <c r="AB844" s="72"/>
      <c r="AC844" s="72"/>
      <c r="AD844" s="72"/>
      <c r="AE844" s="72"/>
      <c r="AF844" s="72"/>
    </row>
    <row r="845">
      <c r="X845" s="129"/>
      <c r="Y845" s="72"/>
      <c r="Z845" s="72"/>
      <c r="AA845" s="72"/>
      <c r="AB845" s="72"/>
      <c r="AC845" s="72"/>
      <c r="AD845" s="72"/>
      <c r="AE845" s="72"/>
      <c r="AF845" s="72"/>
    </row>
    <row r="846">
      <c r="X846" s="129"/>
      <c r="Y846" s="72"/>
      <c r="Z846" s="72"/>
      <c r="AA846" s="72"/>
      <c r="AB846" s="72"/>
      <c r="AC846" s="72"/>
      <c r="AD846" s="72"/>
      <c r="AE846" s="72"/>
      <c r="AF846" s="72"/>
    </row>
    <row r="847">
      <c r="X847" s="129"/>
      <c r="Y847" s="72"/>
      <c r="Z847" s="72"/>
      <c r="AA847" s="72"/>
      <c r="AB847" s="72"/>
      <c r="AC847" s="72"/>
      <c r="AD847" s="72"/>
      <c r="AE847" s="72"/>
      <c r="AF847" s="72"/>
    </row>
    <row r="848">
      <c r="X848" s="129"/>
      <c r="Y848" s="72"/>
      <c r="Z848" s="72"/>
      <c r="AA848" s="72"/>
      <c r="AB848" s="72"/>
      <c r="AC848" s="72"/>
      <c r="AD848" s="72"/>
      <c r="AE848" s="72"/>
      <c r="AF848" s="72"/>
    </row>
    <row r="849">
      <c r="X849" s="129"/>
      <c r="Y849" s="72"/>
      <c r="Z849" s="72"/>
      <c r="AA849" s="72"/>
      <c r="AB849" s="72"/>
      <c r="AC849" s="72"/>
      <c r="AD849" s="72"/>
      <c r="AE849" s="72"/>
      <c r="AF849" s="72"/>
    </row>
    <row r="850">
      <c r="X850" s="129"/>
      <c r="Y850" s="72"/>
      <c r="Z850" s="72"/>
      <c r="AA850" s="72"/>
      <c r="AB850" s="72"/>
      <c r="AC850" s="72"/>
      <c r="AD850" s="72"/>
      <c r="AE850" s="72"/>
      <c r="AF850" s="72"/>
    </row>
    <row r="851">
      <c r="X851" s="129"/>
      <c r="Y851" s="72"/>
      <c r="Z851" s="72"/>
      <c r="AA851" s="72"/>
      <c r="AB851" s="72"/>
      <c r="AC851" s="72"/>
      <c r="AD851" s="72"/>
      <c r="AE851" s="72"/>
      <c r="AF851" s="72"/>
    </row>
    <row r="852">
      <c r="X852" s="129"/>
      <c r="Y852" s="72"/>
      <c r="Z852" s="72"/>
      <c r="AA852" s="72"/>
      <c r="AB852" s="72"/>
      <c r="AC852" s="72"/>
      <c r="AD852" s="72"/>
      <c r="AE852" s="72"/>
      <c r="AF852" s="72"/>
    </row>
    <row r="853">
      <c r="X853" s="129"/>
      <c r="Y853" s="72"/>
      <c r="Z853" s="72"/>
      <c r="AA853" s="72"/>
      <c r="AB853" s="72"/>
      <c r="AC853" s="72"/>
      <c r="AD853" s="72"/>
      <c r="AE853" s="72"/>
      <c r="AF853" s="72"/>
    </row>
    <row r="854">
      <c r="X854" s="129"/>
      <c r="Y854" s="72"/>
      <c r="Z854" s="72"/>
      <c r="AA854" s="72"/>
      <c r="AB854" s="72"/>
      <c r="AC854" s="72"/>
      <c r="AD854" s="72"/>
      <c r="AE854" s="72"/>
      <c r="AF854" s="72"/>
    </row>
    <row r="855">
      <c r="X855" s="129"/>
      <c r="Y855" s="72"/>
      <c r="Z855" s="72"/>
      <c r="AA855" s="72"/>
      <c r="AB855" s="72"/>
      <c r="AC855" s="72"/>
      <c r="AD855" s="72"/>
      <c r="AE855" s="72"/>
      <c r="AF855" s="72"/>
    </row>
    <row r="856">
      <c r="X856" s="129"/>
      <c r="Y856" s="72"/>
      <c r="Z856" s="72"/>
      <c r="AA856" s="72"/>
      <c r="AB856" s="72"/>
      <c r="AC856" s="72"/>
      <c r="AD856" s="72"/>
      <c r="AE856" s="72"/>
      <c r="AF856" s="72"/>
    </row>
    <row r="857">
      <c r="X857" s="129"/>
      <c r="Y857" s="72"/>
      <c r="Z857" s="72"/>
      <c r="AA857" s="72"/>
      <c r="AB857" s="72"/>
      <c r="AC857" s="72"/>
      <c r="AD857" s="72"/>
      <c r="AE857" s="72"/>
      <c r="AF857" s="72"/>
    </row>
    <row r="858">
      <c r="X858" s="129"/>
      <c r="Y858" s="72"/>
      <c r="Z858" s="72"/>
      <c r="AA858" s="72"/>
      <c r="AB858" s="72"/>
      <c r="AC858" s="72"/>
      <c r="AD858" s="72"/>
      <c r="AE858" s="72"/>
      <c r="AF858" s="72"/>
    </row>
    <row r="859">
      <c r="X859" s="129"/>
      <c r="Y859" s="72"/>
      <c r="Z859" s="72"/>
      <c r="AA859" s="72"/>
      <c r="AB859" s="72"/>
      <c r="AC859" s="72"/>
      <c r="AD859" s="72"/>
      <c r="AE859" s="72"/>
      <c r="AF859" s="72"/>
    </row>
    <row r="860">
      <c r="X860" s="129"/>
      <c r="Y860" s="72"/>
      <c r="Z860" s="72"/>
      <c r="AA860" s="72"/>
      <c r="AB860" s="72"/>
      <c r="AC860" s="72"/>
      <c r="AD860" s="72"/>
      <c r="AE860" s="72"/>
      <c r="AF860" s="72"/>
    </row>
    <row r="861">
      <c r="X861" s="129"/>
      <c r="Y861" s="72"/>
      <c r="Z861" s="72"/>
      <c r="AA861" s="72"/>
      <c r="AB861" s="72"/>
      <c r="AC861" s="72"/>
      <c r="AD861" s="72"/>
      <c r="AE861" s="72"/>
      <c r="AF861" s="72"/>
    </row>
    <row r="862">
      <c r="X862" s="129"/>
      <c r="Y862" s="72"/>
      <c r="Z862" s="72"/>
      <c r="AA862" s="72"/>
      <c r="AB862" s="72"/>
      <c r="AC862" s="72"/>
      <c r="AD862" s="72"/>
      <c r="AE862" s="72"/>
      <c r="AF862" s="72"/>
    </row>
    <row r="863">
      <c r="X863" s="129"/>
      <c r="Y863" s="72"/>
      <c r="Z863" s="72"/>
      <c r="AA863" s="72"/>
      <c r="AB863" s="72"/>
      <c r="AC863" s="72"/>
      <c r="AD863" s="72"/>
      <c r="AE863" s="72"/>
      <c r="AF863" s="72"/>
    </row>
    <row r="864">
      <c r="X864" s="129"/>
      <c r="Y864" s="72"/>
      <c r="Z864" s="72"/>
      <c r="AA864" s="72"/>
      <c r="AB864" s="72"/>
      <c r="AC864" s="72"/>
      <c r="AD864" s="72"/>
      <c r="AE864" s="72"/>
      <c r="AF864" s="72"/>
    </row>
    <row r="865">
      <c r="X865" s="129"/>
      <c r="Y865" s="72"/>
      <c r="Z865" s="72"/>
      <c r="AA865" s="72"/>
      <c r="AB865" s="72"/>
      <c r="AC865" s="72"/>
      <c r="AD865" s="72"/>
      <c r="AE865" s="72"/>
      <c r="AF865" s="72"/>
    </row>
    <row r="866">
      <c r="X866" s="129"/>
      <c r="Y866" s="72"/>
      <c r="Z866" s="72"/>
      <c r="AA866" s="72"/>
      <c r="AB866" s="72"/>
      <c r="AC866" s="72"/>
      <c r="AD866" s="72"/>
      <c r="AE866" s="72"/>
      <c r="AF866" s="72"/>
    </row>
    <row r="867">
      <c r="X867" s="129"/>
      <c r="Y867" s="72"/>
      <c r="Z867" s="72"/>
      <c r="AA867" s="72"/>
      <c r="AB867" s="72"/>
      <c r="AC867" s="72"/>
      <c r="AD867" s="72"/>
      <c r="AE867" s="72"/>
      <c r="AF867" s="72"/>
    </row>
    <row r="868">
      <c r="X868" s="129"/>
      <c r="Y868" s="72"/>
      <c r="Z868" s="72"/>
      <c r="AA868" s="72"/>
      <c r="AB868" s="72"/>
      <c r="AC868" s="72"/>
      <c r="AD868" s="72"/>
      <c r="AE868" s="72"/>
      <c r="AF868" s="72"/>
    </row>
    <row r="869">
      <c r="X869" s="129"/>
      <c r="Y869" s="72"/>
      <c r="Z869" s="72"/>
      <c r="AA869" s="72"/>
      <c r="AB869" s="72"/>
      <c r="AC869" s="72"/>
      <c r="AD869" s="72"/>
      <c r="AE869" s="72"/>
      <c r="AF869" s="72"/>
    </row>
    <row r="870">
      <c r="X870" s="129"/>
      <c r="Y870" s="72"/>
      <c r="Z870" s="72"/>
      <c r="AA870" s="72"/>
      <c r="AB870" s="72"/>
      <c r="AC870" s="72"/>
      <c r="AD870" s="72"/>
      <c r="AE870" s="72"/>
      <c r="AF870" s="72"/>
    </row>
    <row r="871">
      <c r="X871" s="129"/>
      <c r="Y871" s="72"/>
      <c r="Z871" s="72"/>
      <c r="AA871" s="72"/>
      <c r="AB871" s="72"/>
      <c r="AC871" s="72"/>
      <c r="AD871" s="72"/>
      <c r="AE871" s="72"/>
      <c r="AF871" s="72"/>
    </row>
    <row r="872">
      <c r="X872" s="129"/>
      <c r="Y872" s="72"/>
      <c r="Z872" s="72"/>
      <c r="AA872" s="72"/>
      <c r="AB872" s="72"/>
      <c r="AC872" s="72"/>
      <c r="AD872" s="72"/>
      <c r="AE872" s="72"/>
      <c r="AF872" s="72"/>
    </row>
    <row r="873">
      <c r="X873" s="129"/>
      <c r="Y873" s="72"/>
      <c r="Z873" s="72"/>
      <c r="AA873" s="72"/>
      <c r="AB873" s="72"/>
      <c r="AC873" s="72"/>
      <c r="AD873" s="72"/>
      <c r="AE873" s="72"/>
      <c r="AF873" s="72"/>
    </row>
    <row r="874">
      <c r="X874" s="129"/>
      <c r="Y874" s="72"/>
      <c r="Z874" s="72"/>
      <c r="AA874" s="72"/>
      <c r="AB874" s="72"/>
      <c r="AC874" s="72"/>
      <c r="AD874" s="72"/>
      <c r="AE874" s="72"/>
      <c r="AF874" s="72"/>
    </row>
    <row r="875">
      <c r="X875" s="129"/>
      <c r="Y875" s="72"/>
      <c r="Z875" s="72"/>
      <c r="AA875" s="72"/>
      <c r="AB875" s="72"/>
      <c r="AC875" s="72"/>
      <c r="AD875" s="72"/>
      <c r="AE875" s="72"/>
      <c r="AF875" s="72"/>
    </row>
    <row r="876">
      <c r="X876" s="129"/>
      <c r="Y876" s="72"/>
      <c r="Z876" s="72"/>
      <c r="AA876" s="72"/>
      <c r="AB876" s="72"/>
      <c r="AC876" s="72"/>
      <c r="AD876" s="72"/>
      <c r="AE876" s="72"/>
      <c r="AF876" s="72"/>
    </row>
    <row r="877">
      <c r="X877" s="129"/>
      <c r="Y877" s="72"/>
      <c r="Z877" s="72"/>
      <c r="AA877" s="72"/>
      <c r="AB877" s="72"/>
      <c r="AC877" s="72"/>
      <c r="AD877" s="72"/>
      <c r="AE877" s="72"/>
      <c r="AF877" s="72"/>
    </row>
    <row r="878">
      <c r="X878" s="129"/>
      <c r="Y878" s="72"/>
      <c r="Z878" s="72"/>
      <c r="AA878" s="72"/>
      <c r="AB878" s="72"/>
      <c r="AC878" s="72"/>
      <c r="AD878" s="72"/>
      <c r="AE878" s="72"/>
      <c r="AF878" s="72"/>
    </row>
    <row r="879">
      <c r="X879" s="129"/>
      <c r="Y879" s="72"/>
      <c r="Z879" s="72"/>
      <c r="AA879" s="72"/>
      <c r="AB879" s="72"/>
      <c r="AC879" s="72"/>
      <c r="AD879" s="72"/>
      <c r="AE879" s="72"/>
      <c r="AF879" s="72"/>
    </row>
    <row r="880">
      <c r="X880" s="129"/>
      <c r="Y880" s="72"/>
      <c r="Z880" s="72"/>
      <c r="AA880" s="72"/>
      <c r="AB880" s="72"/>
      <c r="AC880" s="72"/>
      <c r="AD880" s="72"/>
      <c r="AE880" s="72"/>
      <c r="AF880" s="72"/>
    </row>
    <row r="881">
      <c r="X881" s="129"/>
      <c r="Y881" s="72"/>
      <c r="Z881" s="72"/>
      <c r="AA881" s="72"/>
      <c r="AB881" s="72"/>
      <c r="AC881" s="72"/>
      <c r="AD881" s="72"/>
      <c r="AE881" s="72"/>
      <c r="AF881" s="72"/>
    </row>
    <row r="882">
      <c r="X882" s="129"/>
      <c r="Y882" s="72"/>
      <c r="Z882" s="72"/>
      <c r="AA882" s="72"/>
      <c r="AB882" s="72"/>
      <c r="AC882" s="72"/>
      <c r="AD882" s="72"/>
      <c r="AE882" s="72"/>
      <c r="AF882" s="72"/>
    </row>
    <row r="883">
      <c r="X883" s="129"/>
      <c r="Y883" s="72"/>
      <c r="Z883" s="72"/>
      <c r="AA883" s="72"/>
      <c r="AB883" s="72"/>
      <c r="AC883" s="72"/>
      <c r="AD883" s="72"/>
      <c r="AE883" s="72"/>
      <c r="AF883" s="72"/>
    </row>
    <row r="884">
      <c r="X884" s="129"/>
      <c r="Y884" s="72"/>
      <c r="Z884" s="72"/>
      <c r="AA884" s="72"/>
      <c r="AB884" s="72"/>
      <c r="AC884" s="72"/>
      <c r="AD884" s="72"/>
      <c r="AE884" s="72"/>
      <c r="AF884" s="72"/>
    </row>
    <row r="885">
      <c r="X885" s="129"/>
      <c r="Y885" s="72"/>
      <c r="Z885" s="72"/>
      <c r="AA885" s="72"/>
      <c r="AB885" s="72"/>
      <c r="AC885" s="72"/>
      <c r="AD885" s="72"/>
      <c r="AE885" s="72"/>
      <c r="AF885" s="72"/>
    </row>
    <row r="886">
      <c r="X886" s="129"/>
      <c r="Y886" s="72"/>
      <c r="Z886" s="72"/>
      <c r="AA886" s="72"/>
      <c r="AB886" s="72"/>
      <c r="AC886" s="72"/>
      <c r="AD886" s="72"/>
      <c r="AE886" s="72"/>
      <c r="AF886" s="72"/>
    </row>
    <row r="887">
      <c r="X887" s="129"/>
      <c r="Y887" s="72"/>
      <c r="Z887" s="72"/>
      <c r="AA887" s="72"/>
      <c r="AB887" s="72"/>
      <c r="AC887" s="72"/>
      <c r="AD887" s="72"/>
      <c r="AE887" s="72"/>
      <c r="AF887" s="72"/>
    </row>
    <row r="888">
      <c r="X888" s="129"/>
      <c r="Y888" s="72"/>
      <c r="Z888" s="72"/>
      <c r="AA888" s="72"/>
      <c r="AB888" s="72"/>
      <c r="AC888" s="72"/>
      <c r="AD888" s="72"/>
      <c r="AE888" s="72"/>
      <c r="AF888" s="72"/>
    </row>
    <row r="889">
      <c r="X889" s="129"/>
      <c r="Y889" s="72"/>
      <c r="Z889" s="72"/>
      <c r="AA889" s="72"/>
      <c r="AB889" s="72"/>
      <c r="AC889" s="72"/>
      <c r="AD889" s="72"/>
      <c r="AE889" s="72"/>
      <c r="AF889" s="72"/>
    </row>
    <row r="890">
      <c r="X890" s="129"/>
      <c r="Y890" s="72"/>
      <c r="Z890" s="72"/>
      <c r="AA890" s="72"/>
      <c r="AB890" s="72"/>
      <c r="AC890" s="72"/>
      <c r="AD890" s="72"/>
      <c r="AE890" s="72"/>
      <c r="AF890" s="72"/>
    </row>
    <row r="891">
      <c r="X891" s="129"/>
      <c r="Y891" s="72"/>
      <c r="Z891" s="72"/>
      <c r="AA891" s="72"/>
      <c r="AB891" s="72"/>
      <c r="AC891" s="72"/>
      <c r="AD891" s="72"/>
      <c r="AE891" s="72"/>
      <c r="AF891" s="72"/>
    </row>
    <row r="892">
      <c r="X892" s="129"/>
      <c r="Y892" s="72"/>
      <c r="Z892" s="72"/>
      <c r="AA892" s="72"/>
      <c r="AB892" s="72"/>
      <c r="AC892" s="72"/>
      <c r="AD892" s="72"/>
      <c r="AE892" s="72"/>
      <c r="AF892" s="72"/>
    </row>
    <row r="893">
      <c r="X893" s="129"/>
      <c r="Y893" s="72"/>
      <c r="Z893" s="72"/>
      <c r="AA893" s="72"/>
      <c r="AB893" s="72"/>
      <c r="AC893" s="72"/>
      <c r="AD893" s="72"/>
      <c r="AE893" s="72"/>
      <c r="AF893" s="72"/>
    </row>
    <row r="894">
      <c r="X894" s="129"/>
      <c r="Y894" s="72"/>
      <c r="Z894" s="72"/>
      <c r="AA894" s="72"/>
      <c r="AB894" s="72"/>
      <c r="AC894" s="72"/>
      <c r="AD894" s="72"/>
      <c r="AE894" s="72"/>
      <c r="AF894" s="72"/>
    </row>
    <row r="895">
      <c r="X895" s="129"/>
      <c r="Y895" s="72"/>
      <c r="Z895" s="72"/>
      <c r="AA895" s="72"/>
      <c r="AB895" s="72"/>
      <c r="AC895" s="72"/>
      <c r="AD895" s="72"/>
      <c r="AE895" s="72"/>
      <c r="AF895" s="72"/>
    </row>
    <row r="896">
      <c r="X896" s="129"/>
      <c r="Y896" s="72"/>
      <c r="Z896" s="72"/>
      <c r="AA896" s="72"/>
      <c r="AB896" s="72"/>
      <c r="AC896" s="72"/>
      <c r="AD896" s="72"/>
      <c r="AE896" s="72"/>
      <c r="AF896" s="72"/>
    </row>
    <row r="897">
      <c r="X897" s="129"/>
      <c r="Y897" s="72"/>
      <c r="Z897" s="72"/>
      <c r="AA897" s="72"/>
      <c r="AB897" s="72"/>
      <c r="AC897" s="72"/>
      <c r="AD897" s="72"/>
      <c r="AE897" s="72"/>
      <c r="AF897" s="72"/>
    </row>
    <row r="898">
      <c r="X898" s="129"/>
      <c r="Y898" s="72"/>
      <c r="Z898" s="72"/>
      <c r="AA898" s="72"/>
      <c r="AB898" s="72"/>
      <c r="AC898" s="72"/>
      <c r="AD898" s="72"/>
      <c r="AE898" s="72"/>
      <c r="AF898" s="72"/>
    </row>
    <row r="899">
      <c r="X899" s="129"/>
      <c r="Y899" s="72"/>
      <c r="Z899" s="72"/>
      <c r="AA899" s="72"/>
      <c r="AB899" s="72"/>
      <c r="AC899" s="72"/>
      <c r="AD899" s="72"/>
      <c r="AE899" s="72"/>
      <c r="AF899" s="72"/>
    </row>
    <row r="900">
      <c r="X900" s="129"/>
      <c r="Y900" s="72"/>
      <c r="Z900" s="72"/>
      <c r="AA900" s="72"/>
      <c r="AB900" s="72"/>
      <c r="AC900" s="72"/>
      <c r="AD900" s="72"/>
      <c r="AE900" s="72"/>
      <c r="AF900" s="72"/>
    </row>
    <row r="901">
      <c r="X901" s="129"/>
      <c r="Y901" s="72"/>
      <c r="Z901" s="72"/>
      <c r="AA901" s="72"/>
      <c r="AB901" s="72"/>
      <c r="AC901" s="72"/>
      <c r="AD901" s="72"/>
      <c r="AE901" s="72"/>
      <c r="AF901" s="72"/>
    </row>
    <row r="902">
      <c r="X902" s="129"/>
      <c r="Y902" s="72"/>
      <c r="Z902" s="72"/>
      <c r="AA902" s="72"/>
      <c r="AB902" s="72"/>
      <c r="AC902" s="72"/>
      <c r="AD902" s="72"/>
      <c r="AE902" s="72"/>
      <c r="AF902" s="72"/>
    </row>
    <row r="903">
      <c r="X903" s="129"/>
      <c r="Y903" s="72"/>
      <c r="Z903" s="72"/>
      <c r="AA903" s="72"/>
      <c r="AB903" s="72"/>
      <c r="AC903" s="72"/>
      <c r="AD903" s="72"/>
      <c r="AE903" s="72"/>
      <c r="AF903" s="72"/>
    </row>
    <row r="904">
      <c r="X904" s="129"/>
      <c r="Y904" s="72"/>
      <c r="Z904" s="72"/>
      <c r="AA904" s="72"/>
      <c r="AB904" s="72"/>
      <c r="AC904" s="72"/>
      <c r="AD904" s="72"/>
      <c r="AE904" s="72"/>
      <c r="AF904" s="72"/>
    </row>
    <row r="905">
      <c r="X905" s="129"/>
      <c r="Y905" s="72"/>
      <c r="Z905" s="72"/>
      <c r="AA905" s="72"/>
      <c r="AB905" s="72"/>
      <c r="AC905" s="72"/>
      <c r="AD905" s="72"/>
      <c r="AE905" s="72"/>
      <c r="AF905" s="72"/>
    </row>
    <row r="906">
      <c r="X906" s="129"/>
      <c r="Y906" s="72"/>
      <c r="Z906" s="72"/>
      <c r="AA906" s="72"/>
      <c r="AB906" s="72"/>
      <c r="AC906" s="72"/>
      <c r="AD906" s="72"/>
      <c r="AE906" s="72"/>
      <c r="AF906" s="72"/>
    </row>
    <row r="907">
      <c r="X907" s="129"/>
      <c r="Y907" s="72"/>
      <c r="Z907" s="72"/>
      <c r="AA907" s="72"/>
      <c r="AB907" s="72"/>
      <c r="AC907" s="72"/>
      <c r="AD907" s="72"/>
      <c r="AE907" s="72"/>
      <c r="AF907" s="72"/>
    </row>
    <row r="908">
      <c r="X908" s="129"/>
      <c r="Y908" s="72"/>
      <c r="Z908" s="72"/>
      <c r="AA908" s="72"/>
      <c r="AB908" s="72"/>
      <c r="AC908" s="72"/>
      <c r="AD908" s="72"/>
      <c r="AE908" s="72"/>
      <c r="AF908" s="72"/>
    </row>
    <row r="909">
      <c r="X909" s="129"/>
      <c r="Y909" s="72"/>
      <c r="Z909" s="72"/>
      <c r="AA909" s="72"/>
      <c r="AB909" s="72"/>
      <c r="AC909" s="72"/>
      <c r="AD909" s="72"/>
      <c r="AE909" s="72"/>
      <c r="AF909" s="72"/>
    </row>
    <row r="910">
      <c r="X910" s="129"/>
      <c r="Y910" s="72"/>
      <c r="Z910" s="72"/>
      <c r="AA910" s="72"/>
      <c r="AB910" s="72"/>
      <c r="AC910" s="72"/>
      <c r="AD910" s="72"/>
      <c r="AE910" s="72"/>
      <c r="AF910" s="72"/>
    </row>
    <row r="911">
      <c r="X911" s="129"/>
      <c r="Y911" s="72"/>
      <c r="Z911" s="72"/>
      <c r="AA911" s="72"/>
      <c r="AB911" s="72"/>
      <c r="AC911" s="72"/>
      <c r="AD911" s="72"/>
      <c r="AE911" s="72"/>
      <c r="AF911" s="72"/>
    </row>
    <row r="912">
      <c r="X912" s="129"/>
      <c r="Y912" s="72"/>
      <c r="Z912" s="72"/>
      <c r="AA912" s="72"/>
      <c r="AB912" s="72"/>
      <c r="AC912" s="72"/>
      <c r="AD912" s="72"/>
      <c r="AE912" s="72"/>
      <c r="AF912" s="72"/>
    </row>
    <row r="913">
      <c r="X913" s="129"/>
      <c r="Y913" s="72"/>
      <c r="Z913" s="72"/>
      <c r="AA913" s="72"/>
      <c r="AB913" s="72"/>
      <c r="AC913" s="72"/>
      <c r="AD913" s="72"/>
      <c r="AE913" s="72"/>
      <c r="AF913" s="72"/>
    </row>
    <row r="914">
      <c r="X914" s="129"/>
      <c r="Y914" s="72"/>
      <c r="Z914" s="72"/>
      <c r="AA914" s="72"/>
      <c r="AB914" s="72"/>
      <c r="AC914" s="72"/>
      <c r="AD914" s="72"/>
      <c r="AE914" s="72"/>
      <c r="AF914" s="72"/>
    </row>
    <row r="915">
      <c r="X915" s="129"/>
      <c r="Y915" s="72"/>
      <c r="Z915" s="72"/>
      <c r="AA915" s="72"/>
      <c r="AB915" s="72"/>
      <c r="AC915" s="72"/>
      <c r="AD915" s="72"/>
      <c r="AE915" s="72"/>
      <c r="AF915" s="72"/>
    </row>
    <row r="916">
      <c r="X916" s="129"/>
      <c r="Y916" s="72"/>
      <c r="Z916" s="72"/>
      <c r="AA916" s="72"/>
      <c r="AB916" s="72"/>
      <c r="AC916" s="72"/>
      <c r="AD916" s="72"/>
      <c r="AE916" s="72"/>
      <c r="AF916" s="72"/>
    </row>
    <row r="917">
      <c r="X917" s="129"/>
      <c r="Y917" s="72"/>
      <c r="Z917" s="72"/>
      <c r="AA917" s="72"/>
      <c r="AB917" s="72"/>
      <c r="AC917" s="72"/>
      <c r="AD917" s="72"/>
      <c r="AE917" s="72"/>
      <c r="AF917" s="72"/>
    </row>
    <row r="918">
      <c r="X918" s="129"/>
      <c r="Y918" s="72"/>
      <c r="Z918" s="72"/>
      <c r="AA918" s="72"/>
      <c r="AB918" s="72"/>
      <c r="AC918" s="72"/>
      <c r="AD918" s="72"/>
      <c r="AE918" s="72"/>
      <c r="AF918" s="72"/>
    </row>
    <row r="919">
      <c r="X919" s="129"/>
      <c r="Y919" s="72"/>
      <c r="Z919" s="72"/>
      <c r="AA919" s="72"/>
      <c r="AB919" s="72"/>
      <c r="AC919" s="72"/>
      <c r="AD919" s="72"/>
      <c r="AE919" s="72"/>
      <c r="AF919" s="72"/>
    </row>
    <row r="920">
      <c r="X920" s="129"/>
      <c r="Y920" s="72"/>
      <c r="Z920" s="72"/>
      <c r="AA920" s="72"/>
      <c r="AB920" s="72"/>
      <c r="AC920" s="72"/>
      <c r="AD920" s="72"/>
      <c r="AE920" s="72"/>
      <c r="AF920" s="72"/>
    </row>
    <row r="921">
      <c r="X921" s="129"/>
      <c r="Y921" s="72"/>
      <c r="Z921" s="72"/>
      <c r="AA921" s="72"/>
      <c r="AB921" s="72"/>
      <c r="AC921" s="72"/>
      <c r="AD921" s="72"/>
      <c r="AE921" s="72"/>
      <c r="AF921" s="72"/>
    </row>
    <row r="922">
      <c r="X922" s="129"/>
      <c r="Y922" s="72"/>
      <c r="Z922" s="72"/>
      <c r="AA922" s="72"/>
      <c r="AB922" s="72"/>
      <c r="AC922" s="72"/>
      <c r="AD922" s="72"/>
      <c r="AE922" s="72"/>
      <c r="AF922" s="72"/>
    </row>
    <row r="923">
      <c r="X923" s="129"/>
      <c r="Y923" s="72"/>
      <c r="Z923" s="72"/>
      <c r="AA923" s="72"/>
      <c r="AB923" s="72"/>
      <c r="AC923" s="72"/>
      <c r="AD923" s="72"/>
      <c r="AE923" s="72"/>
      <c r="AF923" s="72"/>
    </row>
    <row r="924">
      <c r="X924" s="129"/>
      <c r="Y924" s="72"/>
      <c r="Z924" s="72"/>
      <c r="AA924" s="72"/>
      <c r="AB924" s="72"/>
      <c r="AC924" s="72"/>
      <c r="AD924" s="72"/>
      <c r="AE924" s="72"/>
      <c r="AF924" s="72"/>
    </row>
    <row r="925">
      <c r="X925" s="129"/>
      <c r="Y925" s="72"/>
      <c r="Z925" s="72"/>
      <c r="AA925" s="72"/>
      <c r="AB925" s="72"/>
      <c r="AC925" s="72"/>
      <c r="AD925" s="72"/>
      <c r="AE925" s="72"/>
      <c r="AF925" s="72"/>
    </row>
    <row r="926">
      <c r="X926" s="129"/>
      <c r="Y926" s="72"/>
      <c r="Z926" s="72"/>
      <c r="AA926" s="72"/>
      <c r="AB926" s="72"/>
      <c r="AC926" s="72"/>
      <c r="AD926" s="72"/>
      <c r="AE926" s="72"/>
      <c r="AF926" s="72"/>
    </row>
    <row r="927">
      <c r="X927" s="129"/>
      <c r="Y927" s="72"/>
      <c r="Z927" s="72"/>
      <c r="AA927" s="72"/>
      <c r="AB927" s="72"/>
      <c r="AC927" s="72"/>
      <c r="AD927" s="72"/>
      <c r="AE927" s="72"/>
      <c r="AF927" s="72"/>
    </row>
    <row r="928">
      <c r="X928" s="129"/>
      <c r="Y928" s="72"/>
      <c r="Z928" s="72"/>
      <c r="AA928" s="72"/>
      <c r="AB928" s="72"/>
      <c r="AC928" s="72"/>
      <c r="AD928" s="72"/>
      <c r="AE928" s="72"/>
      <c r="AF928" s="72"/>
    </row>
    <row r="929">
      <c r="X929" s="129"/>
      <c r="Y929" s="72"/>
      <c r="Z929" s="72"/>
      <c r="AA929" s="72"/>
      <c r="AB929" s="72"/>
      <c r="AC929" s="72"/>
      <c r="AD929" s="72"/>
      <c r="AE929" s="72"/>
      <c r="AF929" s="72"/>
    </row>
    <row r="930">
      <c r="X930" s="129"/>
      <c r="Y930" s="72"/>
      <c r="Z930" s="72"/>
      <c r="AA930" s="72"/>
      <c r="AB930" s="72"/>
      <c r="AC930" s="72"/>
      <c r="AD930" s="72"/>
      <c r="AE930" s="72"/>
      <c r="AF930" s="72"/>
    </row>
    <row r="931">
      <c r="X931" s="129"/>
      <c r="Y931" s="72"/>
      <c r="Z931" s="72"/>
      <c r="AA931" s="72"/>
      <c r="AB931" s="72"/>
      <c r="AC931" s="72"/>
      <c r="AD931" s="72"/>
      <c r="AE931" s="72"/>
      <c r="AF931" s="72"/>
    </row>
    <row r="932">
      <c r="X932" s="129"/>
      <c r="Y932" s="72"/>
      <c r="Z932" s="72"/>
      <c r="AA932" s="72"/>
      <c r="AB932" s="72"/>
      <c r="AC932" s="72"/>
      <c r="AD932" s="72"/>
      <c r="AE932" s="72"/>
      <c r="AF932" s="72"/>
    </row>
    <row r="933">
      <c r="X933" s="129"/>
      <c r="Y933" s="72"/>
      <c r="Z933" s="72"/>
      <c r="AA933" s="72"/>
      <c r="AB933" s="72"/>
      <c r="AC933" s="72"/>
      <c r="AD933" s="72"/>
      <c r="AE933" s="72"/>
      <c r="AF933" s="72"/>
    </row>
    <row r="934">
      <c r="X934" s="129"/>
      <c r="Y934" s="72"/>
      <c r="Z934" s="72"/>
      <c r="AA934" s="72"/>
      <c r="AB934" s="72"/>
      <c r="AC934" s="72"/>
      <c r="AD934" s="72"/>
      <c r="AE934" s="72"/>
      <c r="AF934" s="72"/>
    </row>
    <row r="935">
      <c r="X935" s="129"/>
      <c r="Y935" s="72"/>
      <c r="Z935" s="72"/>
      <c r="AA935" s="72"/>
      <c r="AB935" s="72"/>
      <c r="AC935" s="72"/>
      <c r="AD935" s="72"/>
      <c r="AE935" s="72"/>
      <c r="AF935" s="72"/>
    </row>
    <row r="936">
      <c r="X936" s="129"/>
      <c r="Y936" s="72"/>
      <c r="Z936" s="72"/>
      <c r="AA936" s="72"/>
      <c r="AB936" s="72"/>
      <c r="AC936" s="72"/>
      <c r="AD936" s="72"/>
      <c r="AE936" s="72"/>
      <c r="AF936" s="72"/>
    </row>
    <row r="937">
      <c r="X937" s="129"/>
      <c r="Y937" s="72"/>
      <c r="Z937" s="72"/>
      <c r="AA937" s="72"/>
      <c r="AB937" s="72"/>
      <c r="AC937" s="72"/>
      <c r="AD937" s="72"/>
      <c r="AE937" s="72"/>
      <c r="AF937" s="72"/>
    </row>
    <row r="938">
      <c r="X938" s="129"/>
      <c r="Y938" s="72"/>
      <c r="Z938" s="72"/>
      <c r="AA938" s="72"/>
      <c r="AB938" s="72"/>
      <c r="AC938" s="72"/>
      <c r="AD938" s="72"/>
      <c r="AE938" s="72"/>
      <c r="AF938" s="72"/>
    </row>
    <row r="939">
      <c r="X939" s="129"/>
      <c r="Y939" s="72"/>
      <c r="Z939" s="72"/>
      <c r="AA939" s="72"/>
      <c r="AB939" s="72"/>
      <c r="AC939" s="72"/>
      <c r="AD939" s="72"/>
      <c r="AE939" s="72"/>
      <c r="AF939" s="72"/>
    </row>
    <row r="940">
      <c r="X940" s="129"/>
      <c r="Y940" s="72"/>
      <c r="Z940" s="72"/>
      <c r="AA940" s="72"/>
      <c r="AB940" s="72"/>
      <c r="AC940" s="72"/>
      <c r="AD940" s="72"/>
      <c r="AE940" s="72"/>
      <c r="AF940" s="72"/>
    </row>
    <row r="941">
      <c r="X941" s="129"/>
      <c r="Y941" s="72"/>
      <c r="Z941" s="72"/>
      <c r="AA941" s="72"/>
      <c r="AB941" s="72"/>
      <c r="AC941" s="72"/>
      <c r="AD941" s="72"/>
      <c r="AE941" s="72"/>
      <c r="AF941" s="72"/>
    </row>
    <row r="942">
      <c r="X942" s="129"/>
      <c r="Y942" s="72"/>
      <c r="Z942" s="72"/>
      <c r="AA942" s="72"/>
      <c r="AB942" s="72"/>
      <c r="AC942" s="72"/>
      <c r="AD942" s="72"/>
      <c r="AE942" s="72"/>
      <c r="AF942" s="72"/>
    </row>
    <row r="943">
      <c r="X943" s="129"/>
      <c r="Y943" s="72"/>
      <c r="Z943" s="72"/>
      <c r="AA943" s="72"/>
      <c r="AB943" s="72"/>
      <c r="AC943" s="72"/>
      <c r="AD943" s="72"/>
      <c r="AE943" s="72"/>
      <c r="AF943" s="72"/>
    </row>
    <row r="944">
      <c r="X944" s="129"/>
      <c r="Y944" s="72"/>
      <c r="Z944" s="72"/>
      <c r="AA944" s="72"/>
      <c r="AB944" s="72"/>
      <c r="AC944" s="72"/>
      <c r="AD944" s="72"/>
      <c r="AE944" s="72"/>
      <c r="AF944" s="72"/>
    </row>
    <row r="945">
      <c r="X945" s="129"/>
      <c r="Y945" s="72"/>
      <c r="Z945" s="72"/>
      <c r="AA945" s="72"/>
      <c r="AB945" s="72"/>
      <c r="AC945" s="72"/>
      <c r="AD945" s="72"/>
      <c r="AE945" s="72"/>
      <c r="AF945" s="72"/>
    </row>
    <row r="946">
      <c r="X946" s="129"/>
      <c r="Y946" s="72"/>
      <c r="Z946" s="72"/>
      <c r="AA946" s="72"/>
      <c r="AB946" s="72"/>
      <c r="AC946" s="72"/>
      <c r="AD946" s="72"/>
      <c r="AE946" s="72"/>
      <c r="AF946" s="72"/>
    </row>
    <row r="947">
      <c r="X947" s="129"/>
      <c r="Y947" s="72"/>
      <c r="Z947" s="72"/>
      <c r="AA947" s="72"/>
      <c r="AB947" s="72"/>
      <c r="AC947" s="72"/>
      <c r="AD947" s="72"/>
      <c r="AE947" s="72"/>
      <c r="AF947" s="72"/>
    </row>
    <row r="948">
      <c r="X948" s="129"/>
      <c r="Y948" s="72"/>
      <c r="Z948" s="72"/>
      <c r="AA948" s="72"/>
      <c r="AB948" s="72"/>
      <c r="AC948" s="72"/>
      <c r="AD948" s="72"/>
      <c r="AE948" s="72"/>
      <c r="AF948" s="72"/>
    </row>
    <row r="949">
      <c r="X949" s="129"/>
      <c r="Y949" s="72"/>
      <c r="Z949" s="72"/>
      <c r="AA949" s="72"/>
      <c r="AB949" s="72"/>
      <c r="AC949" s="72"/>
      <c r="AD949" s="72"/>
      <c r="AE949" s="72"/>
      <c r="AF949" s="72"/>
    </row>
    <row r="950">
      <c r="X950" s="129"/>
      <c r="Y950" s="72"/>
      <c r="Z950" s="72"/>
      <c r="AA950" s="72"/>
      <c r="AB950" s="72"/>
      <c r="AC950" s="72"/>
      <c r="AD950" s="72"/>
      <c r="AE950" s="72"/>
      <c r="AF950" s="72"/>
    </row>
    <row r="951">
      <c r="X951" s="129"/>
      <c r="Y951" s="72"/>
      <c r="Z951" s="72"/>
      <c r="AA951" s="72"/>
      <c r="AB951" s="72"/>
      <c r="AC951" s="72"/>
      <c r="AD951" s="72"/>
      <c r="AE951" s="72"/>
      <c r="AF951" s="72"/>
    </row>
    <row r="952">
      <c r="X952" s="129"/>
      <c r="Y952" s="72"/>
      <c r="Z952" s="72"/>
      <c r="AA952" s="72"/>
      <c r="AB952" s="72"/>
      <c r="AC952" s="72"/>
      <c r="AD952" s="72"/>
      <c r="AE952" s="72"/>
      <c r="AF952" s="72"/>
    </row>
    <row r="953">
      <c r="X953" s="129"/>
      <c r="Y953" s="72"/>
      <c r="Z953" s="72"/>
      <c r="AA953" s="72"/>
      <c r="AB953" s="72"/>
      <c r="AC953" s="72"/>
      <c r="AD953" s="72"/>
      <c r="AE953" s="72"/>
      <c r="AF953" s="72"/>
    </row>
    <row r="954">
      <c r="X954" s="129"/>
      <c r="Y954" s="72"/>
      <c r="Z954" s="72"/>
      <c r="AA954" s="72"/>
      <c r="AB954" s="72"/>
      <c r="AC954" s="72"/>
      <c r="AD954" s="72"/>
      <c r="AE954" s="72"/>
      <c r="AF954" s="72"/>
    </row>
    <row r="955">
      <c r="X955" s="129"/>
      <c r="Y955" s="72"/>
      <c r="Z955" s="72"/>
      <c r="AA955" s="72"/>
      <c r="AB955" s="72"/>
      <c r="AC955" s="72"/>
      <c r="AD955" s="72"/>
      <c r="AE955" s="72"/>
      <c r="AF955" s="72"/>
    </row>
    <row r="956">
      <c r="X956" s="129"/>
      <c r="Y956" s="72"/>
      <c r="Z956" s="72"/>
      <c r="AA956" s="72"/>
      <c r="AB956" s="72"/>
      <c r="AC956" s="72"/>
      <c r="AD956" s="72"/>
      <c r="AE956" s="72"/>
      <c r="AF956" s="72"/>
    </row>
    <row r="957">
      <c r="X957" s="129"/>
      <c r="Y957" s="72"/>
      <c r="Z957" s="72"/>
      <c r="AA957" s="72"/>
      <c r="AB957" s="72"/>
      <c r="AC957" s="72"/>
      <c r="AD957" s="72"/>
      <c r="AE957" s="72"/>
      <c r="AF957" s="72"/>
    </row>
    <row r="958">
      <c r="X958" s="129"/>
      <c r="Y958" s="72"/>
      <c r="Z958" s="72"/>
      <c r="AA958" s="72"/>
      <c r="AB958" s="72"/>
      <c r="AC958" s="72"/>
      <c r="AD958" s="72"/>
      <c r="AE958" s="72"/>
      <c r="AF958" s="72"/>
    </row>
    <row r="959">
      <c r="X959" s="129"/>
      <c r="Y959" s="72"/>
      <c r="Z959" s="72"/>
      <c r="AA959" s="72"/>
      <c r="AB959" s="72"/>
      <c r="AC959" s="72"/>
      <c r="AD959" s="72"/>
      <c r="AE959" s="72"/>
      <c r="AF959" s="72"/>
    </row>
    <row r="960">
      <c r="X960" s="129"/>
      <c r="Y960" s="72"/>
      <c r="Z960" s="72"/>
      <c r="AA960" s="72"/>
      <c r="AB960" s="72"/>
      <c r="AC960" s="72"/>
      <c r="AD960" s="72"/>
      <c r="AE960" s="72"/>
      <c r="AF960" s="72"/>
    </row>
    <row r="961">
      <c r="X961" s="129"/>
      <c r="Y961" s="72"/>
      <c r="Z961" s="72"/>
      <c r="AA961" s="72"/>
      <c r="AB961" s="72"/>
      <c r="AC961" s="72"/>
      <c r="AD961" s="72"/>
      <c r="AE961" s="72"/>
      <c r="AF961" s="72"/>
    </row>
    <row r="962">
      <c r="X962" s="129"/>
      <c r="Y962" s="72"/>
      <c r="Z962" s="72"/>
      <c r="AA962" s="72"/>
      <c r="AB962" s="72"/>
      <c r="AC962" s="72"/>
      <c r="AD962" s="72"/>
      <c r="AE962" s="72"/>
      <c r="AF962" s="72"/>
    </row>
    <row r="963">
      <c r="X963" s="129"/>
      <c r="Y963" s="72"/>
      <c r="Z963" s="72"/>
      <c r="AA963" s="72"/>
      <c r="AB963" s="72"/>
      <c r="AC963" s="72"/>
      <c r="AD963" s="72"/>
      <c r="AE963" s="72"/>
      <c r="AF963" s="72"/>
    </row>
    <row r="964">
      <c r="X964" s="129"/>
      <c r="Y964" s="72"/>
      <c r="Z964" s="72"/>
      <c r="AA964" s="72"/>
      <c r="AB964" s="72"/>
      <c r="AC964" s="72"/>
      <c r="AD964" s="72"/>
      <c r="AE964" s="72"/>
      <c r="AF964" s="72"/>
    </row>
    <row r="965">
      <c r="X965" s="129"/>
      <c r="Y965" s="72"/>
      <c r="Z965" s="72"/>
      <c r="AA965" s="72"/>
      <c r="AB965" s="72"/>
      <c r="AC965" s="72"/>
      <c r="AD965" s="72"/>
      <c r="AE965" s="72"/>
      <c r="AF965" s="72"/>
    </row>
    <row r="966">
      <c r="X966" s="129"/>
      <c r="Y966" s="72"/>
      <c r="Z966" s="72"/>
      <c r="AA966" s="72"/>
      <c r="AB966" s="72"/>
      <c r="AC966" s="72"/>
      <c r="AD966" s="72"/>
      <c r="AE966" s="72"/>
      <c r="AF966" s="72"/>
    </row>
    <row r="967">
      <c r="X967" s="129"/>
      <c r="Y967" s="72"/>
      <c r="Z967" s="72"/>
      <c r="AA967" s="72"/>
      <c r="AB967" s="72"/>
      <c r="AC967" s="72"/>
      <c r="AD967" s="72"/>
      <c r="AE967" s="72"/>
      <c r="AF967" s="72"/>
    </row>
    <row r="968">
      <c r="X968" s="129"/>
      <c r="Y968" s="72"/>
      <c r="Z968" s="72"/>
      <c r="AA968" s="72"/>
      <c r="AB968" s="72"/>
      <c r="AC968" s="72"/>
      <c r="AD968" s="72"/>
      <c r="AE968" s="72"/>
      <c r="AF968" s="72"/>
    </row>
    <row r="969">
      <c r="X969" s="129"/>
      <c r="Y969" s="72"/>
      <c r="Z969" s="72"/>
      <c r="AA969" s="72"/>
      <c r="AB969" s="72"/>
      <c r="AC969" s="72"/>
      <c r="AD969" s="72"/>
      <c r="AE969" s="72"/>
      <c r="AF969" s="72"/>
    </row>
    <row r="970">
      <c r="X970" s="129"/>
      <c r="Y970" s="72"/>
      <c r="Z970" s="72"/>
      <c r="AA970" s="72"/>
      <c r="AB970" s="72"/>
      <c r="AC970" s="72"/>
      <c r="AD970" s="72"/>
      <c r="AE970" s="72"/>
      <c r="AF970" s="72"/>
    </row>
    <row r="971">
      <c r="X971" s="129"/>
      <c r="Y971" s="72"/>
      <c r="Z971" s="72"/>
      <c r="AA971" s="72"/>
      <c r="AB971" s="72"/>
      <c r="AC971" s="72"/>
      <c r="AD971" s="72"/>
      <c r="AE971" s="72"/>
      <c r="AF971" s="72"/>
    </row>
    <row r="972">
      <c r="X972" s="129"/>
      <c r="Y972" s="72"/>
      <c r="Z972" s="72"/>
      <c r="AA972" s="72"/>
      <c r="AB972" s="72"/>
      <c r="AC972" s="72"/>
      <c r="AD972" s="72"/>
      <c r="AE972" s="72"/>
      <c r="AF972" s="72"/>
    </row>
    <row r="973">
      <c r="X973" s="129"/>
      <c r="Y973" s="72"/>
      <c r="Z973" s="72"/>
      <c r="AA973" s="72"/>
      <c r="AB973" s="72"/>
      <c r="AC973" s="72"/>
      <c r="AD973" s="72"/>
      <c r="AE973" s="72"/>
      <c r="AF973" s="72"/>
    </row>
    <row r="974">
      <c r="X974" s="129"/>
      <c r="Y974" s="72"/>
      <c r="Z974" s="72"/>
      <c r="AA974" s="72"/>
      <c r="AB974" s="72"/>
      <c r="AC974" s="72"/>
      <c r="AD974" s="72"/>
      <c r="AE974" s="72"/>
      <c r="AF974" s="72"/>
    </row>
    <row r="975">
      <c r="X975" s="129"/>
      <c r="Y975" s="72"/>
      <c r="Z975" s="72"/>
      <c r="AA975" s="72"/>
      <c r="AB975" s="72"/>
      <c r="AC975" s="72"/>
      <c r="AD975" s="72"/>
      <c r="AE975" s="72"/>
      <c r="AF975" s="72"/>
    </row>
    <row r="976">
      <c r="X976" s="129"/>
      <c r="Y976" s="72"/>
      <c r="Z976" s="72"/>
      <c r="AA976" s="72"/>
      <c r="AB976" s="72"/>
      <c r="AC976" s="72"/>
      <c r="AD976" s="72"/>
      <c r="AE976" s="72"/>
      <c r="AF976" s="72"/>
    </row>
    <row r="977">
      <c r="X977" s="129"/>
      <c r="Y977" s="72"/>
      <c r="Z977" s="72"/>
      <c r="AA977" s="72"/>
      <c r="AB977" s="72"/>
      <c r="AC977" s="72"/>
      <c r="AD977" s="72"/>
      <c r="AE977" s="72"/>
      <c r="AF977" s="72"/>
    </row>
    <row r="978">
      <c r="X978" s="129"/>
      <c r="Y978" s="72"/>
      <c r="Z978" s="72"/>
      <c r="AA978" s="72"/>
      <c r="AB978" s="72"/>
      <c r="AC978" s="72"/>
      <c r="AD978" s="72"/>
      <c r="AE978" s="72"/>
      <c r="AF978" s="72"/>
    </row>
    <row r="979">
      <c r="X979" s="129"/>
      <c r="Y979" s="72"/>
      <c r="Z979" s="72"/>
      <c r="AA979" s="72"/>
      <c r="AB979" s="72"/>
      <c r="AC979" s="72"/>
      <c r="AD979" s="72"/>
      <c r="AE979" s="72"/>
      <c r="AF979" s="72"/>
    </row>
    <row r="980">
      <c r="X980" s="129"/>
      <c r="Y980" s="72"/>
      <c r="Z980" s="72"/>
      <c r="AA980" s="72"/>
      <c r="AB980" s="72"/>
      <c r="AC980" s="72"/>
      <c r="AD980" s="72"/>
      <c r="AE980" s="72"/>
      <c r="AF980" s="72"/>
    </row>
    <row r="981">
      <c r="X981" s="129"/>
      <c r="Y981" s="72"/>
      <c r="Z981" s="72"/>
      <c r="AA981" s="72"/>
      <c r="AB981" s="72"/>
      <c r="AC981" s="72"/>
      <c r="AD981" s="72"/>
      <c r="AE981" s="72"/>
      <c r="AF981" s="72"/>
    </row>
    <row r="982">
      <c r="X982" s="129"/>
      <c r="Y982" s="72"/>
      <c r="Z982" s="72"/>
      <c r="AA982" s="72"/>
      <c r="AB982" s="72"/>
      <c r="AC982" s="72"/>
      <c r="AD982" s="72"/>
      <c r="AE982" s="72"/>
      <c r="AF982" s="72"/>
    </row>
    <row r="983">
      <c r="X983" s="129"/>
      <c r="Y983" s="72"/>
      <c r="Z983" s="72"/>
      <c r="AA983" s="72"/>
      <c r="AB983" s="72"/>
      <c r="AC983" s="72"/>
      <c r="AD983" s="72"/>
      <c r="AE983" s="72"/>
      <c r="AF983" s="72"/>
    </row>
    <row r="984">
      <c r="X984" s="129"/>
      <c r="Y984" s="72"/>
      <c r="Z984" s="72"/>
      <c r="AA984" s="72"/>
      <c r="AB984" s="72"/>
      <c r="AC984" s="72"/>
      <c r="AD984" s="72"/>
      <c r="AE984" s="72"/>
      <c r="AF984" s="72"/>
    </row>
    <row r="985">
      <c r="X985" s="129"/>
      <c r="Y985" s="72"/>
      <c r="Z985" s="72"/>
      <c r="AA985" s="72"/>
      <c r="AB985" s="72"/>
      <c r="AC985" s="72"/>
      <c r="AD985" s="72"/>
      <c r="AE985" s="72"/>
      <c r="AF985" s="72"/>
    </row>
    <row r="986">
      <c r="X986" s="129"/>
      <c r="Y986" s="72"/>
      <c r="Z986" s="72"/>
      <c r="AA986" s="72"/>
      <c r="AB986" s="72"/>
      <c r="AC986" s="72"/>
      <c r="AD986" s="72"/>
      <c r="AE986" s="72"/>
      <c r="AF986" s="72"/>
    </row>
    <row r="987">
      <c r="X987" s="129"/>
      <c r="Y987" s="72"/>
      <c r="Z987" s="72"/>
      <c r="AA987" s="72"/>
      <c r="AB987" s="72"/>
      <c r="AC987" s="72"/>
      <c r="AD987" s="72"/>
      <c r="AE987" s="72"/>
      <c r="AF987" s="72"/>
    </row>
    <row r="988">
      <c r="X988" s="129"/>
      <c r="Y988" s="72"/>
      <c r="Z988" s="72"/>
      <c r="AA988" s="72"/>
      <c r="AB988" s="72"/>
      <c r="AC988" s="72"/>
      <c r="AD988" s="72"/>
      <c r="AE988" s="72"/>
      <c r="AF988" s="72"/>
    </row>
    <row r="989">
      <c r="X989" s="129"/>
      <c r="Y989" s="72"/>
      <c r="Z989" s="72"/>
      <c r="AA989" s="72"/>
      <c r="AB989" s="72"/>
      <c r="AC989" s="72"/>
      <c r="AD989" s="72"/>
      <c r="AE989" s="72"/>
      <c r="AF989" s="72"/>
    </row>
    <row r="990">
      <c r="X990" s="129"/>
      <c r="Y990" s="72"/>
      <c r="Z990" s="72"/>
      <c r="AA990" s="72"/>
      <c r="AB990" s="72"/>
      <c r="AC990" s="72"/>
      <c r="AD990" s="72"/>
      <c r="AE990" s="72"/>
      <c r="AF990" s="72"/>
    </row>
    <row r="991">
      <c r="X991" s="129"/>
      <c r="Y991" s="72"/>
      <c r="Z991" s="72"/>
      <c r="AA991" s="72"/>
      <c r="AB991" s="72"/>
      <c r="AC991" s="72"/>
      <c r="AD991" s="72"/>
      <c r="AE991" s="72"/>
      <c r="AF991" s="72"/>
    </row>
    <row r="992">
      <c r="X992" s="129"/>
      <c r="Y992" s="72"/>
      <c r="Z992" s="72"/>
      <c r="AA992" s="72"/>
      <c r="AB992" s="72"/>
      <c r="AC992" s="72"/>
      <c r="AD992" s="72"/>
      <c r="AE992" s="72"/>
      <c r="AF992" s="72"/>
    </row>
    <row r="993">
      <c r="X993" s="129"/>
      <c r="Y993" s="72"/>
      <c r="Z993" s="72"/>
      <c r="AA993" s="72"/>
      <c r="AB993" s="72"/>
      <c r="AC993" s="72"/>
      <c r="AD993" s="72"/>
      <c r="AE993" s="72"/>
      <c r="AF993" s="72"/>
    </row>
    <row r="994">
      <c r="X994" s="129"/>
      <c r="Y994" s="72"/>
      <c r="Z994" s="72"/>
      <c r="AA994" s="72"/>
      <c r="AB994" s="72"/>
      <c r="AC994" s="72"/>
      <c r="AD994" s="72"/>
      <c r="AE994" s="72"/>
      <c r="AF994" s="72"/>
    </row>
    <row r="995">
      <c r="X995" s="129"/>
      <c r="Y995" s="72"/>
      <c r="Z995" s="72"/>
      <c r="AA995" s="72"/>
      <c r="AB995" s="72"/>
      <c r="AC995" s="72"/>
      <c r="AD995" s="72"/>
      <c r="AE995" s="72"/>
      <c r="AF995" s="72"/>
    </row>
    <row r="996">
      <c r="X996" s="129"/>
      <c r="Y996" s="72"/>
      <c r="Z996" s="72"/>
      <c r="AA996" s="72"/>
      <c r="AB996" s="72"/>
      <c r="AC996" s="72"/>
      <c r="AD996" s="72"/>
      <c r="AE996" s="72"/>
      <c r="AF996" s="72"/>
    </row>
    <row r="997">
      <c r="X997" s="129"/>
      <c r="Y997" s="72"/>
      <c r="Z997" s="72"/>
      <c r="AA997" s="72"/>
      <c r="AB997" s="72"/>
      <c r="AC997" s="72"/>
      <c r="AD997" s="72"/>
      <c r="AE997" s="72"/>
      <c r="AF997" s="72"/>
    </row>
    <row r="998">
      <c r="X998" s="129"/>
      <c r="Y998" s="72"/>
      <c r="Z998" s="72"/>
      <c r="AA998" s="72"/>
      <c r="AB998" s="72"/>
      <c r="AC998" s="72"/>
      <c r="AD998" s="72"/>
      <c r="AE998" s="72"/>
      <c r="AF998" s="72"/>
    </row>
    <row r="999">
      <c r="X999" s="129"/>
      <c r="Y999" s="72"/>
      <c r="Z999" s="72"/>
      <c r="AA999" s="72"/>
      <c r="AB999" s="72"/>
      <c r="AC999" s="72"/>
      <c r="AD999" s="72"/>
      <c r="AE999" s="72"/>
      <c r="AF999" s="72"/>
    </row>
    <row r="1000">
      <c r="X1000" s="129"/>
      <c r="Y1000" s="72"/>
      <c r="Z1000" s="72"/>
      <c r="AA1000" s="72"/>
      <c r="AB1000" s="72"/>
      <c r="AC1000" s="72"/>
      <c r="AD1000" s="72"/>
      <c r="AE1000" s="72"/>
      <c r="AF1000" s="72"/>
    </row>
    <row r="1001">
      <c r="X1001" s="129"/>
      <c r="Y1001" s="72"/>
      <c r="Z1001" s="72"/>
      <c r="AA1001" s="72"/>
      <c r="AB1001" s="72"/>
      <c r="AC1001" s="72"/>
      <c r="AD1001" s="72"/>
      <c r="AE1001" s="72"/>
      <c r="AF1001" s="72"/>
    </row>
    <row r="1002">
      <c r="X1002" s="129"/>
      <c r="Y1002" s="72"/>
      <c r="Z1002" s="72"/>
      <c r="AA1002" s="72"/>
      <c r="AB1002" s="72"/>
      <c r="AC1002" s="72"/>
      <c r="AD1002" s="72"/>
      <c r="AE1002" s="72"/>
      <c r="AF1002" s="72"/>
    </row>
    <row r="1003">
      <c r="X1003" s="129"/>
      <c r="Y1003" s="72"/>
      <c r="Z1003" s="72"/>
      <c r="AA1003" s="72"/>
      <c r="AB1003" s="72"/>
      <c r="AC1003" s="72"/>
      <c r="AD1003" s="72"/>
      <c r="AE1003" s="72"/>
      <c r="AF1003" s="72"/>
    </row>
  </sheetData>
  <mergeCells count="22">
    <mergeCell ref="U2:U4"/>
    <mergeCell ref="V2:V4"/>
    <mergeCell ref="X2:AD2"/>
    <mergeCell ref="AE2:AE4"/>
    <mergeCell ref="AF2:AF4"/>
    <mergeCell ref="AH2:AN2"/>
    <mergeCell ref="AO2:AO4"/>
    <mergeCell ref="AP2:AP4"/>
    <mergeCell ref="A3:A4"/>
    <mergeCell ref="B3:B4"/>
    <mergeCell ref="A104:B104"/>
    <mergeCell ref="A106:B106"/>
    <mergeCell ref="A107:B107"/>
    <mergeCell ref="A108:B108"/>
    <mergeCell ref="A109:B109"/>
    <mergeCell ref="C2:E2"/>
    <mergeCell ref="F2:F4"/>
    <mergeCell ref="G2:G4"/>
    <mergeCell ref="I2:L2"/>
    <mergeCell ref="M2:M4"/>
    <mergeCell ref="N2:N4"/>
    <mergeCell ref="P2:T2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38"/>
    <col customWidth="1" min="3" max="8" width="7.75"/>
    <col customWidth="1" min="9" max="9" width="8.0"/>
    <col customWidth="1" min="10" max="21" width="7.75"/>
    <col customWidth="1" min="23" max="31" width="7.75"/>
    <col customWidth="1" min="32" max="32" width="8.0"/>
    <col customWidth="1" min="33" max="39" width="7.75"/>
    <col customWidth="1" min="41" max="46" width="7.75"/>
  </cols>
  <sheetData>
    <row r="1">
      <c r="C1" s="71"/>
      <c r="D1" s="71"/>
      <c r="E1" s="71"/>
      <c r="F1" s="71"/>
      <c r="J1" s="71"/>
    </row>
    <row r="2">
      <c r="A2" s="130"/>
      <c r="B2" s="131"/>
      <c r="C2" s="142">
        <v>46024.0</v>
      </c>
      <c r="D2" s="133"/>
      <c r="E2" s="133"/>
      <c r="F2" s="134"/>
      <c r="G2" s="135"/>
      <c r="H2" s="136"/>
      <c r="J2" s="142">
        <v>46054.0</v>
      </c>
      <c r="K2" s="133"/>
      <c r="L2" s="133"/>
      <c r="M2" s="133"/>
      <c r="N2" s="133"/>
      <c r="O2" s="133"/>
      <c r="P2" s="133"/>
      <c r="Q2" s="133"/>
      <c r="R2" s="133"/>
      <c r="S2" s="134"/>
      <c r="T2" s="135"/>
      <c r="U2" s="136"/>
      <c r="W2" s="142">
        <v>46095.0</v>
      </c>
      <c r="X2" s="133"/>
      <c r="Y2" s="133"/>
      <c r="Z2" s="133"/>
      <c r="AA2" s="133"/>
      <c r="AB2" s="134"/>
      <c r="AC2" s="135"/>
      <c r="AD2" s="136"/>
      <c r="AE2" s="137"/>
      <c r="AG2" s="132" t="s">
        <v>278</v>
      </c>
      <c r="AH2" s="133"/>
      <c r="AI2" s="133"/>
      <c r="AJ2" s="133"/>
      <c r="AK2" s="134"/>
      <c r="AL2" s="135"/>
      <c r="AM2" s="136"/>
      <c r="AO2" s="138"/>
      <c r="AP2" s="133"/>
      <c r="AQ2" s="133"/>
      <c r="AR2" s="134"/>
      <c r="AS2" s="135"/>
      <c r="AT2" s="136"/>
    </row>
    <row r="3" ht="33.75" customHeight="1">
      <c r="A3" s="296" t="s">
        <v>47</v>
      </c>
      <c r="B3" s="297" t="s">
        <v>48</v>
      </c>
      <c r="C3" s="396" t="s">
        <v>566</v>
      </c>
      <c r="D3" s="396" t="s">
        <v>567</v>
      </c>
      <c r="E3" s="396" t="s">
        <v>568</v>
      </c>
      <c r="F3" s="396" t="s">
        <v>569</v>
      </c>
      <c r="G3" s="147"/>
      <c r="H3" s="148"/>
      <c r="J3" s="159" t="s">
        <v>570</v>
      </c>
      <c r="K3" s="159" t="s">
        <v>571</v>
      </c>
      <c r="L3" s="159" t="s">
        <v>572</v>
      </c>
      <c r="M3" s="159" t="s">
        <v>573</v>
      </c>
      <c r="N3" s="159" t="s">
        <v>574</v>
      </c>
      <c r="O3" s="159" t="s">
        <v>575</v>
      </c>
      <c r="P3" s="159" t="s">
        <v>576</v>
      </c>
      <c r="Q3" s="159" t="s">
        <v>577</v>
      </c>
      <c r="R3" s="159" t="s">
        <v>578</v>
      </c>
      <c r="S3" s="299" t="s">
        <v>579</v>
      </c>
      <c r="T3" s="147"/>
      <c r="U3" s="148"/>
      <c r="W3" s="159" t="s">
        <v>580</v>
      </c>
      <c r="X3" s="159" t="s">
        <v>581</v>
      </c>
      <c r="Y3" s="159" t="s">
        <v>582</v>
      </c>
      <c r="Z3" s="159" t="s">
        <v>583</v>
      </c>
      <c r="AA3" s="159" t="s">
        <v>584</v>
      </c>
      <c r="AB3" s="159" t="s">
        <v>585</v>
      </c>
      <c r="AC3" s="147"/>
      <c r="AD3" s="148"/>
      <c r="AE3" s="137"/>
      <c r="AG3" s="159" t="s">
        <v>586</v>
      </c>
      <c r="AH3" s="159" t="s">
        <v>587</v>
      </c>
      <c r="AI3" s="159" t="s">
        <v>588</v>
      </c>
      <c r="AJ3" s="159" t="s">
        <v>589</v>
      </c>
      <c r="AK3" s="159" t="s">
        <v>590</v>
      </c>
      <c r="AL3" s="147"/>
      <c r="AM3" s="148"/>
      <c r="AO3" s="299" t="s">
        <v>539</v>
      </c>
      <c r="AP3" s="299" t="s">
        <v>591</v>
      </c>
      <c r="AQ3" s="159"/>
      <c r="AR3" s="159"/>
      <c r="AS3" s="147"/>
      <c r="AT3" s="148"/>
    </row>
    <row r="4">
      <c r="A4" s="160"/>
      <c r="B4" s="160"/>
      <c r="C4" s="305">
        <v>46024.0</v>
      </c>
      <c r="D4" s="305">
        <v>46026.0</v>
      </c>
      <c r="E4" s="305">
        <v>46026.0</v>
      </c>
      <c r="F4" s="305">
        <v>46048.0</v>
      </c>
      <c r="G4" s="84"/>
      <c r="H4" s="86"/>
      <c r="J4" s="161">
        <v>45696.0</v>
      </c>
      <c r="K4" s="161">
        <v>45698.0</v>
      </c>
      <c r="L4" s="161">
        <v>45698.0</v>
      </c>
      <c r="M4" s="161">
        <v>45699.0</v>
      </c>
      <c r="N4" s="305">
        <v>45699.0</v>
      </c>
      <c r="O4" s="161">
        <v>45701.0</v>
      </c>
      <c r="P4" s="161">
        <v>45710.0</v>
      </c>
      <c r="Q4" s="161">
        <v>45711.0</v>
      </c>
      <c r="R4" s="161">
        <v>45712.0</v>
      </c>
      <c r="S4" s="305">
        <v>45715.0</v>
      </c>
      <c r="T4" s="84"/>
      <c r="U4" s="86"/>
      <c r="W4" s="161">
        <v>45717.0</v>
      </c>
      <c r="X4" s="161">
        <v>45720.0</v>
      </c>
      <c r="Y4" s="161">
        <v>45731.0</v>
      </c>
      <c r="Z4" s="161">
        <v>45730.0</v>
      </c>
      <c r="AA4" s="161">
        <v>45736.0</v>
      </c>
      <c r="AB4" s="161">
        <v>46112.0</v>
      </c>
      <c r="AC4" s="84"/>
      <c r="AD4" s="86"/>
      <c r="AE4" s="137"/>
      <c r="AG4" s="161">
        <v>45748.0</v>
      </c>
      <c r="AH4" s="161">
        <v>45749.0</v>
      </c>
      <c r="AI4" s="161">
        <v>45751.0</v>
      </c>
      <c r="AJ4" s="161">
        <v>45751.0</v>
      </c>
      <c r="AK4" s="161">
        <v>45752.0</v>
      </c>
      <c r="AL4" s="84"/>
      <c r="AM4" s="86"/>
      <c r="AO4" s="161"/>
      <c r="AP4" s="161"/>
      <c r="AQ4" s="161"/>
      <c r="AR4" s="161"/>
      <c r="AS4" s="84"/>
      <c r="AT4" s="86"/>
    </row>
    <row r="5" hidden="1">
      <c r="A5" s="167" t="s">
        <v>49</v>
      </c>
      <c r="B5" s="168">
        <v>329.0</v>
      </c>
      <c r="C5" s="397"/>
      <c r="D5" s="398"/>
      <c r="E5" s="398"/>
      <c r="F5" s="257"/>
      <c r="G5" s="172"/>
      <c r="H5" s="173"/>
      <c r="J5" s="397"/>
      <c r="K5" s="170"/>
      <c r="L5" s="170"/>
      <c r="M5" s="170"/>
      <c r="N5" s="170"/>
      <c r="O5" s="170"/>
      <c r="P5" s="170"/>
      <c r="Q5" s="170"/>
      <c r="R5" s="186"/>
      <c r="S5" s="186"/>
      <c r="T5" s="172"/>
      <c r="U5" s="173"/>
      <c r="W5" s="169"/>
      <c r="X5" s="170"/>
      <c r="Y5" s="170"/>
      <c r="Z5" s="184"/>
      <c r="AA5" s="184"/>
      <c r="AB5" s="186"/>
      <c r="AC5" s="172"/>
      <c r="AD5" s="173"/>
      <c r="AE5" s="174"/>
      <c r="AG5" s="169"/>
      <c r="AH5" s="170"/>
      <c r="AI5" s="170"/>
      <c r="AJ5" s="170"/>
      <c r="AK5" s="186"/>
      <c r="AL5" s="172"/>
      <c r="AM5" s="173"/>
      <c r="AO5" s="169"/>
      <c r="AP5" s="170"/>
      <c r="AQ5" s="170"/>
      <c r="AR5" s="186"/>
      <c r="AS5" s="172"/>
      <c r="AT5" s="173"/>
    </row>
    <row r="6" hidden="1">
      <c r="A6" s="101" t="s">
        <v>50</v>
      </c>
      <c r="B6" s="187">
        <v>329.0</v>
      </c>
      <c r="C6" s="399"/>
      <c r="D6" s="400"/>
      <c r="E6" s="400"/>
      <c r="F6" s="257"/>
      <c r="G6" s="172"/>
      <c r="H6" s="173"/>
      <c r="J6" s="399"/>
      <c r="K6" s="188"/>
      <c r="L6" s="188"/>
      <c r="M6" s="188"/>
      <c r="N6" s="188"/>
      <c r="O6" s="188"/>
      <c r="P6" s="188"/>
      <c r="Q6" s="188"/>
      <c r="R6" s="186"/>
      <c r="S6" s="186"/>
      <c r="T6" s="172"/>
      <c r="U6" s="173"/>
      <c r="W6" s="89"/>
      <c r="X6" s="188"/>
      <c r="Y6" s="188"/>
      <c r="Z6" s="192"/>
      <c r="AA6" s="192"/>
      <c r="AB6" s="186"/>
      <c r="AC6" s="172"/>
      <c r="AD6" s="173"/>
      <c r="AE6" s="174"/>
      <c r="AG6" s="89"/>
      <c r="AH6" s="188"/>
      <c r="AI6" s="188"/>
      <c r="AJ6" s="188"/>
      <c r="AK6" s="186"/>
      <c r="AL6" s="172"/>
      <c r="AM6" s="173"/>
      <c r="AO6" s="89"/>
      <c r="AP6" s="188"/>
      <c r="AQ6" s="188"/>
      <c r="AR6" s="186"/>
      <c r="AS6" s="172"/>
      <c r="AT6" s="173"/>
    </row>
    <row r="7" hidden="1">
      <c r="A7" s="101" t="s">
        <v>51</v>
      </c>
      <c r="B7" s="187">
        <v>329.0</v>
      </c>
      <c r="C7" s="399"/>
      <c r="D7" s="400"/>
      <c r="E7" s="400"/>
      <c r="F7" s="257"/>
      <c r="G7" s="172"/>
      <c r="H7" s="173"/>
      <c r="J7" s="399"/>
      <c r="K7" s="188"/>
      <c r="L7" s="188"/>
      <c r="M7" s="188"/>
      <c r="N7" s="188"/>
      <c r="O7" s="188"/>
      <c r="P7" s="188"/>
      <c r="Q7" s="188"/>
      <c r="R7" s="186"/>
      <c r="S7" s="186"/>
      <c r="T7" s="172"/>
      <c r="U7" s="173"/>
      <c r="W7" s="89"/>
      <c r="X7" s="188"/>
      <c r="Y7" s="188"/>
      <c r="Z7" s="192"/>
      <c r="AA7" s="192"/>
      <c r="AB7" s="186"/>
      <c r="AC7" s="172"/>
      <c r="AD7" s="173"/>
      <c r="AE7" s="174"/>
      <c r="AG7" s="89"/>
      <c r="AH7" s="188"/>
      <c r="AI7" s="188"/>
      <c r="AJ7" s="188"/>
      <c r="AK7" s="186"/>
      <c r="AL7" s="172"/>
      <c r="AM7" s="173"/>
      <c r="AO7" s="89"/>
      <c r="AP7" s="188"/>
      <c r="AQ7" s="188"/>
      <c r="AR7" s="186"/>
      <c r="AS7" s="172"/>
      <c r="AT7" s="173"/>
    </row>
    <row r="8">
      <c r="A8" s="101" t="s">
        <v>52</v>
      </c>
      <c r="B8" s="93">
        <v>329.0</v>
      </c>
      <c r="C8" s="399"/>
      <c r="D8" s="400"/>
      <c r="E8" s="400"/>
      <c r="F8" s="257"/>
      <c r="G8" s="172">
        <f t="shared" ref="G8:G97" si="1">SUM(C8:F8)</f>
        <v>0</v>
      </c>
      <c r="H8" s="173">
        <f t="shared" ref="H8:H97" si="2">G8*B8</f>
        <v>0</v>
      </c>
      <c r="J8" s="399"/>
      <c r="K8" s="188"/>
      <c r="L8" s="401">
        <v>1.0</v>
      </c>
      <c r="M8" s="188"/>
      <c r="N8" s="401">
        <v>1.0</v>
      </c>
      <c r="O8" s="401">
        <v>1.0</v>
      </c>
      <c r="P8" s="188"/>
      <c r="Q8" s="188"/>
      <c r="R8" s="401">
        <v>1.0</v>
      </c>
      <c r="S8" s="401"/>
      <c r="T8" s="172">
        <f t="shared" ref="T8:T97" si="3">SUM(J8:S8)</f>
        <v>4</v>
      </c>
      <c r="U8" s="173">
        <f t="shared" ref="U8:U97" si="4">T8*B8</f>
        <v>1316</v>
      </c>
      <c r="W8" s="89"/>
      <c r="X8" s="188"/>
      <c r="Y8" s="188"/>
      <c r="Z8" s="192"/>
      <c r="AA8" s="192"/>
      <c r="AB8" s="186"/>
      <c r="AC8" s="172">
        <f>SUM(W8:AB8)</f>
        <v>0</v>
      </c>
      <c r="AD8" s="173">
        <f t="shared" ref="AD8:AD97" si="5">AC8*I8</f>
        <v>0</v>
      </c>
      <c r="AE8" s="174"/>
      <c r="AG8" s="89"/>
      <c r="AH8" s="188"/>
      <c r="AI8" s="402">
        <v>1.0</v>
      </c>
      <c r="AJ8" s="188"/>
      <c r="AK8" s="186"/>
      <c r="AL8" s="172">
        <f t="shared" ref="AL8:AL97" si="6">SUM(Y8:AK8)</f>
        <v>1</v>
      </c>
      <c r="AM8" s="173">
        <f t="shared" ref="AM8:AM97" si="7">AL8*Q8</f>
        <v>0</v>
      </c>
      <c r="AO8" s="210">
        <v>1.0</v>
      </c>
      <c r="AP8" s="188"/>
      <c r="AQ8" s="188"/>
      <c r="AR8" s="186"/>
      <c r="AS8" s="172">
        <f t="shared" ref="AS8:AS97" si="8">SUM(AH8:AR8)</f>
        <v>3</v>
      </c>
      <c r="AT8" s="173">
        <f t="shared" ref="AT8:AT97" si="9">AS8*X8</f>
        <v>0</v>
      </c>
    </row>
    <row r="9" hidden="1">
      <c r="A9" s="101" t="s">
        <v>53</v>
      </c>
      <c r="B9" s="93">
        <v>329.0</v>
      </c>
      <c r="C9" s="399"/>
      <c r="D9" s="400"/>
      <c r="E9" s="400"/>
      <c r="F9" s="257"/>
      <c r="G9" s="172">
        <f t="shared" si="1"/>
        <v>0</v>
      </c>
      <c r="H9" s="173">
        <f t="shared" si="2"/>
        <v>0</v>
      </c>
      <c r="J9" s="399"/>
      <c r="K9" s="188"/>
      <c r="L9" s="188"/>
      <c r="M9" s="188"/>
      <c r="N9" s="188"/>
      <c r="O9" s="188"/>
      <c r="P9" s="188"/>
      <c r="Q9" s="188"/>
      <c r="R9" s="192"/>
      <c r="S9" s="186"/>
      <c r="T9" s="172">
        <f t="shared" si="3"/>
        <v>0</v>
      </c>
      <c r="U9" s="173">
        <f t="shared" si="4"/>
        <v>0</v>
      </c>
      <c r="W9" s="89"/>
      <c r="X9" s="188"/>
      <c r="Y9" s="188"/>
      <c r="Z9" s="192"/>
      <c r="AA9" s="192"/>
      <c r="AB9" s="186"/>
      <c r="AC9" s="172">
        <f>SUM(Q9:AB9)</f>
        <v>0</v>
      </c>
      <c r="AD9" s="173">
        <f t="shared" si="5"/>
        <v>0</v>
      </c>
      <c r="AE9" s="174"/>
      <c r="AG9" s="89"/>
      <c r="AH9" s="188"/>
      <c r="AI9" s="188"/>
      <c r="AJ9" s="188"/>
      <c r="AK9" s="186"/>
      <c r="AL9" s="172">
        <f t="shared" si="6"/>
        <v>0</v>
      </c>
      <c r="AM9" s="173">
        <f t="shared" si="7"/>
        <v>0</v>
      </c>
      <c r="AO9" s="89"/>
      <c r="AP9" s="188"/>
      <c r="AQ9" s="188"/>
      <c r="AR9" s="186"/>
      <c r="AS9" s="172">
        <f t="shared" si="8"/>
        <v>0</v>
      </c>
      <c r="AT9" s="173">
        <f t="shared" si="9"/>
        <v>0</v>
      </c>
    </row>
    <row r="10">
      <c r="A10" s="101" t="s">
        <v>54</v>
      </c>
      <c r="B10" s="93">
        <v>329.0</v>
      </c>
      <c r="C10" s="399"/>
      <c r="D10" s="400"/>
      <c r="E10" s="403">
        <v>1.0</v>
      </c>
      <c r="F10" s="257"/>
      <c r="G10" s="172">
        <f t="shared" si="1"/>
        <v>1</v>
      </c>
      <c r="H10" s="173">
        <f t="shared" si="2"/>
        <v>329</v>
      </c>
      <c r="J10" s="399"/>
      <c r="K10" s="188"/>
      <c r="L10" s="188"/>
      <c r="M10" s="188"/>
      <c r="N10" s="188"/>
      <c r="O10" s="188"/>
      <c r="P10" s="188"/>
      <c r="Q10" s="188"/>
      <c r="R10" s="192"/>
      <c r="S10" s="186"/>
      <c r="T10" s="172">
        <f t="shared" si="3"/>
        <v>0</v>
      </c>
      <c r="U10" s="173">
        <f t="shared" si="4"/>
        <v>0</v>
      </c>
      <c r="W10" s="89"/>
      <c r="X10" s="188"/>
      <c r="Y10" s="188"/>
      <c r="Z10" s="404">
        <v>1.0</v>
      </c>
      <c r="AA10" s="192"/>
      <c r="AB10" s="186"/>
      <c r="AC10" s="172">
        <f t="shared" ref="AC10:AC97" si="10">SUM(W10:AB10)</f>
        <v>1</v>
      </c>
      <c r="AD10" s="173">
        <f t="shared" si="5"/>
        <v>0</v>
      </c>
      <c r="AE10" s="174"/>
      <c r="AG10" s="89"/>
      <c r="AH10" s="402">
        <v>1.0</v>
      </c>
      <c r="AI10" s="188"/>
      <c r="AJ10" s="188"/>
      <c r="AK10" s="186"/>
      <c r="AL10" s="172">
        <f t="shared" si="6"/>
        <v>3</v>
      </c>
      <c r="AM10" s="173">
        <f t="shared" si="7"/>
        <v>0</v>
      </c>
      <c r="AO10" s="89"/>
      <c r="AP10" s="188"/>
      <c r="AQ10" s="188"/>
      <c r="AR10" s="186"/>
      <c r="AS10" s="172">
        <f t="shared" si="8"/>
        <v>4</v>
      </c>
      <c r="AT10" s="173">
        <f t="shared" si="9"/>
        <v>0</v>
      </c>
    </row>
    <row r="11">
      <c r="A11" s="101" t="s">
        <v>55</v>
      </c>
      <c r="B11" s="93">
        <v>329.0</v>
      </c>
      <c r="C11" s="399"/>
      <c r="D11" s="400"/>
      <c r="E11" s="403">
        <v>1.0</v>
      </c>
      <c r="F11" s="257"/>
      <c r="G11" s="172">
        <f t="shared" si="1"/>
        <v>1</v>
      </c>
      <c r="H11" s="173">
        <f t="shared" si="2"/>
        <v>329</v>
      </c>
      <c r="J11" s="399"/>
      <c r="K11" s="188"/>
      <c r="L11" s="188"/>
      <c r="M11" s="188"/>
      <c r="N11" s="188"/>
      <c r="O11" s="188"/>
      <c r="P11" s="188"/>
      <c r="Q11" s="188"/>
      <c r="R11" s="192"/>
      <c r="S11" s="186"/>
      <c r="T11" s="172">
        <f t="shared" si="3"/>
        <v>0</v>
      </c>
      <c r="U11" s="173">
        <f t="shared" si="4"/>
        <v>0</v>
      </c>
      <c r="W11" s="89"/>
      <c r="X11" s="188"/>
      <c r="Y11" s="188"/>
      <c r="Z11" s="192"/>
      <c r="AA11" s="192"/>
      <c r="AB11" s="186"/>
      <c r="AC11" s="172">
        <f t="shared" si="10"/>
        <v>0</v>
      </c>
      <c r="AD11" s="173">
        <f t="shared" si="5"/>
        <v>0</v>
      </c>
      <c r="AE11" s="174"/>
      <c r="AG11" s="89"/>
      <c r="AH11" s="188"/>
      <c r="AI11" s="188"/>
      <c r="AJ11" s="188"/>
      <c r="AK11" s="186"/>
      <c r="AL11" s="172">
        <f t="shared" si="6"/>
        <v>0</v>
      </c>
      <c r="AM11" s="173">
        <f t="shared" si="7"/>
        <v>0</v>
      </c>
      <c r="AO11" s="89"/>
      <c r="AP11" s="188"/>
      <c r="AQ11" s="188"/>
      <c r="AR11" s="186"/>
      <c r="AS11" s="172">
        <f t="shared" si="8"/>
        <v>0</v>
      </c>
      <c r="AT11" s="173">
        <f t="shared" si="9"/>
        <v>0</v>
      </c>
    </row>
    <row r="12">
      <c r="A12" s="101" t="s">
        <v>56</v>
      </c>
      <c r="B12" s="93">
        <v>329.0</v>
      </c>
      <c r="C12" s="399"/>
      <c r="D12" s="400"/>
      <c r="E12" s="400"/>
      <c r="F12" s="257"/>
      <c r="G12" s="172">
        <f t="shared" si="1"/>
        <v>0</v>
      </c>
      <c r="H12" s="173">
        <f t="shared" si="2"/>
        <v>0</v>
      </c>
      <c r="J12" s="399"/>
      <c r="K12" s="188"/>
      <c r="L12" s="188"/>
      <c r="M12" s="188"/>
      <c r="N12" s="188"/>
      <c r="O12" s="188"/>
      <c r="P12" s="188"/>
      <c r="Q12" s="188"/>
      <c r="R12" s="192"/>
      <c r="S12" s="401">
        <v>1.0</v>
      </c>
      <c r="T12" s="172">
        <f t="shared" si="3"/>
        <v>1</v>
      </c>
      <c r="U12" s="173">
        <f t="shared" si="4"/>
        <v>329</v>
      </c>
      <c r="W12" s="89"/>
      <c r="X12" s="188"/>
      <c r="Y12" s="188"/>
      <c r="Z12" s="192"/>
      <c r="AA12" s="192"/>
      <c r="AB12" s="186"/>
      <c r="AC12" s="172">
        <f t="shared" si="10"/>
        <v>0</v>
      </c>
      <c r="AD12" s="173">
        <f t="shared" si="5"/>
        <v>0</v>
      </c>
      <c r="AE12" s="174"/>
      <c r="AG12" s="89"/>
      <c r="AH12" s="188"/>
      <c r="AI12" s="402">
        <v>1.0</v>
      </c>
      <c r="AJ12" s="188"/>
      <c r="AK12" s="186"/>
      <c r="AL12" s="172">
        <f t="shared" si="6"/>
        <v>1</v>
      </c>
      <c r="AM12" s="173">
        <f t="shared" si="7"/>
        <v>0</v>
      </c>
      <c r="AO12" s="89"/>
      <c r="AP12" s="188"/>
      <c r="AQ12" s="188"/>
      <c r="AR12" s="186"/>
      <c r="AS12" s="172">
        <f t="shared" si="8"/>
        <v>2</v>
      </c>
      <c r="AT12" s="173">
        <f t="shared" si="9"/>
        <v>0</v>
      </c>
    </row>
    <row r="13">
      <c r="A13" s="101" t="s">
        <v>57</v>
      </c>
      <c r="B13" s="93">
        <v>329.0</v>
      </c>
      <c r="C13" s="399"/>
      <c r="D13" s="400"/>
      <c r="E13" s="400"/>
      <c r="F13" s="257"/>
      <c r="G13" s="172">
        <f t="shared" si="1"/>
        <v>0</v>
      </c>
      <c r="H13" s="173">
        <f t="shared" si="2"/>
        <v>0</v>
      </c>
      <c r="J13" s="399"/>
      <c r="K13" s="188"/>
      <c r="L13" s="188"/>
      <c r="M13" s="188"/>
      <c r="N13" s="188"/>
      <c r="O13" s="188"/>
      <c r="P13" s="188"/>
      <c r="Q13" s="188"/>
      <c r="R13" s="192"/>
      <c r="S13" s="186"/>
      <c r="T13" s="172">
        <f t="shared" si="3"/>
        <v>0</v>
      </c>
      <c r="U13" s="173">
        <f t="shared" si="4"/>
        <v>0</v>
      </c>
      <c r="W13" s="89"/>
      <c r="X13" s="188"/>
      <c r="Y13" s="188"/>
      <c r="Z13" s="192"/>
      <c r="AA13" s="192"/>
      <c r="AB13" s="186"/>
      <c r="AC13" s="172">
        <f t="shared" si="10"/>
        <v>0</v>
      </c>
      <c r="AD13" s="173">
        <f t="shared" si="5"/>
        <v>0</v>
      </c>
      <c r="AE13" s="174"/>
      <c r="AG13" s="89"/>
      <c r="AH13" s="188"/>
      <c r="AI13" s="188"/>
      <c r="AJ13" s="188"/>
      <c r="AK13" s="186"/>
      <c r="AL13" s="172">
        <f t="shared" si="6"/>
        <v>0</v>
      </c>
      <c r="AM13" s="173">
        <f t="shared" si="7"/>
        <v>0</v>
      </c>
      <c r="AO13" s="89"/>
      <c r="AP13" s="188"/>
      <c r="AQ13" s="188"/>
      <c r="AR13" s="186"/>
      <c r="AS13" s="172">
        <f t="shared" si="8"/>
        <v>0</v>
      </c>
      <c r="AT13" s="173">
        <f t="shared" si="9"/>
        <v>0</v>
      </c>
    </row>
    <row r="14">
      <c r="A14" s="101" t="s">
        <v>58</v>
      </c>
      <c r="B14" s="93">
        <v>329.0</v>
      </c>
      <c r="C14" s="399"/>
      <c r="D14" s="400"/>
      <c r="E14" s="400"/>
      <c r="F14" s="405">
        <v>1.0</v>
      </c>
      <c r="G14" s="172">
        <f t="shared" si="1"/>
        <v>1</v>
      </c>
      <c r="H14" s="173">
        <f t="shared" si="2"/>
        <v>329</v>
      </c>
      <c r="J14" s="399"/>
      <c r="K14" s="188"/>
      <c r="L14" s="188"/>
      <c r="M14" s="188"/>
      <c r="N14" s="188"/>
      <c r="O14" s="188"/>
      <c r="P14" s="188"/>
      <c r="Q14" s="188"/>
      <c r="R14" s="192"/>
      <c r="S14" s="186"/>
      <c r="T14" s="172">
        <f t="shared" si="3"/>
        <v>0</v>
      </c>
      <c r="U14" s="173">
        <f t="shared" si="4"/>
        <v>0</v>
      </c>
      <c r="W14" s="89"/>
      <c r="X14" s="188"/>
      <c r="Y14" s="188"/>
      <c r="Z14" s="192"/>
      <c r="AA14" s="192"/>
      <c r="AB14" s="186"/>
      <c r="AC14" s="172">
        <f t="shared" si="10"/>
        <v>0</v>
      </c>
      <c r="AD14" s="173">
        <f t="shared" si="5"/>
        <v>0</v>
      </c>
      <c r="AE14" s="174"/>
      <c r="AG14" s="89"/>
      <c r="AH14" s="188"/>
      <c r="AI14" s="188"/>
      <c r="AJ14" s="188"/>
      <c r="AK14" s="186"/>
      <c r="AL14" s="172">
        <f t="shared" si="6"/>
        <v>0</v>
      </c>
      <c r="AM14" s="173">
        <f t="shared" si="7"/>
        <v>0</v>
      </c>
      <c r="AO14" s="89"/>
      <c r="AP14" s="188"/>
      <c r="AQ14" s="188"/>
      <c r="AR14" s="186"/>
      <c r="AS14" s="172">
        <f t="shared" si="8"/>
        <v>0</v>
      </c>
      <c r="AT14" s="173">
        <f t="shared" si="9"/>
        <v>0</v>
      </c>
    </row>
    <row r="15">
      <c r="A15" s="101" t="s">
        <v>59</v>
      </c>
      <c r="B15" s="93">
        <v>219.0</v>
      </c>
      <c r="C15" s="399"/>
      <c r="D15" s="400"/>
      <c r="E15" s="400"/>
      <c r="F15" s="257"/>
      <c r="G15" s="172">
        <f t="shared" si="1"/>
        <v>0</v>
      </c>
      <c r="H15" s="173">
        <f t="shared" si="2"/>
        <v>0</v>
      </c>
      <c r="J15" s="399"/>
      <c r="K15" s="188"/>
      <c r="L15" s="188"/>
      <c r="M15" s="188"/>
      <c r="N15" s="188"/>
      <c r="O15" s="188"/>
      <c r="P15" s="188"/>
      <c r="Q15" s="188"/>
      <c r="R15" s="192"/>
      <c r="S15" s="186"/>
      <c r="T15" s="172">
        <f t="shared" si="3"/>
        <v>0</v>
      </c>
      <c r="U15" s="173">
        <f t="shared" si="4"/>
        <v>0</v>
      </c>
      <c r="W15" s="210">
        <v>1.0</v>
      </c>
      <c r="X15" s="188"/>
      <c r="Y15" s="188"/>
      <c r="Z15" s="192"/>
      <c r="AA15" s="192"/>
      <c r="AB15" s="186"/>
      <c r="AC15" s="172">
        <f t="shared" si="10"/>
        <v>1</v>
      </c>
      <c r="AD15" s="173">
        <f t="shared" si="5"/>
        <v>0</v>
      </c>
      <c r="AE15" s="174"/>
      <c r="AG15" s="89"/>
      <c r="AH15" s="188"/>
      <c r="AI15" s="188"/>
      <c r="AJ15" s="188"/>
      <c r="AK15" s="186"/>
      <c r="AL15" s="172">
        <f t="shared" si="6"/>
        <v>1</v>
      </c>
      <c r="AM15" s="173">
        <f t="shared" si="7"/>
        <v>0</v>
      </c>
      <c r="AO15" s="89"/>
      <c r="AP15" s="188"/>
      <c r="AQ15" s="188"/>
      <c r="AR15" s="186"/>
      <c r="AS15" s="172">
        <f t="shared" si="8"/>
        <v>1</v>
      </c>
      <c r="AT15" s="173">
        <f t="shared" si="9"/>
        <v>0</v>
      </c>
    </row>
    <row r="16" hidden="1">
      <c r="A16" s="101" t="s">
        <v>60</v>
      </c>
      <c r="B16" s="99"/>
      <c r="C16" s="399"/>
      <c r="D16" s="400"/>
      <c r="E16" s="400"/>
      <c r="F16" s="257"/>
      <c r="G16" s="172">
        <f t="shared" si="1"/>
        <v>0</v>
      </c>
      <c r="H16" s="173">
        <f t="shared" si="2"/>
        <v>0</v>
      </c>
      <c r="J16" s="399"/>
      <c r="K16" s="188"/>
      <c r="L16" s="188"/>
      <c r="M16" s="188"/>
      <c r="N16" s="188"/>
      <c r="O16" s="188"/>
      <c r="P16" s="188"/>
      <c r="Q16" s="188"/>
      <c r="R16" s="192"/>
      <c r="S16" s="186"/>
      <c r="T16" s="172">
        <f t="shared" si="3"/>
        <v>0</v>
      </c>
      <c r="U16" s="173">
        <f t="shared" si="4"/>
        <v>0</v>
      </c>
      <c r="W16" s="89"/>
      <c r="X16" s="188"/>
      <c r="Y16" s="188"/>
      <c r="Z16" s="192"/>
      <c r="AA16" s="192"/>
      <c r="AB16" s="186"/>
      <c r="AC16" s="172">
        <f t="shared" si="10"/>
        <v>0</v>
      </c>
      <c r="AD16" s="173">
        <f t="shared" si="5"/>
        <v>0</v>
      </c>
      <c r="AE16" s="174"/>
      <c r="AG16" s="89"/>
      <c r="AH16" s="188"/>
      <c r="AI16" s="188"/>
      <c r="AJ16" s="188"/>
      <c r="AK16" s="186"/>
      <c r="AL16" s="172">
        <f t="shared" si="6"/>
        <v>0</v>
      </c>
      <c r="AM16" s="173">
        <f t="shared" si="7"/>
        <v>0</v>
      </c>
      <c r="AO16" s="89"/>
      <c r="AP16" s="188"/>
      <c r="AQ16" s="188"/>
      <c r="AR16" s="186"/>
      <c r="AS16" s="172">
        <f t="shared" si="8"/>
        <v>0</v>
      </c>
      <c r="AT16" s="173">
        <f t="shared" si="9"/>
        <v>0</v>
      </c>
    </row>
    <row r="17" hidden="1">
      <c r="A17" s="101" t="s">
        <v>61</v>
      </c>
      <c r="B17" s="99"/>
      <c r="C17" s="399"/>
      <c r="D17" s="400"/>
      <c r="E17" s="400"/>
      <c r="F17" s="257"/>
      <c r="G17" s="172">
        <f t="shared" si="1"/>
        <v>0</v>
      </c>
      <c r="H17" s="173">
        <f t="shared" si="2"/>
        <v>0</v>
      </c>
      <c r="J17" s="399"/>
      <c r="K17" s="188"/>
      <c r="L17" s="188"/>
      <c r="M17" s="188"/>
      <c r="N17" s="188"/>
      <c r="O17" s="188"/>
      <c r="P17" s="188"/>
      <c r="Q17" s="188"/>
      <c r="R17" s="192"/>
      <c r="S17" s="186"/>
      <c r="T17" s="172">
        <f t="shared" si="3"/>
        <v>0</v>
      </c>
      <c r="U17" s="173">
        <f t="shared" si="4"/>
        <v>0</v>
      </c>
      <c r="W17" s="89"/>
      <c r="X17" s="188"/>
      <c r="Y17" s="188"/>
      <c r="Z17" s="192"/>
      <c r="AA17" s="192"/>
      <c r="AB17" s="186"/>
      <c r="AC17" s="172">
        <f t="shared" si="10"/>
        <v>0</v>
      </c>
      <c r="AD17" s="173">
        <f t="shared" si="5"/>
        <v>0</v>
      </c>
      <c r="AE17" s="174"/>
      <c r="AG17" s="89"/>
      <c r="AH17" s="188"/>
      <c r="AI17" s="188"/>
      <c r="AJ17" s="188"/>
      <c r="AK17" s="186"/>
      <c r="AL17" s="172">
        <f t="shared" si="6"/>
        <v>0</v>
      </c>
      <c r="AM17" s="173">
        <f t="shared" si="7"/>
        <v>0</v>
      </c>
      <c r="AO17" s="89"/>
      <c r="AP17" s="188"/>
      <c r="AQ17" s="188"/>
      <c r="AR17" s="186"/>
      <c r="AS17" s="172">
        <f t="shared" si="8"/>
        <v>0</v>
      </c>
      <c r="AT17" s="173">
        <f t="shared" si="9"/>
        <v>0</v>
      </c>
    </row>
    <row r="18">
      <c r="A18" s="109"/>
      <c r="B18" s="99"/>
      <c r="C18" s="399"/>
      <c r="D18" s="400"/>
      <c r="E18" s="400"/>
      <c r="F18" s="257"/>
      <c r="G18" s="172">
        <f t="shared" si="1"/>
        <v>0</v>
      </c>
      <c r="H18" s="173">
        <f t="shared" si="2"/>
        <v>0</v>
      </c>
      <c r="J18" s="399"/>
      <c r="K18" s="188"/>
      <c r="L18" s="188"/>
      <c r="M18" s="188"/>
      <c r="N18" s="188"/>
      <c r="O18" s="188"/>
      <c r="P18" s="188"/>
      <c r="Q18" s="188"/>
      <c r="R18" s="192"/>
      <c r="S18" s="186"/>
      <c r="T18" s="172">
        <f t="shared" si="3"/>
        <v>0</v>
      </c>
      <c r="U18" s="173">
        <f t="shared" si="4"/>
        <v>0</v>
      </c>
      <c r="W18" s="89"/>
      <c r="X18" s="188"/>
      <c r="Y18" s="188"/>
      <c r="Z18" s="192"/>
      <c r="AA18" s="192"/>
      <c r="AB18" s="186"/>
      <c r="AC18" s="172">
        <f t="shared" si="10"/>
        <v>0</v>
      </c>
      <c r="AD18" s="173">
        <f t="shared" si="5"/>
        <v>0</v>
      </c>
      <c r="AE18" s="174"/>
      <c r="AG18" s="89"/>
      <c r="AH18" s="188"/>
      <c r="AI18" s="188"/>
      <c r="AJ18" s="188"/>
      <c r="AK18" s="186"/>
      <c r="AL18" s="172">
        <f t="shared" si="6"/>
        <v>0</v>
      </c>
      <c r="AM18" s="173">
        <f t="shared" si="7"/>
        <v>0</v>
      </c>
      <c r="AO18" s="89"/>
      <c r="AP18" s="188"/>
      <c r="AQ18" s="188"/>
      <c r="AR18" s="186"/>
      <c r="AS18" s="172">
        <f t="shared" si="8"/>
        <v>0</v>
      </c>
      <c r="AT18" s="173">
        <f t="shared" si="9"/>
        <v>0</v>
      </c>
    </row>
    <row r="19">
      <c r="A19" s="101" t="s">
        <v>62</v>
      </c>
      <c r="B19" s="93">
        <v>239.0</v>
      </c>
      <c r="C19" s="399"/>
      <c r="D19" s="400"/>
      <c r="E19" s="400"/>
      <c r="F19" s="257"/>
      <c r="G19" s="172">
        <f t="shared" si="1"/>
        <v>0</v>
      </c>
      <c r="H19" s="173">
        <f t="shared" si="2"/>
        <v>0</v>
      </c>
      <c r="J19" s="399"/>
      <c r="K19" s="188"/>
      <c r="L19" s="188"/>
      <c r="M19" s="188"/>
      <c r="N19" s="188"/>
      <c r="O19" s="188"/>
      <c r="P19" s="188"/>
      <c r="Q19" s="188"/>
      <c r="R19" s="192"/>
      <c r="S19" s="186"/>
      <c r="T19" s="172">
        <f t="shared" si="3"/>
        <v>0</v>
      </c>
      <c r="U19" s="173">
        <f t="shared" si="4"/>
        <v>0</v>
      </c>
      <c r="W19" s="89"/>
      <c r="X19" s="188"/>
      <c r="Y19" s="188"/>
      <c r="Z19" s="192"/>
      <c r="AA19" s="192"/>
      <c r="AB19" s="186"/>
      <c r="AC19" s="172">
        <f t="shared" si="10"/>
        <v>0</v>
      </c>
      <c r="AD19" s="173">
        <f t="shared" si="5"/>
        <v>0</v>
      </c>
      <c r="AE19" s="174"/>
      <c r="AG19" s="89"/>
      <c r="AH19" s="188"/>
      <c r="AI19" s="188"/>
      <c r="AJ19" s="188"/>
      <c r="AK19" s="186"/>
      <c r="AL19" s="172">
        <f t="shared" si="6"/>
        <v>0</v>
      </c>
      <c r="AM19" s="173">
        <f t="shared" si="7"/>
        <v>0</v>
      </c>
      <c r="AO19" s="89"/>
      <c r="AP19" s="188"/>
      <c r="AQ19" s="188"/>
      <c r="AR19" s="186"/>
      <c r="AS19" s="172">
        <f t="shared" si="8"/>
        <v>0</v>
      </c>
      <c r="AT19" s="173">
        <f t="shared" si="9"/>
        <v>0</v>
      </c>
    </row>
    <row r="20">
      <c r="A20" s="101" t="s">
        <v>63</v>
      </c>
      <c r="B20" s="93">
        <v>239.0</v>
      </c>
      <c r="C20" s="399"/>
      <c r="D20" s="400"/>
      <c r="E20" s="400"/>
      <c r="F20" s="257"/>
      <c r="G20" s="172">
        <f t="shared" si="1"/>
        <v>0</v>
      </c>
      <c r="H20" s="173">
        <f t="shared" si="2"/>
        <v>0</v>
      </c>
      <c r="J20" s="399"/>
      <c r="K20" s="188"/>
      <c r="L20" s="188"/>
      <c r="M20" s="188"/>
      <c r="N20" s="188"/>
      <c r="O20" s="188"/>
      <c r="P20" s="188"/>
      <c r="Q20" s="188"/>
      <c r="R20" s="192"/>
      <c r="S20" s="186"/>
      <c r="T20" s="172">
        <f t="shared" si="3"/>
        <v>0</v>
      </c>
      <c r="U20" s="173">
        <f t="shared" si="4"/>
        <v>0</v>
      </c>
      <c r="W20" s="89"/>
      <c r="X20" s="188"/>
      <c r="Y20" s="188"/>
      <c r="Z20" s="192"/>
      <c r="AA20" s="192"/>
      <c r="AB20" s="186"/>
      <c r="AC20" s="172">
        <f t="shared" si="10"/>
        <v>0</v>
      </c>
      <c r="AD20" s="173">
        <f t="shared" si="5"/>
        <v>0</v>
      </c>
      <c r="AE20" s="174"/>
      <c r="AG20" s="89"/>
      <c r="AH20" s="188"/>
      <c r="AI20" s="188"/>
      <c r="AJ20" s="188"/>
      <c r="AK20" s="186"/>
      <c r="AL20" s="172">
        <f t="shared" si="6"/>
        <v>0</v>
      </c>
      <c r="AM20" s="173">
        <f t="shared" si="7"/>
        <v>0</v>
      </c>
      <c r="AO20" s="89"/>
      <c r="AP20" s="188"/>
      <c r="AQ20" s="188"/>
      <c r="AR20" s="186"/>
      <c r="AS20" s="172">
        <f t="shared" si="8"/>
        <v>0</v>
      </c>
      <c r="AT20" s="173">
        <f t="shared" si="9"/>
        <v>0</v>
      </c>
    </row>
    <row r="21">
      <c r="A21" s="101" t="s">
        <v>64</v>
      </c>
      <c r="B21" s="93">
        <v>239.0</v>
      </c>
      <c r="C21" s="399"/>
      <c r="D21" s="400"/>
      <c r="E21" s="400"/>
      <c r="F21" s="257"/>
      <c r="G21" s="172">
        <f t="shared" si="1"/>
        <v>0</v>
      </c>
      <c r="H21" s="173">
        <f t="shared" si="2"/>
        <v>0</v>
      </c>
      <c r="J21" s="399"/>
      <c r="K21" s="188"/>
      <c r="L21" s="188"/>
      <c r="M21" s="188"/>
      <c r="N21" s="188"/>
      <c r="O21" s="188"/>
      <c r="P21" s="188"/>
      <c r="Q21" s="188"/>
      <c r="R21" s="192"/>
      <c r="S21" s="186"/>
      <c r="T21" s="172">
        <f t="shared" si="3"/>
        <v>0</v>
      </c>
      <c r="U21" s="173">
        <f t="shared" si="4"/>
        <v>0</v>
      </c>
      <c r="W21" s="89"/>
      <c r="X21" s="188"/>
      <c r="Y21" s="188"/>
      <c r="Z21" s="192"/>
      <c r="AA21" s="192"/>
      <c r="AB21" s="186"/>
      <c r="AC21" s="172">
        <f t="shared" si="10"/>
        <v>0</v>
      </c>
      <c r="AD21" s="173">
        <f t="shared" si="5"/>
        <v>0</v>
      </c>
      <c r="AE21" s="174"/>
      <c r="AG21" s="89"/>
      <c r="AH21" s="188"/>
      <c r="AI21" s="188"/>
      <c r="AJ21" s="188"/>
      <c r="AK21" s="186"/>
      <c r="AL21" s="172">
        <f t="shared" si="6"/>
        <v>0</v>
      </c>
      <c r="AM21" s="173">
        <f t="shared" si="7"/>
        <v>0</v>
      </c>
      <c r="AO21" s="89"/>
      <c r="AP21" s="188"/>
      <c r="AQ21" s="188"/>
      <c r="AR21" s="186"/>
      <c r="AS21" s="172">
        <f t="shared" si="8"/>
        <v>0</v>
      </c>
      <c r="AT21" s="173">
        <f t="shared" si="9"/>
        <v>0</v>
      </c>
    </row>
    <row r="22">
      <c r="A22" s="101" t="s">
        <v>65</v>
      </c>
      <c r="B22" s="93">
        <v>219.0</v>
      </c>
      <c r="C22" s="399"/>
      <c r="D22" s="400"/>
      <c r="E22" s="400"/>
      <c r="F22" s="257"/>
      <c r="G22" s="172">
        <f t="shared" si="1"/>
        <v>0</v>
      </c>
      <c r="H22" s="173">
        <f t="shared" si="2"/>
        <v>0</v>
      </c>
      <c r="J22" s="399"/>
      <c r="K22" s="188"/>
      <c r="L22" s="188"/>
      <c r="M22" s="188"/>
      <c r="N22" s="188"/>
      <c r="O22" s="188"/>
      <c r="P22" s="188"/>
      <c r="Q22" s="188"/>
      <c r="R22" s="192"/>
      <c r="S22" s="186"/>
      <c r="T22" s="172">
        <f t="shared" si="3"/>
        <v>0</v>
      </c>
      <c r="U22" s="173">
        <f t="shared" si="4"/>
        <v>0</v>
      </c>
      <c r="W22" s="89"/>
      <c r="X22" s="188"/>
      <c r="Y22" s="188"/>
      <c r="Z22" s="192"/>
      <c r="AA22" s="192"/>
      <c r="AB22" s="186"/>
      <c r="AC22" s="172">
        <f t="shared" si="10"/>
        <v>0</v>
      </c>
      <c r="AD22" s="173">
        <f t="shared" si="5"/>
        <v>0</v>
      </c>
      <c r="AE22" s="174"/>
      <c r="AG22" s="89"/>
      <c r="AH22" s="188"/>
      <c r="AI22" s="188"/>
      <c r="AJ22" s="188"/>
      <c r="AK22" s="186"/>
      <c r="AL22" s="172">
        <f t="shared" si="6"/>
        <v>0</v>
      </c>
      <c r="AM22" s="173">
        <f t="shared" si="7"/>
        <v>0</v>
      </c>
      <c r="AO22" s="89"/>
      <c r="AP22" s="188"/>
      <c r="AQ22" s="188"/>
      <c r="AR22" s="186"/>
      <c r="AS22" s="172">
        <f t="shared" si="8"/>
        <v>0</v>
      </c>
      <c r="AT22" s="173">
        <f t="shared" si="9"/>
        <v>0</v>
      </c>
    </row>
    <row r="23">
      <c r="A23" s="101" t="s">
        <v>66</v>
      </c>
      <c r="B23" s="93">
        <v>219.0</v>
      </c>
      <c r="C23" s="399"/>
      <c r="D23" s="400"/>
      <c r="E23" s="400"/>
      <c r="F23" s="257"/>
      <c r="G23" s="172">
        <f t="shared" si="1"/>
        <v>0</v>
      </c>
      <c r="H23" s="173">
        <f t="shared" si="2"/>
        <v>0</v>
      </c>
      <c r="J23" s="399"/>
      <c r="K23" s="188"/>
      <c r="L23" s="188"/>
      <c r="M23" s="188"/>
      <c r="N23" s="188"/>
      <c r="O23" s="188"/>
      <c r="P23" s="188"/>
      <c r="Q23" s="188"/>
      <c r="R23" s="192"/>
      <c r="S23" s="186"/>
      <c r="T23" s="172">
        <f t="shared" si="3"/>
        <v>0</v>
      </c>
      <c r="U23" s="173">
        <f t="shared" si="4"/>
        <v>0</v>
      </c>
      <c r="W23" s="89"/>
      <c r="X23" s="188"/>
      <c r="Y23" s="188"/>
      <c r="Z23" s="192"/>
      <c r="AA23" s="192"/>
      <c r="AB23" s="186"/>
      <c r="AC23" s="172">
        <f t="shared" si="10"/>
        <v>0</v>
      </c>
      <c r="AD23" s="173">
        <f t="shared" si="5"/>
        <v>0</v>
      </c>
      <c r="AE23" s="174"/>
      <c r="AG23" s="89"/>
      <c r="AH23" s="188"/>
      <c r="AI23" s="188"/>
      <c r="AJ23" s="188"/>
      <c r="AK23" s="186"/>
      <c r="AL23" s="172">
        <f t="shared" si="6"/>
        <v>0</v>
      </c>
      <c r="AM23" s="173">
        <f t="shared" si="7"/>
        <v>0</v>
      </c>
      <c r="AO23" s="89"/>
      <c r="AP23" s="188"/>
      <c r="AQ23" s="188"/>
      <c r="AR23" s="186"/>
      <c r="AS23" s="172">
        <f t="shared" si="8"/>
        <v>0</v>
      </c>
      <c r="AT23" s="173">
        <f t="shared" si="9"/>
        <v>0</v>
      </c>
    </row>
    <row r="24">
      <c r="A24" s="101" t="s">
        <v>67</v>
      </c>
      <c r="B24" s="93">
        <v>219.0</v>
      </c>
      <c r="C24" s="399"/>
      <c r="D24" s="400"/>
      <c r="E24" s="400"/>
      <c r="F24" s="257"/>
      <c r="G24" s="172">
        <f t="shared" si="1"/>
        <v>0</v>
      </c>
      <c r="H24" s="173">
        <f t="shared" si="2"/>
        <v>0</v>
      </c>
      <c r="J24" s="399"/>
      <c r="K24" s="188"/>
      <c r="L24" s="188"/>
      <c r="M24" s="188"/>
      <c r="N24" s="188"/>
      <c r="O24" s="188"/>
      <c r="P24" s="188"/>
      <c r="Q24" s="188"/>
      <c r="R24" s="192"/>
      <c r="S24" s="186"/>
      <c r="T24" s="172">
        <f t="shared" si="3"/>
        <v>0</v>
      </c>
      <c r="U24" s="173">
        <f t="shared" si="4"/>
        <v>0</v>
      </c>
      <c r="W24" s="89"/>
      <c r="X24" s="188"/>
      <c r="Y24" s="188"/>
      <c r="Z24" s="192"/>
      <c r="AA24" s="192"/>
      <c r="AB24" s="186"/>
      <c r="AC24" s="172">
        <f t="shared" si="10"/>
        <v>0</v>
      </c>
      <c r="AD24" s="173">
        <f t="shared" si="5"/>
        <v>0</v>
      </c>
      <c r="AE24" s="174"/>
      <c r="AG24" s="89"/>
      <c r="AH24" s="188"/>
      <c r="AI24" s="188"/>
      <c r="AJ24" s="188"/>
      <c r="AK24" s="186"/>
      <c r="AL24" s="172">
        <f t="shared" si="6"/>
        <v>0</v>
      </c>
      <c r="AM24" s="173">
        <f t="shared" si="7"/>
        <v>0</v>
      </c>
      <c r="AO24" s="89"/>
      <c r="AP24" s="188"/>
      <c r="AQ24" s="188"/>
      <c r="AR24" s="186"/>
      <c r="AS24" s="172">
        <f t="shared" si="8"/>
        <v>0</v>
      </c>
      <c r="AT24" s="173">
        <f t="shared" si="9"/>
        <v>0</v>
      </c>
    </row>
    <row r="25" hidden="1">
      <c r="A25" s="101" t="s">
        <v>68</v>
      </c>
      <c r="B25" s="93">
        <v>219.0</v>
      </c>
      <c r="C25" s="399"/>
      <c r="D25" s="400"/>
      <c r="E25" s="400"/>
      <c r="F25" s="257"/>
      <c r="G25" s="172">
        <f t="shared" si="1"/>
        <v>0</v>
      </c>
      <c r="H25" s="173">
        <f t="shared" si="2"/>
        <v>0</v>
      </c>
      <c r="J25" s="399"/>
      <c r="K25" s="188"/>
      <c r="L25" s="188"/>
      <c r="M25" s="188"/>
      <c r="N25" s="188"/>
      <c r="O25" s="188"/>
      <c r="P25" s="188"/>
      <c r="Q25" s="188"/>
      <c r="R25" s="192"/>
      <c r="S25" s="186"/>
      <c r="T25" s="172">
        <f t="shared" si="3"/>
        <v>0</v>
      </c>
      <c r="U25" s="173">
        <f t="shared" si="4"/>
        <v>0</v>
      </c>
      <c r="W25" s="89"/>
      <c r="X25" s="188"/>
      <c r="Y25" s="188"/>
      <c r="Z25" s="192"/>
      <c r="AA25" s="192"/>
      <c r="AB25" s="186"/>
      <c r="AC25" s="172">
        <f t="shared" si="10"/>
        <v>0</v>
      </c>
      <c r="AD25" s="173">
        <f t="shared" si="5"/>
        <v>0</v>
      </c>
      <c r="AE25" s="174"/>
      <c r="AG25" s="89"/>
      <c r="AH25" s="188"/>
      <c r="AI25" s="188"/>
      <c r="AJ25" s="188"/>
      <c r="AK25" s="186"/>
      <c r="AL25" s="172">
        <f t="shared" si="6"/>
        <v>0</v>
      </c>
      <c r="AM25" s="173">
        <f t="shared" si="7"/>
        <v>0</v>
      </c>
      <c r="AO25" s="89"/>
      <c r="AP25" s="188"/>
      <c r="AQ25" s="188"/>
      <c r="AR25" s="186"/>
      <c r="AS25" s="172">
        <f t="shared" si="8"/>
        <v>0</v>
      </c>
      <c r="AT25" s="173">
        <f t="shared" si="9"/>
        <v>0</v>
      </c>
    </row>
    <row r="26" hidden="1">
      <c r="A26" s="101" t="s">
        <v>69</v>
      </c>
      <c r="B26" s="93">
        <v>219.0</v>
      </c>
      <c r="C26" s="399"/>
      <c r="D26" s="400"/>
      <c r="E26" s="400"/>
      <c r="F26" s="257"/>
      <c r="G26" s="172">
        <f t="shared" si="1"/>
        <v>0</v>
      </c>
      <c r="H26" s="173">
        <f t="shared" si="2"/>
        <v>0</v>
      </c>
      <c r="J26" s="399"/>
      <c r="K26" s="188"/>
      <c r="L26" s="188"/>
      <c r="M26" s="188"/>
      <c r="N26" s="188"/>
      <c r="O26" s="188"/>
      <c r="P26" s="188"/>
      <c r="Q26" s="188"/>
      <c r="R26" s="192"/>
      <c r="S26" s="186"/>
      <c r="T26" s="172">
        <f t="shared" si="3"/>
        <v>0</v>
      </c>
      <c r="U26" s="173">
        <f t="shared" si="4"/>
        <v>0</v>
      </c>
      <c r="W26" s="89"/>
      <c r="X26" s="188"/>
      <c r="Y26" s="188"/>
      <c r="Z26" s="192"/>
      <c r="AA26" s="192"/>
      <c r="AB26" s="186"/>
      <c r="AC26" s="172">
        <f t="shared" si="10"/>
        <v>0</v>
      </c>
      <c r="AD26" s="173">
        <f t="shared" si="5"/>
        <v>0</v>
      </c>
      <c r="AE26" s="174"/>
      <c r="AG26" s="89"/>
      <c r="AH26" s="188"/>
      <c r="AI26" s="188"/>
      <c r="AJ26" s="188"/>
      <c r="AK26" s="186"/>
      <c r="AL26" s="172">
        <f t="shared" si="6"/>
        <v>0</v>
      </c>
      <c r="AM26" s="173">
        <f t="shared" si="7"/>
        <v>0</v>
      </c>
      <c r="AO26" s="89"/>
      <c r="AP26" s="188"/>
      <c r="AQ26" s="188"/>
      <c r="AR26" s="186"/>
      <c r="AS26" s="172">
        <f t="shared" si="8"/>
        <v>0</v>
      </c>
      <c r="AT26" s="173">
        <f t="shared" si="9"/>
        <v>0</v>
      </c>
    </row>
    <row r="27">
      <c r="A27" s="101" t="s">
        <v>70</v>
      </c>
      <c r="B27" s="93">
        <v>799.0</v>
      </c>
      <c r="C27" s="406">
        <v>1.0</v>
      </c>
      <c r="D27" s="400"/>
      <c r="E27" s="400"/>
      <c r="F27" s="257"/>
      <c r="G27" s="172">
        <f t="shared" si="1"/>
        <v>1</v>
      </c>
      <c r="H27" s="173">
        <f t="shared" si="2"/>
        <v>799</v>
      </c>
      <c r="J27" s="399"/>
      <c r="K27" s="188"/>
      <c r="L27" s="188"/>
      <c r="M27" s="188"/>
      <c r="N27" s="188"/>
      <c r="O27" s="188"/>
      <c r="P27" s="188"/>
      <c r="Q27" s="188"/>
      <c r="R27" s="192"/>
      <c r="S27" s="186"/>
      <c r="T27" s="172">
        <f t="shared" si="3"/>
        <v>0</v>
      </c>
      <c r="U27" s="173">
        <f t="shared" si="4"/>
        <v>0</v>
      </c>
      <c r="W27" s="89"/>
      <c r="X27" s="188"/>
      <c r="Y27" s="188"/>
      <c r="Z27" s="192"/>
      <c r="AA27" s="192"/>
      <c r="AB27" s="186"/>
      <c r="AC27" s="172">
        <f t="shared" si="10"/>
        <v>0</v>
      </c>
      <c r="AD27" s="173">
        <f t="shared" si="5"/>
        <v>0</v>
      </c>
      <c r="AE27" s="174"/>
      <c r="AG27" s="89"/>
      <c r="AH27" s="188"/>
      <c r="AI27" s="188"/>
      <c r="AJ27" s="188"/>
      <c r="AK27" s="186"/>
      <c r="AL27" s="172">
        <f t="shared" si="6"/>
        <v>0</v>
      </c>
      <c r="AM27" s="173">
        <f t="shared" si="7"/>
        <v>0</v>
      </c>
      <c r="AO27" s="89"/>
      <c r="AP27" s="188"/>
      <c r="AQ27" s="188"/>
      <c r="AR27" s="186"/>
      <c r="AS27" s="172">
        <f t="shared" si="8"/>
        <v>0</v>
      </c>
      <c r="AT27" s="173">
        <f t="shared" si="9"/>
        <v>0</v>
      </c>
    </row>
    <row r="28">
      <c r="A28" s="102" t="s">
        <v>71</v>
      </c>
      <c r="B28" s="93">
        <v>609.0</v>
      </c>
      <c r="C28" s="399"/>
      <c r="D28" s="400"/>
      <c r="E28" s="400"/>
      <c r="F28" s="213"/>
      <c r="G28" s="172">
        <f t="shared" si="1"/>
        <v>0</v>
      </c>
      <c r="H28" s="173">
        <f t="shared" si="2"/>
        <v>0</v>
      </c>
      <c r="J28" s="399"/>
      <c r="K28" s="188"/>
      <c r="L28" s="188"/>
      <c r="M28" s="188"/>
      <c r="N28" s="188"/>
      <c r="O28" s="188"/>
      <c r="P28" s="188"/>
      <c r="Q28" s="188"/>
      <c r="R28" s="192"/>
      <c r="S28" s="213"/>
      <c r="T28" s="172">
        <f t="shared" si="3"/>
        <v>0</v>
      </c>
      <c r="U28" s="173">
        <f t="shared" si="4"/>
        <v>0</v>
      </c>
      <c r="W28" s="89"/>
      <c r="X28" s="188"/>
      <c r="Y28" s="188"/>
      <c r="Z28" s="192"/>
      <c r="AA28" s="192"/>
      <c r="AB28" s="213"/>
      <c r="AC28" s="172">
        <f t="shared" si="10"/>
        <v>0</v>
      </c>
      <c r="AD28" s="173">
        <f t="shared" si="5"/>
        <v>0</v>
      </c>
      <c r="AE28" s="174"/>
      <c r="AG28" s="89"/>
      <c r="AH28" s="188"/>
      <c r="AI28" s="188"/>
      <c r="AJ28" s="188"/>
      <c r="AK28" s="402">
        <v>1.0</v>
      </c>
      <c r="AL28" s="172">
        <f t="shared" si="6"/>
        <v>1</v>
      </c>
      <c r="AM28" s="173">
        <f t="shared" si="7"/>
        <v>0</v>
      </c>
      <c r="AO28" s="89"/>
      <c r="AP28" s="194">
        <v>1.0</v>
      </c>
      <c r="AQ28" s="188"/>
      <c r="AR28" s="213"/>
      <c r="AS28" s="172">
        <f t="shared" si="8"/>
        <v>3</v>
      </c>
      <c r="AT28" s="173">
        <f t="shared" si="9"/>
        <v>0</v>
      </c>
    </row>
    <row r="29">
      <c r="A29" s="101" t="s">
        <v>72</v>
      </c>
      <c r="B29" s="93">
        <v>329.0</v>
      </c>
      <c r="C29" s="399"/>
      <c r="D29" s="400"/>
      <c r="E29" s="400"/>
      <c r="F29" s="257"/>
      <c r="G29" s="172">
        <f t="shared" si="1"/>
        <v>0</v>
      </c>
      <c r="H29" s="173">
        <f t="shared" si="2"/>
        <v>0</v>
      </c>
      <c r="J29" s="406">
        <v>1.0</v>
      </c>
      <c r="K29" s="188"/>
      <c r="L29" s="188"/>
      <c r="M29" s="188"/>
      <c r="N29" s="188"/>
      <c r="O29" s="401">
        <v>1.0</v>
      </c>
      <c r="P29" s="188"/>
      <c r="Q29" s="401">
        <v>2.0</v>
      </c>
      <c r="R29" s="407"/>
      <c r="S29" s="186"/>
      <c r="T29" s="172">
        <f t="shared" si="3"/>
        <v>4</v>
      </c>
      <c r="U29" s="173">
        <f t="shared" si="4"/>
        <v>1316</v>
      </c>
      <c r="W29" s="89"/>
      <c r="X29" s="188"/>
      <c r="Y29" s="188"/>
      <c r="Z29" s="192"/>
      <c r="AA29" s="404">
        <v>1.0</v>
      </c>
      <c r="AB29" s="214">
        <v>3.0</v>
      </c>
      <c r="AC29" s="172">
        <f t="shared" si="10"/>
        <v>4</v>
      </c>
      <c r="AD29" s="173">
        <f t="shared" si="5"/>
        <v>0</v>
      </c>
      <c r="AE29" s="174"/>
      <c r="AG29" s="408">
        <v>1.0</v>
      </c>
      <c r="AH29" s="188"/>
      <c r="AI29" s="188"/>
      <c r="AJ29" s="188"/>
      <c r="AK29" s="186"/>
      <c r="AL29" s="172">
        <f t="shared" si="6"/>
        <v>9</v>
      </c>
      <c r="AM29" s="173">
        <f t="shared" si="7"/>
        <v>18</v>
      </c>
      <c r="AO29" s="89"/>
      <c r="AP29" s="188"/>
      <c r="AQ29" s="188"/>
      <c r="AR29" s="186"/>
      <c r="AS29" s="172">
        <f t="shared" si="8"/>
        <v>27</v>
      </c>
      <c r="AT29" s="173">
        <f t="shared" si="9"/>
        <v>0</v>
      </c>
    </row>
    <row r="30">
      <c r="A30" s="101" t="s">
        <v>73</v>
      </c>
      <c r="B30" s="93">
        <v>329.0</v>
      </c>
      <c r="C30" s="399"/>
      <c r="D30" s="400"/>
      <c r="E30" s="400"/>
      <c r="F30" s="257"/>
      <c r="G30" s="172">
        <f t="shared" si="1"/>
        <v>0</v>
      </c>
      <c r="H30" s="173">
        <f t="shared" si="2"/>
        <v>0</v>
      </c>
      <c r="J30" s="399"/>
      <c r="K30" s="188"/>
      <c r="L30" s="188"/>
      <c r="M30" s="188"/>
      <c r="N30" s="188"/>
      <c r="O30" s="188"/>
      <c r="P30" s="188"/>
      <c r="Q30" s="188"/>
      <c r="R30" s="192"/>
      <c r="S30" s="186"/>
      <c r="T30" s="172">
        <f t="shared" si="3"/>
        <v>0</v>
      </c>
      <c r="U30" s="173">
        <f t="shared" si="4"/>
        <v>0</v>
      </c>
      <c r="W30" s="89"/>
      <c r="X30" s="188"/>
      <c r="Y30" s="188"/>
      <c r="Z30" s="192"/>
      <c r="AA30" s="192"/>
      <c r="AB30" s="186"/>
      <c r="AC30" s="172">
        <f t="shared" si="10"/>
        <v>0</v>
      </c>
      <c r="AD30" s="173">
        <f t="shared" si="5"/>
        <v>0</v>
      </c>
      <c r="AE30" s="174"/>
      <c r="AG30" s="89"/>
      <c r="AH30" s="188"/>
      <c r="AI30" s="188"/>
      <c r="AJ30" s="188"/>
      <c r="AK30" s="186"/>
      <c r="AL30" s="172">
        <f t="shared" si="6"/>
        <v>0</v>
      </c>
      <c r="AM30" s="173">
        <f t="shared" si="7"/>
        <v>0</v>
      </c>
      <c r="AO30" s="89"/>
      <c r="AP30" s="188"/>
      <c r="AQ30" s="188"/>
      <c r="AR30" s="186"/>
      <c r="AS30" s="172">
        <f t="shared" si="8"/>
        <v>0</v>
      </c>
      <c r="AT30" s="173">
        <f t="shared" si="9"/>
        <v>0</v>
      </c>
    </row>
    <row r="31">
      <c r="A31" s="101" t="s">
        <v>74</v>
      </c>
      <c r="B31" s="93">
        <v>219.0</v>
      </c>
      <c r="C31" s="399"/>
      <c r="D31" s="400"/>
      <c r="E31" s="400"/>
      <c r="F31" s="257"/>
      <c r="G31" s="172">
        <f t="shared" si="1"/>
        <v>0</v>
      </c>
      <c r="H31" s="173">
        <f t="shared" si="2"/>
        <v>0</v>
      </c>
      <c r="J31" s="399"/>
      <c r="K31" s="188"/>
      <c r="L31" s="188"/>
      <c r="M31" s="188"/>
      <c r="N31" s="188"/>
      <c r="O31" s="188"/>
      <c r="P31" s="188"/>
      <c r="Q31" s="188"/>
      <c r="R31" s="192"/>
      <c r="S31" s="186"/>
      <c r="T31" s="172">
        <f t="shared" si="3"/>
        <v>0</v>
      </c>
      <c r="U31" s="173">
        <f t="shared" si="4"/>
        <v>0</v>
      </c>
      <c r="W31" s="89"/>
      <c r="X31" s="188"/>
      <c r="Y31" s="188"/>
      <c r="Z31" s="192"/>
      <c r="AA31" s="192"/>
      <c r="AB31" s="186"/>
      <c r="AC31" s="172">
        <f t="shared" si="10"/>
        <v>0</v>
      </c>
      <c r="AD31" s="173">
        <f t="shared" si="5"/>
        <v>0</v>
      </c>
      <c r="AE31" s="174"/>
      <c r="AG31" s="89"/>
      <c r="AH31" s="188"/>
      <c r="AI31" s="188"/>
      <c r="AJ31" s="188"/>
      <c r="AK31" s="186"/>
      <c r="AL31" s="172">
        <f t="shared" si="6"/>
        <v>0</v>
      </c>
      <c r="AM31" s="173">
        <f t="shared" si="7"/>
        <v>0</v>
      </c>
      <c r="AO31" s="89"/>
      <c r="AP31" s="188"/>
      <c r="AQ31" s="188"/>
      <c r="AR31" s="186"/>
      <c r="AS31" s="172">
        <f t="shared" si="8"/>
        <v>0</v>
      </c>
      <c r="AT31" s="173">
        <f t="shared" si="9"/>
        <v>0</v>
      </c>
    </row>
    <row r="32">
      <c r="A32" s="101" t="s">
        <v>75</v>
      </c>
      <c r="B32" s="93">
        <v>219.0</v>
      </c>
      <c r="C32" s="399"/>
      <c r="D32" s="400"/>
      <c r="E32" s="400"/>
      <c r="F32" s="257"/>
      <c r="G32" s="172">
        <f t="shared" si="1"/>
        <v>0</v>
      </c>
      <c r="H32" s="173">
        <f t="shared" si="2"/>
        <v>0</v>
      </c>
      <c r="J32" s="399"/>
      <c r="K32" s="188"/>
      <c r="L32" s="188"/>
      <c r="M32" s="188"/>
      <c r="N32" s="188"/>
      <c r="O32" s="188"/>
      <c r="P32" s="188"/>
      <c r="Q32" s="188"/>
      <c r="R32" s="192"/>
      <c r="S32" s="186"/>
      <c r="T32" s="172">
        <f t="shared" si="3"/>
        <v>0</v>
      </c>
      <c r="U32" s="173">
        <f t="shared" si="4"/>
        <v>0</v>
      </c>
      <c r="W32" s="89"/>
      <c r="X32" s="188"/>
      <c r="Y32" s="188"/>
      <c r="Z32" s="192"/>
      <c r="AA32" s="192"/>
      <c r="AB32" s="186"/>
      <c r="AC32" s="172">
        <f t="shared" si="10"/>
        <v>0</v>
      </c>
      <c r="AD32" s="173">
        <f t="shared" si="5"/>
        <v>0</v>
      </c>
      <c r="AE32" s="174"/>
      <c r="AG32" s="89"/>
      <c r="AH32" s="188"/>
      <c r="AI32" s="188"/>
      <c r="AJ32" s="188"/>
      <c r="AK32" s="186"/>
      <c r="AL32" s="172">
        <f t="shared" si="6"/>
        <v>0</v>
      </c>
      <c r="AM32" s="173">
        <f t="shared" si="7"/>
        <v>0</v>
      </c>
      <c r="AO32" s="89"/>
      <c r="AP32" s="188"/>
      <c r="AQ32" s="188"/>
      <c r="AR32" s="186"/>
      <c r="AS32" s="172">
        <f t="shared" si="8"/>
        <v>0</v>
      </c>
      <c r="AT32" s="173">
        <f t="shared" si="9"/>
        <v>0</v>
      </c>
    </row>
    <row r="33">
      <c r="A33" s="101" t="s">
        <v>76</v>
      </c>
      <c r="B33" s="93">
        <v>439.0</v>
      </c>
      <c r="C33" s="399"/>
      <c r="D33" s="400"/>
      <c r="E33" s="400"/>
      <c r="F33" s="257"/>
      <c r="G33" s="172">
        <f t="shared" si="1"/>
        <v>0</v>
      </c>
      <c r="H33" s="173">
        <f t="shared" si="2"/>
        <v>0</v>
      </c>
      <c r="J33" s="399"/>
      <c r="K33" s="188"/>
      <c r="L33" s="188"/>
      <c r="M33" s="401">
        <v>1.0</v>
      </c>
      <c r="N33" s="188"/>
      <c r="O33" s="188"/>
      <c r="P33" s="188"/>
      <c r="Q33" s="188"/>
      <c r="R33" s="192"/>
      <c r="S33" s="186"/>
      <c r="T33" s="172">
        <f t="shared" si="3"/>
        <v>1</v>
      </c>
      <c r="U33" s="173">
        <f t="shared" si="4"/>
        <v>439</v>
      </c>
      <c r="W33" s="89"/>
      <c r="X33" s="188"/>
      <c r="Y33" s="188"/>
      <c r="Z33" s="192"/>
      <c r="AA33" s="192"/>
      <c r="AB33" s="186"/>
      <c r="AC33" s="172">
        <f t="shared" si="10"/>
        <v>0</v>
      </c>
      <c r="AD33" s="173">
        <f t="shared" si="5"/>
        <v>0</v>
      </c>
      <c r="AE33" s="174"/>
      <c r="AG33" s="89"/>
      <c r="AH33" s="188"/>
      <c r="AI33" s="188"/>
      <c r="AJ33" s="188"/>
      <c r="AK33" s="186"/>
      <c r="AL33" s="172">
        <f t="shared" si="6"/>
        <v>0</v>
      </c>
      <c r="AM33" s="173">
        <f t="shared" si="7"/>
        <v>0</v>
      </c>
      <c r="AO33" s="89"/>
      <c r="AP33" s="188"/>
      <c r="AQ33" s="188"/>
      <c r="AR33" s="186"/>
      <c r="AS33" s="172">
        <f t="shared" si="8"/>
        <v>0</v>
      </c>
      <c r="AT33" s="173">
        <f t="shared" si="9"/>
        <v>0</v>
      </c>
    </row>
    <row r="34">
      <c r="A34" s="101" t="s">
        <v>77</v>
      </c>
      <c r="B34" s="93">
        <v>899.0</v>
      </c>
      <c r="C34" s="399"/>
      <c r="D34" s="400"/>
      <c r="E34" s="178"/>
      <c r="F34" s="257"/>
      <c r="G34" s="172">
        <f t="shared" si="1"/>
        <v>0</v>
      </c>
      <c r="H34" s="173">
        <f t="shared" si="2"/>
        <v>0</v>
      </c>
      <c r="J34" s="399"/>
      <c r="K34" s="188"/>
      <c r="L34" s="178"/>
      <c r="M34" s="178"/>
      <c r="N34" s="178"/>
      <c r="O34" s="178"/>
      <c r="P34" s="178"/>
      <c r="Q34" s="178"/>
      <c r="R34" s="311"/>
      <c r="S34" s="186"/>
      <c r="T34" s="172">
        <f t="shared" si="3"/>
        <v>0</v>
      </c>
      <c r="U34" s="173">
        <f t="shared" si="4"/>
        <v>0</v>
      </c>
      <c r="W34" s="89"/>
      <c r="X34" s="188"/>
      <c r="Y34" s="178"/>
      <c r="Z34" s="311"/>
      <c r="AA34" s="311"/>
      <c r="AB34" s="186"/>
      <c r="AC34" s="172">
        <f t="shared" si="10"/>
        <v>0</v>
      </c>
      <c r="AD34" s="173">
        <f t="shared" si="5"/>
        <v>0</v>
      </c>
      <c r="AE34" s="174"/>
      <c r="AG34" s="89"/>
      <c r="AH34" s="188"/>
      <c r="AI34" s="178"/>
      <c r="AJ34" s="178"/>
      <c r="AK34" s="186"/>
      <c r="AL34" s="172">
        <f t="shared" si="6"/>
        <v>0</v>
      </c>
      <c r="AM34" s="173">
        <f t="shared" si="7"/>
        <v>0</v>
      </c>
      <c r="AO34" s="89"/>
      <c r="AP34" s="188"/>
      <c r="AQ34" s="178"/>
      <c r="AR34" s="186"/>
      <c r="AS34" s="172">
        <f t="shared" si="8"/>
        <v>0</v>
      </c>
      <c r="AT34" s="173">
        <f t="shared" si="9"/>
        <v>0</v>
      </c>
    </row>
    <row r="35">
      <c r="A35" s="101" t="s">
        <v>78</v>
      </c>
      <c r="B35" s="93">
        <v>549.0</v>
      </c>
      <c r="C35" s="399"/>
      <c r="D35" s="178"/>
      <c r="E35" s="400"/>
      <c r="F35" s="257"/>
      <c r="G35" s="172">
        <f t="shared" si="1"/>
        <v>0</v>
      </c>
      <c r="H35" s="173">
        <f t="shared" si="2"/>
        <v>0</v>
      </c>
      <c r="J35" s="399"/>
      <c r="K35" s="178"/>
      <c r="L35" s="188"/>
      <c r="M35" s="188"/>
      <c r="N35" s="188"/>
      <c r="O35" s="188"/>
      <c r="P35" s="188"/>
      <c r="Q35" s="188"/>
      <c r="R35" s="192"/>
      <c r="S35" s="186"/>
      <c r="T35" s="172">
        <f t="shared" si="3"/>
        <v>0</v>
      </c>
      <c r="U35" s="173">
        <f t="shared" si="4"/>
        <v>0</v>
      </c>
      <c r="W35" s="89"/>
      <c r="X35" s="178"/>
      <c r="Y35" s="188"/>
      <c r="Z35" s="192"/>
      <c r="AA35" s="192"/>
      <c r="AB35" s="186"/>
      <c r="AC35" s="172">
        <f t="shared" si="10"/>
        <v>0</v>
      </c>
      <c r="AD35" s="173">
        <f t="shared" si="5"/>
        <v>0</v>
      </c>
      <c r="AE35" s="174"/>
      <c r="AG35" s="89"/>
      <c r="AH35" s="178"/>
      <c r="AI35" s="188"/>
      <c r="AJ35" s="188"/>
      <c r="AK35" s="186"/>
      <c r="AL35" s="172">
        <f t="shared" si="6"/>
        <v>0</v>
      </c>
      <c r="AM35" s="173">
        <f t="shared" si="7"/>
        <v>0</v>
      </c>
      <c r="AO35" s="89"/>
      <c r="AP35" s="178"/>
      <c r="AQ35" s="188"/>
      <c r="AR35" s="186"/>
      <c r="AS35" s="172">
        <f t="shared" si="8"/>
        <v>0</v>
      </c>
      <c r="AT35" s="173">
        <f t="shared" si="9"/>
        <v>0</v>
      </c>
    </row>
    <row r="36">
      <c r="A36" s="101" t="s">
        <v>79</v>
      </c>
      <c r="B36" s="93">
        <v>549.0</v>
      </c>
      <c r="C36" s="399"/>
      <c r="D36" s="178"/>
      <c r="E36" s="400"/>
      <c r="F36" s="257"/>
      <c r="G36" s="172">
        <f t="shared" si="1"/>
        <v>0</v>
      </c>
      <c r="H36" s="173">
        <f t="shared" si="2"/>
        <v>0</v>
      </c>
      <c r="J36" s="399"/>
      <c r="K36" s="178"/>
      <c r="L36" s="188"/>
      <c r="M36" s="188"/>
      <c r="N36" s="188"/>
      <c r="O36" s="188"/>
      <c r="P36" s="188"/>
      <c r="Q36" s="188"/>
      <c r="R36" s="192"/>
      <c r="S36" s="186"/>
      <c r="T36" s="172">
        <f t="shared" si="3"/>
        <v>0</v>
      </c>
      <c r="U36" s="173">
        <f t="shared" si="4"/>
        <v>0</v>
      </c>
      <c r="W36" s="89"/>
      <c r="X36" s="178"/>
      <c r="Y36" s="188"/>
      <c r="Z36" s="192"/>
      <c r="AA36" s="192"/>
      <c r="AB36" s="186"/>
      <c r="AC36" s="172">
        <f t="shared" si="10"/>
        <v>0</v>
      </c>
      <c r="AD36" s="173">
        <f t="shared" si="5"/>
        <v>0</v>
      </c>
      <c r="AE36" s="174"/>
      <c r="AG36" s="89"/>
      <c r="AH36" s="178"/>
      <c r="AI36" s="188"/>
      <c r="AJ36" s="188"/>
      <c r="AK36" s="186"/>
      <c r="AL36" s="172">
        <f t="shared" si="6"/>
        <v>0</v>
      </c>
      <c r="AM36" s="173">
        <f t="shared" si="7"/>
        <v>0</v>
      </c>
      <c r="AO36" s="89"/>
      <c r="AP36" s="178"/>
      <c r="AQ36" s="188"/>
      <c r="AR36" s="186"/>
      <c r="AS36" s="172">
        <f t="shared" si="8"/>
        <v>0</v>
      </c>
      <c r="AT36" s="173">
        <f t="shared" si="9"/>
        <v>0</v>
      </c>
    </row>
    <row r="37">
      <c r="A37" s="101" t="s">
        <v>80</v>
      </c>
      <c r="B37" s="93">
        <v>549.0</v>
      </c>
      <c r="C37" s="399"/>
      <c r="D37" s="400"/>
      <c r="E37" s="400"/>
      <c r="F37" s="257"/>
      <c r="G37" s="172">
        <f t="shared" si="1"/>
        <v>0</v>
      </c>
      <c r="H37" s="173">
        <f t="shared" si="2"/>
        <v>0</v>
      </c>
      <c r="J37" s="399"/>
      <c r="K37" s="188"/>
      <c r="L37" s="188"/>
      <c r="M37" s="188"/>
      <c r="N37" s="188"/>
      <c r="O37" s="188"/>
      <c r="P37" s="188"/>
      <c r="Q37" s="188"/>
      <c r="R37" s="192"/>
      <c r="S37" s="186"/>
      <c r="T37" s="172">
        <f t="shared" si="3"/>
        <v>0</v>
      </c>
      <c r="U37" s="173">
        <f t="shared" si="4"/>
        <v>0</v>
      </c>
      <c r="W37" s="89"/>
      <c r="X37" s="194">
        <v>1.0</v>
      </c>
      <c r="Y37" s="188"/>
      <c r="Z37" s="192"/>
      <c r="AA37" s="192"/>
      <c r="AB37" s="186"/>
      <c r="AC37" s="172">
        <f t="shared" si="10"/>
        <v>1</v>
      </c>
      <c r="AD37" s="173">
        <f t="shared" si="5"/>
        <v>0</v>
      </c>
      <c r="AE37" s="174"/>
      <c r="AG37" s="89"/>
      <c r="AH37" s="188"/>
      <c r="AI37" s="188"/>
      <c r="AJ37" s="188"/>
      <c r="AK37" s="186"/>
      <c r="AL37" s="172">
        <f t="shared" si="6"/>
        <v>1</v>
      </c>
      <c r="AM37" s="173">
        <f t="shared" si="7"/>
        <v>0</v>
      </c>
      <c r="AO37" s="89"/>
      <c r="AP37" s="188"/>
      <c r="AQ37" s="188"/>
      <c r="AR37" s="186"/>
      <c r="AS37" s="172">
        <f t="shared" si="8"/>
        <v>1</v>
      </c>
      <c r="AT37" s="173">
        <f t="shared" si="9"/>
        <v>1</v>
      </c>
    </row>
    <row r="38">
      <c r="A38" s="102" t="s">
        <v>81</v>
      </c>
      <c r="B38" s="93">
        <v>799.0</v>
      </c>
      <c r="C38" s="399"/>
      <c r="D38" s="400"/>
      <c r="E38" s="400"/>
      <c r="F38" s="257"/>
      <c r="G38" s="172">
        <f t="shared" si="1"/>
        <v>0</v>
      </c>
      <c r="H38" s="173">
        <f t="shared" si="2"/>
        <v>0</v>
      </c>
      <c r="J38" s="399"/>
      <c r="K38" s="188"/>
      <c r="L38" s="188"/>
      <c r="M38" s="188"/>
      <c r="N38" s="188"/>
      <c r="O38" s="188"/>
      <c r="P38" s="188"/>
      <c r="Q38" s="188"/>
      <c r="R38" s="192"/>
      <c r="S38" s="186"/>
      <c r="T38" s="172">
        <f t="shared" si="3"/>
        <v>0</v>
      </c>
      <c r="U38" s="173">
        <f t="shared" si="4"/>
        <v>0</v>
      </c>
      <c r="W38" s="89"/>
      <c r="X38" s="188"/>
      <c r="Y38" s="188"/>
      <c r="Z38" s="192"/>
      <c r="AA38" s="192"/>
      <c r="AB38" s="186"/>
      <c r="AC38" s="172">
        <f t="shared" si="10"/>
        <v>0</v>
      </c>
      <c r="AD38" s="173">
        <f t="shared" si="5"/>
        <v>0</v>
      </c>
      <c r="AE38" s="174"/>
      <c r="AG38" s="89"/>
      <c r="AH38" s="188"/>
      <c r="AI38" s="188"/>
      <c r="AJ38" s="188"/>
      <c r="AK38" s="186"/>
      <c r="AL38" s="172">
        <f t="shared" si="6"/>
        <v>0</v>
      </c>
      <c r="AM38" s="173">
        <f t="shared" si="7"/>
        <v>0</v>
      </c>
      <c r="AO38" s="89"/>
      <c r="AP38" s="188"/>
      <c r="AQ38" s="188"/>
      <c r="AR38" s="186"/>
      <c r="AS38" s="172">
        <f t="shared" si="8"/>
        <v>0</v>
      </c>
      <c r="AT38" s="173">
        <f t="shared" si="9"/>
        <v>0</v>
      </c>
    </row>
    <row r="39">
      <c r="A39" s="102" t="s">
        <v>82</v>
      </c>
      <c r="B39" s="93">
        <v>799.0</v>
      </c>
      <c r="C39" s="399"/>
      <c r="D39" s="400"/>
      <c r="E39" s="400"/>
      <c r="F39" s="257"/>
      <c r="G39" s="172">
        <f t="shared" si="1"/>
        <v>0</v>
      </c>
      <c r="H39" s="173">
        <f t="shared" si="2"/>
        <v>0</v>
      </c>
      <c r="J39" s="399"/>
      <c r="K39" s="188"/>
      <c r="L39" s="188"/>
      <c r="M39" s="188"/>
      <c r="N39" s="188"/>
      <c r="O39" s="188"/>
      <c r="P39" s="188"/>
      <c r="Q39" s="188"/>
      <c r="R39" s="192"/>
      <c r="S39" s="186"/>
      <c r="T39" s="172">
        <f t="shared" si="3"/>
        <v>0</v>
      </c>
      <c r="U39" s="173">
        <f t="shared" si="4"/>
        <v>0</v>
      </c>
      <c r="W39" s="89"/>
      <c r="X39" s="188"/>
      <c r="Y39" s="188"/>
      <c r="Z39" s="192"/>
      <c r="AA39" s="192"/>
      <c r="AB39" s="186"/>
      <c r="AC39" s="172">
        <f t="shared" si="10"/>
        <v>0</v>
      </c>
      <c r="AD39" s="173">
        <f t="shared" si="5"/>
        <v>0</v>
      </c>
      <c r="AE39" s="174"/>
      <c r="AG39" s="89"/>
      <c r="AH39" s="188"/>
      <c r="AI39" s="188"/>
      <c r="AJ39" s="188"/>
      <c r="AK39" s="186"/>
      <c r="AL39" s="172">
        <f t="shared" si="6"/>
        <v>0</v>
      </c>
      <c r="AM39" s="173">
        <f t="shared" si="7"/>
        <v>0</v>
      </c>
      <c r="AO39" s="89"/>
      <c r="AP39" s="188"/>
      <c r="AQ39" s="188"/>
      <c r="AR39" s="186"/>
      <c r="AS39" s="172">
        <f t="shared" si="8"/>
        <v>0</v>
      </c>
      <c r="AT39" s="173">
        <f t="shared" si="9"/>
        <v>0</v>
      </c>
    </row>
    <row r="40">
      <c r="A40" s="101" t="s">
        <v>83</v>
      </c>
      <c r="B40" s="93">
        <v>439.0</v>
      </c>
      <c r="C40" s="399"/>
      <c r="D40" s="400"/>
      <c r="E40" s="400"/>
      <c r="F40" s="257"/>
      <c r="G40" s="172">
        <f t="shared" si="1"/>
        <v>0</v>
      </c>
      <c r="H40" s="173">
        <f t="shared" si="2"/>
        <v>0</v>
      </c>
      <c r="J40" s="399"/>
      <c r="K40" s="188"/>
      <c r="L40" s="188"/>
      <c r="M40" s="188"/>
      <c r="N40" s="188"/>
      <c r="O40" s="188"/>
      <c r="P40" s="188"/>
      <c r="Q40" s="188"/>
      <c r="R40" s="192"/>
      <c r="S40" s="186"/>
      <c r="T40" s="172">
        <f t="shared" si="3"/>
        <v>0</v>
      </c>
      <c r="U40" s="173">
        <f t="shared" si="4"/>
        <v>0</v>
      </c>
      <c r="W40" s="89"/>
      <c r="X40" s="188"/>
      <c r="Y40" s="188"/>
      <c r="Z40" s="192"/>
      <c r="AA40" s="192"/>
      <c r="AB40" s="186"/>
      <c r="AC40" s="172">
        <f t="shared" si="10"/>
        <v>0</v>
      </c>
      <c r="AD40" s="173">
        <f t="shared" si="5"/>
        <v>0</v>
      </c>
      <c r="AE40" s="174"/>
      <c r="AG40" s="89"/>
      <c r="AH40" s="188"/>
      <c r="AI40" s="188"/>
      <c r="AJ40" s="188"/>
      <c r="AK40" s="186"/>
      <c r="AL40" s="172">
        <f t="shared" si="6"/>
        <v>0</v>
      </c>
      <c r="AM40" s="173">
        <f t="shared" si="7"/>
        <v>0</v>
      </c>
      <c r="AO40" s="89"/>
      <c r="AP40" s="188"/>
      <c r="AQ40" s="188"/>
      <c r="AR40" s="186"/>
      <c r="AS40" s="172">
        <f t="shared" si="8"/>
        <v>0</v>
      </c>
      <c r="AT40" s="173">
        <f t="shared" si="9"/>
        <v>0</v>
      </c>
    </row>
    <row r="41">
      <c r="A41" s="101" t="s">
        <v>84</v>
      </c>
      <c r="B41" s="93">
        <v>439.0</v>
      </c>
      <c r="C41" s="399"/>
      <c r="D41" s="400"/>
      <c r="E41" s="400"/>
      <c r="F41" s="257"/>
      <c r="G41" s="172">
        <f t="shared" si="1"/>
        <v>0</v>
      </c>
      <c r="H41" s="173">
        <f t="shared" si="2"/>
        <v>0</v>
      </c>
      <c r="J41" s="399"/>
      <c r="K41" s="188"/>
      <c r="L41" s="188"/>
      <c r="M41" s="188"/>
      <c r="N41" s="188"/>
      <c r="O41" s="188"/>
      <c r="P41" s="188"/>
      <c r="Q41" s="188"/>
      <c r="R41" s="192"/>
      <c r="S41" s="186"/>
      <c r="T41" s="172">
        <f t="shared" si="3"/>
        <v>0</v>
      </c>
      <c r="U41" s="173">
        <f t="shared" si="4"/>
        <v>0</v>
      </c>
      <c r="W41" s="89"/>
      <c r="X41" s="188"/>
      <c r="Y41" s="188"/>
      <c r="Z41" s="192"/>
      <c r="AA41" s="192"/>
      <c r="AB41" s="186"/>
      <c r="AC41" s="172">
        <f t="shared" si="10"/>
        <v>0</v>
      </c>
      <c r="AD41" s="173">
        <f t="shared" si="5"/>
        <v>0</v>
      </c>
      <c r="AE41" s="174"/>
      <c r="AG41" s="89"/>
      <c r="AH41" s="188"/>
      <c r="AI41" s="188"/>
      <c r="AJ41" s="188"/>
      <c r="AK41" s="186"/>
      <c r="AL41" s="172">
        <f t="shared" si="6"/>
        <v>0</v>
      </c>
      <c r="AM41" s="173">
        <f t="shared" si="7"/>
        <v>0</v>
      </c>
      <c r="AO41" s="89"/>
      <c r="AP41" s="188"/>
      <c r="AQ41" s="188"/>
      <c r="AR41" s="186"/>
      <c r="AS41" s="172">
        <f t="shared" si="8"/>
        <v>0</v>
      </c>
      <c r="AT41" s="173">
        <f t="shared" si="9"/>
        <v>0</v>
      </c>
    </row>
    <row r="42">
      <c r="A42" s="101" t="s">
        <v>85</v>
      </c>
      <c r="B42" s="93">
        <v>60.0</v>
      </c>
      <c r="C42" s="399"/>
      <c r="D42" s="400"/>
      <c r="E42" s="400"/>
      <c r="F42" s="257"/>
      <c r="G42" s="172">
        <f t="shared" si="1"/>
        <v>0</v>
      </c>
      <c r="H42" s="173">
        <f t="shared" si="2"/>
        <v>0</v>
      </c>
      <c r="J42" s="399"/>
      <c r="K42" s="188"/>
      <c r="L42" s="188"/>
      <c r="M42" s="188"/>
      <c r="N42" s="188"/>
      <c r="O42" s="188"/>
      <c r="P42" s="188"/>
      <c r="Q42" s="188"/>
      <c r="R42" s="192"/>
      <c r="S42" s="186"/>
      <c r="T42" s="172">
        <f t="shared" si="3"/>
        <v>0</v>
      </c>
      <c r="U42" s="173">
        <f t="shared" si="4"/>
        <v>0</v>
      </c>
      <c r="W42" s="89"/>
      <c r="X42" s="188"/>
      <c r="Y42" s="188"/>
      <c r="Z42" s="192"/>
      <c r="AA42" s="192"/>
      <c r="AB42" s="186"/>
      <c r="AC42" s="172">
        <f t="shared" si="10"/>
        <v>0</v>
      </c>
      <c r="AD42" s="173">
        <f t="shared" si="5"/>
        <v>0</v>
      </c>
      <c r="AE42" s="174"/>
      <c r="AG42" s="89"/>
      <c r="AH42" s="188"/>
      <c r="AI42" s="188"/>
      <c r="AJ42" s="188"/>
      <c r="AK42" s="186"/>
      <c r="AL42" s="172">
        <f t="shared" si="6"/>
        <v>0</v>
      </c>
      <c r="AM42" s="173">
        <f t="shared" si="7"/>
        <v>0</v>
      </c>
      <c r="AO42" s="89"/>
      <c r="AP42" s="188"/>
      <c r="AQ42" s="188"/>
      <c r="AR42" s="186"/>
      <c r="AS42" s="172">
        <f t="shared" si="8"/>
        <v>0</v>
      </c>
      <c r="AT42" s="173">
        <f t="shared" si="9"/>
        <v>0</v>
      </c>
    </row>
    <row r="43">
      <c r="A43" s="101" t="s">
        <v>86</v>
      </c>
      <c r="B43" s="93">
        <v>609.0</v>
      </c>
      <c r="C43" s="258"/>
      <c r="D43" s="409"/>
      <c r="E43" s="409"/>
      <c r="F43" s="257"/>
      <c r="G43" s="94">
        <f t="shared" si="1"/>
        <v>0</v>
      </c>
      <c r="H43" s="173">
        <f t="shared" si="2"/>
        <v>0</v>
      </c>
      <c r="J43" s="258"/>
      <c r="K43" s="215"/>
      <c r="L43" s="215"/>
      <c r="M43" s="215"/>
      <c r="N43" s="215"/>
      <c r="O43" s="215"/>
      <c r="P43" s="215"/>
      <c r="Q43" s="215"/>
      <c r="R43" s="310"/>
      <c r="S43" s="186"/>
      <c r="T43" s="94">
        <f t="shared" si="3"/>
        <v>0</v>
      </c>
      <c r="U43" s="173">
        <f t="shared" si="4"/>
        <v>0</v>
      </c>
      <c r="W43" s="115"/>
      <c r="X43" s="215"/>
      <c r="Y43" s="215"/>
      <c r="Z43" s="310"/>
      <c r="AA43" s="310"/>
      <c r="AB43" s="186"/>
      <c r="AC43" s="94">
        <f t="shared" si="10"/>
        <v>0</v>
      </c>
      <c r="AD43" s="173">
        <f t="shared" si="5"/>
        <v>0</v>
      </c>
      <c r="AE43" s="174"/>
      <c r="AG43" s="115"/>
      <c r="AH43" s="215"/>
      <c r="AI43" s="215"/>
      <c r="AJ43" s="215"/>
      <c r="AK43" s="186"/>
      <c r="AL43" s="94">
        <f t="shared" si="6"/>
        <v>0</v>
      </c>
      <c r="AM43" s="173">
        <f t="shared" si="7"/>
        <v>0</v>
      </c>
      <c r="AO43" s="115"/>
      <c r="AP43" s="215"/>
      <c r="AQ43" s="215"/>
      <c r="AR43" s="186"/>
      <c r="AS43" s="94">
        <f t="shared" si="8"/>
        <v>0</v>
      </c>
      <c r="AT43" s="173">
        <f t="shared" si="9"/>
        <v>0</v>
      </c>
    </row>
    <row r="44">
      <c r="A44" s="101" t="s">
        <v>87</v>
      </c>
      <c r="B44" s="93">
        <v>379.0</v>
      </c>
      <c r="C44" s="258"/>
      <c r="D44" s="409"/>
      <c r="E44" s="409"/>
      <c r="F44" s="257"/>
      <c r="G44" s="94">
        <f t="shared" si="1"/>
        <v>0</v>
      </c>
      <c r="H44" s="173">
        <f t="shared" si="2"/>
        <v>0</v>
      </c>
      <c r="J44" s="258"/>
      <c r="K44" s="215"/>
      <c r="L44" s="215"/>
      <c r="M44" s="215"/>
      <c r="N44" s="215"/>
      <c r="O44" s="215"/>
      <c r="P44" s="215"/>
      <c r="Q44" s="215"/>
      <c r="R44" s="310"/>
      <c r="S44" s="186"/>
      <c r="T44" s="94">
        <f t="shared" si="3"/>
        <v>0</v>
      </c>
      <c r="U44" s="173">
        <f t="shared" si="4"/>
        <v>0</v>
      </c>
      <c r="W44" s="115"/>
      <c r="X44" s="215"/>
      <c r="Y44" s="215"/>
      <c r="Z44" s="310"/>
      <c r="AA44" s="310"/>
      <c r="AB44" s="186"/>
      <c r="AC44" s="94">
        <f t="shared" si="10"/>
        <v>0</v>
      </c>
      <c r="AD44" s="173">
        <f t="shared" si="5"/>
        <v>0</v>
      </c>
      <c r="AE44" s="174"/>
      <c r="AG44" s="115"/>
      <c r="AH44" s="215"/>
      <c r="AI44" s="215"/>
      <c r="AJ44" s="215"/>
      <c r="AK44" s="186"/>
      <c r="AL44" s="94">
        <f t="shared" si="6"/>
        <v>0</v>
      </c>
      <c r="AM44" s="173">
        <f t="shared" si="7"/>
        <v>0</v>
      </c>
      <c r="AO44" s="115"/>
      <c r="AP44" s="215"/>
      <c r="AQ44" s="215"/>
      <c r="AR44" s="186"/>
      <c r="AS44" s="94">
        <f t="shared" si="8"/>
        <v>0</v>
      </c>
      <c r="AT44" s="173">
        <f t="shared" si="9"/>
        <v>0</v>
      </c>
    </row>
    <row r="45">
      <c r="A45" s="101" t="s">
        <v>88</v>
      </c>
      <c r="B45" s="93">
        <v>379.0</v>
      </c>
      <c r="C45" s="258"/>
      <c r="D45" s="409"/>
      <c r="E45" s="409"/>
      <c r="F45" s="257"/>
      <c r="G45" s="94">
        <f t="shared" si="1"/>
        <v>0</v>
      </c>
      <c r="H45" s="173">
        <f t="shared" si="2"/>
        <v>0</v>
      </c>
      <c r="J45" s="258"/>
      <c r="K45" s="215"/>
      <c r="L45" s="215"/>
      <c r="M45" s="215"/>
      <c r="N45" s="215"/>
      <c r="O45" s="215"/>
      <c r="P45" s="215"/>
      <c r="Q45" s="215"/>
      <c r="R45" s="310"/>
      <c r="S45" s="186"/>
      <c r="T45" s="94">
        <f t="shared" si="3"/>
        <v>0</v>
      </c>
      <c r="U45" s="173">
        <f t="shared" si="4"/>
        <v>0</v>
      </c>
      <c r="W45" s="115"/>
      <c r="X45" s="215"/>
      <c r="Y45" s="215"/>
      <c r="Z45" s="310"/>
      <c r="AA45" s="310"/>
      <c r="AB45" s="186"/>
      <c r="AC45" s="94">
        <f t="shared" si="10"/>
        <v>0</v>
      </c>
      <c r="AD45" s="173">
        <f t="shared" si="5"/>
        <v>0</v>
      </c>
      <c r="AE45" s="174"/>
      <c r="AG45" s="115"/>
      <c r="AH45" s="215"/>
      <c r="AI45" s="215"/>
      <c r="AJ45" s="215"/>
      <c r="AK45" s="186"/>
      <c r="AL45" s="94">
        <f t="shared" si="6"/>
        <v>0</v>
      </c>
      <c r="AM45" s="173">
        <f t="shared" si="7"/>
        <v>0</v>
      </c>
      <c r="AO45" s="115"/>
      <c r="AP45" s="215"/>
      <c r="AQ45" s="215"/>
      <c r="AR45" s="186"/>
      <c r="AS45" s="94">
        <f t="shared" si="8"/>
        <v>0</v>
      </c>
      <c r="AT45" s="173">
        <f t="shared" si="9"/>
        <v>0</v>
      </c>
    </row>
    <row r="46">
      <c r="A46" s="101" t="s">
        <v>89</v>
      </c>
      <c r="B46" s="93">
        <v>1299.0</v>
      </c>
      <c r="C46" s="258"/>
      <c r="D46" s="409"/>
      <c r="E46" s="409"/>
      <c r="F46" s="257"/>
      <c r="G46" s="94">
        <f t="shared" si="1"/>
        <v>0</v>
      </c>
      <c r="H46" s="173">
        <f t="shared" si="2"/>
        <v>0</v>
      </c>
      <c r="J46" s="258"/>
      <c r="K46" s="215"/>
      <c r="L46" s="215"/>
      <c r="M46" s="215"/>
      <c r="N46" s="215"/>
      <c r="O46" s="215"/>
      <c r="P46" s="215"/>
      <c r="Q46" s="215"/>
      <c r="R46" s="310"/>
      <c r="S46" s="186"/>
      <c r="T46" s="94">
        <f t="shared" si="3"/>
        <v>0</v>
      </c>
      <c r="U46" s="173">
        <f t="shared" si="4"/>
        <v>0</v>
      </c>
      <c r="W46" s="115"/>
      <c r="X46" s="215"/>
      <c r="Y46" s="215"/>
      <c r="Z46" s="310"/>
      <c r="AA46" s="310"/>
      <c r="AB46" s="186"/>
      <c r="AC46" s="94">
        <f t="shared" si="10"/>
        <v>0</v>
      </c>
      <c r="AD46" s="173">
        <f t="shared" si="5"/>
        <v>0</v>
      </c>
      <c r="AE46" s="174"/>
      <c r="AG46" s="115"/>
      <c r="AH46" s="215"/>
      <c r="AI46" s="215"/>
      <c r="AJ46" s="215"/>
      <c r="AK46" s="186"/>
      <c r="AL46" s="94">
        <f t="shared" si="6"/>
        <v>0</v>
      </c>
      <c r="AM46" s="173">
        <f t="shared" si="7"/>
        <v>0</v>
      </c>
      <c r="AO46" s="115"/>
      <c r="AP46" s="215"/>
      <c r="AQ46" s="215"/>
      <c r="AR46" s="186"/>
      <c r="AS46" s="94">
        <f t="shared" si="8"/>
        <v>0</v>
      </c>
      <c r="AT46" s="173">
        <f t="shared" si="9"/>
        <v>0</v>
      </c>
    </row>
    <row r="47">
      <c r="A47" s="67" t="s">
        <v>90</v>
      </c>
      <c r="B47" s="93">
        <v>1299.0</v>
      </c>
      <c r="C47" s="258"/>
      <c r="D47" s="409"/>
      <c r="E47" s="409"/>
      <c r="F47" s="257"/>
      <c r="G47" s="94">
        <f t="shared" si="1"/>
        <v>0</v>
      </c>
      <c r="H47" s="173">
        <f t="shared" si="2"/>
        <v>0</v>
      </c>
      <c r="J47" s="258"/>
      <c r="K47" s="215"/>
      <c r="L47" s="215"/>
      <c r="M47" s="215"/>
      <c r="N47" s="215"/>
      <c r="O47" s="215"/>
      <c r="P47" s="215"/>
      <c r="Q47" s="215"/>
      <c r="R47" s="310"/>
      <c r="S47" s="186"/>
      <c r="T47" s="94">
        <f t="shared" si="3"/>
        <v>0</v>
      </c>
      <c r="U47" s="173">
        <f t="shared" si="4"/>
        <v>0</v>
      </c>
      <c r="W47" s="115"/>
      <c r="X47" s="215"/>
      <c r="Y47" s="215"/>
      <c r="Z47" s="310"/>
      <c r="AA47" s="310"/>
      <c r="AB47" s="186"/>
      <c r="AC47" s="94">
        <f t="shared" si="10"/>
        <v>0</v>
      </c>
      <c r="AD47" s="173">
        <f t="shared" si="5"/>
        <v>0</v>
      </c>
      <c r="AE47" s="174"/>
      <c r="AG47" s="115"/>
      <c r="AH47" s="215"/>
      <c r="AI47" s="215"/>
      <c r="AJ47" s="215"/>
      <c r="AK47" s="186"/>
      <c r="AL47" s="94">
        <f t="shared" si="6"/>
        <v>0</v>
      </c>
      <c r="AM47" s="173">
        <f t="shared" si="7"/>
        <v>0</v>
      </c>
      <c r="AO47" s="115"/>
      <c r="AP47" s="215"/>
      <c r="AQ47" s="215"/>
      <c r="AR47" s="186"/>
      <c r="AS47" s="94">
        <f t="shared" si="8"/>
        <v>0</v>
      </c>
      <c r="AT47" s="173">
        <f t="shared" si="9"/>
        <v>0</v>
      </c>
    </row>
    <row r="48">
      <c r="A48" s="101" t="s">
        <v>91</v>
      </c>
      <c r="B48" s="103">
        <v>0.0</v>
      </c>
      <c r="C48" s="258"/>
      <c r="D48" s="409"/>
      <c r="E48" s="409"/>
      <c r="F48" s="257"/>
      <c r="G48" s="94">
        <f t="shared" si="1"/>
        <v>0</v>
      </c>
      <c r="H48" s="173">
        <f t="shared" si="2"/>
        <v>0</v>
      </c>
      <c r="J48" s="258"/>
      <c r="K48" s="215"/>
      <c r="L48" s="215"/>
      <c r="M48" s="215"/>
      <c r="N48" s="215"/>
      <c r="O48" s="215"/>
      <c r="P48" s="215"/>
      <c r="Q48" s="215"/>
      <c r="R48" s="310"/>
      <c r="S48" s="186"/>
      <c r="T48" s="94">
        <f t="shared" si="3"/>
        <v>0</v>
      </c>
      <c r="U48" s="173">
        <f t="shared" si="4"/>
        <v>0</v>
      </c>
      <c r="W48" s="115"/>
      <c r="X48" s="215"/>
      <c r="Y48" s="215"/>
      <c r="Z48" s="310"/>
      <c r="AA48" s="310"/>
      <c r="AB48" s="186"/>
      <c r="AC48" s="94">
        <f t="shared" si="10"/>
        <v>0</v>
      </c>
      <c r="AD48" s="173">
        <f t="shared" si="5"/>
        <v>0</v>
      </c>
      <c r="AE48" s="174"/>
      <c r="AG48" s="115"/>
      <c r="AH48" s="215"/>
      <c r="AI48" s="215"/>
      <c r="AJ48" s="215"/>
      <c r="AK48" s="186"/>
      <c r="AL48" s="94">
        <f t="shared" si="6"/>
        <v>0</v>
      </c>
      <c r="AM48" s="173">
        <f t="shared" si="7"/>
        <v>0</v>
      </c>
      <c r="AO48" s="115"/>
      <c r="AP48" s="215"/>
      <c r="AQ48" s="215"/>
      <c r="AR48" s="186"/>
      <c r="AS48" s="94">
        <f t="shared" si="8"/>
        <v>0</v>
      </c>
      <c r="AT48" s="173">
        <f t="shared" si="9"/>
        <v>0</v>
      </c>
    </row>
    <row r="49">
      <c r="A49" s="104"/>
      <c r="B49" s="105"/>
      <c r="C49" s="258"/>
      <c r="D49" s="409"/>
      <c r="E49" s="409"/>
      <c r="F49" s="257"/>
      <c r="G49" s="94">
        <f t="shared" si="1"/>
        <v>0</v>
      </c>
      <c r="H49" s="173">
        <f t="shared" si="2"/>
        <v>0</v>
      </c>
      <c r="J49" s="258"/>
      <c r="K49" s="215"/>
      <c r="L49" s="215"/>
      <c r="M49" s="215"/>
      <c r="N49" s="215"/>
      <c r="O49" s="215"/>
      <c r="P49" s="215"/>
      <c r="Q49" s="215"/>
      <c r="R49" s="310"/>
      <c r="S49" s="186"/>
      <c r="T49" s="94">
        <f t="shared" si="3"/>
        <v>0</v>
      </c>
      <c r="U49" s="173">
        <f t="shared" si="4"/>
        <v>0</v>
      </c>
      <c r="W49" s="115"/>
      <c r="X49" s="215"/>
      <c r="Y49" s="215"/>
      <c r="Z49" s="310"/>
      <c r="AA49" s="310"/>
      <c r="AB49" s="186"/>
      <c r="AC49" s="94">
        <f t="shared" si="10"/>
        <v>0</v>
      </c>
      <c r="AD49" s="173">
        <f t="shared" si="5"/>
        <v>0</v>
      </c>
      <c r="AE49" s="174"/>
      <c r="AG49" s="115"/>
      <c r="AH49" s="215"/>
      <c r="AI49" s="215"/>
      <c r="AJ49" s="215"/>
      <c r="AK49" s="186"/>
      <c r="AL49" s="94">
        <f t="shared" si="6"/>
        <v>0</v>
      </c>
      <c r="AM49" s="173">
        <f t="shared" si="7"/>
        <v>0</v>
      </c>
      <c r="AO49" s="115"/>
      <c r="AP49" s="215"/>
      <c r="AQ49" s="215"/>
      <c r="AR49" s="186"/>
      <c r="AS49" s="94">
        <f t="shared" si="8"/>
        <v>0</v>
      </c>
      <c r="AT49" s="173">
        <f t="shared" si="9"/>
        <v>0</v>
      </c>
    </row>
    <row r="50">
      <c r="A50" s="102" t="s">
        <v>92</v>
      </c>
      <c r="B50" s="106">
        <v>609.0</v>
      </c>
      <c r="C50" s="258"/>
      <c r="D50" s="409"/>
      <c r="E50" s="409"/>
      <c r="F50" s="213"/>
      <c r="G50" s="94">
        <f t="shared" si="1"/>
        <v>0</v>
      </c>
      <c r="H50" s="173">
        <f t="shared" si="2"/>
        <v>0</v>
      </c>
      <c r="J50" s="258"/>
      <c r="K50" s="215"/>
      <c r="L50" s="215"/>
      <c r="M50" s="215"/>
      <c r="N50" s="215"/>
      <c r="O50" s="215"/>
      <c r="P50" s="215"/>
      <c r="Q50" s="215"/>
      <c r="R50" s="310"/>
      <c r="S50" s="213"/>
      <c r="T50" s="94">
        <f t="shared" si="3"/>
        <v>0</v>
      </c>
      <c r="U50" s="173">
        <f t="shared" si="4"/>
        <v>0</v>
      </c>
      <c r="W50" s="115"/>
      <c r="X50" s="215"/>
      <c r="Y50" s="215"/>
      <c r="Z50" s="310"/>
      <c r="AA50" s="310"/>
      <c r="AB50" s="213"/>
      <c r="AC50" s="94">
        <f t="shared" si="10"/>
        <v>0</v>
      </c>
      <c r="AD50" s="173">
        <f t="shared" si="5"/>
        <v>0</v>
      </c>
      <c r="AE50" s="174"/>
      <c r="AG50" s="115"/>
      <c r="AH50" s="215"/>
      <c r="AI50" s="215"/>
      <c r="AJ50" s="215"/>
      <c r="AK50" s="213"/>
      <c r="AL50" s="94">
        <f t="shared" si="6"/>
        <v>0</v>
      </c>
      <c r="AM50" s="173">
        <f t="shared" si="7"/>
        <v>0</v>
      </c>
      <c r="AO50" s="115"/>
      <c r="AP50" s="215"/>
      <c r="AQ50" s="215"/>
      <c r="AR50" s="213"/>
      <c r="AS50" s="94">
        <f t="shared" si="8"/>
        <v>0</v>
      </c>
      <c r="AT50" s="173">
        <f t="shared" si="9"/>
        <v>0</v>
      </c>
    </row>
    <row r="51">
      <c r="A51" s="102" t="s">
        <v>93</v>
      </c>
      <c r="B51" s="93">
        <v>609.0</v>
      </c>
      <c r="C51" s="258"/>
      <c r="D51" s="409"/>
      <c r="E51" s="409"/>
      <c r="F51" s="213"/>
      <c r="G51" s="94">
        <f t="shared" si="1"/>
        <v>0</v>
      </c>
      <c r="H51" s="173">
        <f t="shared" si="2"/>
        <v>0</v>
      </c>
      <c r="J51" s="258"/>
      <c r="K51" s="215"/>
      <c r="L51" s="215"/>
      <c r="M51" s="215"/>
      <c r="N51" s="215"/>
      <c r="O51" s="215"/>
      <c r="P51" s="215"/>
      <c r="Q51" s="215"/>
      <c r="R51" s="310"/>
      <c r="S51" s="213"/>
      <c r="T51" s="94">
        <f t="shared" si="3"/>
        <v>0</v>
      </c>
      <c r="U51" s="173">
        <f t="shared" si="4"/>
        <v>0</v>
      </c>
      <c r="W51" s="115"/>
      <c r="X51" s="215"/>
      <c r="Y51" s="215"/>
      <c r="Z51" s="310"/>
      <c r="AA51" s="310"/>
      <c r="AB51" s="213"/>
      <c r="AC51" s="94">
        <f t="shared" si="10"/>
        <v>0</v>
      </c>
      <c r="AD51" s="173">
        <f t="shared" si="5"/>
        <v>0</v>
      </c>
      <c r="AE51" s="174"/>
      <c r="AG51" s="115"/>
      <c r="AH51" s="215"/>
      <c r="AI51" s="215"/>
      <c r="AJ51" s="215"/>
      <c r="AK51" s="213"/>
      <c r="AL51" s="94">
        <f t="shared" si="6"/>
        <v>0</v>
      </c>
      <c r="AM51" s="173">
        <f t="shared" si="7"/>
        <v>0</v>
      </c>
      <c r="AO51" s="115"/>
      <c r="AP51" s="215"/>
      <c r="AQ51" s="215"/>
      <c r="AR51" s="213"/>
      <c r="AS51" s="94">
        <f t="shared" si="8"/>
        <v>0</v>
      </c>
      <c r="AT51" s="173">
        <f t="shared" si="9"/>
        <v>0</v>
      </c>
    </row>
    <row r="52">
      <c r="A52" s="102" t="s">
        <v>94</v>
      </c>
      <c r="B52" s="93">
        <v>329.0</v>
      </c>
      <c r="C52" s="258"/>
      <c r="D52" s="409"/>
      <c r="E52" s="409"/>
      <c r="F52" s="257"/>
      <c r="G52" s="94">
        <f t="shared" si="1"/>
        <v>0</v>
      </c>
      <c r="H52" s="173">
        <f t="shared" si="2"/>
        <v>0</v>
      </c>
      <c r="J52" s="258"/>
      <c r="K52" s="215"/>
      <c r="L52" s="215"/>
      <c r="M52" s="215"/>
      <c r="N52" s="215"/>
      <c r="O52" s="215"/>
      <c r="P52" s="215"/>
      <c r="Q52" s="215"/>
      <c r="R52" s="310"/>
      <c r="S52" s="186"/>
      <c r="T52" s="94">
        <f t="shared" si="3"/>
        <v>0</v>
      </c>
      <c r="U52" s="173">
        <f t="shared" si="4"/>
        <v>0</v>
      </c>
      <c r="W52" s="115"/>
      <c r="X52" s="215"/>
      <c r="Y52" s="215"/>
      <c r="Z52" s="310"/>
      <c r="AA52" s="310"/>
      <c r="AB52" s="186"/>
      <c r="AC52" s="94">
        <f t="shared" si="10"/>
        <v>0</v>
      </c>
      <c r="AD52" s="173">
        <f t="shared" si="5"/>
        <v>0</v>
      </c>
      <c r="AE52" s="174"/>
      <c r="AG52" s="115"/>
      <c r="AH52" s="215"/>
      <c r="AI52" s="215"/>
      <c r="AJ52" s="215"/>
      <c r="AK52" s="186"/>
      <c r="AL52" s="94">
        <f t="shared" si="6"/>
        <v>0</v>
      </c>
      <c r="AM52" s="173">
        <f t="shared" si="7"/>
        <v>0</v>
      </c>
      <c r="AO52" s="115"/>
      <c r="AP52" s="215"/>
      <c r="AQ52" s="215"/>
      <c r="AR52" s="186"/>
      <c r="AS52" s="94">
        <f t="shared" si="8"/>
        <v>0</v>
      </c>
      <c r="AT52" s="173">
        <f t="shared" si="9"/>
        <v>0</v>
      </c>
    </row>
    <row r="53">
      <c r="A53" s="102" t="s">
        <v>263</v>
      </c>
      <c r="B53" s="93">
        <v>199.0</v>
      </c>
      <c r="C53" s="258"/>
      <c r="D53" s="409"/>
      <c r="E53" s="409"/>
      <c r="F53" s="257"/>
      <c r="G53" s="94">
        <f t="shared" si="1"/>
        <v>0</v>
      </c>
      <c r="H53" s="173">
        <f t="shared" si="2"/>
        <v>0</v>
      </c>
      <c r="J53" s="258"/>
      <c r="K53" s="215"/>
      <c r="L53" s="215"/>
      <c r="M53" s="215"/>
      <c r="N53" s="215"/>
      <c r="O53" s="215"/>
      <c r="P53" s="215"/>
      <c r="Q53" s="215"/>
      <c r="R53" s="310"/>
      <c r="S53" s="186"/>
      <c r="T53" s="94">
        <f t="shared" si="3"/>
        <v>0</v>
      </c>
      <c r="U53" s="173">
        <f t="shared" si="4"/>
        <v>0</v>
      </c>
      <c r="W53" s="115"/>
      <c r="X53" s="215"/>
      <c r="Y53" s="215"/>
      <c r="Z53" s="310"/>
      <c r="AA53" s="310"/>
      <c r="AB53" s="186"/>
      <c r="AC53" s="94">
        <f t="shared" si="10"/>
        <v>0</v>
      </c>
      <c r="AD53" s="173">
        <f t="shared" si="5"/>
        <v>0</v>
      </c>
      <c r="AE53" s="174"/>
      <c r="AG53" s="115"/>
      <c r="AH53" s="215"/>
      <c r="AI53" s="215"/>
      <c r="AJ53" s="215"/>
      <c r="AK53" s="186"/>
      <c r="AL53" s="94">
        <f t="shared" si="6"/>
        <v>0</v>
      </c>
      <c r="AM53" s="173">
        <f t="shared" si="7"/>
        <v>0</v>
      </c>
      <c r="AO53" s="115"/>
      <c r="AP53" s="215"/>
      <c r="AQ53" s="215"/>
      <c r="AR53" s="186"/>
      <c r="AS53" s="94">
        <f t="shared" si="8"/>
        <v>0</v>
      </c>
      <c r="AT53" s="173">
        <f t="shared" si="9"/>
        <v>0</v>
      </c>
    </row>
    <row r="54">
      <c r="A54" s="102" t="s">
        <v>264</v>
      </c>
      <c r="B54" s="93">
        <v>199.0</v>
      </c>
      <c r="C54" s="258"/>
      <c r="D54" s="409"/>
      <c r="E54" s="409"/>
      <c r="F54" s="257"/>
      <c r="G54" s="94">
        <f t="shared" si="1"/>
        <v>0</v>
      </c>
      <c r="H54" s="173">
        <f t="shared" si="2"/>
        <v>0</v>
      </c>
      <c r="J54" s="258"/>
      <c r="K54" s="215"/>
      <c r="L54" s="215"/>
      <c r="M54" s="215"/>
      <c r="N54" s="215"/>
      <c r="O54" s="215"/>
      <c r="P54" s="215"/>
      <c r="Q54" s="215"/>
      <c r="R54" s="310"/>
      <c r="S54" s="186"/>
      <c r="T54" s="94">
        <f t="shared" si="3"/>
        <v>0</v>
      </c>
      <c r="U54" s="173">
        <f t="shared" si="4"/>
        <v>0</v>
      </c>
      <c r="W54" s="115"/>
      <c r="X54" s="215"/>
      <c r="Y54" s="215"/>
      <c r="Z54" s="310"/>
      <c r="AA54" s="310"/>
      <c r="AB54" s="186"/>
      <c r="AC54" s="94">
        <f t="shared" si="10"/>
        <v>0</v>
      </c>
      <c r="AD54" s="173">
        <f t="shared" si="5"/>
        <v>0</v>
      </c>
      <c r="AE54" s="174"/>
      <c r="AG54" s="115"/>
      <c r="AH54" s="215"/>
      <c r="AI54" s="215"/>
      <c r="AJ54" s="215"/>
      <c r="AK54" s="186"/>
      <c r="AL54" s="94">
        <f t="shared" si="6"/>
        <v>0</v>
      </c>
      <c r="AM54" s="173">
        <f t="shared" si="7"/>
        <v>0</v>
      </c>
      <c r="AO54" s="115"/>
      <c r="AP54" s="215"/>
      <c r="AQ54" s="215"/>
      <c r="AR54" s="186"/>
      <c r="AS54" s="94">
        <f t="shared" si="8"/>
        <v>0</v>
      </c>
      <c r="AT54" s="173">
        <f t="shared" si="9"/>
        <v>0</v>
      </c>
    </row>
    <row r="55">
      <c r="A55" s="67" t="s">
        <v>97</v>
      </c>
      <c r="B55" s="93">
        <v>599.0</v>
      </c>
      <c r="C55" s="258"/>
      <c r="D55" s="409"/>
      <c r="E55" s="409"/>
      <c r="F55" s="257"/>
      <c r="G55" s="94">
        <f t="shared" si="1"/>
        <v>0</v>
      </c>
      <c r="H55" s="173">
        <f t="shared" si="2"/>
        <v>0</v>
      </c>
      <c r="J55" s="258"/>
      <c r="K55" s="215"/>
      <c r="L55" s="215"/>
      <c r="M55" s="215"/>
      <c r="N55" s="215"/>
      <c r="O55" s="215"/>
      <c r="P55" s="215"/>
      <c r="Q55" s="215"/>
      <c r="R55" s="310"/>
      <c r="S55" s="186"/>
      <c r="T55" s="94">
        <f t="shared" si="3"/>
        <v>0</v>
      </c>
      <c r="U55" s="173">
        <f t="shared" si="4"/>
        <v>0</v>
      </c>
      <c r="W55" s="115"/>
      <c r="X55" s="215"/>
      <c r="Y55" s="215"/>
      <c r="Z55" s="310"/>
      <c r="AA55" s="310"/>
      <c r="AB55" s="186"/>
      <c r="AC55" s="94">
        <f t="shared" si="10"/>
        <v>0</v>
      </c>
      <c r="AD55" s="173">
        <f t="shared" si="5"/>
        <v>0</v>
      </c>
      <c r="AE55" s="174"/>
      <c r="AG55" s="115"/>
      <c r="AH55" s="215"/>
      <c r="AI55" s="215"/>
      <c r="AJ55" s="215"/>
      <c r="AK55" s="186"/>
      <c r="AL55" s="94">
        <f t="shared" si="6"/>
        <v>0</v>
      </c>
      <c r="AM55" s="173">
        <f t="shared" si="7"/>
        <v>0</v>
      </c>
      <c r="AO55" s="115"/>
      <c r="AP55" s="215"/>
      <c r="AQ55" s="215"/>
      <c r="AR55" s="186"/>
      <c r="AS55" s="94">
        <f t="shared" si="8"/>
        <v>0</v>
      </c>
      <c r="AT55" s="173">
        <f t="shared" si="9"/>
        <v>0</v>
      </c>
    </row>
    <row r="56">
      <c r="A56" s="102" t="s">
        <v>98</v>
      </c>
      <c r="B56" s="93">
        <v>1499.0</v>
      </c>
      <c r="C56" s="258"/>
      <c r="D56" s="409"/>
      <c r="E56" s="409"/>
      <c r="F56" s="257"/>
      <c r="G56" s="94">
        <f t="shared" si="1"/>
        <v>0</v>
      </c>
      <c r="H56" s="173">
        <f t="shared" si="2"/>
        <v>0</v>
      </c>
      <c r="J56" s="258"/>
      <c r="K56" s="215"/>
      <c r="L56" s="215"/>
      <c r="M56" s="215"/>
      <c r="N56" s="215"/>
      <c r="O56" s="215"/>
      <c r="P56" s="215"/>
      <c r="Q56" s="215"/>
      <c r="R56" s="310"/>
      <c r="S56" s="186"/>
      <c r="T56" s="94">
        <f t="shared" si="3"/>
        <v>0</v>
      </c>
      <c r="U56" s="173">
        <f t="shared" si="4"/>
        <v>0</v>
      </c>
      <c r="W56" s="115"/>
      <c r="X56" s="215"/>
      <c r="Y56" s="215"/>
      <c r="Z56" s="310"/>
      <c r="AA56" s="310"/>
      <c r="AB56" s="186"/>
      <c r="AC56" s="94">
        <f t="shared" si="10"/>
        <v>0</v>
      </c>
      <c r="AD56" s="173">
        <f t="shared" si="5"/>
        <v>0</v>
      </c>
      <c r="AE56" s="174"/>
      <c r="AG56" s="115"/>
      <c r="AH56" s="215"/>
      <c r="AI56" s="215"/>
      <c r="AJ56" s="215"/>
      <c r="AK56" s="186"/>
      <c r="AL56" s="94">
        <f t="shared" si="6"/>
        <v>0</v>
      </c>
      <c r="AM56" s="173">
        <f t="shared" si="7"/>
        <v>0</v>
      </c>
      <c r="AO56" s="115"/>
      <c r="AP56" s="215"/>
      <c r="AQ56" s="215"/>
      <c r="AR56" s="186"/>
      <c r="AS56" s="94">
        <f t="shared" si="8"/>
        <v>0</v>
      </c>
      <c r="AT56" s="173">
        <f t="shared" si="9"/>
        <v>0</v>
      </c>
    </row>
    <row r="57">
      <c r="A57" s="104"/>
      <c r="B57" s="99"/>
      <c r="C57" s="258"/>
      <c r="D57" s="409"/>
      <c r="E57" s="409"/>
      <c r="F57" s="257"/>
      <c r="G57" s="94">
        <f t="shared" si="1"/>
        <v>0</v>
      </c>
      <c r="H57" s="173">
        <f t="shared" si="2"/>
        <v>0</v>
      </c>
      <c r="J57" s="258"/>
      <c r="K57" s="215"/>
      <c r="L57" s="215"/>
      <c r="M57" s="215"/>
      <c r="N57" s="215"/>
      <c r="O57" s="215"/>
      <c r="P57" s="215"/>
      <c r="Q57" s="215"/>
      <c r="R57" s="310"/>
      <c r="S57" s="186"/>
      <c r="T57" s="94">
        <f t="shared" si="3"/>
        <v>0</v>
      </c>
      <c r="U57" s="173">
        <f t="shared" si="4"/>
        <v>0</v>
      </c>
      <c r="W57" s="115"/>
      <c r="X57" s="215"/>
      <c r="Y57" s="215"/>
      <c r="Z57" s="310"/>
      <c r="AA57" s="310"/>
      <c r="AB57" s="186"/>
      <c r="AC57" s="94">
        <f t="shared" si="10"/>
        <v>0</v>
      </c>
      <c r="AD57" s="173">
        <f t="shared" si="5"/>
        <v>0</v>
      </c>
      <c r="AE57" s="174"/>
      <c r="AG57" s="115"/>
      <c r="AH57" s="215"/>
      <c r="AI57" s="215"/>
      <c r="AJ57" s="215"/>
      <c r="AK57" s="186"/>
      <c r="AL57" s="94">
        <f t="shared" si="6"/>
        <v>0</v>
      </c>
      <c r="AM57" s="173">
        <f t="shared" si="7"/>
        <v>0</v>
      </c>
      <c r="AO57" s="115"/>
      <c r="AP57" s="215"/>
      <c r="AQ57" s="215"/>
      <c r="AR57" s="186"/>
      <c r="AS57" s="94">
        <f t="shared" si="8"/>
        <v>0</v>
      </c>
      <c r="AT57" s="173">
        <f t="shared" si="9"/>
        <v>0</v>
      </c>
    </row>
    <row r="58">
      <c r="A58" s="102" t="s">
        <v>99</v>
      </c>
      <c r="B58" s="93">
        <v>329.0</v>
      </c>
      <c r="C58" s="258"/>
      <c r="D58" s="409"/>
      <c r="E58" s="409"/>
      <c r="F58" s="257"/>
      <c r="G58" s="94">
        <f t="shared" si="1"/>
        <v>0</v>
      </c>
      <c r="H58" s="173">
        <f t="shared" si="2"/>
        <v>0</v>
      </c>
      <c r="J58" s="258"/>
      <c r="K58" s="215"/>
      <c r="L58" s="215"/>
      <c r="M58" s="215"/>
      <c r="N58" s="215"/>
      <c r="O58" s="215"/>
      <c r="P58" s="215"/>
      <c r="Q58" s="215"/>
      <c r="R58" s="310"/>
      <c r="S58" s="186"/>
      <c r="T58" s="94">
        <f t="shared" si="3"/>
        <v>0</v>
      </c>
      <c r="U58" s="173">
        <f t="shared" si="4"/>
        <v>0</v>
      </c>
      <c r="W58" s="115"/>
      <c r="X58" s="215"/>
      <c r="Y58" s="215"/>
      <c r="Z58" s="310"/>
      <c r="AA58" s="310"/>
      <c r="AB58" s="186"/>
      <c r="AC58" s="94">
        <f t="shared" si="10"/>
        <v>0</v>
      </c>
      <c r="AD58" s="173">
        <f t="shared" si="5"/>
        <v>0</v>
      </c>
      <c r="AE58" s="174"/>
      <c r="AG58" s="115"/>
      <c r="AH58" s="215"/>
      <c r="AI58" s="215"/>
      <c r="AJ58" s="215"/>
      <c r="AK58" s="186"/>
      <c r="AL58" s="94">
        <f t="shared" si="6"/>
        <v>0</v>
      </c>
      <c r="AM58" s="173">
        <f t="shared" si="7"/>
        <v>0</v>
      </c>
      <c r="AO58" s="115"/>
      <c r="AP58" s="215"/>
      <c r="AQ58" s="215"/>
      <c r="AR58" s="186"/>
      <c r="AS58" s="94">
        <f t="shared" si="8"/>
        <v>0</v>
      </c>
      <c r="AT58" s="173">
        <f t="shared" si="9"/>
        <v>0</v>
      </c>
    </row>
    <row r="59">
      <c r="A59" s="102" t="s">
        <v>100</v>
      </c>
      <c r="B59" s="93">
        <v>329.0</v>
      </c>
      <c r="C59" s="258"/>
      <c r="D59" s="409"/>
      <c r="E59" s="409"/>
      <c r="F59" s="257"/>
      <c r="G59" s="94">
        <f t="shared" si="1"/>
        <v>0</v>
      </c>
      <c r="H59" s="173">
        <f t="shared" si="2"/>
        <v>0</v>
      </c>
      <c r="J59" s="258"/>
      <c r="K59" s="215"/>
      <c r="L59" s="215"/>
      <c r="M59" s="215"/>
      <c r="N59" s="215"/>
      <c r="O59" s="215"/>
      <c r="P59" s="401">
        <v>1.0</v>
      </c>
      <c r="Q59" s="215"/>
      <c r="R59" s="310"/>
      <c r="S59" s="186"/>
      <c r="T59" s="94">
        <f t="shared" si="3"/>
        <v>1</v>
      </c>
      <c r="U59" s="173">
        <f t="shared" si="4"/>
        <v>329</v>
      </c>
      <c r="W59" s="115"/>
      <c r="X59" s="215"/>
      <c r="Y59" s="215"/>
      <c r="Z59" s="310"/>
      <c r="AA59" s="310"/>
      <c r="AB59" s="186"/>
      <c r="AC59" s="94">
        <f t="shared" si="10"/>
        <v>0</v>
      </c>
      <c r="AD59" s="173">
        <f t="shared" si="5"/>
        <v>0</v>
      </c>
      <c r="AE59" s="174"/>
      <c r="AG59" s="115"/>
      <c r="AH59" s="215"/>
      <c r="AI59" s="215"/>
      <c r="AJ59" s="215"/>
      <c r="AK59" s="186"/>
      <c r="AL59" s="94">
        <f t="shared" si="6"/>
        <v>0</v>
      </c>
      <c r="AM59" s="173">
        <f t="shared" si="7"/>
        <v>0</v>
      </c>
      <c r="AO59" s="115"/>
      <c r="AP59" s="215"/>
      <c r="AQ59" s="215"/>
      <c r="AR59" s="186"/>
      <c r="AS59" s="94">
        <f t="shared" si="8"/>
        <v>0</v>
      </c>
      <c r="AT59" s="173">
        <f t="shared" si="9"/>
        <v>0</v>
      </c>
    </row>
    <row r="60">
      <c r="A60" s="102" t="s">
        <v>101</v>
      </c>
      <c r="B60" s="93">
        <v>329.0</v>
      </c>
      <c r="C60" s="258"/>
      <c r="D60" s="409"/>
      <c r="E60" s="409"/>
      <c r="F60" s="257"/>
      <c r="G60" s="94">
        <f t="shared" si="1"/>
        <v>0</v>
      </c>
      <c r="H60" s="173">
        <f t="shared" si="2"/>
        <v>0</v>
      </c>
      <c r="J60" s="258"/>
      <c r="K60" s="215"/>
      <c r="L60" s="215"/>
      <c r="M60" s="215"/>
      <c r="N60" s="215"/>
      <c r="O60" s="215"/>
      <c r="P60" s="215"/>
      <c r="Q60" s="215"/>
      <c r="R60" s="310"/>
      <c r="S60" s="186"/>
      <c r="T60" s="94">
        <f t="shared" si="3"/>
        <v>0</v>
      </c>
      <c r="U60" s="173">
        <f t="shared" si="4"/>
        <v>0</v>
      </c>
      <c r="W60" s="115"/>
      <c r="X60" s="215"/>
      <c r="Y60" s="215"/>
      <c r="Z60" s="310"/>
      <c r="AA60" s="310"/>
      <c r="AB60" s="186"/>
      <c r="AC60" s="94">
        <f t="shared" si="10"/>
        <v>0</v>
      </c>
      <c r="AD60" s="173">
        <f t="shared" si="5"/>
        <v>0</v>
      </c>
      <c r="AE60" s="174"/>
      <c r="AG60" s="115"/>
      <c r="AH60" s="215"/>
      <c r="AI60" s="215"/>
      <c r="AJ60" s="402">
        <v>1.0</v>
      </c>
      <c r="AK60" s="186"/>
      <c r="AL60" s="94">
        <f t="shared" si="6"/>
        <v>1</v>
      </c>
      <c r="AM60" s="173">
        <f t="shared" si="7"/>
        <v>0</v>
      </c>
      <c r="AO60" s="115"/>
      <c r="AP60" s="215"/>
      <c r="AQ60" s="215"/>
      <c r="AR60" s="186"/>
      <c r="AS60" s="94">
        <f t="shared" si="8"/>
        <v>2</v>
      </c>
      <c r="AT60" s="173">
        <f t="shared" si="9"/>
        <v>0</v>
      </c>
    </row>
    <row r="61">
      <c r="A61" s="102" t="s">
        <v>102</v>
      </c>
      <c r="B61" s="93">
        <v>249.0</v>
      </c>
      <c r="C61" s="258"/>
      <c r="D61" s="401">
        <v>1.0</v>
      </c>
      <c r="E61" s="409"/>
      <c r="F61" s="257"/>
      <c r="G61" s="94">
        <f t="shared" si="1"/>
        <v>1</v>
      </c>
      <c r="H61" s="173">
        <f t="shared" si="2"/>
        <v>249</v>
      </c>
      <c r="J61" s="258"/>
      <c r="K61" s="215"/>
      <c r="L61" s="215"/>
      <c r="M61" s="215"/>
      <c r="N61" s="215"/>
      <c r="O61" s="215"/>
      <c r="P61" s="215"/>
      <c r="Q61" s="215"/>
      <c r="R61" s="310"/>
      <c r="S61" s="186"/>
      <c r="T61" s="94">
        <f t="shared" si="3"/>
        <v>0</v>
      </c>
      <c r="U61" s="173">
        <f t="shared" si="4"/>
        <v>0</v>
      </c>
      <c r="W61" s="115"/>
      <c r="X61" s="215"/>
      <c r="Y61" s="215"/>
      <c r="Z61" s="310"/>
      <c r="AA61" s="310"/>
      <c r="AB61" s="186"/>
      <c r="AC61" s="94">
        <f t="shared" si="10"/>
        <v>0</v>
      </c>
      <c r="AD61" s="173">
        <f t="shared" si="5"/>
        <v>0</v>
      </c>
      <c r="AE61" s="174"/>
      <c r="AG61" s="115"/>
      <c r="AH61" s="215"/>
      <c r="AI61" s="215"/>
      <c r="AJ61" s="215"/>
      <c r="AK61" s="186"/>
      <c r="AL61" s="94">
        <f t="shared" si="6"/>
        <v>0</v>
      </c>
      <c r="AM61" s="173">
        <f t="shared" si="7"/>
        <v>0</v>
      </c>
      <c r="AO61" s="115"/>
      <c r="AP61" s="215"/>
      <c r="AQ61" s="215"/>
      <c r="AR61" s="186"/>
      <c r="AS61" s="94">
        <f t="shared" si="8"/>
        <v>0</v>
      </c>
      <c r="AT61" s="173">
        <f t="shared" si="9"/>
        <v>0</v>
      </c>
    </row>
    <row r="62">
      <c r="A62" s="102" t="s">
        <v>103</v>
      </c>
      <c r="B62" s="93">
        <v>439.0</v>
      </c>
      <c r="C62" s="258"/>
      <c r="D62" s="200"/>
      <c r="E62" s="409"/>
      <c r="F62" s="257"/>
      <c r="G62" s="94">
        <f t="shared" si="1"/>
        <v>0</v>
      </c>
      <c r="H62" s="173">
        <f t="shared" si="2"/>
        <v>0</v>
      </c>
      <c r="J62" s="258"/>
      <c r="K62" s="200"/>
      <c r="L62" s="215"/>
      <c r="M62" s="215"/>
      <c r="N62" s="215"/>
      <c r="O62" s="215"/>
      <c r="P62" s="215"/>
      <c r="Q62" s="215"/>
      <c r="R62" s="310"/>
      <c r="S62" s="186"/>
      <c r="T62" s="94">
        <f t="shared" si="3"/>
        <v>0</v>
      </c>
      <c r="U62" s="173">
        <f t="shared" si="4"/>
        <v>0</v>
      </c>
      <c r="W62" s="115"/>
      <c r="X62" s="200"/>
      <c r="Y62" s="215"/>
      <c r="Z62" s="310"/>
      <c r="AA62" s="310"/>
      <c r="AB62" s="186"/>
      <c r="AC62" s="94">
        <f t="shared" si="10"/>
        <v>0</v>
      </c>
      <c r="AD62" s="173">
        <f t="shared" si="5"/>
        <v>0</v>
      </c>
      <c r="AE62" s="174"/>
      <c r="AG62" s="115"/>
      <c r="AH62" s="200"/>
      <c r="AI62" s="215"/>
      <c r="AJ62" s="215"/>
      <c r="AK62" s="186"/>
      <c r="AL62" s="94">
        <f t="shared" si="6"/>
        <v>0</v>
      </c>
      <c r="AM62" s="173">
        <f t="shared" si="7"/>
        <v>0</v>
      </c>
      <c r="AO62" s="115"/>
      <c r="AP62" s="200"/>
      <c r="AQ62" s="215"/>
      <c r="AR62" s="186"/>
      <c r="AS62" s="94">
        <f t="shared" si="8"/>
        <v>0</v>
      </c>
      <c r="AT62" s="173">
        <f t="shared" si="9"/>
        <v>0</v>
      </c>
    </row>
    <row r="63">
      <c r="A63" s="102" t="s">
        <v>104</v>
      </c>
      <c r="B63" s="93">
        <v>439.0</v>
      </c>
      <c r="C63" s="258"/>
      <c r="D63" s="409"/>
      <c r="E63" s="409"/>
      <c r="F63" s="257"/>
      <c r="G63" s="94">
        <f t="shared" si="1"/>
        <v>0</v>
      </c>
      <c r="H63" s="173">
        <f t="shared" si="2"/>
        <v>0</v>
      </c>
      <c r="J63" s="258"/>
      <c r="K63" s="215"/>
      <c r="L63" s="215"/>
      <c r="M63" s="215"/>
      <c r="N63" s="215"/>
      <c r="O63" s="215"/>
      <c r="P63" s="215"/>
      <c r="Q63" s="215"/>
      <c r="R63" s="310"/>
      <c r="S63" s="186"/>
      <c r="T63" s="94">
        <f t="shared" si="3"/>
        <v>0</v>
      </c>
      <c r="U63" s="173">
        <f t="shared" si="4"/>
        <v>0</v>
      </c>
      <c r="W63" s="115"/>
      <c r="X63" s="215"/>
      <c r="Y63" s="215"/>
      <c r="Z63" s="310"/>
      <c r="AA63" s="310"/>
      <c r="AB63" s="186"/>
      <c r="AC63" s="94">
        <f t="shared" si="10"/>
        <v>0</v>
      </c>
      <c r="AD63" s="173">
        <f t="shared" si="5"/>
        <v>0</v>
      </c>
      <c r="AE63" s="174"/>
      <c r="AG63" s="115"/>
      <c r="AH63" s="215"/>
      <c r="AI63" s="215"/>
      <c r="AJ63" s="215"/>
      <c r="AK63" s="186"/>
      <c r="AL63" s="94">
        <f t="shared" si="6"/>
        <v>0</v>
      </c>
      <c r="AM63" s="173">
        <f t="shared" si="7"/>
        <v>0</v>
      </c>
      <c r="AO63" s="115"/>
      <c r="AP63" s="215"/>
      <c r="AQ63" s="215"/>
      <c r="AR63" s="186"/>
      <c r="AS63" s="94">
        <f t="shared" si="8"/>
        <v>0</v>
      </c>
      <c r="AT63" s="173">
        <f t="shared" si="9"/>
        <v>0</v>
      </c>
    </row>
    <row r="64">
      <c r="A64" s="102" t="s">
        <v>105</v>
      </c>
      <c r="B64" s="93">
        <v>439.0</v>
      </c>
      <c r="C64" s="258"/>
      <c r="D64" s="409"/>
      <c r="E64" s="409"/>
      <c r="F64" s="257"/>
      <c r="G64" s="94">
        <f t="shared" si="1"/>
        <v>0</v>
      </c>
      <c r="H64" s="173">
        <f t="shared" si="2"/>
        <v>0</v>
      </c>
      <c r="J64" s="258"/>
      <c r="K64" s="401">
        <v>1.0</v>
      </c>
      <c r="L64" s="215"/>
      <c r="M64" s="215"/>
      <c r="N64" s="215"/>
      <c r="O64" s="215"/>
      <c r="P64" s="215"/>
      <c r="Q64" s="215"/>
      <c r="R64" s="310"/>
      <c r="S64" s="186"/>
      <c r="T64" s="94">
        <f t="shared" si="3"/>
        <v>1</v>
      </c>
      <c r="U64" s="173">
        <f t="shared" si="4"/>
        <v>439</v>
      </c>
      <c r="W64" s="115"/>
      <c r="X64" s="215"/>
      <c r="Y64" s="215"/>
      <c r="Z64" s="310"/>
      <c r="AA64" s="310"/>
      <c r="AB64" s="186"/>
      <c r="AC64" s="94">
        <f t="shared" si="10"/>
        <v>0</v>
      </c>
      <c r="AD64" s="173">
        <f t="shared" si="5"/>
        <v>0</v>
      </c>
      <c r="AE64" s="174"/>
      <c r="AG64" s="115"/>
      <c r="AH64" s="215"/>
      <c r="AI64" s="215"/>
      <c r="AJ64" s="215"/>
      <c r="AK64" s="186"/>
      <c r="AL64" s="94">
        <f t="shared" si="6"/>
        <v>0</v>
      </c>
      <c r="AM64" s="173">
        <f t="shared" si="7"/>
        <v>0</v>
      </c>
      <c r="AO64" s="115"/>
      <c r="AP64" s="215"/>
      <c r="AQ64" s="215"/>
      <c r="AR64" s="186"/>
      <c r="AS64" s="94">
        <f t="shared" si="8"/>
        <v>0</v>
      </c>
      <c r="AT64" s="173">
        <f t="shared" si="9"/>
        <v>0</v>
      </c>
    </row>
    <row r="65">
      <c r="A65" s="102" t="s">
        <v>106</v>
      </c>
      <c r="B65" s="93">
        <v>799.0</v>
      </c>
      <c r="C65" s="258"/>
      <c r="D65" s="409"/>
      <c r="E65" s="409"/>
      <c r="F65" s="257"/>
      <c r="G65" s="94">
        <f t="shared" si="1"/>
        <v>0</v>
      </c>
      <c r="H65" s="173">
        <f t="shared" si="2"/>
        <v>0</v>
      </c>
      <c r="J65" s="258"/>
      <c r="K65" s="215"/>
      <c r="L65" s="215"/>
      <c r="M65" s="215"/>
      <c r="N65" s="215"/>
      <c r="O65" s="215"/>
      <c r="P65" s="215"/>
      <c r="Q65" s="215"/>
      <c r="R65" s="310"/>
      <c r="S65" s="186"/>
      <c r="T65" s="94">
        <f t="shared" si="3"/>
        <v>0</v>
      </c>
      <c r="U65" s="173">
        <f t="shared" si="4"/>
        <v>0</v>
      </c>
      <c r="W65" s="115"/>
      <c r="X65" s="215"/>
      <c r="Y65" s="215"/>
      <c r="Z65" s="310"/>
      <c r="AA65" s="310"/>
      <c r="AB65" s="186"/>
      <c r="AC65" s="94">
        <f t="shared" si="10"/>
        <v>0</v>
      </c>
      <c r="AD65" s="173">
        <f t="shared" si="5"/>
        <v>0</v>
      </c>
      <c r="AE65" s="174"/>
      <c r="AG65" s="115"/>
      <c r="AH65" s="215"/>
      <c r="AI65" s="215"/>
      <c r="AJ65" s="215"/>
      <c r="AK65" s="186"/>
      <c r="AL65" s="94">
        <f t="shared" si="6"/>
        <v>0</v>
      </c>
      <c r="AM65" s="173">
        <f t="shared" si="7"/>
        <v>0</v>
      </c>
      <c r="AO65" s="115"/>
      <c r="AP65" s="215"/>
      <c r="AQ65" s="215"/>
      <c r="AR65" s="186"/>
      <c r="AS65" s="94">
        <f t="shared" si="8"/>
        <v>0</v>
      </c>
      <c r="AT65" s="173">
        <f t="shared" si="9"/>
        <v>0</v>
      </c>
    </row>
    <row r="66">
      <c r="A66" s="102" t="s">
        <v>107</v>
      </c>
      <c r="B66" s="93">
        <v>799.0</v>
      </c>
      <c r="C66" s="258"/>
      <c r="D66" s="409"/>
      <c r="E66" s="409"/>
      <c r="F66" s="257"/>
      <c r="G66" s="94">
        <f t="shared" si="1"/>
        <v>0</v>
      </c>
      <c r="H66" s="173">
        <f t="shared" si="2"/>
        <v>0</v>
      </c>
      <c r="J66" s="258"/>
      <c r="K66" s="215"/>
      <c r="L66" s="215"/>
      <c r="M66" s="215"/>
      <c r="N66" s="215"/>
      <c r="O66" s="215"/>
      <c r="P66" s="215"/>
      <c r="Q66" s="215"/>
      <c r="R66" s="310"/>
      <c r="S66" s="186"/>
      <c r="T66" s="94">
        <f t="shared" si="3"/>
        <v>0</v>
      </c>
      <c r="U66" s="173">
        <f t="shared" si="4"/>
        <v>0</v>
      </c>
      <c r="W66" s="115"/>
      <c r="X66" s="215"/>
      <c r="Y66" s="215"/>
      <c r="Z66" s="310"/>
      <c r="AA66" s="310"/>
      <c r="AB66" s="186"/>
      <c r="AC66" s="94">
        <f t="shared" si="10"/>
        <v>0</v>
      </c>
      <c r="AD66" s="173">
        <f t="shared" si="5"/>
        <v>0</v>
      </c>
      <c r="AE66" s="174"/>
      <c r="AG66" s="115"/>
      <c r="AH66" s="215"/>
      <c r="AI66" s="215"/>
      <c r="AJ66" s="215"/>
      <c r="AK66" s="186"/>
      <c r="AL66" s="94">
        <f t="shared" si="6"/>
        <v>0</v>
      </c>
      <c r="AM66" s="173">
        <f t="shared" si="7"/>
        <v>0</v>
      </c>
      <c r="AO66" s="115"/>
      <c r="AP66" s="215"/>
      <c r="AQ66" s="215"/>
      <c r="AR66" s="186"/>
      <c r="AS66" s="94">
        <f t="shared" si="8"/>
        <v>0</v>
      </c>
      <c r="AT66" s="173">
        <f t="shared" si="9"/>
        <v>0</v>
      </c>
    </row>
    <row r="67">
      <c r="A67" s="102" t="s">
        <v>108</v>
      </c>
      <c r="B67" s="93">
        <v>799.0</v>
      </c>
      <c r="C67" s="258"/>
      <c r="D67" s="409"/>
      <c r="E67" s="409"/>
      <c r="F67" s="257"/>
      <c r="G67" s="94">
        <f t="shared" si="1"/>
        <v>0</v>
      </c>
      <c r="H67" s="173">
        <f t="shared" si="2"/>
        <v>0</v>
      </c>
      <c r="J67" s="258"/>
      <c r="K67" s="215"/>
      <c r="L67" s="215"/>
      <c r="M67" s="215"/>
      <c r="N67" s="215"/>
      <c r="O67" s="215"/>
      <c r="P67" s="215"/>
      <c r="Q67" s="215"/>
      <c r="R67" s="310"/>
      <c r="S67" s="186"/>
      <c r="T67" s="94">
        <f t="shared" si="3"/>
        <v>0</v>
      </c>
      <c r="U67" s="173">
        <f t="shared" si="4"/>
        <v>0</v>
      </c>
      <c r="W67" s="115"/>
      <c r="X67" s="215"/>
      <c r="Y67" s="215"/>
      <c r="Z67" s="310"/>
      <c r="AA67" s="310"/>
      <c r="AB67" s="186"/>
      <c r="AC67" s="94">
        <f t="shared" si="10"/>
        <v>0</v>
      </c>
      <c r="AD67" s="173">
        <f t="shared" si="5"/>
        <v>0</v>
      </c>
      <c r="AE67" s="174"/>
      <c r="AG67" s="115"/>
      <c r="AH67" s="215"/>
      <c r="AI67" s="215"/>
      <c r="AJ67" s="215"/>
      <c r="AK67" s="186"/>
      <c r="AL67" s="94">
        <f t="shared" si="6"/>
        <v>0</v>
      </c>
      <c r="AM67" s="173">
        <f t="shared" si="7"/>
        <v>0</v>
      </c>
      <c r="AO67" s="115"/>
      <c r="AP67" s="215"/>
      <c r="AQ67" s="215"/>
      <c r="AR67" s="186"/>
      <c r="AS67" s="94">
        <f t="shared" si="8"/>
        <v>0</v>
      </c>
      <c r="AT67" s="173">
        <f t="shared" si="9"/>
        <v>0</v>
      </c>
    </row>
    <row r="68">
      <c r="A68" s="102" t="s">
        <v>109</v>
      </c>
      <c r="B68" s="195">
        <v>1299.0</v>
      </c>
      <c r="C68" s="258"/>
      <c r="D68" s="409"/>
      <c r="E68" s="409"/>
      <c r="F68" s="257"/>
      <c r="G68" s="94">
        <f t="shared" si="1"/>
        <v>0</v>
      </c>
      <c r="H68" s="173">
        <f t="shared" si="2"/>
        <v>0</v>
      </c>
      <c r="J68" s="258"/>
      <c r="K68" s="215"/>
      <c r="L68" s="215"/>
      <c r="M68" s="215"/>
      <c r="N68" s="215"/>
      <c r="O68" s="215"/>
      <c r="P68" s="215"/>
      <c r="Q68" s="215"/>
      <c r="R68" s="310"/>
      <c r="S68" s="186"/>
      <c r="T68" s="94">
        <f t="shared" si="3"/>
        <v>0</v>
      </c>
      <c r="U68" s="173">
        <f t="shared" si="4"/>
        <v>0</v>
      </c>
      <c r="W68" s="115"/>
      <c r="X68" s="215"/>
      <c r="Y68" s="215"/>
      <c r="Z68" s="310"/>
      <c r="AA68" s="310"/>
      <c r="AB68" s="186"/>
      <c r="AC68" s="94">
        <f t="shared" si="10"/>
        <v>0</v>
      </c>
      <c r="AD68" s="173">
        <f t="shared" si="5"/>
        <v>0</v>
      </c>
      <c r="AE68" s="174"/>
      <c r="AG68" s="115"/>
      <c r="AH68" s="215"/>
      <c r="AI68" s="215"/>
      <c r="AJ68" s="215"/>
      <c r="AK68" s="186"/>
      <c r="AL68" s="94">
        <f t="shared" si="6"/>
        <v>0</v>
      </c>
      <c r="AM68" s="173">
        <f t="shared" si="7"/>
        <v>0</v>
      </c>
      <c r="AO68" s="115"/>
      <c r="AP68" s="215"/>
      <c r="AQ68" s="215"/>
      <c r="AR68" s="186"/>
      <c r="AS68" s="94">
        <f t="shared" si="8"/>
        <v>0</v>
      </c>
      <c r="AT68" s="173">
        <f t="shared" si="9"/>
        <v>0</v>
      </c>
    </row>
    <row r="69">
      <c r="A69" s="102" t="s">
        <v>110</v>
      </c>
      <c r="B69" s="195">
        <v>1299.0</v>
      </c>
      <c r="C69" s="258"/>
      <c r="D69" s="409"/>
      <c r="E69" s="409"/>
      <c r="F69" s="257"/>
      <c r="G69" s="94">
        <f t="shared" si="1"/>
        <v>0</v>
      </c>
      <c r="H69" s="173">
        <f t="shared" si="2"/>
        <v>0</v>
      </c>
      <c r="J69" s="258"/>
      <c r="K69" s="215"/>
      <c r="L69" s="215"/>
      <c r="M69" s="215"/>
      <c r="N69" s="215"/>
      <c r="O69" s="215"/>
      <c r="P69" s="215"/>
      <c r="Q69" s="215"/>
      <c r="R69" s="310"/>
      <c r="S69" s="186"/>
      <c r="T69" s="94">
        <f t="shared" si="3"/>
        <v>0</v>
      </c>
      <c r="U69" s="173">
        <f t="shared" si="4"/>
        <v>0</v>
      </c>
      <c r="W69" s="115"/>
      <c r="X69" s="215"/>
      <c r="Y69" s="215"/>
      <c r="Z69" s="310"/>
      <c r="AA69" s="310"/>
      <c r="AB69" s="186"/>
      <c r="AC69" s="94">
        <f t="shared" si="10"/>
        <v>0</v>
      </c>
      <c r="AD69" s="173">
        <f t="shared" si="5"/>
        <v>0</v>
      </c>
      <c r="AE69" s="174"/>
      <c r="AG69" s="115"/>
      <c r="AH69" s="215"/>
      <c r="AI69" s="215"/>
      <c r="AJ69" s="215"/>
      <c r="AK69" s="186"/>
      <c r="AL69" s="94">
        <f t="shared" si="6"/>
        <v>0</v>
      </c>
      <c r="AM69" s="173">
        <f t="shared" si="7"/>
        <v>0</v>
      </c>
      <c r="AO69" s="115"/>
      <c r="AP69" s="215"/>
      <c r="AQ69" s="215"/>
      <c r="AR69" s="186"/>
      <c r="AS69" s="94">
        <f t="shared" si="8"/>
        <v>0</v>
      </c>
      <c r="AT69" s="173">
        <f t="shared" si="9"/>
        <v>0</v>
      </c>
    </row>
    <row r="70">
      <c r="A70" s="101" t="s">
        <v>111</v>
      </c>
      <c r="B70" s="195">
        <v>1299.0</v>
      </c>
      <c r="C70" s="258"/>
      <c r="D70" s="409"/>
      <c r="E70" s="409"/>
      <c r="F70" s="257"/>
      <c r="G70" s="94">
        <f t="shared" si="1"/>
        <v>0</v>
      </c>
      <c r="H70" s="173">
        <f t="shared" si="2"/>
        <v>0</v>
      </c>
      <c r="J70" s="258"/>
      <c r="K70" s="215"/>
      <c r="L70" s="215"/>
      <c r="M70" s="215"/>
      <c r="N70" s="215"/>
      <c r="O70" s="215"/>
      <c r="P70" s="215"/>
      <c r="Q70" s="215"/>
      <c r="R70" s="310"/>
      <c r="S70" s="186"/>
      <c r="T70" s="94">
        <f t="shared" si="3"/>
        <v>0</v>
      </c>
      <c r="U70" s="173">
        <f t="shared" si="4"/>
        <v>0</v>
      </c>
      <c r="W70" s="115"/>
      <c r="X70" s="215"/>
      <c r="Y70" s="215"/>
      <c r="Z70" s="310"/>
      <c r="AA70" s="310"/>
      <c r="AB70" s="186"/>
      <c r="AC70" s="94">
        <f t="shared" si="10"/>
        <v>0</v>
      </c>
      <c r="AD70" s="173">
        <f t="shared" si="5"/>
        <v>0</v>
      </c>
      <c r="AE70" s="174"/>
      <c r="AG70" s="115"/>
      <c r="AH70" s="215"/>
      <c r="AI70" s="215"/>
      <c r="AJ70" s="215"/>
      <c r="AK70" s="186"/>
      <c r="AL70" s="94">
        <f t="shared" si="6"/>
        <v>0</v>
      </c>
      <c r="AM70" s="173">
        <f t="shared" si="7"/>
        <v>0</v>
      </c>
      <c r="AO70" s="115"/>
      <c r="AP70" s="215"/>
      <c r="AQ70" s="215"/>
      <c r="AR70" s="186"/>
      <c r="AS70" s="94">
        <f t="shared" si="8"/>
        <v>0</v>
      </c>
      <c r="AT70" s="173">
        <f t="shared" si="9"/>
        <v>0</v>
      </c>
    </row>
    <row r="71">
      <c r="A71" s="101" t="s">
        <v>112</v>
      </c>
      <c r="B71" s="93">
        <v>609.0</v>
      </c>
      <c r="C71" s="258"/>
      <c r="D71" s="409"/>
      <c r="E71" s="409"/>
      <c r="F71" s="257"/>
      <c r="G71" s="94">
        <f t="shared" si="1"/>
        <v>0</v>
      </c>
      <c r="H71" s="173">
        <f t="shared" si="2"/>
        <v>0</v>
      </c>
      <c r="J71" s="258"/>
      <c r="K71" s="215"/>
      <c r="L71" s="215"/>
      <c r="M71" s="215"/>
      <c r="N71" s="215"/>
      <c r="O71" s="215"/>
      <c r="P71" s="215"/>
      <c r="Q71" s="215"/>
      <c r="R71" s="310"/>
      <c r="S71" s="186"/>
      <c r="T71" s="94">
        <f t="shared" si="3"/>
        <v>0</v>
      </c>
      <c r="U71" s="173">
        <f t="shared" si="4"/>
        <v>0</v>
      </c>
      <c r="W71" s="115"/>
      <c r="X71" s="215"/>
      <c r="Y71" s="215"/>
      <c r="Z71" s="310"/>
      <c r="AA71" s="310"/>
      <c r="AB71" s="186"/>
      <c r="AC71" s="94">
        <f t="shared" si="10"/>
        <v>0</v>
      </c>
      <c r="AD71" s="173">
        <f t="shared" si="5"/>
        <v>0</v>
      </c>
      <c r="AE71" s="174"/>
      <c r="AG71" s="115"/>
      <c r="AH71" s="215"/>
      <c r="AI71" s="215"/>
      <c r="AJ71" s="215"/>
      <c r="AK71" s="186"/>
      <c r="AL71" s="94">
        <f t="shared" si="6"/>
        <v>0</v>
      </c>
      <c r="AM71" s="173">
        <f t="shared" si="7"/>
        <v>0</v>
      </c>
      <c r="AO71" s="115"/>
      <c r="AP71" s="215"/>
      <c r="AQ71" s="215"/>
      <c r="AR71" s="186"/>
      <c r="AS71" s="94">
        <f t="shared" si="8"/>
        <v>0</v>
      </c>
      <c r="AT71" s="173">
        <f t="shared" si="9"/>
        <v>0</v>
      </c>
    </row>
    <row r="72">
      <c r="A72" s="101" t="s">
        <v>113</v>
      </c>
      <c r="B72" s="187">
        <v>1599.0</v>
      </c>
      <c r="C72" s="258"/>
      <c r="D72" s="409"/>
      <c r="E72" s="409"/>
      <c r="F72" s="257"/>
      <c r="G72" s="94">
        <f t="shared" si="1"/>
        <v>0</v>
      </c>
      <c r="H72" s="173">
        <f t="shared" si="2"/>
        <v>0</v>
      </c>
      <c r="J72" s="258"/>
      <c r="K72" s="215"/>
      <c r="L72" s="215"/>
      <c r="M72" s="215"/>
      <c r="N72" s="215"/>
      <c r="O72" s="215"/>
      <c r="P72" s="215"/>
      <c r="Q72" s="215"/>
      <c r="R72" s="310"/>
      <c r="S72" s="186"/>
      <c r="T72" s="94">
        <f t="shared" si="3"/>
        <v>0</v>
      </c>
      <c r="U72" s="173">
        <f t="shared" si="4"/>
        <v>0</v>
      </c>
      <c r="W72" s="115"/>
      <c r="X72" s="215"/>
      <c r="Y72" s="215"/>
      <c r="Z72" s="310"/>
      <c r="AA72" s="310"/>
      <c r="AB72" s="186"/>
      <c r="AC72" s="94">
        <f t="shared" si="10"/>
        <v>0</v>
      </c>
      <c r="AD72" s="173">
        <f t="shared" si="5"/>
        <v>0</v>
      </c>
      <c r="AE72" s="174"/>
      <c r="AG72" s="115"/>
      <c r="AH72" s="215"/>
      <c r="AI72" s="215"/>
      <c r="AJ72" s="215"/>
      <c r="AK72" s="186"/>
      <c r="AL72" s="94">
        <f t="shared" si="6"/>
        <v>0</v>
      </c>
      <c r="AM72" s="173">
        <f t="shared" si="7"/>
        <v>0</v>
      </c>
      <c r="AO72" s="115"/>
      <c r="AP72" s="215"/>
      <c r="AQ72" s="215"/>
      <c r="AR72" s="186"/>
      <c r="AS72" s="94">
        <f t="shared" si="8"/>
        <v>0</v>
      </c>
      <c r="AT72" s="173">
        <f t="shared" si="9"/>
        <v>0</v>
      </c>
    </row>
    <row r="73">
      <c r="A73" s="101" t="s">
        <v>114</v>
      </c>
      <c r="B73" s="224">
        <v>1599.0</v>
      </c>
      <c r="C73" s="258"/>
      <c r="D73" s="409"/>
      <c r="E73" s="409"/>
      <c r="F73" s="257"/>
      <c r="G73" s="94">
        <f t="shared" si="1"/>
        <v>0</v>
      </c>
      <c r="H73" s="173">
        <f t="shared" si="2"/>
        <v>0</v>
      </c>
      <c r="J73" s="258"/>
      <c r="K73" s="215"/>
      <c r="L73" s="215"/>
      <c r="M73" s="215"/>
      <c r="N73" s="215"/>
      <c r="O73" s="215"/>
      <c r="P73" s="215"/>
      <c r="Q73" s="215"/>
      <c r="R73" s="310"/>
      <c r="S73" s="186"/>
      <c r="T73" s="94">
        <f t="shared" si="3"/>
        <v>0</v>
      </c>
      <c r="U73" s="173">
        <f t="shared" si="4"/>
        <v>0</v>
      </c>
      <c r="W73" s="115"/>
      <c r="X73" s="215"/>
      <c r="Y73" s="215"/>
      <c r="Z73" s="310"/>
      <c r="AA73" s="310"/>
      <c r="AB73" s="186"/>
      <c r="AC73" s="94">
        <f t="shared" si="10"/>
        <v>0</v>
      </c>
      <c r="AD73" s="173">
        <f t="shared" si="5"/>
        <v>0</v>
      </c>
      <c r="AE73" s="174"/>
      <c r="AG73" s="115"/>
      <c r="AH73" s="215"/>
      <c r="AI73" s="215"/>
      <c r="AJ73" s="215"/>
      <c r="AK73" s="186"/>
      <c r="AL73" s="94">
        <f t="shared" si="6"/>
        <v>0</v>
      </c>
      <c r="AM73" s="173">
        <f t="shared" si="7"/>
        <v>0</v>
      </c>
      <c r="AO73" s="115"/>
      <c r="AP73" s="215"/>
      <c r="AQ73" s="215"/>
      <c r="AR73" s="186"/>
      <c r="AS73" s="94">
        <f t="shared" si="8"/>
        <v>0</v>
      </c>
      <c r="AT73" s="173">
        <f t="shared" si="9"/>
        <v>0</v>
      </c>
    </row>
    <row r="74">
      <c r="A74" s="101" t="s">
        <v>115</v>
      </c>
      <c r="B74" s="187">
        <v>1599.0</v>
      </c>
      <c r="C74" s="258"/>
      <c r="D74" s="409"/>
      <c r="E74" s="409"/>
      <c r="F74" s="257"/>
      <c r="G74" s="94">
        <f t="shared" si="1"/>
        <v>0</v>
      </c>
      <c r="H74" s="173">
        <f t="shared" si="2"/>
        <v>0</v>
      </c>
      <c r="J74" s="258"/>
      <c r="K74" s="215"/>
      <c r="L74" s="215"/>
      <c r="M74" s="215"/>
      <c r="N74" s="215"/>
      <c r="O74" s="215"/>
      <c r="P74" s="215"/>
      <c r="Q74" s="215"/>
      <c r="R74" s="310"/>
      <c r="S74" s="186"/>
      <c r="T74" s="94">
        <f t="shared" si="3"/>
        <v>0</v>
      </c>
      <c r="U74" s="173">
        <f t="shared" si="4"/>
        <v>0</v>
      </c>
      <c r="W74" s="115"/>
      <c r="X74" s="215"/>
      <c r="Y74" s="215"/>
      <c r="Z74" s="310"/>
      <c r="AA74" s="310"/>
      <c r="AB74" s="186"/>
      <c r="AC74" s="94">
        <f t="shared" si="10"/>
        <v>0</v>
      </c>
      <c r="AD74" s="173">
        <f t="shared" si="5"/>
        <v>0</v>
      </c>
      <c r="AE74" s="174"/>
      <c r="AG74" s="115"/>
      <c r="AH74" s="215"/>
      <c r="AI74" s="215"/>
      <c r="AJ74" s="215"/>
      <c r="AK74" s="186"/>
      <c r="AL74" s="94">
        <f t="shared" si="6"/>
        <v>0</v>
      </c>
      <c r="AM74" s="173">
        <f t="shared" si="7"/>
        <v>0</v>
      </c>
      <c r="AO74" s="115"/>
      <c r="AP74" s="215"/>
      <c r="AQ74" s="215"/>
      <c r="AR74" s="186"/>
      <c r="AS74" s="94">
        <f t="shared" si="8"/>
        <v>0</v>
      </c>
      <c r="AT74" s="173">
        <f t="shared" si="9"/>
        <v>0</v>
      </c>
    </row>
    <row r="75">
      <c r="A75" s="101" t="s">
        <v>116</v>
      </c>
      <c r="B75" s="319"/>
      <c r="C75" s="258"/>
      <c r="D75" s="409"/>
      <c r="E75" s="409"/>
      <c r="F75" s="257"/>
      <c r="G75" s="94">
        <f t="shared" si="1"/>
        <v>0</v>
      </c>
      <c r="H75" s="173">
        <f t="shared" si="2"/>
        <v>0</v>
      </c>
      <c r="J75" s="258"/>
      <c r="K75" s="215"/>
      <c r="L75" s="215"/>
      <c r="M75" s="215"/>
      <c r="N75" s="215"/>
      <c r="O75" s="215"/>
      <c r="P75" s="215"/>
      <c r="Q75" s="215"/>
      <c r="R75" s="310"/>
      <c r="S75" s="186"/>
      <c r="T75" s="94">
        <f t="shared" si="3"/>
        <v>0</v>
      </c>
      <c r="U75" s="173">
        <f t="shared" si="4"/>
        <v>0</v>
      </c>
      <c r="W75" s="115"/>
      <c r="X75" s="215"/>
      <c r="Y75" s="215"/>
      <c r="Z75" s="310"/>
      <c r="AA75" s="310"/>
      <c r="AB75" s="186"/>
      <c r="AC75" s="94">
        <f t="shared" si="10"/>
        <v>0</v>
      </c>
      <c r="AD75" s="173">
        <f t="shared" si="5"/>
        <v>0</v>
      </c>
      <c r="AE75" s="174"/>
      <c r="AG75" s="115"/>
      <c r="AH75" s="215"/>
      <c r="AI75" s="215"/>
      <c r="AJ75" s="215"/>
      <c r="AK75" s="186"/>
      <c r="AL75" s="94">
        <f t="shared" si="6"/>
        <v>0</v>
      </c>
      <c r="AM75" s="173">
        <f t="shared" si="7"/>
        <v>0</v>
      </c>
      <c r="AO75" s="115"/>
      <c r="AP75" s="215"/>
      <c r="AQ75" s="215"/>
      <c r="AR75" s="186"/>
      <c r="AS75" s="94">
        <f t="shared" si="8"/>
        <v>0</v>
      </c>
      <c r="AT75" s="173">
        <f t="shared" si="9"/>
        <v>0</v>
      </c>
    </row>
    <row r="76">
      <c r="A76" s="109"/>
      <c r="B76" s="319"/>
      <c r="C76" s="258"/>
      <c r="D76" s="409"/>
      <c r="E76" s="409"/>
      <c r="F76" s="257"/>
      <c r="G76" s="94">
        <f t="shared" si="1"/>
        <v>0</v>
      </c>
      <c r="H76" s="173">
        <f t="shared" si="2"/>
        <v>0</v>
      </c>
      <c r="J76" s="258"/>
      <c r="K76" s="215"/>
      <c r="L76" s="215"/>
      <c r="M76" s="215"/>
      <c r="N76" s="215"/>
      <c r="O76" s="215"/>
      <c r="P76" s="215"/>
      <c r="Q76" s="215"/>
      <c r="R76" s="310"/>
      <c r="S76" s="186"/>
      <c r="T76" s="94">
        <f t="shared" si="3"/>
        <v>0</v>
      </c>
      <c r="U76" s="173">
        <f t="shared" si="4"/>
        <v>0</v>
      </c>
      <c r="W76" s="115"/>
      <c r="X76" s="215"/>
      <c r="Y76" s="215"/>
      <c r="Z76" s="310"/>
      <c r="AA76" s="310"/>
      <c r="AB76" s="186"/>
      <c r="AC76" s="94">
        <f t="shared" si="10"/>
        <v>0</v>
      </c>
      <c r="AD76" s="173">
        <f t="shared" si="5"/>
        <v>0</v>
      </c>
      <c r="AE76" s="174"/>
      <c r="AG76" s="115"/>
      <c r="AH76" s="215"/>
      <c r="AI76" s="215"/>
      <c r="AJ76" s="215"/>
      <c r="AK76" s="186"/>
      <c r="AL76" s="94">
        <f t="shared" si="6"/>
        <v>0</v>
      </c>
      <c r="AM76" s="173">
        <f t="shared" si="7"/>
        <v>0</v>
      </c>
      <c r="AO76" s="115"/>
      <c r="AP76" s="215"/>
      <c r="AQ76" s="215"/>
      <c r="AR76" s="186"/>
      <c r="AS76" s="94">
        <f t="shared" si="8"/>
        <v>0</v>
      </c>
      <c r="AT76" s="173">
        <f t="shared" si="9"/>
        <v>0</v>
      </c>
    </row>
    <row r="77">
      <c r="A77" s="110" t="s">
        <v>117</v>
      </c>
      <c r="B77" s="195">
        <v>379.0</v>
      </c>
      <c r="C77" s="258"/>
      <c r="D77" s="409"/>
      <c r="E77" s="409"/>
      <c r="F77" s="405">
        <v>1.0</v>
      </c>
      <c r="G77" s="94">
        <f t="shared" si="1"/>
        <v>1</v>
      </c>
      <c r="H77" s="173">
        <f t="shared" si="2"/>
        <v>379</v>
      </c>
      <c r="J77" s="258"/>
      <c r="K77" s="215"/>
      <c r="L77" s="215"/>
      <c r="M77" s="215"/>
      <c r="N77" s="215"/>
      <c r="O77" s="215"/>
      <c r="P77" s="215"/>
      <c r="Q77" s="215"/>
      <c r="R77" s="310"/>
      <c r="S77" s="186"/>
      <c r="T77" s="94">
        <f t="shared" si="3"/>
        <v>0</v>
      </c>
      <c r="U77" s="173">
        <f t="shared" si="4"/>
        <v>0</v>
      </c>
      <c r="W77" s="115"/>
      <c r="X77" s="215"/>
      <c r="Y77" s="215"/>
      <c r="Z77" s="310"/>
      <c r="AA77" s="310"/>
      <c r="AB77" s="186"/>
      <c r="AC77" s="94">
        <f t="shared" si="10"/>
        <v>0</v>
      </c>
      <c r="AD77" s="173">
        <f t="shared" si="5"/>
        <v>0</v>
      </c>
      <c r="AE77" s="174"/>
      <c r="AG77" s="115"/>
      <c r="AH77" s="215"/>
      <c r="AI77" s="215"/>
      <c r="AJ77" s="215"/>
      <c r="AK77" s="186"/>
      <c r="AL77" s="94">
        <f t="shared" si="6"/>
        <v>0</v>
      </c>
      <c r="AM77" s="173">
        <f t="shared" si="7"/>
        <v>0</v>
      </c>
      <c r="AO77" s="115"/>
      <c r="AP77" s="215"/>
      <c r="AQ77" s="215"/>
      <c r="AR77" s="186"/>
      <c r="AS77" s="94">
        <f t="shared" si="8"/>
        <v>0</v>
      </c>
      <c r="AT77" s="173">
        <f t="shared" si="9"/>
        <v>0</v>
      </c>
    </row>
    <row r="78">
      <c r="A78" s="110" t="s">
        <v>118</v>
      </c>
      <c r="B78" s="195">
        <v>799.0</v>
      </c>
      <c r="C78" s="258"/>
      <c r="D78" s="409"/>
      <c r="E78" s="409"/>
      <c r="F78" s="257"/>
      <c r="G78" s="94">
        <f t="shared" si="1"/>
        <v>0</v>
      </c>
      <c r="H78" s="173">
        <f t="shared" si="2"/>
        <v>0</v>
      </c>
      <c r="J78" s="258"/>
      <c r="K78" s="215"/>
      <c r="L78" s="215"/>
      <c r="M78" s="215"/>
      <c r="N78" s="215"/>
      <c r="O78" s="215"/>
      <c r="P78" s="215"/>
      <c r="Q78" s="215"/>
      <c r="R78" s="310"/>
      <c r="S78" s="186"/>
      <c r="T78" s="94">
        <f t="shared" si="3"/>
        <v>0</v>
      </c>
      <c r="U78" s="173">
        <f t="shared" si="4"/>
        <v>0</v>
      </c>
      <c r="W78" s="115"/>
      <c r="X78" s="215"/>
      <c r="Y78" s="215"/>
      <c r="Z78" s="310"/>
      <c r="AA78" s="310"/>
      <c r="AB78" s="186"/>
      <c r="AC78" s="94">
        <f t="shared" si="10"/>
        <v>0</v>
      </c>
      <c r="AD78" s="173">
        <f t="shared" si="5"/>
        <v>0</v>
      </c>
      <c r="AE78" s="174"/>
      <c r="AG78" s="115"/>
      <c r="AH78" s="215"/>
      <c r="AI78" s="215"/>
      <c r="AJ78" s="215"/>
      <c r="AK78" s="186"/>
      <c r="AL78" s="94">
        <f t="shared" si="6"/>
        <v>0</v>
      </c>
      <c r="AM78" s="173">
        <f t="shared" si="7"/>
        <v>0</v>
      </c>
      <c r="AO78" s="115"/>
      <c r="AP78" s="215"/>
      <c r="AQ78" s="215"/>
      <c r="AR78" s="186"/>
      <c r="AS78" s="94">
        <f t="shared" si="8"/>
        <v>0</v>
      </c>
      <c r="AT78" s="173">
        <f t="shared" si="9"/>
        <v>0</v>
      </c>
    </row>
    <row r="79">
      <c r="A79" s="110" t="s">
        <v>119</v>
      </c>
      <c r="B79" s="195">
        <v>439.0</v>
      </c>
      <c r="C79" s="258"/>
      <c r="D79" s="409"/>
      <c r="E79" s="409"/>
      <c r="F79" s="257"/>
      <c r="G79" s="94">
        <f t="shared" si="1"/>
        <v>0</v>
      </c>
      <c r="H79" s="173">
        <f t="shared" si="2"/>
        <v>0</v>
      </c>
      <c r="J79" s="258"/>
      <c r="K79" s="215"/>
      <c r="L79" s="215"/>
      <c r="M79" s="215"/>
      <c r="N79" s="215"/>
      <c r="O79" s="215"/>
      <c r="P79" s="215"/>
      <c r="Q79" s="215"/>
      <c r="R79" s="310"/>
      <c r="S79" s="186"/>
      <c r="T79" s="94">
        <f t="shared" si="3"/>
        <v>0</v>
      </c>
      <c r="U79" s="173">
        <f t="shared" si="4"/>
        <v>0</v>
      </c>
      <c r="W79" s="115"/>
      <c r="X79" s="215"/>
      <c r="Y79" s="215"/>
      <c r="Z79" s="310"/>
      <c r="AA79" s="310"/>
      <c r="AB79" s="186"/>
      <c r="AC79" s="94">
        <f t="shared" si="10"/>
        <v>0</v>
      </c>
      <c r="AD79" s="173">
        <f t="shared" si="5"/>
        <v>0</v>
      </c>
      <c r="AE79" s="174"/>
      <c r="AG79" s="115"/>
      <c r="AH79" s="215"/>
      <c r="AI79" s="215"/>
      <c r="AJ79" s="215"/>
      <c r="AK79" s="186"/>
      <c r="AL79" s="94">
        <f t="shared" si="6"/>
        <v>0</v>
      </c>
      <c r="AM79" s="173">
        <f t="shared" si="7"/>
        <v>0</v>
      </c>
      <c r="AO79" s="115"/>
      <c r="AP79" s="215"/>
      <c r="AQ79" s="215"/>
      <c r="AR79" s="186"/>
      <c r="AS79" s="94">
        <f t="shared" si="8"/>
        <v>0</v>
      </c>
      <c r="AT79" s="173">
        <f t="shared" si="9"/>
        <v>0</v>
      </c>
    </row>
    <row r="80">
      <c r="A80" s="110" t="s">
        <v>120</v>
      </c>
      <c r="B80" s="195">
        <v>599.0</v>
      </c>
      <c r="C80" s="258"/>
      <c r="D80" s="409"/>
      <c r="E80" s="409"/>
      <c r="F80" s="257"/>
      <c r="G80" s="94">
        <f t="shared" si="1"/>
        <v>0</v>
      </c>
      <c r="H80" s="173">
        <f t="shared" si="2"/>
        <v>0</v>
      </c>
      <c r="J80" s="258"/>
      <c r="K80" s="215"/>
      <c r="L80" s="215"/>
      <c r="M80" s="215"/>
      <c r="N80" s="215"/>
      <c r="O80" s="215"/>
      <c r="P80" s="215"/>
      <c r="Q80" s="215"/>
      <c r="R80" s="310"/>
      <c r="S80" s="186"/>
      <c r="T80" s="94">
        <f t="shared" si="3"/>
        <v>0</v>
      </c>
      <c r="U80" s="173">
        <f t="shared" si="4"/>
        <v>0</v>
      </c>
      <c r="W80" s="115"/>
      <c r="X80" s="215"/>
      <c r="Y80" s="217">
        <v>1.0</v>
      </c>
      <c r="Z80" s="310"/>
      <c r="AA80" s="310"/>
      <c r="AB80" s="186"/>
      <c r="AC80" s="94">
        <f t="shared" si="10"/>
        <v>1</v>
      </c>
      <c r="AD80" s="173">
        <f t="shared" si="5"/>
        <v>0</v>
      </c>
      <c r="AE80" s="174"/>
      <c r="AG80" s="115"/>
      <c r="AH80" s="215"/>
      <c r="AI80" s="215"/>
      <c r="AJ80" s="215"/>
      <c r="AK80" s="186"/>
      <c r="AL80" s="94">
        <f t="shared" si="6"/>
        <v>2</v>
      </c>
      <c r="AM80" s="173">
        <f t="shared" si="7"/>
        <v>0</v>
      </c>
      <c r="AO80" s="115"/>
      <c r="AP80" s="215"/>
      <c r="AQ80" s="215"/>
      <c r="AR80" s="186"/>
      <c r="AS80" s="94">
        <f t="shared" si="8"/>
        <v>2</v>
      </c>
      <c r="AT80" s="173">
        <f t="shared" si="9"/>
        <v>0</v>
      </c>
    </row>
    <row r="81">
      <c r="A81" s="110" t="s">
        <v>121</v>
      </c>
      <c r="B81" s="195">
        <v>229.0</v>
      </c>
      <c r="C81" s="258"/>
      <c r="D81" s="409"/>
      <c r="E81" s="409"/>
      <c r="F81" s="257"/>
      <c r="G81" s="94">
        <f t="shared" si="1"/>
        <v>0</v>
      </c>
      <c r="H81" s="173">
        <f t="shared" si="2"/>
        <v>0</v>
      </c>
      <c r="J81" s="258"/>
      <c r="K81" s="215"/>
      <c r="L81" s="215"/>
      <c r="M81" s="215"/>
      <c r="N81" s="215"/>
      <c r="O81" s="215"/>
      <c r="P81" s="215"/>
      <c r="Q81" s="215"/>
      <c r="R81" s="310"/>
      <c r="S81" s="186"/>
      <c r="T81" s="94">
        <f t="shared" si="3"/>
        <v>0</v>
      </c>
      <c r="U81" s="173">
        <f t="shared" si="4"/>
        <v>0</v>
      </c>
      <c r="W81" s="115"/>
      <c r="X81" s="215"/>
      <c r="Y81" s="215"/>
      <c r="Z81" s="310"/>
      <c r="AA81" s="310"/>
      <c r="AB81" s="186"/>
      <c r="AC81" s="94">
        <f t="shared" si="10"/>
        <v>0</v>
      </c>
      <c r="AD81" s="173">
        <f t="shared" si="5"/>
        <v>0</v>
      </c>
      <c r="AE81" s="174"/>
      <c r="AG81" s="115"/>
      <c r="AH81" s="215"/>
      <c r="AI81" s="215"/>
      <c r="AJ81" s="215"/>
      <c r="AK81" s="186"/>
      <c r="AL81" s="94">
        <f t="shared" si="6"/>
        <v>0</v>
      </c>
      <c r="AM81" s="173">
        <f t="shared" si="7"/>
        <v>0</v>
      </c>
      <c r="AO81" s="115"/>
      <c r="AP81" s="215"/>
      <c r="AQ81" s="215"/>
      <c r="AR81" s="186"/>
      <c r="AS81" s="94">
        <f t="shared" si="8"/>
        <v>0</v>
      </c>
      <c r="AT81" s="173">
        <f t="shared" si="9"/>
        <v>0</v>
      </c>
    </row>
    <row r="82">
      <c r="A82" s="110" t="s">
        <v>122</v>
      </c>
      <c r="B82" s="195">
        <v>219.0</v>
      </c>
      <c r="C82" s="258"/>
      <c r="D82" s="409"/>
      <c r="E82" s="409"/>
      <c r="F82" s="257"/>
      <c r="G82" s="94">
        <f t="shared" si="1"/>
        <v>0</v>
      </c>
      <c r="H82" s="173">
        <f t="shared" si="2"/>
        <v>0</v>
      </c>
      <c r="J82" s="258"/>
      <c r="K82" s="215"/>
      <c r="L82" s="215"/>
      <c r="M82" s="215"/>
      <c r="N82" s="215"/>
      <c r="O82" s="215"/>
      <c r="P82" s="215"/>
      <c r="Q82" s="215"/>
      <c r="R82" s="310"/>
      <c r="S82" s="186"/>
      <c r="T82" s="94">
        <f t="shared" si="3"/>
        <v>0</v>
      </c>
      <c r="U82" s="173">
        <f t="shared" si="4"/>
        <v>0</v>
      </c>
      <c r="W82" s="115"/>
      <c r="X82" s="215"/>
      <c r="Y82" s="215"/>
      <c r="Z82" s="310"/>
      <c r="AA82" s="310"/>
      <c r="AB82" s="186"/>
      <c r="AC82" s="94">
        <f t="shared" si="10"/>
        <v>0</v>
      </c>
      <c r="AD82" s="173">
        <f t="shared" si="5"/>
        <v>0</v>
      </c>
      <c r="AE82" s="174"/>
      <c r="AG82" s="115"/>
      <c r="AH82" s="215"/>
      <c r="AI82" s="215"/>
      <c r="AJ82" s="215"/>
      <c r="AK82" s="186"/>
      <c r="AL82" s="94">
        <f t="shared" si="6"/>
        <v>0</v>
      </c>
      <c r="AM82" s="173">
        <f t="shared" si="7"/>
        <v>0</v>
      </c>
      <c r="AO82" s="115"/>
      <c r="AP82" s="215"/>
      <c r="AQ82" s="215"/>
      <c r="AR82" s="186"/>
      <c r="AS82" s="94">
        <f t="shared" si="8"/>
        <v>0</v>
      </c>
      <c r="AT82" s="173">
        <f t="shared" si="9"/>
        <v>0</v>
      </c>
    </row>
    <row r="83">
      <c r="A83" s="110" t="s">
        <v>123</v>
      </c>
      <c r="B83" s="195">
        <v>1299.0</v>
      </c>
      <c r="C83" s="258"/>
      <c r="D83" s="409"/>
      <c r="E83" s="409"/>
      <c r="F83" s="257"/>
      <c r="G83" s="94">
        <f t="shared" si="1"/>
        <v>0</v>
      </c>
      <c r="H83" s="173">
        <f t="shared" si="2"/>
        <v>0</v>
      </c>
      <c r="J83" s="258"/>
      <c r="K83" s="215"/>
      <c r="L83" s="215"/>
      <c r="M83" s="215"/>
      <c r="N83" s="215"/>
      <c r="O83" s="215"/>
      <c r="P83" s="215"/>
      <c r="Q83" s="215"/>
      <c r="R83" s="310"/>
      <c r="S83" s="186"/>
      <c r="T83" s="94">
        <f t="shared" si="3"/>
        <v>0</v>
      </c>
      <c r="U83" s="173">
        <f t="shared" si="4"/>
        <v>0</v>
      </c>
      <c r="W83" s="115"/>
      <c r="X83" s="215"/>
      <c r="Y83" s="215"/>
      <c r="Z83" s="310"/>
      <c r="AA83" s="310"/>
      <c r="AB83" s="186"/>
      <c r="AC83" s="94">
        <f t="shared" si="10"/>
        <v>0</v>
      </c>
      <c r="AD83" s="173">
        <f t="shared" si="5"/>
        <v>0</v>
      </c>
      <c r="AE83" s="174"/>
      <c r="AG83" s="115"/>
      <c r="AH83" s="215"/>
      <c r="AI83" s="215"/>
      <c r="AJ83" s="215"/>
      <c r="AK83" s="186"/>
      <c r="AL83" s="94">
        <f t="shared" si="6"/>
        <v>0</v>
      </c>
      <c r="AM83" s="173">
        <f t="shared" si="7"/>
        <v>0</v>
      </c>
      <c r="AO83" s="115"/>
      <c r="AP83" s="215"/>
      <c r="AQ83" s="215"/>
      <c r="AR83" s="186"/>
      <c r="AS83" s="94">
        <f t="shared" si="8"/>
        <v>0</v>
      </c>
      <c r="AT83" s="173">
        <f t="shared" si="9"/>
        <v>0</v>
      </c>
    </row>
    <row r="84">
      <c r="A84" s="102" t="s">
        <v>124</v>
      </c>
      <c r="B84" s="195">
        <v>1299.0</v>
      </c>
      <c r="C84" s="258"/>
      <c r="D84" s="409"/>
      <c r="E84" s="409"/>
      <c r="F84" s="257"/>
      <c r="G84" s="94">
        <f t="shared" si="1"/>
        <v>0</v>
      </c>
      <c r="H84" s="173">
        <f t="shared" si="2"/>
        <v>0</v>
      </c>
      <c r="J84" s="258"/>
      <c r="K84" s="215"/>
      <c r="L84" s="215"/>
      <c r="M84" s="215"/>
      <c r="N84" s="215"/>
      <c r="O84" s="215"/>
      <c r="P84" s="215"/>
      <c r="Q84" s="215"/>
      <c r="R84" s="310"/>
      <c r="S84" s="186"/>
      <c r="T84" s="94">
        <f t="shared" si="3"/>
        <v>0</v>
      </c>
      <c r="U84" s="173">
        <f t="shared" si="4"/>
        <v>0</v>
      </c>
      <c r="W84" s="115"/>
      <c r="X84" s="215"/>
      <c r="Y84" s="215"/>
      <c r="Z84" s="310"/>
      <c r="AA84" s="310"/>
      <c r="AB84" s="186"/>
      <c r="AC84" s="94">
        <f t="shared" si="10"/>
        <v>0</v>
      </c>
      <c r="AD84" s="173">
        <f t="shared" si="5"/>
        <v>0</v>
      </c>
      <c r="AE84" s="174"/>
      <c r="AG84" s="115"/>
      <c r="AH84" s="215"/>
      <c r="AI84" s="215"/>
      <c r="AJ84" s="215"/>
      <c r="AK84" s="186"/>
      <c r="AL84" s="94">
        <f t="shared" si="6"/>
        <v>0</v>
      </c>
      <c r="AM84" s="173">
        <f t="shared" si="7"/>
        <v>0</v>
      </c>
      <c r="AO84" s="115"/>
      <c r="AP84" s="215"/>
      <c r="AQ84" s="215"/>
      <c r="AR84" s="186"/>
      <c r="AS84" s="94">
        <f t="shared" si="8"/>
        <v>0</v>
      </c>
      <c r="AT84" s="173">
        <f t="shared" si="9"/>
        <v>0</v>
      </c>
    </row>
    <row r="85">
      <c r="A85" s="111" t="s">
        <v>125</v>
      </c>
      <c r="B85" s="195">
        <v>1299.0</v>
      </c>
      <c r="C85" s="258"/>
      <c r="D85" s="409"/>
      <c r="E85" s="409"/>
      <c r="F85" s="257"/>
      <c r="G85" s="94">
        <f t="shared" si="1"/>
        <v>0</v>
      </c>
      <c r="H85" s="173">
        <f t="shared" si="2"/>
        <v>0</v>
      </c>
      <c r="J85" s="258"/>
      <c r="K85" s="215"/>
      <c r="L85" s="215"/>
      <c r="M85" s="215"/>
      <c r="N85" s="215"/>
      <c r="O85" s="215"/>
      <c r="P85" s="215"/>
      <c r="Q85" s="215"/>
      <c r="R85" s="310"/>
      <c r="S85" s="186"/>
      <c r="T85" s="94">
        <f t="shared" si="3"/>
        <v>0</v>
      </c>
      <c r="U85" s="173">
        <f t="shared" si="4"/>
        <v>0</v>
      </c>
      <c r="W85" s="115"/>
      <c r="X85" s="215"/>
      <c r="Y85" s="215"/>
      <c r="Z85" s="310"/>
      <c r="AA85" s="310"/>
      <c r="AB85" s="186"/>
      <c r="AC85" s="94">
        <f t="shared" si="10"/>
        <v>0</v>
      </c>
      <c r="AD85" s="173">
        <f t="shared" si="5"/>
        <v>0</v>
      </c>
      <c r="AE85" s="174"/>
      <c r="AG85" s="115"/>
      <c r="AH85" s="215"/>
      <c r="AI85" s="215"/>
      <c r="AJ85" s="215"/>
      <c r="AK85" s="186"/>
      <c r="AL85" s="94">
        <f t="shared" si="6"/>
        <v>0</v>
      </c>
      <c r="AM85" s="173">
        <f t="shared" si="7"/>
        <v>0</v>
      </c>
      <c r="AO85" s="115"/>
      <c r="AP85" s="215"/>
      <c r="AQ85" s="215"/>
      <c r="AR85" s="186"/>
      <c r="AS85" s="94">
        <f t="shared" si="8"/>
        <v>0</v>
      </c>
      <c r="AT85" s="173">
        <f t="shared" si="9"/>
        <v>0</v>
      </c>
    </row>
    <row r="86">
      <c r="A86" s="112" t="s">
        <v>126</v>
      </c>
      <c r="B86" s="195">
        <v>1299.0</v>
      </c>
      <c r="C86" s="410"/>
      <c r="D86" s="411"/>
      <c r="E86" s="411"/>
      <c r="F86" s="257"/>
      <c r="G86" s="94">
        <f t="shared" si="1"/>
        <v>0</v>
      </c>
      <c r="H86" s="173">
        <f t="shared" si="2"/>
        <v>0</v>
      </c>
      <c r="J86" s="410"/>
      <c r="K86" s="227"/>
      <c r="L86" s="227"/>
      <c r="M86" s="227"/>
      <c r="N86" s="227"/>
      <c r="O86" s="227"/>
      <c r="P86" s="227"/>
      <c r="Q86" s="227"/>
      <c r="R86" s="336"/>
      <c r="S86" s="186"/>
      <c r="T86" s="94">
        <f t="shared" si="3"/>
        <v>0</v>
      </c>
      <c r="U86" s="173">
        <f t="shared" si="4"/>
        <v>0</v>
      </c>
      <c r="W86" s="226"/>
      <c r="X86" s="227"/>
      <c r="Y86" s="227"/>
      <c r="Z86" s="336"/>
      <c r="AA86" s="336"/>
      <c r="AB86" s="186"/>
      <c r="AC86" s="94">
        <f t="shared" si="10"/>
        <v>0</v>
      </c>
      <c r="AD86" s="173">
        <f t="shared" si="5"/>
        <v>0</v>
      </c>
      <c r="AE86" s="174"/>
      <c r="AG86" s="226"/>
      <c r="AH86" s="227"/>
      <c r="AI86" s="227"/>
      <c r="AJ86" s="227"/>
      <c r="AK86" s="186"/>
      <c r="AL86" s="94">
        <f t="shared" si="6"/>
        <v>0</v>
      </c>
      <c r="AM86" s="173">
        <f t="shared" si="7"/>
        <v>0</v>
      </c>
      <c r="AO86" s="226"/>
      <c r="AP86" s="227"/>
      <c r="AQ86" s="227"/>
      <c r="AR86" s="186"/>
      <c r="AS86" s="94">
        <f t="shared" si="8"/>
        <v>0</v>
      </c>
      <c r="AT86" s="173">
        <f t="shared" si="9"/>
        <v>0</v>
      </c>
    </row>
    <row r="87">
      <c r="A87" s="113"/>
      <c r="B87" s="412"/>
      <c r="C87" s="258"/>
      <c r="D87" s="409"/>
      <c r="E87" s="409"/>
      <c r="F87" s="257"/>
      <c r="G87" s="94">
        <f t="shared" si="1"/>
        <v>0</v>
      </c>
      <c r="H87" s="173">
        <f t="shared" si="2"/>
        <v>0</v>
      </c>
      <c r="J87" s="258"/>
      <c r="K87" s="215"/>
      <c r="L87" s="215"/>
      <c r="M87" s="215"/>
      <c r="N87" s="215"/>
      <c r="O87" s="215"/>
      <c r="P87" s="215"/>
      <c r="Q87" s="215"/>
      <c r="R87" s="310"/>
      <c r="S87" s="186"/>
      <c r="T87" s="94">
        <f t="shared" si="3"/>
        <v>0</v>
      </c>
      <c r="U87" s="173">
        <f t="shared" si="4"/>
        <v>0</v>
      </c>
      <c r="W87" s="115"/>
      <c r="X87" s="215"/>
      <c r="Y87" s="215"/>
      <c r="Z87" s="310"/>
      <c r="AA87" s="310"/>
      <c r="AB87" s="186"/>
      <c r="AC87" s="94">
        <f t="shared" si="10"/>
        <v>0</v>
      </c>
      <c r="AD87" s="173">
        <f t="shared" si="5"/>
        <v>0</v>
      </c>
      <c r="AE87" s="174"/>
      <c r="AG87" s="115"/>
      <c r="AH87" s="215"/>
      <c r="AI87" s="215"/>
      <c r="AJ87" s="215"/>
      <c r="AK87" s="186"/>
      <c r="AL87" s="94">
        <f t="shared" si="6"/>
        <v>0</v>
      </c>
      <c r="AM87" s="173">
        <f t="shared" si="7"/>
        <v>0</v>
      </c>
      <c r="AO87" s="115"/>
      <c r="AP87" s="215"/>
      <c r="AQ87" s="215"/>
      <c r="AR87" s="186"/>
      <c r="AS87" s="94">
        <f t="shared" si="8"/>
        <v>0</v>
      </c>
      <c r="AT87" s="173">
        <f t="shared" si="9"/>
        <v>0</v>
      </c>
    </row>
    <row r="88">
      <c r="A88" s="94" t="s">
        <v>127</v>
      </c>
      <c r="B88" s="195">
        <v>679.0</v>
      </c>
      <c r="C88" s="258"/>
      <c r="D88" s="413"/>
      <c r="E88" s="413"/>
      <c r="F88" s="257"/>
      <c r="G88" s="94">
        <f t="shared" si="1"/>
        <v>0</v>
      </c>
      <c r="H88" s="173">
        <f t="shared" si="2"/>
        <v>0</v>
      </c>
      <c r="J88" s="258"/>
      <c r="K88" s="230"/>
      <c r="L88" s="230"/>
      <c r="M88" s="230"/>
      <c r="N88" s="230"/>
      <c r="O88" s="230"/>
      <c r="P88" s="230"/>
      <c r="Q88" s="230"/>
      <c r="R88" s="414"/>
      <c r="S88" s="186"/>
      <c r="T88" s="94">
        <f t="shared" si="3"/>
        <v>0</v>
      </c>
      <c r="U88" s="173">
        <f t="shared" si="4"/>
        <v>0</v>
      </c>
      <c r="W88" s="115"/>
      <c r="X88" s="230"/>
      <c r="Y88" s="230"/>
      <c r="Z88" s="414"/>
      <c r="AA88" s="414"/>
      <c r="AB88" s="186"/>
      <c r="AC88" s="94">
        <f t="shared" si="10"/>
        <v>0</v>
      </c>
      <c r="AD88" s="173">
        <f t="shared" si="5"/>
        <v>0</v>
      </c>
      <c r="AE88" s="174"/>
      <c r="AG88" s="115"/>
      <c r="AH88" s="230"/>
      <c r="AI88" s="230"/>
      <c r="AJ88" s="230"/>
      <c r="AK88" s="186"/>
      <c r="AL88" s="121">
        <f t="shared" si="6"/>
        <v>0</v>
      </c>
      <c r="AM88" s="173">
        <f t="shared" si="7"/>
        <v>0</v>
      </c>
      <c r="AO88" s="115"/>
      <c r="AP88" s="230"/>
      <c r="AQ88" s="230"/>
      <c r="AR88" s="186"/>
      <c r="AS88" s="121">
        <f t="shared" si="8"/>
        <v>0</v>
      </c>
      <c r="AT88" s="173">
        <f t="shared" si="9"/>
        <v>0</v>
      </c>
    </row>
    <row r="89">
      <c r="A89" s="94" t="s">
        <v>128</v>
      </c>
      <c r="B89" s="195">
        <v>679.0</v>
      </c>
      <c r="C89" s="245"/>
      <c r="D89" s="413"/>
      <c r="E89" s="413"/>
      <c r="F89" s="257"/>
      <c r="G89" s="94">
        <f t="shared" si="1"/>
        <v>0</v>
      </c>
      <c r="H89" s="173">
        <f t="shared" si="2"/>
        <v>0</v>
      </c>
      <c r="J89" s="245"/>
      <c r="K89" s="230"/>
      <c r="L89" s="230"/>
      <c r="M89" s="230"/>
      <c r="N89" s="230"/>
      <c r="O89" s="230"/>
      <c r="P89" s="230"/>
      <c r="Q89" s="230"/>
      <c r="R89" s="414"/>
      <c r="S89" s="186"/>
      <c r="T89" s="94">
        <f t="shared" si="3"/>
        <v>0</v>
      </c>
      <c r="U89" s="173">
        <f t="shared" si="4"/>
        <v>0</v>
      </c>
      <c r="W89" s="104"/>
      <c r="X89" s="230"/>
      <c r="Y89" s="230"/>
      <c r="Z89" s="414"/>
      <c r="AA89" s="414"/>
      <c r="AB89" s="186"/>
      <c r="AC89" s="94">
        <f t="shared" si="10"/>
        <v>0</v>
      </c>
      <c r="AD89" s="173">
        <f t="shared" si="5"/>
        <v>0</v>
      </c>
      <c r="AE89" s="174"/>
      <c r="AG89" s="104"/>
      <c r="AH89" s="230"/>
      <c r="AI89" s="230"/>
      <c r="AJ89" s="230"/>
      <c r="AK89" s="186"/>
      <c r="AL89" s="121">
        <f t="shared" si="6"/>
        <v>0</v>
      </c>
      <c r="AM89" s="173">
        <f t="shared" si="7"/>
        <v>0</v>
      </c>
      <c r="AO89" s="104"/>
      <c r="AP89" s="230"/>
      <c r="AQ89" s="230"/>
      <c r="AR89" s="186"/>
      <c r="AS89" s="121">
        <f t="shared" si="8"/>
        <v>0</v>
      </c>
      <c r="AT89" s="173">
        <f t="shared" si="9"/>
        <v>0</v>
      </c>
    </row>
    <row r="90">
      <c r="A90" s="94" t="s">
        <v>129</v>
      </c>
      <c r="B90" s="195">
        <v>679.0</v>
      </c>
      <c r="C90" s="245"/>
      <c r="D90" s="413"/>
      <c r="E90" s="413"/>
      <c r="F90" s="257"/>
      <c r="G90" s="94">
        <f t="shared" si="1"/>
        <v>0</v>
      </c>
      <c r="H90" s="173">
        <f t="shared" si="2"/>
        <v>0</v>
      </c>
      <c r="J90" s="245"/>
      <c r="K90" s="230"/>
      <c r="L90" s="230"/>
      <c r="M90" s="230"/>
      <c r="N90" s="230"/>
      <c r="O90" s="230"/>
      <c r="P90" s="230"/>
      <c r="Q90" s="230"/>
      <c r="R90" s="414"/>
      <c r="S90" s="186"/>
      <c r="T90" s="94">
        <f t="shared" si="3"/>
        <v>0</v>
      </c>
      <c r="U90" s="173">
        <f t="shared" si="4"/>
        <v>0</v>
      </c>
      <c r="W90" s="104"/>
      <c r="X90" s="230"/>
      <c r="Y90" s="230"/>
      <c r="Z90" s="414"/>
      <c r="AA90" s="414"/>
      <c r="AB90" s="186"/>
      <c r="AC90" s="94">
        <f t="shared" si="10"/>
        <v>0</v>
      </c>
      <c r="AD90" s="173">
        <f t="shared" si="5"/>
        <v>0</v>
      </c>
      <c r="AE90" s="174"/>
      <c r="AG90" s="104"/>
      <c r="AH90" s="230"/>
      <c r="AI90" s="230"/>
      <c r="AJ90" s="230"/>
      <c r="AK90" s="186"/>
      <c r="AL90" s="121">
        <f t="shared" si="6"/>
        <v>0</v>
      </c>
      <c r="AM90" s="173">
        <f t="shared" si="7"/>
        <v>0</v>
      </c>
      <c r="AO90" s="104"/>
      <c r="AP90" s="230"/>
      <c r="AQ90" s="230"/>
      <c r="AR90" s="186"/>
      <c r="AS90" s="121">
        <f t="shared" si="8"/>
        <v>0</v>
      </c>
      <c r="AT90" s="173">
        <f t="shared" si="9"/>
        <v>0</v>
      </c>
    </row>
    <row r="91">
      <c r="A91" s="115"/>
      <c r="B91" s="171"/>
      <c r="C91" s="245"/>
      <c r="D91" s="413"/>
      <c r="E91" s="413"/>
      <c r="F91" s="257"/>
      <c r="G91" s="94">
        <f t="shared" si="1"/>
        <v>0</v>
      </c>
      <c r="H91" s="173">
        <f t="shared" si="2"/>
        <v>0</v>
      </c>
      <c r="J91" s="245"/>
      <c r="K91" s="230"/>
      <c r="L91" s="230"/>
      <c r="M91" s="230"/>
      <c r="N91" s="230"/>
      <c r="O91" s="230"/>
      <c r="P91" s="230"/>
      <c r="Q91" s="230"/>
      <c r="R91" s="414"/>
      <c r="S91" s="186"/>
      <c r="T91" s="94">
        <f t="shared" si="3"/>
        <v>0</v>
      </c>
      <c r="U91" s="173">
        <f t="shared" si="4"/>
        <v>0</v>
      </c>
      <c r="W91" s="104"/>
      <c r="X91" s="230"/>
      <c r="Y91" s="230"/>
      <c r="Z91" s="414"/>
      <c r="AA91" s="414"/>
      <c r="AB91" s="186"/>
      <c r="AC91" s="94">
        <f t="shared" si="10"/>
        <v>0</v>
      </c>
      <c r="AD91" s="173">
        <f t="shared" si="5"/>
        <v>0</v>
      </c>
      <c r="AE91" s="174"/>
      <c r="AG91" s="104"/>
      <c r="AH91" s="230"/>
      <c r="AI91" s="230"/>
      <c r="AJ91" s="230"/>
      <c r="AK91" s="186"/>
      <c r="AL91" s="121">
        <f t="shared" si="6"/>
        <v>0</v>
      </c>
      <c r="AM91" s="173">
        <f t="shared" si="7"/>
        <v>0</v>
      </c>
      <c r="AO91" s="104"/>
      <c r="AP91" s="230"/>
      <c r="AQ91" s="230"/>
      <c r="AR91" s="186"/>
      <c r="AS91" s="121">
        <f t="shared" si="8"/>
        <v>0</v>
      </c>
      <c r="AT91" s="173">
        <f t="shared" si="9"/>
        <v>0</v>
      </c>
    </row>
    <row r="92">
      <c r="A92" s="94" t="s">
        <v>130</v>
      </c>
      <c r="B92" s="195">
        <v>490.0</v>
      </c>
      <c r="C92" s="245"/>
      <c r="D92" s="413"/>
      <c r="E92" s="413"/>
      <c r="F92" s="257"/>
      <c r="G92" s="94">
        <f t="shared" si="1"/>
        <v>0</v>
      </c>
      <c r="H92" s="173">
        <f t="shared" si="2"/>
        <v>0</v>
      </c>
      <c r="J92" s="245"/>
      <c r="K92" s="230"/>
      <c r="L92" s="230"/>
      <c r="M92" s="230"/>
      <c r="N92" s="230"/>
      <c r="O92" s="230"/>
      <c r="P92" s="230"/>
      <c r="Q92" s="230"/>
      <c r="R92" s="414"/>
      <c r="S92" s="186"/>
      <c r="T92" s="94">
        <f t="shared" si="3"/>
        <v>0</v>
      </c>
      <c r="U92" s="173">
        <f t="shared" si="4"/>
        <v>0</v>
      </c>
      <c r="W92" s="104"/>
      <c r="X92" s="230"/>
      <c r="Y92" s="230"/>
      <c r="Z92" s="414"/>
      <c r="AA92" s="414"/>
      <c r="AB92" s="186"/>
      <c r="AC92" s="94">
        <f t="shared" si="10"/>
        <v>0</v>
      </c>
      <c r="AD92" s="173">
        <f t="shared" si="5"/>
        <v>0</v>
      </c>
      <c r="AE92" s="174"/>
      <c r="AG92" s="104"/>
      <c r="AH92" s="230"/>
      <c r="AI92" s="230"/>
      <c r="AJ92" s="230"/>
      <c r="AK92" s="186"/>
      <c r="AL92" s="121">
        <f t="shared" si="6"/>
        <v>0</v>
      </c>
      <c r="AM92" s="173">
        <f t="shared" si="7"/>
        <v>0</v>
      </c>
      <c r="AO92" s="104"/>
      <c r="AP92" s="230"/>
      <c r="AQ92" s="230"/>
      <c r="AR92" s="186"/>
      <c r="AS92" s="121">
        <f t="shared" si="8"/>
        <v>0</v>
      </c>
      <c r="AT92" s="173">
        <f t="shared" si="9"/>
        <v>0</v>
      </c>
    </row>
    <row r="93">
      <c r="A93" s="94" t="s">
        <v>131</v>
      </c>
      <c r="B93" s="195">
        <v>490.0</v>
      </c>
      <c r="C93" s="245"/>
      <c r="D93" s="413"/>
      <c r="E93" s="413"/>
      <c r="F93" s="257"/>
      <c r="G93" s="94">
        <f t="shared" si="1"/>
        <v>0</v>
      </c>
      <c r="H93" s="173">
        <f t="shared" si="2"/>
        <v>0</v>
      </c>
      <c r="J93" s="245"/>
      <c r="K93" s="230"/>
      <c r="L93" s="230"/>
      <c r="M93" s="230"/>
      <c r="N93" s="230"/>
      <c r="O93" s="230"/>
      <c r="P93" s="230"/>
      <c r="Q93" s="230"/>
      <c r="R93" s="414"/>
      <c r="S93" s="186"/>
      <c r="T93" s="94">
        <f t="shared" si="3"/>
        <v>0</v>
      </c>
      <c r="U93" s="173">
        <f t="shared" si="4"/>
        <v>0</v>
      </c>
      <c r="W93" s="104"/>
      <c r="X93" s="230"/>
      <c r="Y93" s="230"/>
      <c r="Z93" s="414"/>
      <c r="AA93" s="414"/>
      <c r="AB93" s="186"/>
      <c r="AC93" s="94">
        <f t="shared" si="10"/>
        <v>0</v>
      </c>
      <c r="AD93" s="173">
        <f t="shared" si="5"/>
        <v>0</v>
      </c>
      <c r="AE93" s="174"/>
      <c r="AG93" s="104"/>
      <c r="AH93" s="230"/>
      <c r="AI93" s="230"/>
      <c r="AJ93" s="230"/>
      <c r="AK93" s="186"/>
      <c r="AL93" s="121">
        <f t="shared" si="6"/>
        <v>0</v>
      </c>
      <c r="AM93" s="173">
        <f t="shared" si="7"/>
        <v>0</v>
      </c>
      <c r="AO93" s="104"/>
      <c r="AP93" s="230"/>
      <c r="AQ93" s="230"/>
      <c r="AR93" s="186"/>
      <c r="AS93" s="121">
        <f t="shared" si="8"/>
        <v>0</v>
      </c>
      <c r="AT93" s="173">
        <f t="shared" si="9"/>
        <v>0</v>
      </c>
    </row>
    <row r="94">
      <c r="A94" s="94" t="s">
        <v>132</v>
      </c>
      <c r="B94" s="195">
        <v>450.0</v>
      </c>
      <c r="C94" s="245"/>
      <c r="D94" s="413"/>
      <c r="E94" s="413"/>
      <c r="F94" s="257"/>
      <c r="G94" s="94">
        <f t="shared" si="1"/>
        <v>0</v>
      </c>
      <c r="H94" s="173">
        <f t="shared" si="2"/>
        <v>0</v>
      </c>
      <c r="J94" s="245"/>
      <c r="K94" s="230"/>
      <c r="L94" s="230"/>
      <c r="M94" s="230"/>
      <c r="N94" s="230"/>
      <c r="O94" s="230"/>
      <c r="P94" s="230"/>
      <c r="Q94" s="230"/>
      <c r="R94" s="414"/>
      <c r="S94" s="186"/>
      <c r="T94" s="94">
        <f t="shared" si="3"/>
        <v>0</v>
      </c>
      <c r="U94" s="173">
        <f t="shared" si="4"/>
        <v>0</v>
      </c>
      <c r="W94" s="104"/>
      <c r="X94" s="230"/>
      <c r="Y94" s="230"/>
      <c r="Z94" s="414"/>
      <c r="AA94" s="414"/>
      <c r="AB94" s="186"/>
      <c r="AC94" s="94">
        <f t="shared" si="10"/>
        <v>0</v>
      </c>
      <c r="AD94" s="173">
        <f t="shared" si="5"/>
        <v>0</v>
      </c>
      <c r="AE94" s="174"/>
      <c r="AG94" s="104"/>
      <c r="AH94" s="230"/>
      <c r="AI94" s="230"/>
      <c r="AJ94" s="230"/>
      <c r="AK94" s="186"/>
      <c r="AL94" s="121">
        <f t="shared" si="6"/>
        <v>0</v>
      </c>
      <c r="AM94" s="173">
        <f t="shared" si="7"/>
        <v>0</v>
      </c>
      <c r="AO94" s="104"/>
      <c r="AP94" s="230"/>
      <c r="AQ94" s="230"/>
      <c r="AR94" s="186"/>
      <c r="AS94" s="121">
        <f t="shared" si="8"/>
        <v>0</v>
      </c>
      <c r="AT94" s="173">
        <f t="shared" si="9"/>
        <v>0</v>
      </c>
    </row>
    <row r="95">
      <c r="A95" s="117" t="s">
        <v>265</v>
      </c>
      <c r="B95" s="415">
        <v>450.0</v>
      </c>
      <c r="C95" s="245"/>
      <c r="D95" s="413"/>
      <c r="E95" s="413"/>
      <c r="F95" s="257"/>
      <c r="G95" s="94">
        <f t="shared" si="1"/>
        <v>0</v>
      </c>
      <c r="H95" s="173">
        <f t="shared" si="2"/>
        <v>0</v>
      </c>
      <c r="J95" s="245"/>
      <c r="K95" s="230"/>
      <c r="L95" s="230"/>
      <c r="M95" s="230"/>
      <c r="N95" s="230"/>
      <c r="O95" s="230"/>
      <c r="P95" s="230"/>
      <c r="Q95" s="230"/>
      <c r="R95" s="414"/>
      <c r="S95" s="186"/>
      <c r="T95" s="94">
        <f t="shared" si="3"/>
        <v>0</v>
      </c>
      <c r="U95" s="173">
        <f t="shared" si="4"/>
        <v>0</v>
      </c>
      <c r="W95" s="104"/>
      <c r="X95" s="230"/>
      <c r="Y95" s="230"/>
      <c r="Z95" s="414"/>
      <c r="AA95" s="414"/>
      <c r="AB95" s="186"/>
      <c r="AC95" s="94">
        <f t="shared" si="10"/>
        <v>0</v>
      </c>
      <c r="AD95" s="173">
        <f t="shared" si="5"/>
        <v>0</v>
      </c>
      <c r="AE95" s="174"/>
      <c r="AG95" s="104"/>
      <c r="AH95" s="230"/>
      <c r="AI95" s="230"/>
      <c r="AJ95" s="230"/>
      <c r="AK95" s="186"/>
      <c r="AL95" s="121">
        <f t="shared" si="6"/>
        <v>0</v>
      </c>
      <c r="AM95" s="173">
        <f t="shared" si="7"/>
        <v>0</v>
      </c>
      <c r="AO95" s="104"/>
      <c r="AP95" s="230"/>
      <c r="AQ95" s="230"/>
      <c r="AR95" s="186"/>
      <c r="AS95" s="121">
        <f t="shared" si="8"/>
        <v>0</v>
      </c>
      <c r="AT95" s="173">
        <f t="shared" si="9"/>
        <v>0</v>
      </c>
    </row>
    <row r="96">
      <c r="A96" s="234"/>
      <c r="B96" s="228"/>
      <c r="C96" s="245"/>
      <c r="D96" s="416"/>
      <c r="E96" s="416"/>
      <c r="F96" s="248"/>
      <c r="G96" s="94">
        <f t="shared" si="1"/>
        <v>0</v>
      </c>
      <c r="H96" s="173">
        <f t="shared" si="2"/>
        <v>0</v>
      </c>
      <c r="J96" s="245"/>
      <c r="K96" s="235"/>
      <c r="L96" s="235"/>
      <c r="M96" s="235"/>
      <c r="N96" s="235"/>
      <c r="O96" s="235"/>
      <c r="P96" s="235"/>
      <c r="Q96" s="235"/>
      <c r="R96" s="417"/>
      <c r="S96" s="418"/>
      <c r="T96" s="94">
        <f t="shared" si="3"/>
        <v>0</v>
      </c>
      <c r="U96" s="173">
        <f t="shared" si="4"/>
        <v>0</v>
      </c>
      <c r="W96" s="104"/>
      <c r="X96" s="235"/>
      <c r="Y96" s="235"/>
      <c r="Z96" s="417"/>
      <c r="AA96" s="417"/>
      <c r="AB96" s="418"/>
      <c r="AC96" s="94">
        <f t="shared" si="10"/>
        <v>0</v>
      </c>
      <c r="AD96" s="173">
        <f t="shared" si="5"/>
        <v>0</v>
      </c>
      <c r="AE96" s="174"/>
      <c r="AG96" s="104"/>
      <c r="AH96" s="235"/>
      <c r="AI96" s="235"/>
      <c r="AJ96" s="235"/>
      <c r="AK96" s="418"/>
      <c r="AL96" s="419">
        <f t="shared" si="6"/>
        <v>0</v>
      </c>
      <c r="AM96" s="173">
        <f t="shared" si="7"/>
        <v>0</v>
      </c>
      <c r="AO96" s="104"/>
      <c r="AP96" s="235"/>
      <c r="AQ96" s="235"/>
      <c r="AR96" s="418"/>
      <c r="AS96" s="419">
        <f t="shared" si="8"/>
        <v>0</v>
      </c>
      <c r="AT96" s="173">
        <f t="shared" si="9"/>
        <v>0</v>
      </c>
    </row>
    <row r="97">
      <c r="A97" s="420" t="s">
        <v>134</v>
      </c>
      <c r="B97" s="421">
        <v>1054.0</v>
      </c>
      <c r="C97" s="422"/>
      <c r="D97" s="423"/>
      <c r="E97" s="423"/>
      <c r="F97" s="424"/>
      <c r="G97" s="94">
        <f t="shared" si="1"/>
        <v>0</v>
      </c>
      <c r="H97" s="173">
        <f t="shared" si="2"/>
        <v>0</v>
      </c>
      <c r="I97" s="425"/>
      <c r="J97" s="422"/>
      <c r="K97" s="350"/>
      <c r="L97" s="350"/>
      <c r="M97" s="350"/>
      <c r="N97" s="350"/>
      <c r="O97" s="350"/>
      <c r="P97" s="350"/>
      <c r="Q97" s="350"/>
      <c r="R97" s="426"/>
      <c r="S97" s="426"/>
      <c r="T97" s="427">
        <f t="shared" si="3"/>
        <v>0</v>
      </c>
      <c r="U97" s="173">
        <f t="shared" si="4"/>
        <v>0</v>
      </c>
      <c r="V97" s="425"/>
      <c r="W97" s="428"/>
      <c r="X97" s="350"/>
      <c r="Y97" s="350"/>
      <c r="Z97" s="426"/>
      <c r="AA97" s="426"/>
      <c r="AB97" s="426"/>
      <c r="AC97" s="427">
        <f t="shared" si="10"/>
        <v>0</v>
      </c>
      <c r="AD97" s="173">
        <f t="shared" si="5"/>
        <v>0</v>
      </c>
      <c r="AE97" s="174"/>
      <c r="AF97" s="425"/>
      <c r="AG97" s="428"/>
      <c r="AH97" s="350"/>
      <c r="AI97" s="350"/>
      <c r="AJ97" s="350"/>
      <c r="AK97" s="426"/>
      <c r="AL97" s="427">
        <f t="shared" si="6"/>
        <v>0</v>
      </c>
      <c r="AM97" s="173">
        <f t="shared" si="7"/>
        <v>0</v>
      </c>
      <c r="AN97" s="425"/>
      <c r="AO97" s="428"/>
      <c r="AP97" s="350"/>
      <c r="AQ97" s="350"/>
      <c r="AR97" s="426"/>
      <c r="AS97" s="427">
        <f t="shared" si="8"/>
        <v>0</v>
      </c>
      <c r="AT97" s="173">
        <f t="shared" si="9"/>
        <v>0</v>
      </c>
    </row>
    <row r="98">
      <c r="A98" s="351" t="s">
        <v>135</v>
      </c>
      <c r="B98" s="429"/>
      <c r="C98" s="430"/>
      <c r="D98" s="431"/>
      <c r="E98" s="431"/>
      <c r="F98" s="432"/>
      <c r="G98" s="359"/>
      <c r="H98" s="355"/>
      <c r="J98" s="430"/>
      <c r="K98" s="353"/>
      <c r="L98" s="353"/>
      <c r="M98" s="353"/>
      <c r="N98" s="353"/>
      <c r="O98" s="353"/>
      <c r="P98" s="353"/>
      <c r="Q98" s="353"/>
      <c r="R98" s="353"/>
      <c r="S98" s="353"/>
      <c r="T98" s="359"/>
      <c r="U98" s="355"/>
      <c r="W98" s="352"/>
      <c r="X98" s="353"/>
      <c r="Y98" s="353"/>
      <c r="Z98" s="353"/>
      <c r="AA98" s="353"/>
      <c r="AB98" s="353"/>
      <c r="AC98" s="359"/>
      <c r="AD98" s="355"/>
      <c r="AE98" s="174"/>
      <c r="AG98" s="352"/>
      <c r="AH98" s="353"/>
      <c r="AI98" s="353"/>
      <c r="AJ98" s="353"/>
      <c r="AK98" s="353"/>
      <c r="AL98" s="359"/>
      <c r="AM98" s="355"/>
      <c r="AO98" s="352"/>
      <c r="AP98" s="353"/>
      <c r="AQ98" s="353"/>
      <c r="AR98" s="353"/>
      <c r="AS98" s="359"/>
      <c r="AT98" s="355"/>
    </row>
    <row r="99">
      <c r="A99" s="283"/>
      <c r="B99" s="280"/>
      <c r="C99" s="433">
        <f t="shared" ref="C99:F99" si="11">SUM(C8:C14)*329+SUM(C15)*219+SUM(C19:C21)*239+SUM(C22:C24)*219+SUM(C27)*799+SUM(C28)*609+SUM(C29:C30)*329+SUM(C31:C32)*219+SUM(C33)*439+SUM(C34)*899+SUM(C35:C37)*549+SUM(C38:C39)*799+SUM(C40:C41)*439+SUM(C42)*60+SUM(C43)*609+SUM(C44:C45)*379+SUM(C46:C47)*1299+SUM(C50:C51)*609+SUM(C52)*329+SUM(C55)*599+SUM(C58:C60)*329+SUM(C61)*249+SUM(C62:C64)*439+SUM(C65:C67)*799+SUM(C68:C70)*1299+SUM(C71)*609+SUM(C72:C74)*1599+SUM(C75)*3059+SUM(C77)*379+SUM(C78)*799+SUM(C79)*439+SUM(C80)*599+SUM(C81)*229+SUM(C82)*219+SUM(C83:C86)*1299+SUM(C88:C90)*679+SUM(C92:C93)*490+SUM(C94:C95)*450+SUM(C97)*1054</f>
        <v>799</v>
      </c>
      <c r="D99" s="433">
        <f t="shared" si="11"/>
        <v>249</v>
      </c>
      <c r="E99" s="433">
        <f t="shared" si="11"/>
        <v>658</v>
      </c>
      <c r="F99" s="433">
        <f t="shared" si="11"/>
        <v>708</v>
      </c>
      <c r="G99" s="279"/>
      <c r="H99" s="277">
        <f>SUM(C99:F99)</f>
        <v>2414</v>
      </c>
      <c r="J99" s="275">
        <f t="shared" ref="J99:S99" si="12">SUM(J8:J14)*329+SUM(J15)*219+SUM(J19:J21)*239+SUM(J22:J24)*219+SUM(J27)*799+SUM(J28)*609+SUM(J29:J30)*329+SUM(J31:J32)*219+SUM(J33)*439+SUM(J34)*899+SUM(J35:J37)*549+SUM(J38:J39)*799+SUM(J40:J41)*439+SUM(J42)*60+SUM(J43)*609+SUM(J44:J45)*379+SUM(J46:J47)*1299+SUM(J50:J51)*609+SUM(J52)*329+SUM(J55)*599+SUM(J58:J60)*329+SUM(J61)*249+SUM(J62:J64)*439+SUM(J65:J67)*799+SUM(J68:J70)*1299+SUM(J71)*609+SUM(J72:J74)*1599+SUM(J75)*3059+SUM(J77)*379+SUM(J78)*799+SUM(J79)*439+SUM(J80)*599+SUM(J81)*229+SUM(J82)*219+SUM(J83:J86)*1299+SUM(J88:J90)*679+SUM(J92:J93)*490+SUM(J94:J95)*450+SUM(J97)*1054</f>
        <v>329</v>
      </c>
      <c r="K99" s="433">
        <f t="shared" si="12"/>
        <v>439</v>
      </c>
      <c r="L99" s="433">
        <f t="shared" si="12"/>
        <v>329</v>
      </c>
      <c r="M99" s="433">
        <f t="shared" si="12"/>
        <v>439</v>
      </c>
      <c r="N99" s="433">
        <f t="shared" si="12"/>
        <v>329</v>
      </c>
      <c r="O99" s="433">
        <f t="shared" si="12"/>
        <v>658</v>
      </c>
      <c r="P99" s="433">
        <f t="shared" si="12"/>
        <v>329</v>
      </c>
      <c r="Q99" s="433">
        <f t="shared" si="12"/>
        <v>658</v>
      </c>
      <c r="R99" s="433">
        <f t="shared" si="12"/>
        <v>329</v>
      </c>
      <c r="S99" s="433">
        <f t="shared" si="12"/>
        <v>329</v>
      </c>
      <c r="T99" s="279"/>
      <c r="U99" s="277">
        <f>SUM(J99:S99)</f>
        <v>4168</v>
      </c>
      <c r="W99" s="391">
        <v>219.0</v>
      </c>
      <c r="X99" s="391">
        <v>549.0</v>
      </c>
      <c r="Y99" s="391">
        <v>599.0</v>
      </c>
      <c r="Z99" s="391">
        <v>329.0</v>
      </c>
      <c r="AA99" s="391">
        <v>329.0</v>
      </c>
      <c r="AB99" s="277">
        <f>329*3</f>
        <v>987</v>
      </c>
      <c r="AC99" s="279"/>
      <c r="AD99" s="277">
        <f>SUM(Q99:AB99)</f>
        <v>8496</v>
      </c>
      <c r="AE99" s="277"/>
      <c r="AG99" s="391">
        <v>329.0</v>
      </c>
      <c r="AH99" s="391">
        <v>329.0</v>
      </c>
      <c r="AI99" s="391">
        <v>658.0</v>
      </c>
      <c r="AJ99" s="391">
        <v>329.0</v>
      </c>
      <c r="AK99" s="391">
        <v>609.0</v>
      </c>
      <c r="AL99" s="279"/>
      <c r="AM99" s="277">
        <f>SUM(Y99:AK99)</f>
        <v>12994</v>
      </c>
      <c r="AO99" s="277"/>
      <c r="AP99" s="277"/>
      <c r="AQ99" s="277"/>
      <c r="AR99" s="277"/>
      <c r="AS99" s="279"/>
      <c r="AT99" s="277">
        <f>SUM(AO99:AR99)</f>
        <v>0</v>
      </c>
    </row>
    <row r="100">
      <c r="A100" s="72"/>
      <c r="B100" s="280"/>
      <c r="C100" s="71"/>
      <c r="D100" s="71"/>
      <c r="E100" s="71"/>
      <c r="F100" s="71"/>
      <c r="J100" s="71"/>
      <c r="AO100" s="1">
        <v>329.0</v>
      </c>
      <c r="AP100" s="1">
        <v>609.0</v>
      </c>
      <c r="AT100" s="434">
        <f>sum(AO100:AQ100)</f>
        <v>938</v>
      </c>
    </row>
    <row r="101">
      <c r="A101" s="284" t="s">
        <v>270</v>
      </c>
      <c r="C101" s="71"/>
      <c r="D101" s="71"/>
      <c r="E101" s="71"/>
      <c r="F101" s="71"/>
      <c r="J101" s="71"/>
    </row>
    <row r="102">
      <c r="A102" s="283"/>
      <c r="B102" s="284" t="s">
        <v>271</v>
      </c>
      <c r="C102" s="71"/>
      <c r="D102" s="71"/>
      <c r="E102" s="71"/>
      <c r="F102" s="71"/>
      <c r="J102" s="71"/>
    </row>
    <row r="103">
      <c r="A103" s="286" t="s">
        <v>272</v>
      </c>
      <c r="C103" s="71"/>
      <c r="D103" s="71"/>
      <c r="E103" s="71"/>
      <c r="F103" s="71"/>
      <c r="J103" s="71"/>
    </row>
    <row r="104">
      <c r="A104" s="286" t="s">
        <v>273</v>
      </c>
      <c r="C104" s="71"/>
      <c r="D104" s="71"/>
      <c r="E104" s="71"/>
      <c r="F104" s="71"/>
      <c r="J104" s="71"/>
    </row>
    <row r="105">
      <c r="A105" s="287" t="s">
        <v>274</v>
      </c>
      <c r="B105" s="288"/>
      <c r="C105" s="71"/>
      <c r="D105" s="71"/>
      <c r="E105" s="71"/>
      <c r="F105" s="71"/>
      <c r="J105" s="71"/>
    </row>
    <row r="106">
      <c r="A106" s="291" t="s">
        <v>275</v>
      </c>
      <c r="C106" s="71"/>
      <c r="D106" s="71"/>
      <c r="E106" s="71"/>
      <c r="F106" s="71"/>
      <c r="J106" s="71"/>
    </row>
    <row r="107">
      <c r="A107" s="72"/>
      <c r="B107" s="280"/>
      <c r="C107" s="71"/>
      <c r="D107" s="71"/>
      <c r="E107" s="71"/>
      <c r="F107" s="71"/>
      <c r="J107" s="71"/>
    </row>
    <row r="108">
      <c r="A108" s="291">
        <f>H99</f>
        <v>2414</v>
      </c>
      <c r="B108" s="243" t="s">
        <v>136</v>
      </c>
      <c r="C108" s="71"/>
      <c r="D108" s="71"/>
      <c r="E108" s="71"/>
      <c r="F108" s="71"/>
      <c r="J108" s="71"/>
    </row>
    <row r="109">
      <c r="A109" s="291">
        <f>U99</f>
        <v>4168</v>
      </c>
      <c r="B109" s="243" t="s">
        <v>276</v>
      </c>
      <c r="C109" s="71"/>
      <c r="D109" s="71"/>
      <c r="E109" s="71"/>
      <c r="F109" s="71"/>
      <c r="J109" s="71"/>
    </row>
    <row r="110">
      <c r="A110" s="291">
        <f>AD99</f>
        <v>8496</v>
      </c>
      <c r="B110" s="243" t="s">
        <v>277</v>
      </c>
      <c r="C110" s="71"/>
      <c r="D110" s="71"/>
      <c r="E110" s="71"/>
      <c r="F110" s="71"/>
      <c r="J110" s="71"/>
    </row>
    <row r="111">
      <c r="A111" s="291">
        <f>AM99</f>
        <v>12994</v>
      </c>
      <c r="B111" s="243" t="s">
        <v>278</v>
      </c>
      <c r="C111" s="71"/>
      <c r="D111" s="71"/>
      <c r="E111" s="71"/>
      <c r="F111" s="71"/>
      <c r="J111" s="71"/>
    </row>
    <row r="112">
      <c r="A112" s="291">
        <f>AT100</f>
        <v>938</v>
      </c>
      <c r="B112" s="243" t="s">
        <v>4</v>
      </c>
      <c r="C112" s="71"/>
      <c r="D112" s="71"/>
      <c r="E112" s="71"/>
      <c r="F112" s="71"/>
      <c r="J112" s="71"/>
    </row>
    <row r="113">
      <c r="A113" s="291" t="str">
        <f>IK99</f>
        <v/>
      </c>
      <c r="B113" s="243" t="s">
        <v>279</v>
      </c>
      <c r="C113" s="71"/>
      <c r="D113" s="71"/>
      <c r="E113" s="71"/>
      <c r="F113" s="71"/>
      <c r="J113" s="71"/>
    </row>
    <row r="114">
      <c r="A114" s="291" t="str">
        <f>KA99</f>
        <v/>
      </c>
      <c r="B114" s="243" t="s">
        <v>280</v>
      </c>
      <c r="C114" s="71"/>
      <c r="D114" s="71"/>
      <c r="E114" s="71"/>
      <c r="F114" s="71"/>
      <c r="J114" s="71"/>
    </row>
    <row r="115">
      <c r="A115" s="291" t="str">
        <f>LV99</f>
        <v/>
      </c>
      <c r="B115" s="243" t="s">
        <v>281</v>
      </c>
      <c r="C115" s="71"/>
      <c r="D115" s="71"/>
      <c r="E115" s="71"/>
      <c r="F115" s="71"/>
      <c r="J115" s="71"/>
    </row>
    <row r="116">
      <c r="A116" s="291" t="str">
        <f>NS99</f>
        <v/>
      </c>
      <c r="B116" s="243" t="s">
        <v>282</v>
      </c>
      <c r="C116" s="71"/>
      <c r="D116" s="71"/>
      <c r="E116" s="71"/>
      <c r="F116" s="71"/>
      <c r="J116" s="71"/>
    </row>
    <row r="117">
      <c r="A117" s="291" t="str">
        <f>PD99</f>
        <v/>
      </c>
      <c r="B117" s="243" t="s">
        <v>283</v>
      </c>
      <c r="C117" s="71"/>
      <c r="D117" s="71"/>
      <c r="E117" s="71"/>
      <c r="F117" s="71"/>
      <c r="J117" s="71"/>
    </row>
    <row r="118">
      <c r="A118" s="291" t="str">
        <f>QX99</f>
        <v/>
      </c>
      <c r="B118" s="243" t="s">
        <v>284</v>
      </c>
      <c r="C118" s="71"/>
      <c r="D118" s="71"/>
      <c r="E118" s="71"/>
      <c r="F118" s="71"/>
      <c r="J118" s="71"/>
    </row>
    <row r="119">
      <c r="A119" s="290" t="str">
        <f>ARW100</f>
        <v/>
      </c>
      <c r="B119" s="292" t="s">
        <v>285</v>
      </c>
      <c r="C119" s="71"/>
      <c r="D119" s="71"/>
      <c r="E119" s="71"/>
      <c r="F119" s="71"/>
      <c r="J119" s="71"/>
    </row>
    <row r="120">
      <c r="A120" s="291">
        <f>sum(A108:A116)</f>
        <v>29010</v>
      </c>
      <c r="B120" s="280"/>
      <c r="C120" s="71"/>
      <c r="D120" s="71"/>
      <c r="E120" s="71"/>
      <c r="F120" s="71"/>
      <c r="J120" s="71"/>
    </row>
    <row r="121">
      <c r="A121" s="72"/>
      <c r="B121" s="280"/>
      <c r="C121" s="71"/>
      <c r="D121" s="71"/>
      <c r="E121" s="71"/>
      <c r="F121" s="71"/>
      <c r="J121" s="71"/>
    </row>
    <row r="122">
      <c r="A122" s="72"/>
      <c r="B122" s="280"/>
      <c r="C122" s="71"/>
      <c r="D122" s="71"/>
      <c r="E122" s="71"/>
      <c r="F122" s="71"/>
      <c r="J122" s="71"/>
    </row>
    <row r="123">
      <c r="C123" s="71"/>
      <c r="D123" s="71"/>
      <c r="E123" s="71"/>
      <c r="F123" s="71"/>
      <c r="J123" s="71"/>
    </row>
    <row r="124">
      <c r="C124" s="71"/>
      <c r="D124" s="71"/>
      <c r="E124" s="71"/>
      <c r="F124" s="71"/>
      <c r="J124" s="71"/>
    </row>
    <row r="125">
      <c r="C125" s="71"/>
      <c r="D125" s="71"/>
      <c r="E125" s="71"/>
      <c r="F125" s="71"/>
      <c r="J125" s="71"/>
    </row>
    <row r="126">
      <c r="C126" s="71"/>
      <c r="D126" s="71"/>
      <c r="E126" s="71"/>
      <c r="F126" s="71"/>
      <c r="J126" s="71"/>
    </row>
    <row r="127">
      <c r="C127" s="71"/>
      <c r="D127" s="71"/>
      <c r="E127" s="71"/>
      <c r="F127" s="71"/>
      <c r="J127" s="71"/>
    </row>
    <row r="128">
      <c r="C128" s="71"/>
      <c r="D128" s="71"/>
      <c r="E128" s="71"/>
      <c r="F128" s="71"/>
      <c r="J128" s="71"/>
    </row>
    <row r="129">
      <c r="C129" s="71"/>
      <c r="D129" s="71"/>
      <c r="E129" s="71"/>
      <c r="F129" s="71"/>
      <c r="J129" s="71"/>
    </row>
    <row r="130">
      <c r="C130" s="71"/>
      <c r="D130" s="71"/>
      <c r="E130" s="71"/>
      <c r="F130" s="71"/>
      <c r="J130" s="71"/>
    </row>
    <row r="131">
      <c r="C131" s="71"/>
      <c r="D131" s="71"/>
      <c r="E131" s="71"/>
      <c r="F131" s="71"/>
      <c r="J131" s="71"/>
    </row>
    <row r="132">
      <c r="C132" s="71"/>
      <c r="D132" s="71"/>
      <c r="E132" s="71"/>
      <c r="F132" s="71"/>
      <c r="J132" s="71"/>
    </row>
    <row r="133">
      <c r="C133" s="71"/>
      <c r="D133" s="71"/>
      <c r="E133" s="71"/>
      <c r="F133" s="71"/>
      <c r="J133" s="71"/>
    </row>
    <row r="134">
      <c r="C134" s="71"/>
      <c r="D134" s="71"/>
      <c r="E134" s="71"/>
      <c r="F134" s="71"/>
      <c r="J134" s="71"/>
    </row>
    <row r="135">
      <c r="C135" s="71"/>
      <c r="D135" s="71"/>
      <c r="E135" s="71"/>
      <c r="F135" s="71"/>
      <c r="J135" s="71"/>
    </row>
    <row r="136">
      <c r="C136" s="71"/>
      <c r="D136" s="71"/>
      <c r="E136" s="71"/>
      <c r="F136" s="71"/>
      <c r="J136" s="71"/>
    </row>
    <row r="137">
      <c r="C137" s="71"/>
      <c r="D137" s="71"/>
      <c r="E137" s="71"/>
      <c r="F137" s="71"/>
      <c r="J137" s="71"/>
    </row>
    <row r="138">
      <c r="C138" s="71"/>
      <c r="D138" s="71"/>
      <c r="E138" s="71"/>
      <c r="F138" s="71"/>
      <c r="J138" s="71"/>
    </row>
    <row r="139">
      <c r="C139" s="71"/>
      <c r="D139" s="71"/>
      <c r="E139" s="71"/>
      <c r="F139" s="71"/>
      <c r="J139" s="71"/>
    </row>
    <row r="140">
      <c r="C140" s="71"/>
      <c r="D140" s="71"/>
      <c r="E140" s="71"/>
      <c r="F140" s="71"/>
      <c r="J140" s="71"/>
    </row>
    <row r="141">
      <c r="C141" s="71"/>
      <c r="D141" s="71"/>
      <c r="E141" s="71"/>
      <c r="F141" s="71"/>
      <c r="J141" s="71"/>
    </row>
    <row r="142">
      <c r="C142" s="71"/>
      <c r="D142" s="71"/>
      <c r="E142" s="71"/>
      <c r="F142" s="71"/>
      <c r="J142" s="71"/>
    </row>
    <row r="143">
      <c r="C143" s="71"/>
      <c r="D143" s="71"/>
      <c r="E143" s="71"/>
      <c r="F143" s="71"/>
      <c r="J143" s="71"/>
    </row>
    <row r="144">
      <c r="C144" s="71"/>
      <c r="D144" s="71"/>
      <c r="E144" s="71"/>
      <c r="F144" s="71"/>
      <c r="J144" s="71"/>
    </row>
    <row r="145">
      <c r="C145" s="71"/>
      <c r="D145" s="71"/>
      <c r="E145" s="71"/>
      <c r="F145" s="71"/>
      <c r="J145" s="71"/>
    </row>
    <row r="146">
      <c r="C146" s="71"/>
      <c r="D146" s="71"/>
      <c r="E146" s="71"/>
      <c r="F146" s="71"/>
      <c r="J146" s="71"/>
    </row>
    <row r="147">
      <c r="C147" s="71"/>
      <c r="D147" s="71"/>
      <c r="E147" s="71"/>
      <c r="F147" s="71"/>
      <c r="J147" s="71"/>
    </row>
    <row r="148">
      <c r="C148" s="71"/>
      <c r="D148" s="71"/>
      <c r="E148" s="71"/>
      <c r="F148" s="71"/>
      <c r="J148" s="71"/>
    </row>
    <row r="149">
      <c r="C149" s="71"/>
      <c r="D149" s="71"/>
      <c r="E149" s="71"/>
      <c r="F149" s="71"/>
      <c r="J149" s="71"/>
    </row>
    <row r="150">
      <c r="C150" s="71"/>
      <c r="D150" s="71"/>
      <c r="E150" s="71"/>
      <c r="F150" s="71"/>
      <c r="J150" s="71"/>
    </row>
    <row r="151">
      <c r="C151" s="71"/>
      <c r="D151" s="71"/>
      <c r="E151" s="71"/>
      <c r="F151" s="71"/>
      <c r="J151" s="71"/>
    </row>
    <row r="152">
      <c r="C152" s="71"/>
      <c r="D152" s="71"/>
      <c r="E152" s="71"/>
      <c r="F152" s="71"/>
      <c r="J152" s="71"/>
    </row>
    <row r="153">
      <c r="C153" s="71"/>
      <c r="D153" s="71"/>
      <c r="E153" s="71"/>
      <c r="F153" s="71"/>
      <c r="J153" s="71"/>
    </row>
    <row r="154">
      <c r="C154" s="71"/>
      <c r="D154" s="71"/>
      <c r="E154" s="71"/>
      <c r="F154" s="71"/>
      <c r="J154" s="71"/>
    </row>
    <row r="155">
      <c r="C155" s="71"/>
      <c r="D155" s="71"/>
      <c r="E155" s="71"/>
      <c r="F155" s="71"/>
      <c r="J155" s="71"/>
    </row>
    <row r="156">
      <c r="C156" s="71"/>
      <c r="D156" s="71"/>
      <c r="E156" s="71"/>
      <c r="F156" s="71"/>
      <c r="J156" s="71"/>
    </row>
    <row r="157">
      <c r="C157" s="71"/>
      <c r="D157" s="71"/>
      <c r="E157" s="71"/>
      <c r="F157" s="71"/>
      <c r="J157" s="71"/>
    </row>
    <row r="158">
      <c r="C158" s="71"/>
      <c r="D158" s="71"/>
      <c r="E158" s="71"/>
      <c r="F158" s="71"/>
      <c r="J158" s="71"/>
    </row>
    <row r="159">
      <c r="C159" s="71"/>
      <c r="D159" s="71"/>
      <c r="E159" s="71"/>
      <c r="F159" s="71"/>
      <c r="J159" s="71"/>
    </row>
    <row r="160">
      <c r="C160" s="71"/>
      <c r="D160" s="71"/>
      <c r="E160" s="71"/>
      <c r="F160" s="71"/>
      <c r="J160" s="71"/>
    </row>
    <row r="161">
      <c r="C161" s="71"/>
      <c r="D161" s="71"/>
      <c r="E161" s="71"/>
      <c r="F161" s="71"/>
      <c r="J161" s="71"/>
    </row>
    <row r="162">
      <c r="C162" s="71"/>
      <c r="D162" s="71"/>
      <c r="E162" s="71"/>
      <c r="F162" s="71"/>
      <c r="J162" s="71"/>
    </row>
    <row r="163">
      <c r="C163" s="71"/>
      <c r="D163" s="71"/>
      <c r="E163" s="71"/>
      <c r="F163" s="71"/>
      <c r="J163" s="71"/>
    </row>
    <row r="164">
      <c r="C164" s="71"/>
      <c r="D164" s="71"/>
      <c r="E164" s="71"/>
      <c r="F164" s="71"/>
      <c r="J164" s="71"/>
    </row>
    <row r="165">
      <c r="C165" s="71"/>
      <c r="D165" s="71"/>
      <c r="E165" s="71"/>
      <c r="F165" s="71"/>
      <c r="J165" s="71"/>
    </row>
    <row r="166">
      <c r="C166" s="71"/>
      <c r="D166" s="71"/>
      <c r="E166" s="71"/>
      <c r="F166" s="71"/>
      <c r="J166" s="71"/>
    </row>
    <row r="167">
      <c r="C167" s="71"/>
      <c r="D167" s="71"/>
      <c r="E167" s="71"/>
      <c r="F167" s="71"/>
      <c r="J167" s="71"/>
    </row>
    <row r="168">
      <c r="C168" s="71"/>
      <c r="D168" s="71"/>
      <c r="E168" s="71"/>
      <c r="F168" s="71"/>
      <c r="J168" s="71"/>
    </row>
    <row r="169">
      <c r="C169" s="71"/>
      <c r="D169" s="71"/>
      <c r="E169" s="71"/>
      <c r="F169" s="71"/>
      <c r="J169" s="71"/>
    </row>
    <row r="170">
      <c r="C170" s="71"/>
      <c r="D170" s="71"/>
      <c r="E170" s="71"/>
      <c r="F170" s="71"/>
      <c r="J170" s="71"/>
    </row>
    <row r="171">
      <c r="C171" s="71"/>
      <c r="D171" s="71"/>
      <c r="E171" s="71"/>
      <c r="F171" s="71"/>
      <c r="J171" s="71"/>
    </row>
    <row r="172">
      <c r="C172" s="71"/>
      <c r="D172" s="71"/>
      <c r="E172" s="71"/>
      <c r="F172" s="71"/>
      <c r="J172" s="71"/>
    </row>
    <row r="173">
      <c r="C173" s="71"/>
      <c r="D173" s="71"/>
      <c r="E173" s="71"/>
      <c r="F173" s="71"/>
      <c r="J173" s="71"/>
    </row>
    <row r="174">
      <c r="C174" s="71"/>
      <c r="D174" s="71"/>
      <c r="E174" s="71"/>
      <c r="F174" s="71"/>
      <c r="J174" s="71"/>
    </row>
    <row r="175">
      <c r="C175" s="71"/>
      <c r="D175" s="71"/>
      <c r="E175" s="71"/>
      <c r="F175" s="71"/>
      <c r="J175" s="71"/>
    </row>
    <row r="176">
      <c r="C176" s="71"/>
      <c r="D176" s="71"/>
      <c r="E176" s="71"/>
      <c r="F176" s="71"/>
      <c r="J176" s="71"/>
    </row>
    <row r="177">
      <c r="C177" s="71"/>
      <c r="D177" s="71"/>
      <c r="E177" s="71"/>
      <c r="F177" s="71"/>
      <c r="J177" s="71"/>
    </row>
    <row r="178">
      <c r="C178" s="71"/>
      <c r="D178" s="71"/>
      <c r="E178" s="71"/>
      <c r="F178" s="71"/>
      <c r="J178" s="71"/>
    </row>
    <row r="179">
      <c r="C179" s="71"/>
      <c r="D179" s="71"/>
      <c r="E179" s="71"/>
      <c r="F179" s="71"/>
      <c r="J179" s="71"/>
    </row>
    <row r="180">
      <c r="C180" s="71"/>
      <c r="D180" s="71"/>
      <c r="E180" s="71"/>
      <c r="F180" s="71"/>
      <c r="J180" s="71"/>
    </row>
    <row r="181">
      <c r="C181" s="71"/>
      <c r="D181" s="71"/>
      <c r="E181" s="71"/>
      <c r="F181" s="71"/>
      <c r="J181" s="71"/>
    </row>
    <row r="182">
      <c r="C182" s="71"/>
      <c r="D182" s="71"/>
      <c r="E182" s="71"/>
      <c r="F182" s="71"/>
      <c r="J182" s="71"/>
    </row>
    <row r="183">
      <c r="C183" s="71"/>
      <c r="D183" s="71"/>
      <c r="E183" s="71"/>
      <c r="F183" s="71"/>
      <c r="J183" s="71"/>
    </row>
    <row r="184">
      <c r="C184" s="71"/>
      <c r="D184" s="71"/>
      <c r="E184" s="71"/>
      <c r="F184" s="71"/>
      <c r="J184" s="71"/>
    </row>
    <row r="185">
      <c r="C185" s="71"/>
      <c r="D185" s="71"/>
      <c r="E185" s="71"/>
      <c r="F185" s="71"/>
      <c r="J185" s="71"/>
    </row>
    <row r="186">
      <c r="C186" s="71"/>
      <c r="D186" s="71"/>
      <c r="E186" s="71"/>
      <c r="F186" s="71"/>
      <c r="J186" s="71"/>
    </row>
    <row r="187">
      <c r="C187" s="71"/>
      <c r="D187" s="71"/>
      <c r="E187" s="71"/>
      <c r="F187" s="71"/>
      <c r="J187" s="71"/>
    </row>
    <row r="188">
      <c r="C188" s="71"/>
      <c r="D188" s="71"/>
      <c r="E188" s="71"/>
      <c r="F188" s="71"/>
      <c r="J188" s="71"/>
    </row>
    <row r="189">
      <c r="C189" s="71"/>
      <c r="D189" s="71"/>
      <c r="E189" s="71"/>
      <c r="F189" s="71"/>
      <c r="J189" s="71"/>
    </row>
    <row r="190">
      <c r="C190" s="71"/>
      <c r="D190" s="71"/>
      <c r="E190" s="71"/>
      <c r="F190" s="71"/>
      <c r="J190" s="71"/>
    </row>
    <row r="191">
      <c r="C191" s="71"/>
      <c r="D191" s="71"/>
      <c r="E191" s="71"/>
      <c r="F191" s="71"/>
      <c r="J191" s="71"/>
    </row>
    <row r="192">
      <c r="C192" s="71"/>
      <c r="D192" s="71"/>
      <c r="E192" s="71"/>
      <c r="F192" s="71"/>
      <c r="J192" s="71"/>
    </row>
    <row r="193">
      <c r="C193" s="71"/>
      <c r="D193" s="71"/>
      <c r="E193" s="71"/>
      <c r="F193" s="71"/>
      <c r="J193" s="71"/>
    </row>
    <row r="194">
      <c r="C194" s="71"/>
      <c r="D194" s="71"/>
      <c r="E194" s="71"/>
      <c r="F194" s="71"/>
      <c r="J194" s="71"/>
    </row>
    <row r="195">
      <c r="C195" s="71"/>
      <c r="D195" s="71"/>
      <c r="E195" s="71"/>
      <c r="F195" s="71"/>
      <c r="J195" s="71"/>
    </row>
    <row r="196">
      <c r="C196" s="71"/>
      <c r="D196" s="71"/>
      <c r="E196" s="71"/>
      <c r="F196" s="71"/>
      <c r="J196" s="71"/>
    </row>
    <row r="197">
      <c r="C197" s="71"/>
      <c r="D197" s="71"/>
      <c r="E197" s="71"/>
      <c r="F197" s="71"/>
      <c r="J197" s="71"/>
    </row>
    <row r="198">
      <c r="C198" s="71"/>
      <c r="D198" s="71"/>
      <c r="E198" s="71"/>
      <c r="F198" s="71"/>
      <c r="J198" s="71"/>
    </row>
    <row r="199">
      <c r="C199" s="71"/>
      <c r="D199" s="71"/>
      <c r="E199" s="71"/>
      <c r="F199" s="71"/>
      <c r="J199" s="71"/>
    </row>
    <row r="200">
      <c r="C200" s="71"/>
      <c r="D200" s="71"/>
      <c r="E200" s="71"/>
      <c r="F200" s="71"/>
      <c r="J200" s="71"/>
    </row>
    <row r="201">
      <c r="C201" s="71"/>
      <c r="D201" s="71"/>
      <c r="E201" s="71"/>
      <c r="F201" s="71"/>
      <c r="J201" s="71"/>
    </row>
    <row r="202">
      <c r="C202" s="71"/>
      <c r="D202" s="71"/>
      <c r="E202" s="71"/>
      <c r="F202" s="71"/>
      <c r="J202" s="71"/>
    </row>
    <row r="203">
      <c r="C203" s="71"/>
      <c r="D203" s="71"/>
      <c r="E203" s="71"/>
      <c r="F203" s="71"/>
      <c r="J203" s="71"/>
    </row>
    <row r="204">
      <c r="C204" s="71"/>
      <c r="D204" s="71"/>
      <c r="E204" s="71"/>
      <c r="F204" s="71"/>
      <c r="J204" s="71"/>
    </row>
    <row r="205">
      <c r="C205" s="71"/>
      <c r="D205" s="71"/>
      <c r="E205" s="71"/>
      <c r="F205" s="71"/>
      <c r="J205" s="71"/>
    </row>
    <row r="206">
      <c r="C206" s="71"/>
      <c r="D206" s="71"/>
      <c r="E206" s="71"/>
      <c r="F206" s="71"/>
      <c r="J206" s="71"/>
    </row>
    <row r="207">
      <c r="C207" s="71"/>
      <c r="D207" s="71"/>
      <c r="E207" s="71"/>
      <c r="F207" s="71"/>
      <c r="J207" s="71"/>
    </row>
    <row r="208">
      <c r="C208" s="71"/>
      <c r="D208" s="71"/>
      <c r="E208" s="71"/>
      <c r="F208" s="71"/>
      <c r="J208" s="71"/>
    </row>
    <row r="209">
      <c r="C209" s="71"/>
      <c r="D209" s="71"/>
      <c r="E209" s="71"/>
      <c r="F209" s="71"/>
      <c r="J209" s="71"/>
    </row>
    <row r="210">
      <c r="C210" s="71"/>
      <c r="D210" s="71"/>
      <c r="E210" s="71"/>
      <c r="F210" s="71"/>
      <c r="J210" s="71"/>
    </row>
    <row r="211">
      <c r="C211" s="71"/>
      <c r="D211" s="71"/>
      <c r="E211" s="71"/>
      <c r="F211" s="71"/>
      <c r="J211" s="71"/>
    </row>
    <row r="212">
      <c r="C212" s="71"/>
      <c r="D212" s="71"/>
      <c r="E212" s="71"/>
      <c r="F212" s="71"/>
      <c r="J212" s="71"/>
    </row>
    <row r="213">
      <c r="C213" s="71"/>
      <c r="D213" s="71"/>
      <c r="E213" s="71"/>
      <c r="F213" s="71"/>
      <c r="J213" s="71"/>
    </row>
    <row r="214">
      <c r="C214" s="71"/>
      <c r="D214" s="71"/>
      <c r="E214" s="71"/>
      <c r="F214" s="71"/>
      <c r="J214" s="71"/>
    </row>
    <row r="215">
      <c r="C215" s="71"/>
      <c r="D215" s="71"/>
      <c r="E215" s="71"/>
      <c r="F215" s="71"/>
      <c r="J215" s="71"/>
    </row>
    <row r="216">
      <c r="C216" s="71"/>
      <c r="D216" s="71"/>
      <c r="E216" s="71"/>
      <c r="F216" s="71"/>
      <c r="J216" s="71"/>
    </row>
    <row r="217">
      <c r="C217" s="71"/>
      <c r="D217" s="71"/>
      <c r="E217" s="71"/>
      <c r="F217" s="71"/>
      <c r="J217" s="71"/>
    </row>
    <row r="218">
      <c r="C218" s="71"/>
      <c r="D218" s="71"/>
      <c r="E218" s="71"/>
      <c r="F218" s="71"/>
      <c r="J218" s="71"/>
    </row>
    <row r="219">
      <c r="C219" s="71"/>
      <c r="D219" s="71"/>
      <c r="E219" s="71"/>
      <c r="F219" s="71"/>
      <c r="J219" s="71"/>
    </row>
    <row r="220">
      <c r="C220" s="71"/>
      <c r="D220" s="71"/>
      <c r="E220" s="71"/>
      <c r="F220" s="71"/>
      <c r="J220" s="71"/>
    </row>
    <row r="221">
      <c r="C221" s="71"/>
      <c r="D221" s="71"/>
      <c r="E221" s="71"/>
      <c r="F221" s="71"/>
      <c r="J221" s="71"/>
    </row>
    <row r="222">
      <c r="C222" s="71"/>
      <c r="D222" s="71"/>
      <c r="E222" s="71"/>
      <c r="F222" s="71"/>
      <c r="J222" s="71"/>
    </row>
    <row r="223">
      <c r="C223" s="71"/>
      <c r="D223" s="71"/>
      <c r="E223" s="71"/>
      <c r="F223" s="71"/>
      <c r="J223" s="71"/>
    </row>
    <row r="224">
      <c r="C224" s="71"/>
      <c r="D224" s="71"/>
      <c r="E224" s="71"/>
      <c r="F224" s="71"/>
      <c r="J224" s="71"/>
    </row>
    <row r="225">
      <c r="C225" s="71"/>
      <c r="D225" s="71"/>
      <c r="E225" s="71"/>
      <c r="F225" s="71"/>
      <c r="J225" s="71"/>
    </row>
    <row r="226">
      <c r="C226" s="71"/>
      <c r="D226" s="71"/>
      <c r="E226" s="71"/>
      <c r="F226" s="71"/>
      <c r="J226" s="71"/>
    </row>
    <row r="227">
      <c r="C227" s="71"/>
      <c r="D227" s="71"/>
      <c r="E227" s="71"/>
      <c r="F227" s="71"/>
      <c r="J227" s="71"/>
    </row>
    <row r="228">
      <c r="C228" s="71"/>
      <c r="D228" s="71"/>
      <c r="E228" s="71"/>
      <c r="F228" s="71"/>
      <c r="J228" s="71"/>
    </row>
    <row r="229">
      <c r="C229" s="71"/>
      <c r="D229" s="71"/>
      <c r="E229" s="71"/>
      <c r="F229" s="71"/>
      <c r="J229" s="71"/>
    </row>
    <row r="230">
      <c r="C230" s="71"/>
      <c r="D230" s="71"/>
      <c r="E230" s="71"/>
      <c r="F230" s="71"/>
      <c r="J230" s="71"/>
    </row>
    <row r="231">
      <c r="C231" s="71"/>
      <c r="D231" s="71"/>
      <c r="E231" s="71"/>
      <c r="F231" s="71"/>
      <c r="J231" s="71"/>
    </row>
    <row r="232">
      <c r="C232" s="71"/>
      <c r="D232" s="71"/>
      <c r="E232" s="71"/>
      <c r="F232" s="71"/>
      <c r="J232" s="71"/>
    </row>
    <row r="233">
      <c r="C233" s="71"/>
      <c r="D233" s="71"/>
      <c r="E233" s="71"/>
      <c r="F233" s="71"/>
      <c r="J233" s="71"/>
    </row>
    <row r="234">
      <c r="C234" s="71"/>
      <c r="D234" s="71"/>
      <c r="E234" s="71"/>
      <c r="F234" s="71"/>
      <c r="J234" s="71"/>
    </row>
    <row r="235">
      <c r="C235" s="71"/>
      <c r="D235" s="71"/>
      <c r="E235" s="71"/>
      <c r="F235" s="71"/>
      <c r="J235" s="71"/>
    </row>
    <row r="236">
      <c r="C236" s="71"/>
      <c r="D236" s="71"/>
      <c r="E236" s="71"/>
      <c r="F236" s="71"/>
      <c r="J236" s="71"/>
    </row>
    <row r="237">
      <c r="C237" s="71"/>
      <c r="D237" s="71"/>
      <c r="E237" s="71"/>
      <c r="F237" s="71"/>
      <c r="J237" s="71"/>
    </row>
    <row r="238">
      <c r="C238" s="71"/>
      <c r="D238" s="71"/>
      <c r="E238" s="71"/>
      <c r="F238" s="71"/>
      <c r="J238" s="71"/>
    </row>
    <row r="239">
      <c r="C239" s="71"/>
      <c r="D239" s="71"/>
      <c r="E239" s="71"/>
      <c r="F239" s="71"/>
      <c r="J239" s="71"/>
    </row>
    <row r="240">
      <c r="C240" s="71"/>
      <c r="D240" s="71"/>
      <c r="E240" s="71"/>
      <c r="F240" s="71"/>
      <c r="J240" s="71"/>
    </row>
    <row r="241">
      <c r="C241" s="71"/>
      <c r="D241" s="71"/>
      <c r="E241" s="71"/>
      <c r="F241" s="71"/>
      <c r="J241" s="71"/>
    </row>
    <row r="242">
      <c r="C242" s="71"/>
      <c r="D242" s="71"/>
      <c r="E242" s="71"/>
      <c r="F242" s="71"/>
      <c r="J242" s="71"/>
    </row>
    <row r="243">
      <c r="C243" s="71"/>
      <c r="D243" s="71"/>
      <c r="E243" s="71"/>
      <c r="F243" s="71"/>
      <c r="J243" s="71"/>
    </row>
    <row r="244">
      <c r="C244" s="71"/>
      <c r="D244" s="71"/>
      <c r="E244" s="71"/>
      <c r="F244" s="71"/>
      <c r="J244" s="71"/>
    </row>
    <row r="245">
      <c r="C245" s="71"/>
      <c r="D245" s="71"/>
      <c r="E245" s="71"/>
      <c r="F245" s="71"/>
      <c r="J245" s="71"/>
    </row>
    <row r="246">
      <c r="C246" s="71"/>
      <c r="D246" s="71"/>
      <c r="E246" s="71"/>
      <c r="F246" s="71"/>
      <c r="J246" s="71"/>
    </row>
    <row r="247">
      <c r="C247" s="71"/>
      <c r="D247" s="71"/>
      <c r="E247" s="71"/>
      <c r="F247" s="71"/>
      <c r="J247" s="71"/>
    </row>
    <row r="248">
      <c r="C248" s="71"/>
      <c r="D248" s="71"/>
      <c r="E248" s="71"/>
      <c r="F248" s="71"/>
      <c r="J248" s="71"/>
    </row>
    <row r="249">
      <c r="C249" s="71"/>
      <c r="D249" s="71"/>
      <c r="E249" s="71"/>
      <c r="F249" s="71"/>
      <c r="J249" s="71"/>
    </row>
    <row r="250">
      <c r="C250" s="71"/>
      <c r="D250" s="71"/>
      <c r="E250" s="71"/>
      <c r="F250" s="71"/>
      <c r="J250" s="71"/>
    </row>
    <row r="251">
      <c r="C251" s="71"/>
      <c r="D251" s="71"/>
      <c r="E251" s="71"/>
      <c r="F251" s="71"/>
      <c r="J251" s="71"/>
    </row>
    <row r="252">
      <c r="C252" s="71"/>
      <c r="D252" s="71"/>
      <c r="E252" s="71"/>
      <c r="F252" s="71"/>
      <c r="J252" s="71"/>
    </row>
    <row r="253">
      <c r="C253" s="71"/>
      <c r="D253" s="71"/>
      <c r="E253" s="71"/>
      <c r="F253" s="71"/>
      <c r="J253" s="71"/>
    </row>
    <row r="254">
      <c r="C254" s="71"/>
      <c r="D254" s="71"/>
      <c r="E254" s="71"/>
      <c r="F254" s="71"/>
      <c r="J254" s="71"/>
    </row>
    <row r="255">
      <c r="C255" s="71"/>
      <c r="D255" s="71"/>
      <c r="E255" s="71"/>
      <c r="F255" s="71"/>
      <c r="J255" s="71"/>
    </row>
    <row r="256">
      <c r="C256" s="71"/>
      <c r="D256" s="71"/>
      <c r="E256" s="71"/>
      <c r="F256" s="71"/>
      <c r="J256" s="71"/>
    </row>
    <row r="257">
      <c r="C257" s="71"/>
      <c r="D257" s="71"/>
      <c r="E257" s="71"/>
      <c r="F257" s="71"/>
      <c r="J257" s="71"/>
    </row>
    <row r="258">
      <c r="C258" s="71"/>
      <c r="D258" s="71"/>
      <c r="E258" s="71"/>
      <c r="F258" s="71"/>
      <c r="J258" s="71"/>
    </row>
    <row r="259">
      <c r="C259" s="71"/>
      <c r="D259" s="71"/>
      <c r="E259" s="71"/>
      <c r="F259" s="71"/>
      <c r="J259" s="71"/>
    </row>
    <row r="260">
      <c r="C260" s="71"/>
      <c r="D260" s="71"/>
      <c r="E260" s="71"/>
      <c r="F260" s="71"/>
      <c r="J260" s="71"/>
    </row>
    <row r="261">
      <c r="C261" s="71"/>
      <c r="D261" s="71"/>
      <c r="E261" s="71"/>
      <c r="F261" s="71"/>
      <c r="J261" s="71"/>
    </row>
    <row r="262">
      <c r="C262" s="71"/>
      <c r="D262" s="71"/>
      <c r="E262" s="71"/>
      <c r="F262" s="71"/>
      <c r="J262" s="71"/>
    </row>
    <row r="263">
      <c r="C263" s="71"/>
      <c r="D263" s="71"/>
      <c r="E263" s="71"/>
      <c r="F263" s="71"/>
      <c r="J263" s="71"/>
    </row>
    <row r="264">
      <c r="C264" s="71"/>
      <c r="D264" s="71"/>
      <c r="E264" s="71"/>
      <c r="F264" s="71"/>
      <c r="J264" s="71"/>
    </row>
    <row r="265">
      <c r="C265" s="71"/>
      <c r="D265" s="71"/>
      <c r="E265" s="71"/>
      <c r="F265" s="71"/>
      <c r="J265" s="71"/>
    </row>
    <row r="266">
      <c r="C266" s="71"/>
      <c r="D266" s="71"/>
      <c r="E266" s="71"/>
      <c r="F266" s="71"/>
      <c r="J266" s="71"/>
    </row>
    <row r="267">
      <c r="C267" s="71"/>
      <c r="D267" s="71"/>
      <c r="E267" s="71"/>
      <c r="F267" s="71"/>
      <c r="J267" s="71"/>
    </row>
    <row r="268">
      <c r="C268" s="71"/>
      <c r="D268" s="71"/>
      <c r="E268" s="71"/>
      <c r="F268" s="71"/>
      <c r="J268" s="71"/>
    </row>
    <row r="269">
      <c r="C269" s="71"/>
      <c r="D269" s="71"/>
      <c r="E269" s="71"/>
      <c r="F269" s="71"/>
      <c r="J269" s="71"/>
    </row>
    <row r="270">
      <c r="C270" s="71"/>
      <c r="D270" s="71"/>
      <c r="E270" s="71"/>
      <c r="F270" s="71"/>
      <c r="J270" s="71"/>
    </row>
    <row r="271">
      <c r="C271" s="71"/>
      <c r="D271" s="71"/>
      <c r="E271" s="71"/>
      <c r="F271" s="71"/>
      <c r="J271" s="71"/>
    </row>
    <row r="272">
      <c r="C272" s="71"/>
      <c r="D272" s="71"/>
      <c r="E272" s="71"/>
      <c r="F272" s="71"/>
      <c r="J272" s="71"/>
    </row>
    <row r="273">
      <c r="C273" s="71"/>
      <c r="D273" s="71"/>
      <c r="E273" s="71"/>
      <c r="F273" s="71"/>
      <c r="J273" s="71"/>
    </row>
    <row r="274">
      <c r="C274" s="71"/>
      <c r="D274" s="71"/>
      <c r="E274" s="71"/>
      <c r="F274" s="71"/>
      <c r="J274" s="71"/>
    </row>
    <row r="275">
      <c r="C275" s="71"/>
      <c r="D275" s="71"/>
      <c r="E275" s="71"/>
      <c r="F275" s="71"/>
      <c r="J275" s="71"/>
    </row>
    <row r="276">
      <c r="C276" s="71"/>
      <c r="D276" s="71"/>
      <c r="E276" s="71"/>
      <c r="F276" s="71"/>
      <c r="J276" s="71"/>
    </row>
    <row r="277">
      <c r="C277" s="71"/>
      <c r="D277" s="71"/>
      <c r="E277" s="71"/>
      <c r="F277" s="71"/>
      <c r="J277" s="71"/>
    </row>
    <row r="278">
      <c r="C278" s="71"/>
      <c r="D278" s="71"/>
      <c r="E278" s="71"/>
      <c r="F278" s="71"/>
      <c r="J278" s="71"/>
    </row>
    <row r="279">
      <c r="C279" s="71"/>
      <c r="D279" s="71"/>
      <c r="E279" s="71"/>
      <c r="F279" s="71"/>
      <c r="J279" s="71"/>
    </row>
    <row r="280">
      <c r="C280" s="71"/>
      <c r="D280" s="71"/>
      <c r="E280" s="71"/>
      <c r="F280" s="71"/>
      <c r="J280" s="71"/>
    </row>
    <row r="281">
      <c r="C281" s="71"/>
      <c r="D281" s="71"/>
      <c r="E281" s="71"/>
      <c r="F281" s="71"/>
      <c r="J281" s="71"/>
    </row>
    <row r="282">
      <c r="C282" s="71"/>
      <c r="D282" s="71"/>
      <c r="E282" s="71"/>
      <c r="F282" s="71"/>
      <c r="J282" s="71"/>
    </row>
    <row r="283">
      <c r="C283" s="71"/>
      <c r="D283" s="71"/>
      <c r="E283" s="71"/>
      <c r="F283" s="71"/>
      <c r="J283" s="71"/>
    </row>
    <row r="284">
      <c r="C284" s="71"/>
      <c r="D284" s="71"/>
      <c r="E284" s="71"/>
      <c r="F284" s="71"/>
      <c r="J284" s="71"/>
    </row>
    <row r="285">
      <c r="C285" s="71"/>
      <c r="D285" s="71"/>
      <c r="E285" s="71"/>
      <c r="F285" s="71"/>
      <c r="J285" s="71"/>
    </row>
    <row r="286">
      <c r="C286" s="71"/>
      <c r="D286" s="71"/>
      <c r="E286" s="71"/>
      <c r="F286" s="71"/>
      <c r="J286" s="71"/>
    </row>
    <row r="287">
      <c r="C287" s="71"/>
      <c r="D287" s="71"/>
      <c r="E287" s="71"/>
      <c r="F287" s="71"/>
      <c r="J287" s="71"/>
    </row>
    <row r="288">
      <c r="C288" s="71"/>
      <c r="D288" s="71"/>
      <c r="E288" s="71"/>
      <c r="F288" s="71"/>
      <c r="J288" s="71"/>
    </row>
    <row r="289">
      <c r="C289" s="71"/>
      <c r="D289" s="71"/>
      <c r="E289" s="71"/>
      <c r="F289" s="71"/>
      <c r="J289" s="71"/>
    </row>
    <row r="290">
      <c r="C290" s="71"/>
      <c r="D290" s="71"/>
      <c r="E290" s="71"/>
      <c r="F290" s="71"/>
      <c r="J290" s="71"/>
    </row>
    <row r="291">
      <c r="C291" s="71"/>
      <c r="D291" s="71"/>
      <c r="E291" s="71"/>
      <c r="F291" s="71"/>
      <c r="J291" s="71"/>
    </row>
    <row r="292">
      <c r="C292" s="71"/>
      <c r="D292" s="71"/>
      <c r="E292" s="71"/>
      <c r="F292" s="71"/>
      <c r="J292" s="71"/>
    </row>
    <row r="293">
      <c r="C293" s="71"/>
      <c r="D293" s="71"/>
      <c r="E293" s="71"/>
      <c r="F293" s="71"/>
      <c r="J293" s="71"/>
    </row>
    <row r="294">
      <c r="C294" s="71"/>
      <c r="D294" s="71"/>
      <c r="E294" s="71"/>
      <c r="F294" s="71"/>
      <c r="J294" s="71"/>
    </row>
    <row r="295">
      <c r="C295" s="71"/>
      <c r="D295" s="71"/>
      <c r="E295" s="71"/>
      <c r="F295" s="71"/>
      <c r="J295" s="71"/>
    </row>
    <row r="296">
      <c r="C296" s="71"/>
      <c r="D296" s="71"/>
      <c r="E296" s="71"/>
      <c r="F296" s="71"/>
      <c r="J296" s="71"/>
    </row>
    <row r="297">
      <c r="C297" s="71"/>
      <c r="D297" s="71"/>
      <c r="E297" s="71"/>
      <c r="F297" s="71"/>
      <c r="J297" s="71"/>
    </row>
    <row r="298">
      <c r="C298" s="71"/>
      <c r="D298" s="71"/>
      <c r="E298" s="71"/>
      <c r="F298" s="71"/>
      <c r="J298" s="71"/>
    </row>
    <row r="299">
      <c r="C299" s="71"/>
      <c r="D299" s="71"/>
      <c r="E299" s="71"/>
      <c r="F299" s="71"/>
      <c r="J299" s="71"/>
    </row>
    <row r="300">
      <c r="C300" s="71"/>
      <c r="D300" s="71"/>
      <c r="E300" s="71"/>
      <c r="F300" s="71"/>
      <c r="J300" s="71"/>
    </row>
    <row r="301">
      <c r="C301" s="71"/>
      <c r="D301" s="71"/>
      <c r="E301" s="71"/>
      <c r="F301" s="71"/>
      <c r="J301" s="71"/>
    </row>
    <row r="302">
      <c r="C302" s="71"/>
      <c r="D302" s="71"/>
      <c r="E302" s="71"/>
      <c r="F302" s="71"/>
      <c r="J302" s="71"/>
    </row>
    <row r="303">
      <c r="C303" s="71"/>
      <c r="D303" s="71"/>
      <c r="E303" s="71"/>
      <c r="F303" s="71"/>
      <c r="J303" s="71"/>
    </row>
    <row r="304">
      <c r="C304" s="71"/>
      <c r="D304" s="71"/>
      <c r="E304" s="71"/>
      <c r="F304" s="71"/>
      <c r="J304" s="71"/>
    </row>
    <row r="305">
      <c r="C305" s="71"/>
      <c r="D305" s="71"/>
      <c r="E305" s="71"/>
      <c r="F305" s="71"/>
      <c r="J305" s="71"/>
    </row>
    <row r="306">
      <c r="C306" s="71"/>
      <c r="D306" s="71"/>
      <c r="E306" s="71"/>
      <c r="F306" s="71"/>
      <c r="J306" s="71"/>
    </row>
    <row r="307">
      <c r="C307" s="71"/>
      <c r="D307" s="71"/>
      <c r="E307" s="71"/>
      <c r="F307" s="71"/>
      <c r="J307" s="71"/>
    </row>
    <row r="308">
      <c r="C308" s="71"/>
      <c r="D308" s="71"/>
      <c r="E308" s="71"/>
      <c r="F308" s="71"/>
      <c r="J308" s="71"/>
    </row>
    <row r="309">
      <c r="C309" s="71"/>
      <c r="D309" s="71"/>
      <c r="E309" s="71"/>
      <c r="F309" s="71"/>
      <c r="J309" s="71"/>
    </row>
    <row r="310">
      <c r="C310" s="71"/>
      <c r="D310" s="71"/>
      <c r="E310" s="71"/>
      <c r="F310" s="71"/>
      <c r="J310" s="71"/>
    </row>
    <row r="311">
      <c r="C311" s="71"/>
      <c r="D311" s="71"/>
      <c r="E311" s="71"/>
      <c r="F311" s="71"/>
      <c r="J311" s="71"/>
    </row>
    <row r="312">
      <c r="C312" s="71"/>
      <c r="D312" s="71"/>
      <c r="E312" s="71"/>
      <c r="F312" s="71"/>
      <c r="J312" s="71"/>
    </row>
    <row r="313">
      <c r="C313" s="71"/>
      <c r="D313" s="71"/>
      <c r="E313" s="71"/>
      <c r="F313" s="71"/>
      <c r="J313" s="71"/>
    </row>
    <row r="314">
      <c r="C314" s="71"/>
      <c r="D314" s="71"/>
      <c r="E314" s="71"/>
      <c r="F314" s="71"/>
      <c r="J314" s="71"/>
    </row>
    <row r="315">
      <c r="C315" s="71"/>
      <c r="D315" s="71"/>
      <c r="E315" s="71"/>
      <c r="F315" s="71"/>
      <c r="J315" s="71"/>
    </row>
    <row r="316">
      <c r="C316" s="71"/>
      <c r="D316" s="71"/>
      <c r="E316" s="71"/>
      <c r="F316" s="71"/>
      <c r="J316" s="71"/>
    </row>
    <row r="317">
      <c r="C317" s="71"/>
      <c r="D317" s="71"/>
      <c r="E317" s="71"/>
      <c r="F317" s="71"/>
      <c r="J317" s="71"/>
    </row>
    <row r="318">
      <c r="C318" s="71"/>
      <c r="D318" s="71"/>
      <c r="E318" s="71"/>
      <c r="F318" s="71"/>
      <c r="J318" s="71"/>
    </row>
    <row r="319">
      <c r="C319" s="71"/>
      <c r="D319" s="71"/>
      <c r="E319" s="71"/>
      <c r="F319" s="71"/>
      <c r="J319" s="71"/>
    </row>
    <row r="320">
      <c r="C320" s="71"/>
      <c r="D320" s="71"/>
      <c r="E320" s="71"/>
      <c r="F320" s="71"/>
      <c r="J320" s="71"/>
    </row>
    <row r="321">
      <c r="C321" s="71"/>
      <c r="D321" s="71"/>
      <c r="E321" s="71"/>
      <c r="F321" s="71"/>
      <c r="J321" s="71"/>
    </row>
    <row r="322">
      <c r="C322" s="71"/>
      <c r="D322" s="71"/>
      <c r="E322" s="71"/>
      <c r="F322" s="71"/>
      <c r="J322" s="71"/>
    </row>
    <row r="323">
      <c r="C323" s="71"/>
      <c r="D323" s="71"/>
      <c r="E323" s="71"/>
      <c r="F323" s="71"/>
      <c r="J323" s="71"/>
    </row>
    <row r="324">
      <c r="C324" s="71"/>
      <c r="D324" s="71"/>
      <c r="E324" s="71"/>
      <c r="F324" s="71"/>
      <c r="J324" s="71"/>
    </row>
    <row r="325">
      <c r="C325" s="71"/>
      <c r="D325" s="71"/>
      <c r="E325" s="71"/>
      <c r="F325" s="71"/>
      <c r="J325" s="71"/>
    </row>
    <row r="326">
      <c r="C326" s="71"/>
      <c r="D326" s="71"/>
      <c r="E326" s="71"/>
      <c r="F326" s="71"/>
      <c r="J326" s="71"/>
    </row>
    <row r="327">
      <c r="C327" s="71"/>
      <c r="D327" s="71"/>
      <c r="E327" s="71"/>
      <c r="F327" s="71"/>
      <c r="J327" s="71"/>
    </row>
    <row r="328">
      <c r="C328" s="71"/>
      <c r="D328" s="71"/>
      <c r="E328" s="71"/>
      <c r="F328" s="71"/>
      <c r="J328" s="71"/>
    </row>
    <row r="329">
      <c r="C329" s="71"/>
      <c r="D329" s="71"/>
      <c r="E329" s="71"/>
      <c r="F329" s="71"/>
      <c r="J329" s="71"/>
    </row>
    <row r="330">
      <c r="C330" s="71"/>
      <c r="D330" s="71"/>
      <c r="E330" s="71"/>
      <c r="F330" s="71"/>
      <c r="J330" s="71"/>
    </row>
    <row r="331">
      <c r="C331" s="71"/>
      <c r="D331" s="71"/>
      <c r="E331" s="71"/>
      <c r="F331" s="71"/>
      <c r="J331" s="71"/>
    </row>
    <row r="332">
      <c r="C332" s="71"/>
      <c r="D332" s="71"/>
      <c r="E332" s="71"/>
      <c r="F332" s="71"/>
      <c r="J332" s="71"/>
    </row>
    <row r="333">
      <c r="C333" s="71"/>
      <c r="D333" s="71"/>
      <c r="E333" s="71"/>
      <c r="F333" s="71"/>
      <c r="J333" s="71"/>
    </row>
    <row r="334">
      <c r="C334" s="71"/>
      <c r="D334" s="71"/>
      <c r="E334" s="71"/>
      <c r="F334" s="71"/>
      <c r="J334" s="71"/>
    </row>
    <row r="335">
      <c r="C335" s="71"/>
      <c r="D335" s="71"/>
      <c r="E335" s="71"/>
      <c r="F335" s="71"/>
      <c r="J335" s="71"/>
    </row>
    <row r="336">
      <c r="C336" s="71"/>
      <c r="D336" s="71"/>
      <c r="E336" s="71"/>
      <c r="F336" s="71"/>
      <c r="J336" s="71"/>
    </row>
    <row r="337">
      <c r="C337" s="71"/>
      <c r="D337" s="71"/>
      <c r="E337" s="71"/>
      <c r="F337" s="71"/>
      <c r="J337" s="71"/>
    </row>
    <row r="338">
      <c r="C338" s="71"/>
      <c r="D338" s="71"/>
      <c r="E338" s="71"/>
      <c r="F338" s="71"/>
      <c r="J338" s="71"/>
    </row>
    <row r="339">
      <c r="C339" s="71"/>
      <c r="D339" s="71"/>
      <c r="E339" s="71"/>
      <c r="F339" s="71"/>
      <c r="J339" s="71"/>
    </row>
    <row r="340">
      <c r="C340" s="71"/>
      <c r="D340" s="71"/>
      <c r="E340" s="71"/>
      <c r="F340" s="71"/>
      <c r="J340" s="71"/>
    </row>
    <row r="341">
      <c r="C341" s="71"/>
      <c r="D341" s="71"/>
      <c r="E341" s="71"/>
      <c r="F341" s="71"/>
      <c r="J341" s="71"/>
    </row>
    <row r="342">
      <c r="C342" s="71"/>
      <c r="D342" s="71"/>
      <c r="E342" s="71"/>
      <c r="F342" s="71"/>
      <c r="J342" s="71"/>
    </row>
    <row r="343">
      <c r="C343" s="71"/>
      <c r="D343" s="71"/>
      <c r="E343" s="71"/>
      <c r="F343" s="71"/>
      <c r="J343" s="71"/>
    </row>
    <row r="344">
      <c r="C344" s="71"/>
      <c r="D344" s="71"/>
      <c r="E344" s="71"/>
      <c r="F344" s="71"/>
      <c r="J344" s="71"/>
    </row>
    <row r="345">
      <c r="C345" s="71"/>
      <c r="D345" s="71"/>
      <c r="E345" s="71"/>
      <c r="F345" s="71"/>
      <c r="J345" s="71"/>
    </row>
    <row r="346">
      <c r="C346" s="71"/>
      <c r="D346" s="71"/>
      <c r="E346" s="71"/>
      <c r="F346" s="71"/>
      <c r="J346" s="71"/>
    </row>
    <row r="347">
      <c r="C347" s="71"/>
      <c r="D347" s="71"/>
      <c r="E347" s="71"/>
      <c r="F347" s="71"/>
      <c r="J347" s="71"/>
    </row>
    <row r="348">
      <c r="C348" s="71"/>
      <c r="D348" s="71"/>
      <c r="E348" s="71"/>
      <c r="F348" s="71"/>
      <c r="J348" s="71"/>
    </row>
    <row r="349">
      <c r="C349" s="71"/>
      <c r="D349" s="71"/>
      <c r="E349" s="71"/>
      <c r="F349" s="71"/>
      <c r="J349" s="71"/>
    </row>
    <row r="350">
      <c r="C350" s="71"/>
      <c r="D350" s="71"/>
      <c r="E350" s="71"/>
      <c r="F350" s="71"/>
      <c r="J350" s="71"/>
    </row>
    <row r="351">
      <c r="C351" s="71"/>
      <c r="D351" s="71"/>
      <c r="E351" s="71"/>
      <c r="F351" s="71"/>
      <c r="J351" s="71"/>
    </row>
    <row r="352">
      <c r="C352" s="71"/>
      <c r="D352" s="71"/>
      <c r="E352" s="71"/>
      <c r="F352" s="71"/>
      <c r="J352" s="71"/>
    </row>
    <row r="353">
      <c r="C353" s="71"/>
      <c r="D353" s="71"/>
      <c r="E353" s="71"/>
      <c r="F353" s="71"/>
      <c r="J353" s="71"/>
    </row>
    <row r="354">
      <c r="C354" s="71"/>
      <c r="D354" s="71"/>
      <c r="E354" s="71"/>
      <c r="F354" s="71"/>
      <c r="J354" s="71"/>
    </row>
    <row r="355">
      <c r="C355" s="71"/>
      <c r="D355" s="71"/>
      <c r="E355" s="71"/>
      <c r="F355" s="71"/>
      <c r="J355" s="71"/>
    </row>
    <row r="356">
      <c r="C356" s="71"/>
      <c r="D356" s="71"/>
      <c r="E356" s="71"/>
      <c r="F356" s="71"/>
      <c r="J356" s="71"/>
    </row>
    <row r="357">
      <c r="C357" s="71"/>
      <c r="D357" s="71"/>
      <c r="E357" s="71"/>
      <c r="F357" s="71"/>
      <c r="J357" s="71"/>
    </row>
    <row r="358">
      <c r="C358" s="71"/>
      <c r="D358" s="71"/>
      <c r="E358" s="71"/>
      <c r="F358" s="71"/>
      <c r="J358" s="71"/>
    </row>
    <row r="359">
      <c r="C359" s="71"/>
      <c r="D359" s="71"/>
      <c r="E359" s="71"/>
      <c r="F359" s="71"/>
      <c r="J359" s="71"/>
    </row>
    <row r="360">
      <c r="C360" s="71"/>
      <c r="D360" s="71"/>
      <c r="E360" s="71"/>
      <c r="F360" s="71"/>
      <c r="J360" s="71"/>
    </row>
    <row r="361">
      <c r="C361" s="71"/>
      <c r="D361" s="71"/>
      <c r="E361" s="71"/>
      <c r="F361" s="71"/>
      <c r="J361" s="71"/>
    </row>
    <row r="362">
      <c r="C362" s="71"/>
      <c r="D362" s="71"/>
      <c r="E362" s="71"/>
      <c r="F362" s="71"/>
      <c r="J362" s="71"/>
    </row>
    <row r="363">
      <c r="C363" s="71"/>
      <c r="D363" s="71"/>
      <c r="E363" s="71"/>
      <c r="F363" s="71"/>
      <c r="J363" s="71"/>
    </row>
    <row r="364">
      <c r="C364" s="71"/>
      <c r="D364" s="71"/>
      <c r="E364" s="71"/>
      <c r="F364" s="71"/>
      <c r="J364" s="71"/>
    </row>
    <row r="365">
      <c r="C365" s="71"/>
      <c r="D365" s="71"/>
      <c r="E365" s="71"/>
      <c r="F365" s="71"/>
      <c r="J365" s="71"/>
    </row>
    <row r="366">
      <c r="C366" s="71"/>
      <c r="D366" s="71"/>
      <c r="E366" s="71"/>
      <c r="F366" s="71"/>
      <c r="J366" s="71"/>
    </row>
    <row r="367">
      <c r="C367" s="71"/>
      <c r="D367" s="71"/>
      <c r="E367" s="71"/>
      <c r="F367" s="71"/>
      <c r="J367" s="71"/>
    </row>
    <row r="368">
      <c r="C368" s="71"/>
      <c r="D368" s="71"/>
      <c r="E368" s="71"/>
      <c r="F368" s="71"/>
      <c r="J368" s="71"/>
    </row>
    <row r="369">
      <c r="C369" s="71"/>
      <c r="D369" s="71"/>
      <c r="E369" s="71"/>
      <c r="F369" s="71"/>
      <c r="J369" s="71"/>
    </row>
    <row r="370">
      <c r="C370" s="71"/>
      <c r="D370" s="71"/>
      <c r="E370" s="71"/>
      <c r="F370" s="71"/>
      <c r="J370" s="71"/>
    </row>
    <row r="371">
      <c r="C371" s="71"/>
      <c r="D371" s="71"/>
      <c r="E371" s="71"/>
      <c r="F371" s="71"/>
      <c r="J371" s="71"/>
    </row>
    <row r="372">
      <c r="C372" s="71"/>
      <c r="D372" s="71"/>
      <c r="E372" s="71"/>
      <c r="F372" s="71"/>
      <c r="J372" s="71"/>
    </row>
    <row r="373">
      <c r="C373" s="71"/>
      <c r="D373" s="71"/>
      <c r="E373" s="71"/>
      <c r="F373" s="71"/>
      <c r="J373" s="71"/>
    </row>
    <row r="374">
      <c r="C374" s="71"/>
      <c r="D374" s="71"/>
      <c r="E374" s="71"/>
      <c r="F374" s="71"/>
      <c r="J374" s="71"/>
    </row>
    <row r="375">
      <c r="C375" s="71"/>
      <c r="D375" s="71"/>
      <c r="E375" s="71"/>
      <c r="F375" s="71"/>
      <c r="J375" s="71"/>
    </row>
    <row r="376">
      <c r="C376" s="71"/>
      <c r="D376" s="71"/>
      <c r="E376" s="71"/>
      <c r="F376" s="71"/>
      <c r="J376" s="71"/>
    </row>
    <row r="377">
      <c r="C377" s="71"/>
      <c r="D377" s="71"/>
      <c r="E377" s="71"/>
      <c r="F377" s="71"/>
      <c r="J377" s="71"/>
    </row>
    <row r="378">
      <c r="C378" s="71"/>
      <c r="D378" s="71"/>
      <c r="E378" s="71"/>
      <c r="F378" s="71"/>
      <c r="J378" s="71"/>
    </row>
    <row r="379">
      <c r="C379" s="71"/>
      <c r="D379" s="71"/>
      <c r="E379" s="71"/>
      <c r="F379" s="71"/>
      <c r="J379" s="71"/>
    </row>
    <row r="380">
      <c r="C380" s="71"/>
      <c r="D380" s="71"/>
      <c r="E380" s="71"/>
      <c r="F380" s="71"/>
      <c r="J380" s="71"/>
    </row>
    <row r="381">
      <c r="C381" s="71"/>
      <c r="D381" s="71"/>
      <c r="E381" s="71"/>
      <c r="F381" s="71"/>
      <c r="J381" s="71"/>
    </row>
    <row r="382">
      <c r="C382" s="71"/>
      <c r="D382" s="71"/>
      <c r="E382" s="71"/>
      <c r="F382" s="71"/>
      <c r="J382" s="71"/>
    </row>
    <row r="383">
      <c r="C383" s="71"/>
      <c r="D383" s="71"/>
      <c r="E383" s="71"/>
      <c r="F383" s="71"/>
      <c r="J383" s="71"/>
    </row>
    <row r="384">
      <c r="C384" s="71"/>
      <c r="D384" s="71"/>
      <c r="E384" s="71"/>
      <c r="F384" s="71"/>
      <c r="J384" s="71"/>
    </row>
    <row r="385">
      <c r="C385" s="71"/>
      <c r="D385" s="71"/>
      <c r="E385" s="71"/>
      <c r="F385" s="71"/>
      <c r="J385" s="71"/>
    </row>
    <row r="386">
      <c r="C386" s="71"/>
      <c r="D386" s="71"/>
      <c r="E386" s="71"/>
      <c r="F386" s="71"/>
      <c r="J386" s="71"/>
    </row>
    <row r="387">
      <c r="C387" s="71"/>
      <c r="D387" s="71"/>
      <c r="E387" s="71"/>
      <c r="F387" s="71"/>
      <c r="J387" s="71"/>
    </row>
    <row r="388">
      <c r="C388" s="71"/>
      <c r="D388" s="71"/>
      <c r="E388" s="71"/>
      <c r="F388" s="71"/>
      <c r="J388" s="71"/>
    </row>
    <row r="389">
      <c r="C389" s="71"/>
      <c r="D389" s="71"/>
      <c r="E389" s="71"/>
      <c r="F389" s="71"/>
      <c r="J389" s="71"/>
    </row>
    <row r="390">
      <c r="C390" s="71"/>
      <c r="D390" s="71"/>
      <c r="E390" s="71"/>
      <c r="F390" s="71"/>
      <c r="J390" s="71"/>
    </row>
    <row r="391">
      <c r="C391" s="71"/>
      <c r="D391" s="71"/>
      <c r="E391" s="71"/>
      <c r="F391" s="71"/>
      <c r="J391" s="71"/>
    </row>
    <row r="392">
      <c r="C392" s="71"/>
      <c r="D392" s="71"/>
      <c r="E392" s="71"/>
      <c r="F392" s="71"/>
      <c r="J392" s="71"/>
    </row>
    <row r="393">
      <c r="C393" s="71"/>
      <c r="D393" s="71"/>
      <c r="E393" s="71"/>
      <c r="F393" s="71"/>
      <c r="J393" s="71"/>
    </row>
    <row r="394">
      <c r="C394" s="71"/>
      <c r="D394" s="71"/>
      <c r="E394" s="71"/>
      <c r="F394" s="71"/>
      <c r="J394" s="71"/>
    </row>
    <row r="395">
      <c r="C395" s="71"/>
      <c r="D395" s="71"/>
      <c r="E395" s="71"/>
      <c r="F395" s="71"/>
      <c r="J395" s="71"/>
    </row>
    <row r="396">
      <c r="C396" s="71"/>
      <c r="D396" s="71"/>
      <c r="E396" s="71"/>
      <c r="F396" s="71"/>
      <c r="J396" s="71"/>
    </row>
    <row r="397">
      <c r="C397" s="71"/>
      <c r="D397" s="71"/>
      <c r="E397" s="71"/>
      <c r="F397" s="71"/>
      <c r="J397" s="71"/>
    </row>
    <row r="398">
      <c r="C398" s="71"/>
      <c r="D398" s="71"/>
      <c r="E398" s="71"/>
      <c r="F398" s="71"/>
      <c r="J398" s="71"/>
    </row>
    <row r="399">
      <c r="C399" s="71"/>
      <c r="D399" s="71"/>
      <c r="E399" s="71"/>
      <c r="F399" s="71"/>
      <c r="J399" s="71"/>
    </row>
    <row r="400">
      <c r="C400" s="71"/>
      <c r="D400" s="71"/>
      <c r="E400" s="71"/>
      <c r="F400" s="71"/>
      <c r="J400" s="71"/>
    </row>
    <row r="401">
      <c r="C401" s="71"/>
      <c r="D401" s="71"/>
      <c r="E401" s="71"/>
      <c r="F401" s="71"/>
      <c r="J401" s="71"/>
    </row>
    <row r="402">
      <c r="C402" s="71"/>
      <c r="D402" s="71"/>
      <c r="E402" s="71"/>
      <c r="F402" s="71"/>
      <c r="J402" s="71"/>
    </row>
    <row r="403">
      <c r="C403" s="71"/>
      <c r="D403" s="71"/>
      <c r="E403" s="71"/>
      <c r="F403" s="71"/>
      <c r="J403" s="71"/>
    </row>
    <row r="404">
      <c r="C404" s="71"/>
      <c r="D404" s="71"/>
      <c r="E404" s="71"/>
      <c r="F404" s="71"/>
      <c r="J404" s="71"/>
    </row>
    <row r="405">
      <c r="C405" s="71"/>
      <c r="D405" s="71"/>
      <c r="E405" s="71"/>
      <c r="F405" s="71"/>
      <c r="J405" s="71"/>
    </row>
    <row r="406">
      <c r="C406" s="71"/>
      <c r="D406" s="71"/>
      <c r="E406" s="71"/>
      <c r="F406" s="71"/>
      <c r="J406" s="71"/>
    </row>
    <row r="407">
      <c r="C407" s="71"/>
      <c r="D407" s="71"/>
      <c r="E407" s="71"/>
      <c r="F407" s="71"/>
      <c r="J407" s="71"/>
    </row>
    <row r="408">
      <c r="C408" s="71"/>
      <c r="D408" s="71"/>
      <c r="E408" s="71"/>
      <c r="F408" s="71"/>
      <c r="J408" s="71"/>
    </row>
    <row r="409">
      <c r="C409" s="71"/>
      <c r="D409" s="71"/>
      <c r="E409" s="71"/>
      <c r="F409" s="71"/>
      <c r="J409" s="71"/>
    </row>
    <row r="410">
      <c r="C410" s="71"/>
      <c r="D410" s="71"/>
      <c r="E410" s="71"/>
      <c r="F410" s="71"/>
      <c r="J410" s="71"/>
    </row>
    <row r="411">
      <c r="C411" s="71"/>
      <c r="D411" s="71"/>
      <c r="E411" s="71"/>
      <c r="F411" s="71"/>
      <c r="J411" s="71"/>
    </row>
    <row r="412">
      <c r="C412" s="71"/>
      <c r="D412" s="71"/>
      <c r="E412" s="71"/>
      <c r="F412" s="71"/>
      <c r="J412" s="71"/>
    </row>
    <row r="413">
      <c r="C413" s="71"/>
      <c r="D413" s="71"/>
      <c r="E413" s="71"/>
      <c r="F413" s="71"/>
      <c r="J413" s="71"/>
    </row>
    <row r="414">
      <c r="C414" s="71"/>
      <c r="D414" s="71"/>
      <c r="E414" s="71"/>
      <c r="F414" s="71"/>
      <c r="J414" s="71"/>
    </row>
    <row r="415">
      <c r="C415" s="71"/>
      <c r="D415" s="71"/>
      <c r="E415" s="71"/>
      <c r="F415" s="71"/>
      <c r="J415" s="71"/>
    </row>
    <row r="416">
      <c r="C416" s="71"/>
      <c r="D416" s="71"/>
      <c r="E416" s="71"/>
      <c r="F416" s="71"/>
      <c r="J416" s="71"/>
    </row>
    <row r="417">
      <c r="C417" s="71"/>
      <c r="D417" s="71"/>
      <c r="E417" s="71"/>
      <c r="F417" s="71"/>
      <c r="J417" s="71"/>
    </row>
    <row r="418">
      <c r="C418" s="71"/>
      <c r="D418" s="71"/>
      <c r="E418" s="71"/>
      <c r="F418" s="71"/>
      <c r="J418" s="71"/>
    </row>
    <row r="419">
      <c r="C419" s="71"/>
      <c r="D419" s="71"/>
      <c r="E419" s="71"/>
      <c r="F419" s="71"/>
      <c r="J419" s="71"/>
    </row>
    <row r="420">
      <c r="C420" s="71"/>
      <c r="D420" s="71"/>
      <c r="E420" s="71"/>
      <c r="F420" s="71"/>
      <c r="J420" s="71"/>
    </row>
    <row r="421">
      <c r="C421" s="71"/>
      <c r="D421" s="71"/>
      <c r="E421" s="71"/>
      <c r="F421" s="71"/>
      <c r="J421" s="71"/>
    </row>
    <row r="422">
      <c r="C422" s="71"/>
      <c r="D422" s="71"/>
      <c r="E422" s="71"/>
      <c r="F422" s="71"/>
      <c r="J422" s="71"/>
    </row>
    <row r="423">
      <c r="C423" s="71"/>
      <c r="D423" s="71"/>
      <c r="E423" s="71"/>
      <c r="F423" s="71"/>
      <c r="J423" s="71"/>
    </row>
    <row r="424">
      <c r="C424" s="71"/>
      <c r="D424" s="71"/>
      <c r="E424" s="71"/>
      <c r="F424" s="71"/>
      <c r="J424" s="71"/>
    </row>
    <row r="425">
      <c r="C425" s="71"/>
      <c r="D425" s="71"/>
      <c r="E425" s="71"/>
      <c r="F425" s="71"/>
      <c r="J425" s="71"/>
    </row>
    <row r="426">
      <c r="C426" s="71"/>
      <c r="D426" s="71"/>
      <c r="E426" s="71"/>
      <c r="F426" s="71"/>
      <c r="J426" s="71"/>
    </row>
    <row r="427">
      <c r="C427" s="71"/>
      <c r="D427" s="71"/>
      <c r="E427" s="71"/>
      <c r="F427" s="71"/>
      <c r="J427" s="71"/>
    </row>
    <row r="428">
      <c r="C428" s="71"/>
      <c r="D428" s="71"/>
      <c r="E428" s="71"/>
      <c r="F428" s="71"/>
      <c r="J428" s="71"/>
    </row>
    <row r="429">
      <c r="C429" s="71"/>
      <c r="D429" s="71"/>
      <c r="E429" s="71"/>
      <c r="F429" s="71"/>
      <c r="J429" s="71"/>
    </row>
    <row r="430">
      <c r="C430" s="71"/>
      <c r="D430" s="71"/>
      <c r="E430" s="71"/>
      <c r="F430" s="71"/>
      <c r="J430" s="71"/>
    </row>
    <row r="431">
      <c r="C431" s="71"/>
      <c r="D431" s="71"/>
      <c r="E431" s="71"/>
      <c r="F431" s="71"/>
      <c r="J431" s="71"/>
    </row>
    <row r="432">
      <c r="C432" s="71"/>
      <c r="D432" s="71"/>
      <c r="E432" s="71"/>
      <c r="F432" s="71"/>
      <c r="J432" s="71"/>
    </row>
    <row r="433">
      <c r="C433" s="71"/>
      <c r="D433" s="71"/>
      <c r="E433" s="71"/>
      <c r="F433" s="71"/>
      <c r="J433" s="71"/>
    </row>
    <row r="434">
      <c r="C434" s="71"/>
      <c r="D434" s="71"/>
      <c r="E434" s="71"/>
      <c r="F434" s="71"/>
      <c r="J434" s="71"/>
    </row>
    <row r="435">
      <c r="C435" s="71"/>
      <c r="D435" s="71"/>
      <c r="E435" s="71"/>
      <c r="F435" s="71"/>
      <c r="J435" s="71"/>
    </row>
    <row r="436">
      <c r="C436" s="71"/>
      <c r="D436" s="71"/>
      <c r="E436" s="71"/>
      <c r="F436" s="71"/>
      <c r="J436" s="71"/>
    </row>
    <row r="437">
      <c r="C437" s="71"/>
      <c r="D437" s="71"/>
      <c r="E437" s="71"/>
      <c r="F437" s="71"/>
      <c r="J437" s="71"/>
    </row>
    <row r="438">
      <c r="C438" s="71"/>
      <c r="D438" s="71"/>
      <c r="E438" s="71"/>
      <c r="F438" s="71"/>
      <c r="J438" s="71"/>
    </row>
    <row r="439">
      <c r="C439" s="71"/>
      <c r="D439" s="71"/>
      <c r="E439" s="71"/>
      <c r="F439" s="71"/>
      <c r="J439" s="71"/>
    </row>
    <row r="440">
      <c r="C440" s="71"/>
      <c r="D440" s="71"/>
      <c r="E440" s="71"/>
      <c r="F440" s="71"/>
      <c r="J440" s="71"/>
    </row>
    <row r="441">
      <c r="C441" s="71"/>
      <c r="D441" s="71"/>
      <c r="E441" s="71"/>
      <c r="F441" s="71"/>
      <c r="J441" s="71"/>
    </row>
    <row r="442">
      <c r="C442" s="71"/>
      <c r="D442" s="71"/>
      <c r="E442" s="71"/>
      <c r="F442" s="71"/>
      <c r="J442" s="71"/>
    </row>
    <row r="443">
      <c r="C443" s="71"/>
      <c r="D443" s="71"/>
      <c r="E443" s="71"/>
      <c r="F443" s="71"/>
      <c r="J443" s="71"/>
    </row>
    <row r="444">
      <c r="C444" s="71"/>
      <c r="D444" s="71"/>
      <c r="E444" s="71"/>
      <c r="F444" s="71"/>
      <c r="J444" s="71"/>
    </row>
    <row r="445">
      <c r="C445" s="71"/>
      <c r="D445" s="71"/>
      <c r="E445" s="71"/>
      <c r="F445" s="71"/>
      <c r="J445" s="71"/>
    </row>
    <row r="446">
      <c r="C446" s="71"/>
      <c r="D446" s="71"/>
      <c r="E446" s="71"/>
      <c r="F446" s="71"/>
      <c r="J446" s="71"/>
    </row>
    <row r="447">
      <c r="C447" s="71"/>
      <c r="D447" s="71"/>
      <c r="E447" s="71"/>
      <c r="F447" s="71"/>
      <c r="J447" s="71"/>
    </row>
    <row r="448">
      <c r="C448" s="71"/>
      <c r="D448" s="71"/>
      <c r="E448" s="71"/>
      <c r="F448" s="71"/>
      <c r="J448" s="71"/>
    </row>
    <row r="449">
      <c r="C449" s="71"/>
      <c r="D449" s="71"/>
      <c r="E449" s="71"/>
      <c r="F449" s="71"/>
      <c r="J449" s="71"/>
    </row>
    <row r="450">
      <c r="C450" s="71"/>
      <c r="D450" s="71"/>
      <c r="E450" s="71"/>
      <c r="F450" s="71"/>
      <c r="J450" s="71"/>
    </row>
    <row r="451">
      <c r="C451" s="71"/>
      <c r="D451" s="71"/>
      <c r="E451" s="71"/>
      <c r="F451" s="71"/>
      <c r="J451" s="71"/>
    </row>
    <row r="452">
      <c r="C452" s="71"/>
      <c r="D452" s="71"/>
      <c r="E452" s="71"/>
      <c r="F452" s="71"/>
      <c r="J452" s="71"/>
    </row>
    <row r="453">
      <c r="C453" s="71"/>
      <c r="D453" s="71"/>
      <c r="E453" s="71"/>
      <c r="F453" s="71"/>
      <c r="J453" s="71"/>
    </row>
    <row r="454">
      <c r="C454" s="71"/>
      <c r="D454" s="71"/>
      <c r="E454" s="71"/>
      <c r="F454" s="71"/>
      <c r="J454" s="71"/>
    </row>
    <row r="455">
      <c r="C455" s="71"/>
      <c r="D455" s="71"/>
      <c r="E455" s="71"/>
      <c r="F455" s="71"/>
      <c r="J455" s="71"/>
    </row>
    <row r="456">
      <c r="C456" s="71"/>
      <c r="D456" s="71"/>
      <c r="E456" s="71"/>
      <c r="F456" s="71"/>
      <c r="J456" s="71"/>
    </row>
    <row r="457">
      <c r="C457" s="71"/>
      <c r="D457" s="71"/>
      <c r="E457" s="71"/>
      <c r="F457" s="71"/>
      <c r="J457" s="71"/>
    </row>
    <row r="458">
      <c r="C458" s="71"/>
      <c r="D458" s="71"/>
      <c r="E458" s="71"/>
      <c r="F458" s="71"/>
      <c r="J458" s="71"/>
    </row>
    <row r="459">
      <c r="C459" s="71"/>
      <c r="D459" s="71"/>
      <c r="E459" s="71"/>
      <c r="F459" s="71"/>
      <c r="J459" s="71"/>
    </row>
    <row r="460">
      <c r="C460" s="71"/>
      <c r="D460" s="71"/>
      <c r="E460" s="71"/>
      <c r="F460" s="71"/>
      <c r="J460" s="71"/>
    </row>
    <row r="461">
      <c r="C461" s="71"/>
      <c r="D461" s="71"/>
      <c r="E461" s="71"/>
      <c r="F461" s="71"/>
      <c r="J461" s="71"/>
    </row>
    <row r="462">
      <c r="C462" s="71"/>
      <c r="D462" s="71"/>
      <c r="E462" s="71"/>
      <c r="F462" s="71"/>
      <c r="J462" s="71"/>
    </row>
    <row r="463">
      <c r="C463" s="71"/>
      <c r="D463" s="71"/>
      <c r="E463" s="71"/>
      <c r="F463" s="71"/>
      <c r="J463" s="71"/>
    </row>
    <row r="464">
      <c r="C464" s="71"/>
      <c r="D464" s="71"/>
      <c r="E464" s="71"/>
      <c r="F464" s="71"/>
      <c r="J464" s="71"/>
    </row>
    <row r="465">
      <c r="C465" s="71"/>
      <c r="D465" s="71"/>
      <c r="E465" s="71"/>
      <c r="F465" s="71"/>
      <c r="J465" s="71"/>
    </row>
    <row r="466">
      <c r="C466" s="71"/>
      <c r="D466" s="71"/>
      <c r="E466" s="71"/>
      <c r="F466" s="71"/>
      <c r="J466" s="71"/>
    </row>
    <row r="467">
      <c r="C467" s="71"/>
      <c r="D467" s="71"/>
      <c r="E467" s="71"/>
      <c r="F467" s="71"/>
      <c r="J467" s="71"/>
    </row>
    <row r="468">
      <c r="C468" s="71"/>
      <c r="D468" s="71"/>
      <c r="E468" s="71"/>
      <c r="F468" s="71"/>
      <c r="J468" s="71"/>
    </row>
    <row r="469">
      <c r="C469" s="71"/>
      <c r="D469" s="71"/>
      <c r="E469" s="71"/>
      <c r="F469" s="71"/>
      <c r="J469" s="71"/>
    </row>
    <row r="470">
      <c r="C470" s="71"/>
      <c r="D470" s="71"/>
      <c r="E470" s="71"/>
      <c r="F470" s="71"/>
      <c r="J470" s="71"/>
    </row>
    <row r="471">
      <c r="C471" s="71"/>
      <c r="D471" s="71"/>
      <c r="E471" s="71"/>
      <c r="F471" s="71"/>
      <c r="J471" s="71"/>
    </row>
    <row r="472">
      <c r="C472" s="71"/>
      <c r="D472" s="71"/>
      <c r="E472" s="71"/>
      <c r="F472" s="71"/>
      <c r="J472" s="71"/>
    </row>
    <row r="473">
      <c r="C473" s="71"/>
      <c r="D473" s="71"/>
      <c r="E473" s="71"/>
      <c r="F473" s="71"/>
      <c r="J473" s="71"/>
    </row>
    <row r="474">
      <c r="C474" s="71"/>
      <c r="D474" s="71"/>
      <c r="E474" s="71"/>
      <c r="F474" s="71"/>
      <c r="J474" s="71"/>
    </row>
    <row r="475">
      <c r="C475" s="71"/>
      <c r="D475" s="71"/>
      <c r="E475" s="71"/>
      <c r="F475" s="71"/>
      <c r="J475" s="71"/>
    </row>
    <row r="476">
      <c r="C476" s="71"/>
      <c r="D476" s="71"/>
      <c r="E476" s="71"/>
      <c r="F476" s="71"/>
      <c r="J476" s="71"/>
    </row>
    <row r="477">
      <c r="C477" s="71"/>
      <c r="D477" s="71"/>
      <c r="E477" s="71"/>
      <c r="F477" s="71"/>
      <c r="J477" s="71"/>
    </row>
    <row r="478">
      <c r="C478" s="71"/>
      <c r="D478" s="71"/>
      <c r="E478" s="71"/>
      <c r="F478" s="71"/>
      <c r="J478" s="71"/>
    </row>
    <row r="479">
      <c r="C479" s="71"/>
      <c r="D479" s="71"/>
      <c r="E479" s="71"/>
      <c r="F479" s="71"/>
      <c r="J479" s="71"/>
    </row>
    <row r="480">
      <c r="C480" s="71"/>
      <c r="D480" s="71"/>
      <c r="E480" s="71"/>
      <c r="F480" s="71"/>
      <c r="J480" s="71"/>
    </row>
    <row r="481">
      <c r="C481" s="71"/>
      <c r="D481" s="71"/>
      <c r="E481" s="71"/>
      <c r="F481" s="71"/>
      <c r="J481" s="71"/>
    </row>
    <row r="482">
      <c r="C482" s="71"/>
      <c r="D482" s="71"/>
      <c r="E482" s="71"/>
      <c r="F482" s="71"/>
      <c r="J482" s="71"/>
    </row>
    <row r="483">
      <c r="C483" s="71"/>
      <c r="D483" s="71"/>
      <c r="E483" s="71"/>
      <c r="F483" s="71"/>
      <c r="J483" s="71"/>
    </row>
    <row r="484">
      <c r="C484" s="71"/>
      <c r="D484" s="71"/>
      <c r="E484" s="71"/>
      <c r="F484" s="71"/>
      <c r="J484" s="71"/>
    </row>
    <row r="485">
      <c r="C485" s="71"/>
      <c r="D485" s="71"/>
      <c r="E485" s="71"/>
      <c r="F485" s="71"/>
      <c r="J485" s="71"/>
    </row>
    <row r="486">
      <c r="C486" s="71"/>
      <c r="D486" s="71"/>
      <c r="E486" s="71"/>
      <c r="F486" s="71"/>
      <c r="J486" s="71"/>
    </row>
    <row r="487">
      <c r="C487" s="71"/>
      <c r="D487" s="71"/>
      <c r="E487" s="71"/>
      <c r="F487" s="71"/>
      <c r="J487" s="71"/>
    </row>
    <row r="488">
      <c r="C488" s="71"/>
      <c r="D488" s="71"/>
      <c r="E488" s="71"/>
      <c r="F488" s="71"/>
      <c r="J488" s="71"/>
    </row>
    <row r="489">
      <c r="C489" s="71"/>
      <c r="D489" s="71"/>
      <c r="E489" s="71"/>
      <c r="F489" s="71"/>
      <c r="J489" s="71"/>
    </row>
    <row r="490">
      <c r="C490" s="71"/>
      <c r="D490" s="71"/>
      <c r="E490" s="71"/>
      <c r="F490" s="71"/>
      <c r="J490" s="71"/>
    </row>
    <row r="491">
      <c r="C491" s="71"/>
      <c r="D491" s="71"/>
      <c r="E491" s="71"/>
      <c r="F491" s="71"/>
      <c r="J491" s="71"/>
    </row>
    <row r="492">
      <c r="C492" s="71"/>
      <c r="D492" s="71"/>
      <c r="E492" s="71"/>
      <c r="F492" s="71"/>
      <c r="J492" s="71"/>
    </row>
    <row r="493">
      <c r="C493" s="71"/>
      <c r="D493" s="71"/>
      <c r="E493" s="71"/>
      <c r="F493" s="71"/>
      <c r="J493" s="71"/>
    </row>
    <row r="494">
      <c r="C494" s="71"/>
      <c r="D494" s="71"/>
      <c r="E494" s="71"/>
      <c r="F494" s="71"/>
      <c r="J494" s="71"/>
    </row>
    <row r="495">
      <c r="C495" s="71"/>
      <c r="D495" s="71"/>
      <c r="E495" s="71"/>
      <c r="F495" s="71"/>
      <c r="J495" s="71"/>
    </row>
    <row r="496">
      <c r="C496" s="71"/>
      <c r="D496" s="71"/>
      <c r="E496" s="71"/>
      <c r="F496" s="71"/>
      <c r="J496" s="71"/>
    </row>
    <row r="497">
      <c r="C497" s="71"/>
      <c r="D497" s="71"/>
      <c r="E497" s="71"/>
      <c r="F497" s="71"/>
      <c r="J497" s="71"/>
    </row>
    <row r="498">
      <c r="C498" s="71"/>
      <c r="D498" s="71"/>
      <c r="E498" s="71"/>
      <c r="F498" s="71"/>
      <c r="J498" s="71"/>
    </row>
    <row r="499">
      <c r="C499" s="71"/>
      <c r="D499" s="71"/>
      <c r="E499" s="71"/>
      <c r="F499" s="71"/>
      <c r="J499" s="71"/>
    </row>
    <row r="500">
      <c r="C500" s="71"/>
      <c r="D500" s="71"/>
      <c r="E500" s="71"/>
      <c r="F500" s="71"/>
      <c r="J500" s="71"/>
    </row>
    <row r="501">
      <c r="C501" s="71"/>
      <c r="D501" s="71"/>
      <c r="E501" s="71"/>
      <c r="F501" s="71"/>
      <c r="J501" s="71"/>
    </row>
    <row r="502">
      <c r="C502" s="71"/>
      <c r="D502" s="71"/>
      <c r="E502" s="71"/>
      <c r="F502" s="71"/>
      <c r="J502" s="71"/>
    </row>
    <row r="503">
      <c r="C503" s="71"/>
      <c r="D503" s="71"/>
      <c r="E503" s="71"/>
      <c r="F503" s="71"/>
      <c r="J503" s="71"/>
    </row>
    <row r="504">
      <c r="C504" s="71"/>
      <c r="D504" s="71"/>
      <c r="E504" s="71"/>
      <c r="F504" s="71"/>
      <c r="J504" s="71"/>
    </row>
    <row r="505">
      <c r="C505" s="71"/>
      <c r="D505" s="71"/>
      <c r="E505" s="71"/>
      <c r="F505" s="71"/>
      <c r="J505" s="71"/>
    </row>
    <row r="506">
      <c r="C506" s="71"/>
      <c r="D506" s="71"/>
      <c r="E506" s="71"/>
      <c r="F506" s="71"/>
      <c r="J506" s="71"/>
    </row>
    <row r="507">
      <c r="C507" s="71"/>
      <c r="D507" s="71"/>
      <c r="E507" s="71"/>
      <c r="F507" s="71"/>
      <c r="J507" s="71"/>
    </row>
    <row r="508">
      <c r="C508" s="71"/>
      <c r="D508" s="71"/>
      <c r="E508" s="71"/>
      <c r="F508" s="71"/>
      <c r="J508" s="71"/>
    </row>
    <row r="509">
      <c r="C509" s="71"/>
      <c r="D509" s="71"/>
      <c r="E509" s="71"/>
      <c r="F509" s="71"/>
      <c r="J509" s="71"/>
    </row>
    <row r="510">
      <c r="C510" s="71"/>
      <c r="D510" s="71"/>
      <c r="E510" s="71"/>
      <c r="F510" s="71"/>
      <c r="J510" s="71"/>
    </row>
    <row r="511">
      <c r="C511" s="71"/>
      <c r="D511" s="71"/>
      <c r="E511" s="71"/>
      <c r="F511" s="71"/>
      <c r="J511" s="71"/>
    </row>
    <row r="512">
      <c r="C512" s="71"/>
      <c r="D512" s="71"/>
      <c r="E512" s="71"/>
      <c r="F512" s="71"/>
      <c r="J512" s="71"/>
    </row>
    <row r="513">
      <c r="C513" s="71"/>
      <c r="D513" s="71"/>
      <c r="E513" s="71"/>
      <c r="F513" s="71"/>
      <c r="J513" s="71"/>
    </row>
    <row r="514">
      <c r="C514" s="71"/>
      <c r="D514" s="71"/>
      <c r="E514" s="71"/>
      <c r="F514" s="71"/>
      <c r="J514" s="71"/>
    </row>
    <row r="515">
      <c r="C515" s="71"/>
      <c r="D515" s="71"/>
      <c r="E515" s="71"/>
      <c r="F515" s="71"/>
      <c r="J515" s="71"/>
    </row>
    <row r="516">
      <c r="C516" s="71"/>
      <c r="D516" s="71"/>
      <c r="E516" s="71"/>
      <c r="F516" s="71"/>
      <c r="J516" s="71"/>
    </row>
    <row r="517">
      <c r="C517" s="71"/>
      <c r="D517" s="71"/>
      <c r="E517" s="71"/>
      <c r="F517" s="71"/>
      <c r="J517" s="71"/>
    </row>
    <row r="518">
      <c r="C518" s="71"/>
      <c r="D518" s="71"/>
      <c r="E518" s="71"/>
      <c r="F518" s="71"/>
      <c r="J518" s="71"/>
    </row>
    <row r="519">
      <c r="C519" s="71"/>
      <c r="D519" s="71"/>
      <c r="E519" s="71"/>
      <c r="F519" s="71"/>
      <c r="J519" s="71"/>
    </row>
    <row r="520">
      <c r="C520" s="71"/>
      <c r="D520" s="71"/>
      <c r="E520" s="71"/>
      <c r="F520" s="71"/>
      <c r="J520" s="71"/>
    </row>
    <row r="521">
      <c r="C521" s="71"/>
      <c r="D521" s="71"/>
      <c r="E521" s="71"/>
      <c r="F521" s="71"/>
      <c r="J521" s="71"/>
    </row>
    <row r="522">
      <c r="C522" s="71"/>
      <c r="D522" s="71"/>
      <c r="E522" s="71"/>
      <c r="F522" s="71"/>
      <c r="J522" s="71"/>
    </row>
    <row r="523">
      <c r="C523" s="71"/>
      <c r="D523" s="71"/>
      <c r="E523" s="71"/>
      <c r="F523" s="71"/>
      <c r="J523" s="71"/>
    </row>
    <row r="524">
      <c r="C524" s="71"/>
      <c r="D524" s="71"/>
      <c r="E524" s="71"/>
      <c r="F524" s="71"/>
      <c r="J524" s="71"/>
    </row>
    <row r="525">
      <c r="C525" s="71"/>
      <c r="D525" s="71"/>
      <c r="E525" s="71"/>
      <c r="F525" s="71"/>
      <c r="J525" s="71"/>
    </row>
    <row r="526">
      <c r="C526" s="71"/>
      <c r="D526" s="71"/>
      <c r="E526" s="71"/>
      <c r="F526" s="71"/>
      <c r="J526" s="71"/>
    </row>
    <row r="527">
      <c r="C527" s="71"/>
      <c r="D527" s="71"/>
      <c r="E527" s="71"/>
      <c r="F527" s="71"/>
      <c r="J527" s="71"/>
    </row>
    <row r="528">
      <c r="C528" s="71"/>
      <c r="D528" s="71"/>
      <c r="E528" s="71"/>
      <c r="F528" s="71"/>
      <c r="J528" s="71"/>
    </row>
    <row r="529">
      <c r="C529" s="71"/>
      <c r="D529" s="71"/>
      <c r="E529" s="71"/>
      <c r="F529" s="71"/>
      <c r="J529" s="71"/>
    </row>
    <row r="530">
      <c r="C530" s="71"/>
      <c r="D530" s="71"/>
      <c r="E530" s="71"/>
      <c r="F530" s="71"/>
      <c r="J530" s="71"/>
    </row>
    <row r="531">
      <c r="C531" s="71"/>
      <c r="D531" s="71"/>
      <c r="E531" s="71"/>
      <c r="F531" s="71"/>
      <c r="J531" s="71"/>
    </row>
    <row r="532">
      <c r="C532" s="71"/>
      <c r="D532" s="71"/>
      <c r="E532" s="71"/>
      <c r="F532" s="71"/>
      <c r="J532" s="71"/>
    </row>
    <row r="533">
      <c r="C533" s="71"/>
      <c r="D533" s="71"/>
      <c r="E533" s="71"/>
      <c r="F533" s="71"/>
      <c r="J533" s="71"/>
    </row>
    <row r="534">
      <c r="C534" s="71"/>
      <c r="D534" s="71"/>
      <c r="E534" s="71"/>
      <c r="F534" s="71"/>
      <c r="J534" s="71"/>
    </row>
    <row r="535">
      <c r="C535" s="71"/>
      <c r="D535" s="71"/>
      <c r="E535" s="71"/>
      <c r="F535" s="71"/>
      <c r="J535" s="71"/>
    </row>
    <row r="536">
      <c r="C536" s="71"/>
      <c r="D536" s="71"/>
      <c r="E536" s="71"/>
      <c r="F536" s="71"/>
      <c r="J536" s="71"/>
    </row>
    <row r="537">
      <c r="C537" s="71"/>
      <c r="D537" s="71"/>
      <c r="E537" s="71"/>
      <c r="F537" s="71"/>
      <c r="J537" s="71"/>
    </row>
    <row r="538">
      <c r="C538" s="71"/>
      <c r="D538" s="71"/>
      <c r="E538" s="71"/>
      <c r="F538" s="71"/>
      <c r="J538" s="71"/>
    </row>
    <row r="539">
      <c r="C539" s="71"/>
      <c r="D539" s="71"/>
      <c r="E539" s="71"/>
      <c r="F539" s="71"/>
      <c r="J539" s="71"/>
    </row>
    <row r="540">
      <c r="C540" s="71"/>
      <c r="D540" s="71"/>
      <c r="E540" s="71"/>
      <c r="F540" s="71"/>
      <c r="J540" s="71"/>
    </row>
    <row r="541">
      <c r="C541" s="71"/>
      <c r="D541" s="71"/>
      <c r="E541" s="71"/>
      <c r="F541" s="71"/>
      <c r="J541" s="71"/>
    </row>
    <row r="542">
      <c r="C542" s="71"/>
      <c r="D542" s="71"/>
      <c r="E542" s="71"/>
      <c r="F542" s="71"/>
      <c r="J542" s="71"/>
    </row>
    <row r="543">
      <c r="C543" s="71"/>
      <c r="D543" s="71"/>
      <c r="E543" s="71"/>
      <c r="F543" s="71"/>
      <c r="J543" s="71"/>
    </row>
    <row r="544">
      <c r="C544" s="71"/>
      <c r="D544" s="71"/>
      <c r="E544" s="71"/>
      <c r="F544" s="71"/>
      <c r="J544" s="71"/>
    </row>
    <row r="545">
      <c r="C545" s="71"/>
      <c r="D545" s="71"/>
      <c r="E545" s="71"/>
      <c r="F545" s="71"/>
      <c r="J545" s="71"/>
    </row>
    <row r="546">
      <c r="C546" s="71"/>
      <c r="D546" s="71"/>
      <c r="E546" s="71"/>
      <c r="F546" s="71"/>
      <c r="J546" s="71"/>
    </row>
    <row r="547">
      <c r="C547" s="71"/>
      <c r="D547" s="71"/>
      <c r="E547" s="71"/>
      <c r="F547" s="71"/>
      <c r="J547" s="71"/>
    </row>
    <row r="548">
      <c r="C548" s="71"/>
      <c r="D548" s="71"/>
      <c r="E548" s="71"/>
      <c r="F548" s="71"/>
      <c r="J548" s="71"/>
    </row>
    <row r="549">
      <c r="C549" s="71"/>
      <c r="D549" s="71"/>
      <c r="E549" s="71"/>
      <c r="F549" s="71"/>
      <c r="J549" s="71"/>
    </row>
    <row r="550">
      <c r="C550" s="71"/>
      <c r="D550" s="71"/>
      <c r="E550" s="71"/>
      <c r="F550" s="71"/>
      <c r="J550" s="71"/>
    </row>
    <row r="551">
      <c r="C551" s="71"/>
      <c r="D551" s="71"/>
      <c r="E551" s="71"/>
      <c r="F551" s="71"/>
      <c r="J551" s="71"/>
    </row>
    <row r="552">
      <c r="C552" s="71"/>
      <c r="D552" s="71"/>
      <c r="E552" s="71"/>
      <c r="F552" s="71"/>
      <c r="J552" s="71"/>
    </row>
    <row r="553">
      <c r="C553" s="71"/>
      <c r="D553" s="71"/>
      <c r="E553" s="71"/>
      <c r="F553" s="71"/>
      <c r="J553" s="71"/>
    </row>
    <row r="554">
      <c r="C554" s="71"/>
      <c r="D554" s="71"/>
      <c r="E554" s="71"/>
      <c r="F554" s="71"/>
      <c r="J554" s="71"/>
    </row>
    <row r="555">
      <c r="C555" s="71"/>
      <c r="D555" s="71"/>
      <c r="E555" s="71"/>
      <c r="F555" s="71"/>
      <c r="J555" s="71"/>
    </row>
    <row r="556">
      <c r="C556" s="71"/>
      <c r="D556" s="71"/>
      <c r="E556" s="71"/>
      <c r="F556" s="71"/>
      <c r="J556" s="71"/>
    </row>
    <row r="557">
      <c r="C557" s="71"/>
      <c r="D557" s="71"/>
      <c r="E557" s="71"/>
      <c r="F557" s="71"/>
      <c r="J557" s="71"/>
    </row>
    <row r="558">
      <c r="C558" s="71"/>
      <c r="D558" s="71"/>
      <c r="E558" s="71"/>
      <c r="F558" s="71"/>
      <c r="J558" s="71"/>
    </row>
    <row r="559">
      <c r="C559" s="71"/>
      <c r="D559" s="71"/>
      <c r="E559" s="71"/>
      <c r="F559" s="71"/>
      <c r="J559" s="71"/>
    </row>
    <row r="560">
      <c r="C560" s="71"/>
      <c r="D560" s="71"/>
      <c r="E560" s="71"/>
      <c r="F560" s="71"/>
      <c r="J560" s="71"/>
    </row>
    <row r="561">
      <c r="C561" s="71"/>
      <c r="D561" s="71"/>
      <c r="E561" s="71"/>
      <c r="F561" s="71"/>
      <c r="J561" s="71"/>
    </row>
    <row r="562">
      <c r="C562" s="71"/>
      <c r="D562" s="71"/>
      <c r="E562" s="71"/>
      <c r="F562" s="71"/>
      <c r="J562" s="71"/>
    </row>
    <row r="563">
      <c r="C563" s="71"/>
      <c r="D563" s="71"/>
      <c r="E563" s="71"/>
      <c r="F563" s="71"/>
      <c r="J563" s="71"/>
    </row>
    <row r="564">
      <c r="C564" s="71"/>
      <c r="D564" s="71"/>
      <c r="E564" s="71"/>
      <c r="F564" s="71"/>
      <c r="J564" s="71"/>
    </row>
    <row r="565">
      <c r="C565" s="71"/>
      <c r="D565" s="71"/>
      <c r="E565" s="71"/>
      <c r="F565" s="71"/>
      <c r="J565" s="71"/>
    </row>
    <row r="566">
      <c r="C566" s="71"/>
      <c r="D566" s="71"/>
      <c r="E566" s="71"/>
      <c r="F566" s="71"/>
      <c r="J566" s="71"/>
    </row>
    <row r="567">
      <c r="C567" s="71"/>
      <c r="D567" s="71"/>
      <c r="E567" s="71"/>
      <c r="F567" s="71"/>
      <c r="J567" s="71"/>
    </row>
    <row r="568">
      <c r="C568" s="71"/>
      <c r="D568" s="71"/>
      <c r="E568" s="71"/>
      <c r="F568" s="71"/>
      <c r="J568" s="71"/>
    </row>
    <row r="569">
      <c r="C569" s="71"/>
      <c r="D569" s="71"/>
      <c r="E569" s="71"/>
      <c r="F569" s="71"/>
      <c r="J569" s="71"/>
    </row>
    <row r="570">
      <c r="C570" s="71"/>
      <c r="D570" s="71"/>
      <c r="E570" s="71"/>
      <c r="F570" s="71"/>
      <c r="J570" s="71"/>
    </row>
    <row r="571">
      <c r="C571" s="71"/>
      <c r="D571" s="71"/>
      <c r="E571" s="71"/>
      <c r="F571" s="71"/>
      <c r="J571" s="71"/>
    </row>
    <row r="572">
      <c r="C572" s="71"/>
      <c r="D572" s="71"/>
      <c r="E572" s="71"/>
      <c r="F572" s="71"/>
      <c r="J572" s="71"/>
    </row>
    <row r="573">
      <c r="C573" s="71"/>
      <c r="D573" s="71"/>
      <c r="E573" s="71"/>
      <c r="F573" s="71"/>
      <c r="J573" s="71"/>
    </row>
    <row r="574">
      <c r="C574" s="71"/>
      <c r="D574" s="71"/>
      <c r="E574" s="71"/>
      <c r="F574" s="71"/>
      <c r="J574" s="71"/>
    </row>
    <row r="575">
      <c r="C575" s="71"/>
      <c r="D575" s="71"/>
      <c r="E575" s="71"/>
      <c r="F575" s="71"/>
      <c r="J575" s="71"/>
    </row>
    <row r="576">
      <c r="C576" s="71"/>
      <c r="D576" s="71"/>
      <c r="E576" s="71"/>
      <c r="F576" s="71"/>
      <c r="J576" s="71"/>
    </row>
    <row r="577">
      <c r="C577" s="71"/>
      <c r="D577" s="71"/>
      <c r="E577" s="71"/>
      <c r="F577" s="71"/>
      <c r="J577" s="71"/>
    </row>
    <row r="578">
      <c r="C578" s="71"/>
      <c r="D578" s="71"/>
      <c r="E578" s="71"/>
      <c r="F578" s="71"/>
      <c r="J578" s="71"/>
    </row>
    <row r="579">
      <c r="C579" s="71"/>
      <c r="D579" s="71"/>
      <c r="E579" s="71"/>
      <c r="F579" s="71"/>
      <c r="J579" s="71"/>
    </row>
    <row r="580">
      <c r="C580" s="71"/>
      <c r="D580" s="71"/>
      <c r="E580" s="71"/>
      <c r="F580" s="71"/>
      <c r="J580" s="71"/>
    </row>
    <row r="581">
      <c r="C581" s="71"/>
      <c r="D581" s="71"/>
      <c r="E581" s="71"/>
      <c r="F581" s="71"/>
      <c r="J581" s="71"/>
    </row>
    <row r="582">
      <c r="C582" s="71"/>
      <c r="D582" s="71"/>
      <c r="E582" s="71"/>
      <c r="F582" s="71"/>
      <c r="J582" s="71"/>
    </row>
    <row r="583">
      <c r="C583" s="71"/>
      <c r="D583" s="71"/>
      <c r="E583" s="71"/>
      <c r="F583" s="71"/>
      <c r="J583" s="71"/>
    </row>
    <row r="584">
      <c r="C584" s="71"/>
      <c r="D584" s="71"/>
      <c r="E584" s="71"/>
      <c r="F584" s="71"/>
      <c r="J584" s="71"/>
    </row>
    <row r="585">
      <c r="C585" s="71"/>
      <c r="D585" s="71"/>
      <c r="E585" s="71"/>
      <c r="F585" s="71"/>
      <c r="J585" s="71"/>
    </row>
    <row r="586">
      <c r="C586" s="71"/>
      <c r="D586" s="71"/>
      <c r="E586" s="71"/>
      <c r="F586" s="71"/>
      <c r="J586" s="71"/>
    </row>
    <row r="587">
      <c r="C587" s="71"/>
      <c r="D587" s="71"/>
      <c r="E587" s="71"/>
      <c r="F587" s="71"/>
      <c r="J587" s="71"/>
    </row>
    <row r="588">
      <c r="C588" s="71"/>
      <c r="D588" s="71"/>
      <c r="E588" s="71"/>
      <c r="F588" s="71"/>
      <c r="J588" s="71"/>
    </row>
    <row r="589">
      <c r="C589" s="71"/>
      <c r="D589" s="71"/>
      <c r="E589" s="71"/>
      <c r="F589" s="71"/>
      <c r="J589" s="71"/>
    </row>
    <row r="590">
      <c r="C590" s="71"/>
      <c r="D590" s="71"/>
      <c r="E590" s="71"/>
      <c r="F590" s="71"/>
      <c r="J590" s="71"/>
    </row>
    <row r="591">
      <c r="C591" s="71"/>
      <c r="D591" s="71"/>
      <c r="E591" s="71"/>
      <c r="F591" s="71"/>
      <c r="J591" s="71"/>
    </row>
    <row r="592">
      <c r="C592" s="71"/>
      <c r="D592" s="71"/>
      <c r="E592" s="71"/>
      <c r="F592" s="71"/>
      <c r="J592" s="71"/>
    </row>
    <row r="593">
      <c r="C593" s="71"/>
      <c r="D593" s="71"/>
      <c r="E593" s="71"/>
      <c r="F593" s="71"/>
      <c r="J593" s="71"/>
    </row>
    <row r="594">
      <c r="C594" s="71"/>
      <c r="D594" s="71"/>
      <c r="E594" s="71"/>
      <c r="F594" s="71"/>
      <c r="J594" s="71"/>
    </row>
    <row r="595">
      <c r="C595" s="71"/>
      <c r="D595" s="71"/>
      <c r="E595" s="71"/>
      <c r="F595" s="71"/>
      <c r="J595" s="71"/>
    </row>
    <row r="596">
      <c r="C596" s="71"/>
      <c r="D596" s="71"/>
      <c r="E596" s="71"/>
      <c r="F596" s="71"/>
      <c r="J596" s="71"/>
    </row>
    <row r="597">
      <c r="C597" s="71"/>
      <c r="D597" s="71"/>
      <c r="E597" s="71"/>
      <c r="F597" s="71"/>
      <c r="J597" s="71"/>
    </row>
    <row r="598">
      <c r="C598" s="71"/>
      <c r="D598" s="71"/>
      <c r="E598" s="71"/>
      <c r="F598" s="71"/>
      <c r="J598" s="71"/>
    </row>
    <row r="599">
      <c r="C599" s="71"/>
      <c r="D599" s="71"/>
      <c r="E599" s="71"/>
      <c r="F599" s="71"/>
      <c r="J599" s="71"/>
    </row>
    <row r="600">
      <c r="C600" s="71"/>
      <c r="D600" s="71"/>
      <c r="E600" s="71"/>
      <c r="F600" s="71"/>
      <c r="J600" s="71"/>
    </row>
    <row r="601">
      <c r="C601" s="71"/>
      <c r="D601" s="71"/>
      <c r="E601" s="71"/>
      <c r="F601" s="71"/>
      <c r="J601" s="71"/>
    </row>
    <row r="602">
      <c r="C602" s="71"/>
      <c r="D602" s="71"/>
      <c r="E602" s="71"/>
      <c r="F602" s="71"/>
      <c r="J602" s="71"/>
    </row>
    <row r="603">
      <c r="C603" s="71"/>
      <c r="D603" s="71"/>
      <c r="E603" s="71"/>
      <c r="F603" s="71"/>
      <c r="J603" s="71"/>
    </row>
    <row r="604">
      <c r="C604" s="71"/>
      <c r="D604" s="71"/>
      <c r="E604" s="71"/>
      <c r="F604" s="71"/>
      <c r="J604" s="71"/>
    </row>
    <row r="605">
      <c r="C605" s="71"/>
      <c r="D605" s="71"/>
      <c r="E605" s="71"/>
      <c r="F605" s="71"/>
      <c r="J605" s="71"/>
    </row>
    <row r="606">
      <c r="C606" s="71"/>
      <c r="D606" s="71"/>
      <c r="E606" s="71"/>
      <c r="F606" s="71"/>
      <c r="J606" s="71"/>
    </row>
    <row r="607">
      <c r="C607" s="71"/>
      <c r="D607" s="71"/>
      <c r="E607" s="71"/>
      <c r="F607" s="71"/>
      <c r="J607" s="71"/>
    </row>
    <row r="608">
      <c r="C608" s="71"/>
      <c r="D608" s="71"/>
      <c r="E608" s="71"/>
      <c r="F608" s="71"/>
      <c r="J608" s="71"/>
    </row>
    <row r="609">
      <c r="C609" s="71"/>
      <c r="D609" s="71"/>
      <c r="E609" s="71"/>
      <c r="F609" s="71"/>
      <c r="J609" s="71"/>
    </row>
    <row r="610">
      <c r="C610" s="71"/>
      <c r="D610" s="71"/>
      <c r="E610" s="71"/>
      <c r="F610" s="71"/>
      <c r="J610" s="71"/>
    </row>
    <row r="611">
      <c r="C611" s="71"/>
      <c r="D611" s="71"/>
      <c r="E611" s="71"/>
      <c r="F611" s="71"/>
      <c r="J611" s="71"/>
    </row>
    <row r="612">
      <c r="C612" s="71"/>
      <c r="D612" s="71"/>
      <c r="E612" s="71"/>
      <c r="F612" s="71"/>
      <c r="J612" s="71"/>
    </row>
    <row r="613">
      <c r="C613" s="71"/>
      <c r="D613" s="71"/>
      <c r="E613" s="71"/>
      <c r="F613" s="71"/>
      <c r="J613" s="71"/>
    </row>
    <row r="614">
      <c r="C614" s="71"/>
      <c r="D614" s="71"/>
      <c r="E614" s="71"/>
      <c r="F614" s="71"/>
      <c r="J614" s="71"/>
    </row>
    <row r="615">
      <c r="C615" s="71"/>
      <c r="D615" s="71"/>
      <c r="E615" s="71"/>
      <c r="F615" s="71"/>
      <c r="J615" s="71"/>
    </row>
    <row r="616">
      <c r="C616" s="71"/>
      <c r="D616" s="71"/>
      <c r="E616" s="71"/>
      <c r="F616" s="71"/>
      <c r="J616" s="71"/>
    </row>
    <row r="617">
      <c r="C617" s="71"/>
      <c r="D617" s="71"/>
      <c r="E617" s="71"/>
      <c r="F617" s="71"/>
      <c r="J617" s="71"/>
    </row>
    <row r="618">
      <c r="C618" s="71"/>
      <c r="D618" s="71"/>
      <c r="E618" s="71"/>
      <c r="F618" s="71"/>
      <c r="J618" s="71"/>
    </row>
    <row r="619">
      <c r="C619" s="71"/>
      <c r="D619" s="71"/>
      <c r="E619" s="71"/>
      <c r="F619" s="71"/>
      <c r="J619" s="71"/>
    </row>
    <row r="620">
      <c r="C620" s="71"/>
      <c r="D620" s="71"/>
      <c r="E620" s="71"/>
      <c r="F620" s="71"/>
      <c r="J620" s="71"/>
    </row>
    <row r="621">
      <c r="C621" s="71"/>
      <c r="D621" s="71"/>
      <c r="E621" s="71"/>
      <c r="F621" s="71"/>
      <c r="J621" s="71"/>
    </row>
    <row r="622">
      <c r="C622" s="71"/>
      <c r="D622" s="71"/>
      <c r="E622" s="71"/>
      <c r="F622" s="71"/>
      <c r="J622" s="71"/>
    </row>
    <row r="623">
      <c r="C623" s="71"/>
      <c r="D623" s="71"/>
      <c r="E623" s="71"/>
      <c r="F623" s="71"/>
      <c r="J623" s="71"/>
    </row>
    <row r="624">
      <c r="C624" s="71"/>
      <c r="D624" s="71"/>
      <c r="E624" s="71"/>
      <c r="F624" s="71"/>
      <c r="J624" s="71"/>
    </row>
    <row r="625">
      <c r="C625" s="71"/>
      <c r="D625" s="71"/>
      <c r="E625" s="71"/>
      <c r="F625" s="71"/>
      <c r="J625" s="71"/>
    </row>
    <row r="626">
      <c r="C626" s="71"/>
      <c r="D626" s="71"/>
      <c r="E626" s="71"/>
      <c r="F626" s="71"/>
      <c r="J626" s="71"/>
    </row>
    <row r="627">
      <c r="C627" s="71"/>
      <c r="D627" s="71"/>
      <c r="E627" s="71"/>
      <c r="F627" s="71"/>
      <c r="J627" s="71"/>
    </row>
    <row r="628">
      <c r="C628" s="71"/>
      <c r="D628" s="71"/>
      <c r="E628" s="71"/>
      <c r="F628" s="71"/>
      <c r="J628" s="71"/>
    </row>
    <row r="629">
      <c r="C629" s="71"/>
      <c r="D629" s="71"/>
      <c r="E629" s="71"/>
      <c r="F629" s="71"/>
      <c r="J629" s="71"/>
    </row>
    <row r="630">
      <c r="C630" s="71"/>
      <c r="D630" s="71"/>
      <c r="E630" s="71"/>
      <c r="F630" s="71"/>
      <c r="J630" s="71"/>
    </row>
    <row r="631">
      <c r="C631" s="71"/>
      <c r="D631" s="71"/>
      <c r="E631" s="71"/>
      <c r="F631" s="71"/>
      <c r="J631" s="71"/>
    </row>
    <row r="632">
      <c r="C632" s="71"/>
      <c r="D632" s="71"/>
      <c r="E632" s="71"/>
      <c r="F632" s="71"/>
      <c r="J632" s="71"/>
    </row>
    <row r="633">
      <c r="C633" s="71"/>
      <c r="D633" s="71"/>
      <c r="E633" s="71"/>
      <c r="F633" s="71"/>
      <c r="J633" s="71"/>
    </row>
    <row r="634">
      <c r="C634" s="71"/>
      <c r="D634" s="71"/>
      <c r="E634" s="71"/>
      <c r="F634" s="71"/>
      <c r="J634" s="71"/>
    </row>
    <row r="635">
      <c r="C635" s="71"/>
      <c r="D635" s="71"/>
      <c r="E635" s="71"/>
      <c r="F635" s="71"/>
      <c r="J635" s="71"/>
    </row>
    <row r="636">
      <c r="C636" s="71"/>
      <c r="D636" s="71"/>
      <c r="E636" s="71"/>
      <c r="F636" s="71"/>
      <c r="J636" s="71"/>
    </row>
    <row r="637">
      <c r="C637" s="71"/>
      <c r="D637" s="71"/>
      <c r="E637" s="71"/>
      <c r="F637" s="71"/>
      <c r="J637" s="71"/>
    </row>
    <row r="638">
      <c r="C638" s="71"/>
      <c r="D638" s="71"/>
      <c r="E638" s="71"/>
      <c r="F638" s="71"/>
      <c r="J638" s="71"/>
    </row>
    <row r="639">
      <c r="C639" s="71"/>
      <c r="D639" s="71"/>
      <c r="E639" s="71"/>
      <c r="F639" s="71"/>
      <c r="J639" s="71"/>
    </row>
    <row r="640">
      <c r="C640" s="71"/>
      <c r="D640" s="71"/>
      <c r="E640" s="71"/>
      <c r="F640" s="71"/>
      <c r="J640" s="71"/>
    </row>
    <row r="641">
      <c r="C641" s="71"/>
      <c r="D641" s="71"/>
      <c r="E641" s="71"/>
      <c r="F641" s="71"/>
      <c r="J641" s="71"/>
    </row>
    <row r="642">
      <c r="C642" s="71"/>
      <c r="D642" s="71"/>
      <c r="E642" s="71"/>
      <c r="F642" s="71"/>
      <c r="J642" s="71"/>
    </row>
    <row r="643">
      <c r="C643" s="71"/>
      <c r="D643" s="71"/>
      <c r="E643" s="71"/>
      <c r="F643" s="71"/>
      <c r="J643" s="71"/>
    </row>
    <row r="644">
      <c r="C644" s="71"/>
      <c r="D644" s="71"/>
      <c r="E644" s="71"/>
      <c r="F644" s="71"/>
      <c r="J644" s="71"/>
    </row>
    <row r="645">
      <c r="C645" s="71"/>
      <c r="D645" s="71"/>
      <c r="E645" s="71"/>
      <c r="F645" s="71"/>
      <c r="J645" s="71"/>
    </row>
    <row r="646">
      <c r="C646" s="71"/>
      <c r="D646" s="71"/>
      <c r="E646" s="71"/>
      <c r="F646" s="71"/>
      <c r="J646" s="71"/>
    </row>
    <row r="647">
      <c r="C647" s="71"/>
      <c r="D647" s="71"/>
      <c r="E647" s="71"/>
      <c r="F647" s="71"/>
      <c r="J647" s="71"/>
    </row>
    <row r="648">
      <c r="C648" s="71"/>
      <c r="D648" s="71"/>
      <c r="E648" s="71"/>
      <c r="F648" s="71"/>
      <c r="J648" s="71"/>
    </row>
    <row r="649">
      <c r="C649" s="71"/>
      <c r="D649" s="71"/>
      <c r="E649" s="71"/>
      <c r="F649" s="71"/>
      <c r="J649" s="71"/>
    </row>
    <row r="650">
      <c r="C650" s="71"/>
      <c r="D650" s="71"/>
      <c r="E650" s="71"/>
      <c r="F650" s="71"/>
      <c r="J650" s="71"/>
    </row>
    <row r="651">
      <c r="C651" s="71"/>
      <c r="D651" s="71"/>
      <c r="E651" s="71"/>
      <c r="F651" s="71"/>
      <c r="J651" s="71"/>
    </row>
    <row r="652">
      <c r="C652" s="71"/>
      <c r="D652" s="71"/>
      <c r="E652" s="71"/>
      <c r="F652" s="71"/>
      <c r="J652" s="71"/>
    </row>
    <row r="653">
      <c r="C653" s="71"/>
      <c r="D653" s="71"/>
      <c r="E653" s="71"/>
      <c r="F653" s="71"/>
      <c r="J653" s="71"/>
    </row>
    <row r="654">
      <c r="C654" s="71"/>
      <c r="D654" s="71"/>
      <c r="E654" s="71"/>
      <c r="F654" s="71"/>
      <c r="J654" s="71"/>
    </row>
    <row r="655">
      <c r="C655" s="71"/>
      <c r="D655" s="71"/>
      <c r="E655" s="71"/>
      <c r="F655" s="71"/>
      <c r="J655" s="71"/>
    </row>
    <row r="656">
      <c r="C656" s="71"/>
      <c r="D656" s="71"/>
      <c r="E656" s="71"/>
      <c r="F656" s="71"/>
      <c r="J656" s="71"/>
    </row>
    <row r="657">
      <c r="C657" s="71"/>
      <c r="D657" s="71"/>
      <c r="E657" s="71"/>
      <c r="F657" s="71"/>
      <c r="J657" s="71"/>
    </row>
    <row r="658">
      <c r="C658" s="71"/>
      <c r="D658" s="71"/>
      <c r="E658" s="71"/>
      <c r="F658" s="71"/>
      <c r="J658" s="71"/>
    </row>
    <row r="659">
      <c r="C659" s="71"/>
      <c r="D659" s="71"/>
      <c r="E659" s="71"/>
      <c r="F659" s="71"/>
      <c r="J659" s="71"/>
    </row>
    <row r="660">
      <c r="C660" s="71"/>
      <c r="D660" s="71"/>
      <c r="E660" s="71"/>
      <c r="F660" s="71"/>
      <c r="J660" s="71"/>
    </row>
    <row r="661">
      <c r="C661" s="71"/>
      <c r="D661" s="71"/>
      <c r="E661" s="71"/>
      <c r="F661" s="71"/>
      <c r="J661" s="71"/>
    </row>
    <row r="662">
      <c r="C662" s="71"/>
      <c r="D662" s="71"/>
      <c r="E662" s="71"/>
      <c r="F662" s="71"/>
      <c r="J662" s="71"/>
    </row>
    <row r="663">
      <c r="C663" s="71"/>
      <c r="D663" s="71"/>
      <c r="E663" s="71"/>
      <c r="F663" s="71"/>
      <c r="J663" s="71"/>
    </row>
    <row r="664">
      <c r="C664" s="71"/>
      <c r="D664" s="71"/>
      <c r="E664" s="71"/>
      <c r="F664" s="71"/>
      <c r="J664" s="71"/>
    </row>
    <row r="665">
      <c r="C665" s="71"/>
      <c r="D665" s="71"/>
      <c r="E665" s="71"/>
      <c r="F665" s="71"/>
      <c r="J665" s="71"/>
    </row>
    <row r="666">
      <c r="C666" s="71"/>
      <c r="D666" s="71"/>
      <c r="E666" s="71"/>
      <c r="F666" s="71"/>
      <c r="J666" s="71"/>
    </row>
    <row r="667">
      <c r="C667" s="71"/>
      <c r="D667" s="71"/>
      <c r="E667" s="71"/>
      <c r="F667" s="71"/>
      <c r="J667" s="71"/>
    </row>
    <row r="668">
      <c r="C668" s="71"/>
      <c r="D668" s="71"/>
      <c r="E668" s="71"/>
      <c r="F668" s="71"/>
      <c r="J668" s="71"/>
    </row>
    <row r="669">
      <c r="C669" s="71"/>
      <c r="D669" s="71"/>
      <c r="E669" s="71"/>
      <c r="F669" s="71"/>
      <c r="J669" s="71"/>
    </row>
    <row r="670">
      <c r="C670" s="71"/>
      <c r="D670" s="71"/>
      <c r="E670" s="71"/>
      <c r="F670" s="71"/>
      <c r="J670" s="71"/>
    </row>
    <row r="671">
      <c r="C671" s="71"/>
      <c r="D671" s="71"/>
      <c r="E671" s="71"/>
      <c r="F671" s="71"/>
      <c r="J671" s="71"/>
    </row>
    <row r="672">
      <c r="C672" s="71"/>
      <c r="D672" s="71"/>
      <c r="E672" s="71"/>
      <c r="F672" s="71"/>
      <c r="J672" s="71"/>
    </row>
    <row r="673">
      <c r="C673" s="71"/>
      <c r="D673" s="71"/>
      <c r="E673" s="71"/>
      <c r="F673" s="71"/>
      <c r="J673" s="71"/>
    </row>
    <row r="674">
      <c r="C674" s="71"/>
      <c r="D674" s="71"/>
      <c r="E674" s="71"/>
      <c r="F674" s="71"/>
      <c r="J674" s="71"/>
    </row>
    <row r="675">
      <c r="C675" s="71"/>
      <c r="D675" s="71"/>
      <c r="E675" s="71"/>
      <c r="F675" s="71"/>
      <c r="J675" s="71"/>
    </row>
    <row r="676">
      <c r="C676" s="71"/>
      <c r="D676" s="71"/>
      <c r="E676" s="71"/>
      <c r="F676" s="71"/>
      <c r="J676" s="71"/>
    </row>
    <row r="677">
      <c r="C677" s="71"/>
      <c r="D677" s="71"/>
      <c r="E677" s="71"/>
      <c r="F677" s="71"/>
      <c r="J677" s="71"/>
    </row>
    <row r="678">
      <c r="C678" s="71"/>
      <c r="D678" s="71"/>
      <c r="E678" s="71"/>
      <c r="F678" s="71"/>
      <c r="J678" s="71"/>
    </row>
    <row r="679">
      <c r="C679" s="71"/>
      <c r="D679" s="71"/>
      <c r="E679" s="71"/>
      <c r="F679" s="71"/>
      <c r="J679" s="71"/>
    </row>
    <row r="680">
      <c r="C680" s="71"/>
      <c r="D680" s="71"/>
      <c r="E680" s="71"/>
      <c r="F680" s="71"/>
      <c r="J680" s="71"/>
    </row>
    <row r="681">
      <c r="C681" s="71"/>
      <c r="D681" s="71"/>
      <c r="E681" s="71"/>
      <c r="F681" s="71"/>
      <c r="J681" s="71"/>
    </row>
    <row r="682">
      <c r="C682" s="71"/>
      <c r="D682" s="71"/>
      <c r="E682" s="71"/>
      <c r="F682" s="71"/>
      <c r="J682" s="71"/>
    </row>
    <row r="683">
      <c r="C683" s="71"/>
      <c r="D683" s="71"/>
      <c r="E683" s="71"/>
      <c r="F683" s="71"/>
      <c r="J683" s="71"/>
    </row>
    <row r="684">
      <c r="C684" s="71"/>
      <c r="D684" s="71"/>
      <c r="E684" s="71"/>
      <c r="F684" s="71"/>
      <c r="J684" s="71"/>
    </row>
    <row r="685">
      <c r="C685" s="71"/>
      <c r="D685" s="71"/>
      <c r="E685" s="71"/>
      <c r="F685" s="71"/>
      <c r="J685" s="71"/>
    </row>
    <row r="686">
      <c r="C686" s="71"/>
      <c r="D686" s="71"/>
      <c r="E686" s="71"/>
      <c r="F686" s="71"/>
      <c r="J686" s="71"/>
    </row>
    <row r="687">
      <c r="C687" s="71"/>
      <c r="D687" s="71"/>
      <c r="E687" s="71"/>
      <c r="F687" s="71"/>
      <c r="J687" s="71"/>
    </row>
    <row r="688">
      <c r="C688" s="71"/>
      <c r="D688" s="71"/>
      <c r="E688" s="71"/>
      <c r="F688" s="71"/>
      <c r="J688" s="71"/>
    </row>
    <row r="689">
      <c r="C689" s="71"/>
      <c r="D689" s="71"/>
      <c r="E689" s="71"/>
      <c r="F689" s="71"/>
      <c r="J689" s="71"/>
    </row>
    <row r="690">
      <c r="C690" s="71"/>
      <c r="D690" s="71"/>
      <c r="E690" s="71"/>
      <c r="F690" s="71"/>
      <c r="J690" s="71"/>
    </row>
    <row r="691">
      <c r="C691" s="71"/>
      <c r="D691" s="71"/>
      <c r="E691" s="71"/>
      <c r="F691" s="71"/>
      <c r="J691" s="71"/>
    </row>
    <row r="692">
      <c r="C692" s="71"/>
      <c r="D692" s="71"/>
      <c r="E692" s="71"/>
      <c r="F692" s="71"/>
      <c r="J692" s="71"/>
    </row>
    <row r="693">
      <c r="C693" s="71"/>
      <c r="D693" s="71"/>
      <c r="E693" s="71"/>
      <c r="F693" s="71"/>
      <c r="J693" s="71"/>
    </row>
    <row r="694">
      <c r="C694" s="71"/>
      <c r="D694" s="71"/>
      <c r="E694" s="71"/>
      <c r="F694" s="71"/>
      <c r="J694" s="71"/>
    </row>
    <row r="695">
      <c r="C695" s="71"/>
      <c r="D695" s="71"/>
      <c r="E695" s="71"/>
      <c r="F695" s="71"/>
      <c r="J695" s="71"/>
    </row>
    <row r="696">
      <c r="C696" s="71"/>
      <c r="D696" s="71"/>
      <c r="E696" s="71"/>
      <c r="F696" s="71"/>
      <c r="J696" s="71"/>
    </row>
    <row r="697">
      <c r="C697" s="71"/>
      <c r="D697" s="71"/>
      <c r="E697" s="71"/>
      <c r="F697" s="71"/>
      <c r="J697" s="71"/>
    </row>
    <row r="698">
      <c r="C698" s="71"/>
      <c r="D698" s="71"/>
      <c r="E698" s="71"/>
      <c r="F698" s="71"/>
      <c r="J698" s="71"/>
    </row>
    <row r="699">
      <c r="C699" s="71"/>
      <c r="D699" s="71"/>
      <c r="E699" s="71"/>
      <c r="F699" s="71"/>
      <c r="J699" s="71"/>
    </row>
    <row r="700">
      <c r="C700" s="71"/>
      <c r="D700" s="71"/>
      <c r="E700" s="71"/>
      <c r="F700" s="71"/>
      <c r="J700" s="71"/>
    </row>
    <row r="701">
      <c r="C701" s="71"/>
      <c r="D701" s="71"/>
      <c r="E701" s="71"/>
      <c r="F701" s="71"/>
      <c r="J701" s="71"/>
    </row>
    <row r="702">
      <c r="C702" s="71"/>
      <c r="D702" s="71"/>
      <c r="E702" s="71"/>
      <c r="F702" s="71"/>
      <c r="J702" s="71"/>
    </row>
    <row r="703">
      <c r="C703" s="71"/>
      <c r="D703" s="71"/>
      <c r="E703" s="71"/>
      <c r="F703" s="71"/>
      <c r="J703" s="71"/>
    </row>
    <row r="704">
      <c r="C704" s="71"/>
      <c r="D704" s="71"/>
      <c r="E704" s="71"/>
      <c r="F704" s="71"/>
      <c r="J704" s="71"/>
    </row>
    <row r="705">
      <c r="C705" s="71"/>
      <c r="D705" s="71"/>
      <c r="E705" s="71"/>
      <c r="F705" s="71"/>
      <c r="J705" s="71"/>
    </row>
    <row r="706">
      <c r="C706" s="71"/>
      <c r="D706" s="71"/>
      <c r="E706" s="71"/>
      <c r="F706" s="71"/>
      <c r="J706" s="71"/>
    </row>
    <row r="707">
      <c r="C707" s="71"/>
      <c r="D707" s="71"/>
      <c r="E707" s="71"/>
      <c r="F707" s="71"/>
      <c r="J707" s="71"/>
    </row>
    <row r="708">
      <c r="C708" s="71"/>
      <c r="D708" s="71"/>
      <c r="E708" s="71"/>
      <c r="F708" s="71"/>
      <c r="J708" s="71"/>
    </row>
    <row r="709">
      <c r="C709" s="71"/>
      <c r="D709" s="71"/>
      <c r="E709" s="71"/>
      <c r="F709" s="71"/>
      <c r="J709" s="71"/>
    </row>
    <row r="710">
      <c r="C710" s="71"/>
      <c r="D710" s="71"/>
      <c r="E710" s="71"/>
      <c r="F710" s="71"/>
      <c r="J710" s="71"/>
    </row>
    <row r="711">
      <c r="C711" s="71"/>
      <c r="D711" s="71"/>
      <c r="E711" s="71"/>
      <c r="F711" s="71"/>
      <c r="J711" s="71"/>
    </row>
    <row r="712">
      <c r="C712" s="71"/>
      <c r="D712" s="71"/>
      <c r="E712" s="71"/>
      <c r="F712" s="71"/>
      <c r="J712" s="71"/>
    </row>
    <row r="713">
      <c r="C713" s="71"/>
      <c r="D713" s="71"/>
      <c r="E713" s="71"/>
      <c r="F713" s="71"/>
      <c r="J713" s="71"/>
    </row>
    <row r="714">
      <c r="C714" s="71"/>
      <c r="D714" s="71"/>
      <c r="E714" s="71"/>
      <c r="F714" s="71"/>
      <c r="J714" s="71"/>
    </row>
    <row r="715">
      <c r="C715" s="71"/>
      <c r="D715" s="71"/>
      <c r="E715" s="71"/>
      <c r="F715" s="71"/>
      <c r="J715" s="71"/>
    </row>
    <row r="716">
      <c r="C716" s="71"/>
      <c r="D716" s="71"/>
      <c r="E716" s="71"/>
      <c r="F716" s="71"/>
      <c r="J716" s="71"/>
    </row>
    <row r="717">
      <c r="C717" s="71"/>
      <c r="D717" s="71"/>
      <c r="E717" s="71"/>
      <c r="F717" s="71"/>
      <c r="J717" s="71"/>
    </row>
    <row r="718">
      <c r="C718" s="71"/>
      <c r="D718" s="71"/>
      <c r="E718" s="71"/>
      <c r="F718" s="71"/>
      <c r="J718" s="71"/>
    </row>
    <row r="719">
      <c r="C719" s="71"/>
      <c r="D719" s="71"/>
      <c r="E719" s="71"/>
      <c r="F719" s="71"/>
      <c r="J719" s="71"/>
    </row>
    <row r="720">
      <c r="C720" s="71"/>
      <c r="D720" s="71"/>
      <c r="E720" s="71"/>
      <c r="F720" s="71"/>
      <c r="J720" s="71"/>
    </row>
    <row r="721">
      <c r="C721" s="71"/>
      <c r="D721" s="71"/>
      <c r="E721" s="71"/>
      <c r="F721" s="71"/>
      <c r="J721" s="71"/>
    </row>
    <row r="722">
      <c r="C722" s="71"/>
      <c r="D722" s="71"/>
      <c r="E722" s="71"/>
      <c r="F722" s="71"/>
      <c r="J722" s="71"/>
    </row>
    <row r="723">
      <c r="C723" s="71"/>
      <c r="D723" s="71"/>
      <c r="E723" s="71"/>
      <c r="F723" s="71"/>
      <c r="J723" s="71"/>
    </row>
    <row r="724">
      <c r="C724" s="71"/>
      <c r="D724" s="71"/>
      <c r="E724" s="71"/>
      <c r="F724" s="71"/>
      <c r="J724" s="71"/>
    </row>
    <row r="725">
      <c r="C725" s="71"/>
      <c r="D725" s="71"/>
      <c r="E725" s="71"/>
      <c r="F725" s="71"/>
      <c r="J725" s="71"/>
    </row>
    <row r="726">
      <c r="C726" s="71"/>
      <c r="D726" s="71"/>
      <c r="E726" s="71"/>
      <c r="F726" s="71"/>
      <c r="J726" s="71"/>
    </row>
    <row r="727">
      <c r="C727" s="71"/>
      <c r="D727" s="71"/>
      <c r="E727" s="71"/>
      <c r="F727" s="71"/>
      <c r="J727" s="71"/>
    </row>
    <row r="728">
      <c r="C728" s="71"/>
      <c r="D728" s="71"/>
      <c r="E728" s="71"/>
      <c r="F728" s="71"/>
      <c r="J728" s="71"/>
    </row>
    <row r="729">
      <c r="C729" s="71"/>
      <c r="D729" s="71"/>
      <c r="E729" s="71"/>
      <c r="F729" s="71"/>
      <c r="J729" s="71"/>
    </row>
    <row r="730">
      <c r="C730" s="71"/>
      <c r="D730" s="71"/>
      <c r="E730" s="71"/>
      <c r="F730" s="71"/>
      <c r="J730" s="71"/>
    </row>
    <row r="731">
      <c r="C731" s="71"/>
      <c r="D731" s="71"/>
      <c r="E731" s="71"/>
      <c r="F731" s="71"/>
      <c r="J731" s="71"/>
    </row>
    <row r="732">
      <c r="C732" s="71"/>
      <c r="D732" s="71"/>
      <c r="E732" s="71"/>
      <c r="F732" s="71"/>
      <c r="J732" s="71"/>
    </row>
    <row r="733">
      <c r="C733" s="71"/>
      <c r="D733" s="71"/>
      <c r="E733" s="71"/>
      <c r="F733" s="71"/>
      <c r="J733" s="71"/>
    </row>
    <row r="734">
      <c r="C734" s="71"/>
      <c r="D734" s="71"/>
      <c r="E734" s="71"/>
      <c r="F734" s="71"/>
      <c r="J734" s="71"/>
    </row>
    <row r="735">
      <c r="C735" s="71"/>
      <c r="D735" s="71"/>
      <c r="E735" s="71"/>
      <c r="F735" s="71"/>
      <c r="J735" s="71"/>
    </row>
    <row r="736">
      <c r="C736" s="71"/>
      <c r="D736" s="71"/>
      <c r="E736" s="71"/>
      <c r="F736" s="71"/>
      <c r="J736" s="71"/>
    </row>
    <row r="737">
      <c r="C737" s="71"/>
      <c r="D737" s="71"/>
      <c r="E737" s="71"/>
      <c r="F737" s="71"/>
      <c r="J737" s="71"/>
    </row>
    <row r="738">
      <c r="C738" s="71"/>
      <c r="D738" s="71"/>
      <c r="E738" s="71"/>
      <c r="F738" s="71"/>
      <c r="J738" s="71"/>
    </row>
    <row r="739">
      <c r="C739" s="71"/>
      <c r="D739" s="71"/>
      <c r="E739" s="71"/>
      <c r="F739" s="71"/>
      <c r="J739" s="71"/>
    </row>
    <row r="740">
      <c r="C740" s="71"/>
      <c r="D740" s="71"/>
      <c r="E740" s="71"/>
      <c r="F740" s="71"/>
      <c r="J740" s="71"/>
    </row>
    <row r="741">
      <c r="C741" s="71"/>
      <c r="D741" s="71"/>
      <c r="E741" s="71"/>
      <c r="F741" s="71"/>
      <c r="J741" s="71"/>
    </row>
    <row r="742">
      <c r="C742" s="71"/>
      <c r="D742" s="71"/>
      <c r="E742" s="71"/>
      <c r="F742" s="71"/>
      <c r="J742" s="71"/>
    </row>
    <row r="743">
      <c r="C743" s="71"/>
      <c r="D743" s="71"/>
      <c r="E743" s="71"/>
      <c r="F743" s="71"/>
      <c r="J743" s="71"/>
    </row>
    <row r="744">
      <c r="C744" s="71"/>
      <c r="D744" s="71"/>
      <c r="E744" s="71"/>
      <c r="F744" s="71"/>
      <c r="J744" s="71"/>
    </row>
    <row r="745">
      <c r="C745" s="71"/>
      <c r="D745" s="71"/>
      <c r="E745" s="71"/>
      <c r="F745" s="71"/>
      <c r="J745" s="71"/>
    </row>
    <row r="746">
      <c r="C746" s="71"/>
      <c r="D746" s="71"/>
      <c r="E746" s="71"/>
      <c r="F746" s="71"/>
      <c r="J746" s="71"/>
    </row>
    <row r="747">
      <c r="C747" s="71"/>
      <c r="D747" s="71"/>
      <c r="E747" s="71"/>
      <c r="F747" s="71"/>
      <c r="J747" s="71"/>
    </row>
    <row r="748">
      <c r="C748" s="71"/>
      <c r="D748" s="71"/>
      <c r="E748" s="71"/>
      <c r="F748" s="71"/>
      <c r="J748" s="71"/>
    </row>
    <row r="749">
      <c r="C749" s="71"/>
      <c r="D749" s="71"/>
      <c r="E749" s="71"/>
      <c r="F749" s="71"/>
      <c r="J749" s="71"/>
    </row>
    <row r="750">
      <c r="C750" s="71"/>
      <c r="D750" s="71"/>
      <c r="E750" s="71"/>
      <c r="F750" s="71"/>
      <c r="J750" s="71"/>
    </row>
    <row r="751">
      <c r="C751" s="71"/>
      <c r="D751" s="71"/>
      <c r="E751" s="71"/>
      <c r="F751" s="71"/>
      <c r="J751" s="71"/>
    </row>
    <row r="752">
      <c r="C752" s="71"/>
      <c r="D752" s="71"/>
      <c r="E752" s="71"/>
      <c r="F752" s="71"/>
      <c r="J752" s="71"/>
    </row>
    <row r="753">
      <c r="C753" s="71"/>
      <c r="D753" s="71"/>
      <c r="E753" s="71"/>
      <c r="F753" s="71"/>
      <c r="J753" s="71"/>
    </row>
    <row r="754">
      <c r="C754" s="71"/>
      <c r="D754" s="71"/>
      <c r="E754" s="71"/>
      <c r="F754" s="71"/>
      <c r="J754" s="71"/>
    </row>
    <row r="755">
      <c r="C755" s="71"/>
      <c r="D755" s="71"/>
      <c r="E755" s="71"/>
      <c r="F755" s="71"/>
      <c r="J755" s="71"/>
    </row>
    <row r="756">
      <c r="C756" s="71"/>
      <c r="D756" s="71"/>
      <c r="E756" s="71"/>
      <c r="F756" s="71"/>
      <c r="J756" s="71"/>
    </row>
    <row r="757">
      <c r="C757" s="71"/>
      <c r="D757" s="71"/>
      <c r="E757" s="71"/>
      <c r="F757" s="71"/>
      <c r="J757" s="71"/>
    </row>
    <row r="758">
      <c r="C758" s="71"/>
      <c r="D758" s="71"/>
      <c r="E758" s="71"/>
      <c r="F758" s="71"/>
      <c r="J758" s="71"/>
    </row>
    <row r="759">
      <c r="C759" s="71"/>
      <c r="D759" s="71"/>
      <c r="E759" s="71"/>
      <c r="F759" s="71"/>
      <c r="J759" s="71"/>
    </row>
    <row r="760">
      <c r="C760" s="71"/>
      <c r="D760" s="71"/>
      <c r="E760" s="71"/>
      <c r="F760" s="71"/>
      <c r="J760" s="71"/>
    </row>
    <row r="761">
      <c r="C761" s="71"/>
      <c r="D761" s="71"/>
      <c r="E761" s="71"/>
      <c r="F761" s="71"/>
      <c r="J761" s="71"/>
    </row>
    <row r="762">
      <c r="C762" s="71"/>
      <c r="D762" s="71"/>
      <c r="E762" s="71"/>
      <c r="F762" s="71"/>
      <c r="J762" s="71"/>
    </row>
    <row r="763">
      <c r="C763" s="71"/>
      <c r="D763" s="71"/>
      <c r="E763" s="71"/>
      <c r="F763" s="71"/>
      <c r="J763" s="71"/>
    </row>
    <row r="764">
      <c r="C764" s="71"/>
      <c r="D764" s="71"/>
      <c r="E764" s="71"/>
      <c r="F764" s="71"/>
      <c r="J764" s="71"/>
    </row>
    <row r="765">
      <c r="C765" s="71"/>
      <c r="D765" s="71"/>
      <c r="E765" s="71"/>
      <c r="F765" s="71"/>
      <c r="J765" s="71"/>
    </row>
    <row r="766">
      <c r="C766" s="71"/>
      <c r="D766" s="71"/>
      <c r="E766" s="71"/>
      <c r="F766" s="71"/>
      <c r="J766" s="71"/>
    </row>
    <row r="767">
      <c r="C767" s="71"/>
      <c r="D767" s="71"/>
      <c r="E767" s="71"/>
      <c r="F767" s="71"/>
      <c r="J767" s="71"/>
    </row>
    <row r="768">
      <c r="C768" s="71"/>
      <c r="D768" s="71"/>
      <c r="E768" s="71"/>
      <c r="F768" s="71"/>
      <c r="J768" s="71"/>
    </row>
    <row r="769">
      <c r="C769" s="71"/>
      <c r="D769" s="71"/>
      <c r="E769" s="71"/>
      <c r="F769" s="71"/>
      <c r="J769" s="71"/>
    </row>
    <row r="770">
      <c r="C770" s="71"/>
      <c r="D770" s="71"/>
      <c r="E770" s="71"/>
      <c r="F770" s="71"/>
      <c r="J770" s="71"/>
    </row>
    <row r="771">
      <c r="C771" s="71"/>
      <c r="D771" s="71"/>
      <c r="E771" s="71"/>
      <c r="F771" s="71"/>
      <c r="J771" s="71"/>
    </row>
    <row r="772">
      <c r="C772" s="71"/>
      <c r="D772" s="71"/>
      <c r="E772" s="71"/>
      <c r="F772" s="71"/>
      <c r="J772" s="71"/>
    </row>
    <row r="773">
      <c r="C773" s="71"/>
      <c r="D773" s="71"/>
      <c r="E773" s="71"/>
      <c r="F773" s="71"/>
      <c r="J773" s="71"/>
    </row>
    <row r="774">
      <c r="C774" s="71"/>
      <c r="D774" s="71"/>
      <c r="E774" s="71"/>
      <c r="F774" s="71"/>
      <c r="J774" s="71"/>
    </row>
    <row r="775">
      <c r="C775" s="71"/>
      <c r="D775" s="71"/>
      <c r="E775" s="71"/>
      <c r="F775" s="71"/>
      <c r="J775" s="71"/>
    </row>
    <row r="776">
      <c r="C776" s="71"/>
      <c r="D776" s="71"/>
      <c r="E776" s="71"/>
      <c r="F776" s="71"/>
      <c r="J776" s="71"/>
    </row>
    <row r="777">
      <c r="C777" s="71"/>
      <c r="D777" s="71"/>
      <c r="E777" s="71"/>
      <c r="F777" s="71"/>
      <c r="J777" s="71"/>
    </row>
    <row r="778">
      <c r="C778" s="71"/>
      <c r="D778" s="71"/>
      <c r="E778" s="71"/>
      <c r="F778" s="71"/>
      <c r="J778" s="71"/>
    </row>
    <row r="779">
      <c r="C779" s="71"/>
      <c r="D779" s="71"/>
      <c r="E779" s="71"/>
      <c r="F779" s="71"/>
      <c r="J779" s="71"/>
    </row>
    <row r="780">
      <c r="C780" s="71"/>
      <c r="D780" s="71"/>
      <c r="E780" s="71"/>
      <c r="F780" s="71"/>
      <c r="J780" s="71"/>
    </row>
    <row r="781">
      <c r="C781" s="71"/>
      <c r="D781" s="71"/>
      <c r="E781" s="71"/>
      <c r="F781" s="71"/>
      <c r="J781" s="71"/>
    </row>
    <row r="782">
      <c r="C782" s="71"/>
      <c r="D782" s="71"/>
      <c r="E782" s="71"/>
      <c r="F782" s="71"/>
      <c r="J782" s="71"/>
    </row>
    <row r="783">
      <c r="C783" s="71"/>
      <c r="D783" s="71"/>
      <c r="E783" s="71"/>
      <c r="F783" s="71"/>
      <c r="J783" s="71"/>
    </row>
    <row r="784">
      <c r="C784" s="71"/>
      <c r="D784" s="71"/>
      <c r="E784" s="71"/>
      <c r="F784" s="71"/>
      <c r="J784" s="71"/>
    </row>
    <row r="785">
      <c r="C785" s="71"/>
      <c r="D785" s="71"/>
      <c r="E785" s="71"/>
      <c r="F785" s="71"/>
      <c r="J785" s="71"/>
    </row>
    <row r="786">
      <c r="C786" s="71"/>
      <c r="D786" s="71"/>
      <c r="E786" s="71"/>
      <c r="F786" s="71"/>
      <c r="J786" s="71"/>
    </row>
    <row r="787">
      <c r="C787" s="71"/>
      <c r="D787" s="71"/>
      <c r="E787" s="71"/>
      <c r="F787" s="71"/>
      <c r="J787" s="71"/>
    </row>
    <row r="788">
      <c r="C788" s="71"/>
      <c r="D788" s="71"/>
      <c r="E788" s="71"/>
      <c r="F788" s="71"/>
      <c r="J788" s="71"/>
    </row>
    <row r="789">
      <c r="C789" s="71"/>
      <c r="D789" s="71"/>
      <c r="E789" s="71"/>
      <c r="F789" s="71"/>
      <c r="J789" s="71"/>
    </row>
    <row r="790">
      <c r="C790" s="71"/>
      <c r="D790" s="71"/>
      <c r="E790" s="71"/>
      <c r="F790" s="71"/>
      <c r="J790" s="71"/>
    </row>
    <row r="791">
      <c r="C791" s="71"/>
      <c r="D791" s="71"/>
      <c r="E791" s="71"/>
      <c r="F791" s="71"/>
      <c r="J791" s="71"/>
    </row>
    <row r="792">
      <c r="C792" s="71"/>
      <c r="D792" s="71"/>
      <c r="E792" s="71"/>
      <c r="F792" s="71"/>
      <c r="J792" s="71"/>
    </row>
    <row r="793">
      <c r="C793" s="71"/>
      <c r="D793" s="71"/>
      <c r="E793" s="71"/>
      <c r="F793" s="71"/>
      <c r="J793" s="71"/>
    </row>
    <row r="794">
      <c r="C794" s="71"/>
      <c r="D794" s="71"/>
      <c r="E794" s="71"/>
      <c r="F794" s="71"/>
      <c r="J794" s="71"/>
    </row>
    <row r="795">
      <c r="C795" s="71"/>
      <c r="D795" s="71"/>
      <c r="E795" s="71"/>
      <c r="F795" s="71"/>
      <c r="J795" s="71"/>
    </row>
    <row r="796">
      <c r="C796" s="71"/>
      <c r="D796" s="71"/>
      <c r="E796" s="71"/>
      <c r="F796" s="71"/>
      <c r="J796" s="71"/>
    </row>
    <row r="797">
      <c r="C797" s="71"/>
      <c r="D797" s="71"/>
      <c r="E797" s="71"/>
      <c r="F797" s="71"/>
      <c r="J797" s="71"/>
    </row>
    <row r="798">
      <c r="C798" s="71"/>
      <c r="D798" s="71"/>
      <c r="E798" s="71"/>
      <c r="F798" s="71"/>
      <c r="J798" s="71"/>
    </row>
    <row r="799">
      <c r="C799" s="71"/>
      <c r="D799" s="71"/>
      <c r="E799" s="71"/>
      <c r="F799" s="71"/>
      <c r="J799" s="71"/>
    </row>
    <row r="800">
      <c r="C800" s="71"/>
      <c r="D800" s="71"/>
      <c r="E800" s="71"/>
      <c r="F800" s="71"/>
      <c r="J800" s="71"/>
    </row>
    <row r="801">
      <c r="C801" s="71"/>
      <c r="D801" s="71"/>
      <c r="E801" s="71"/>
      <c r="F801" s="71"/>
      <c r="J801" s="71"/>
    </row>
    <row r="802">
      <c r="C802" s="71"/>
      <c r="D802" s="71"/>
      <c r="E802" s="71"/>
      <c r="F802" s="71"/>
      <c r="J802" s="71"/>
    </row>
    <row r="803">
      <c r="C803" s="71"/>
      <c r="D803" s="71"/>
      <c r="E803" s="71"/>
      <c r="F803" s="71"/>
      <c r="J803" s="71"/>
    </row>
    <row r="804">
      <c r="C804" s="71"/>
      <c r="D804" s="71"/>
      <c r="E804" s="71"/>
      <c r="F804" s="71"/>
      <c r="J804" s="71"/>
    </row>
    <row r="805">
      <c r="C805" s="71"/>
      <c r="D805" s="71"/>
      <c r="E805" s="71"/>
      <c r="F805" s="71"/>
      <c r="J805" s="71"/>
    </row>
    <row r="806">
      <c r="C806" s="71"/>
      <c r="D806" s="71"/>
      <c r="E806" s="71"/>
      <c r="F806" s="71"/>
      <c r="J806" s="71"/>
    </row>
    <row r="807">
      <c r="C807" s="71"/>
      <c r="D807" s="71"/>
      <c r="E807" s="71"/>
      <c r="F807" s="71"/>
      <c r="J807" s="71"/>
    </row>
    <row r="808">
      <c r="C808" s="71"/>
      <c r="D808" s="71"/>
      <c r="E808" s="71"/>
      <c r="F808" s="71"/>
      <c r="J808" s="71"/>
    </row>
    <row r="809">
      <c r="C809" s="71"/>
      <c r="D809" s="71"/>
      <c r="E809" s="71"/>
      <c r="F809" s="71"/>
      <c r="J809" s="71"/>
    </row>
    <row r="810">
      <c r="C810" s="71"/>
      <c r="D810" s="71"/>
      <c r="E810" s="71"/>
      <c r="F810" s="71"/>
      <c r="J810" s="71"/>
    </row>
    <row r="811">
      <c r="C811" s="71"/>
      <c r="D811" s="71"/>
      <c r="E811" s="71"/>
      <c r="F811" s="71"/>
      <c r="J811" s="71"/>
    </row>
    <row r="812">
      <c r="C812" s="71"/>
      <c r="D812" s="71"/>
      <c r="E812" s="71"/>
      <c r="F812" s="71"/>
      <c r="J812" s="71"/>
    </row>
    <row r="813">
      <c r="C813" s="71"/>
      <c r="D813" s="71"/>
      <c r="E813" s="71"/>
      <c r="F813" s="71"/>
      <c r="J813" s="71"/>
    </row>
    <row r="814">
      <c r="C814" s="71"/>
      <c r="D814" s="71"/>
      <c r="E814" s="71"/>
      <c r="F814" s="71"/>
      <c r="J814" s="71"/>
    </row>
    <row r="815">
      <c r="C815" s="71"/>
      <c r="D815" s="71"/>
      <c r="E815" s="71"/>
      <c r="F815" s="71"/>
      <c r="J815" s="71"/>
    </row>
    <row r="816">
      <c r="C816" s="71"/>
      <c r="D816" s="71"/>
      <c r="E816" s="71"/>
      <c r="F816" s="71"/>
      <c r="J816" s="71"/>
    </row>
    <row r="817">
      <c r="C817" s="71"/>
      <c r="D817" s="71"/>
      <c r="E817" s="71"/>
      <c r="F817" s="71"/>
      <c r="J817" s="71"/>
    </row>
    <row r="818">
      <c r="C818" s="71"/>
      <c r="D818" s="71"/>
      <c r="E818" s="71"/>
      <c r="F818" s="71"/>
      <c r="J818" s="71"/>
    </row>
    <row r="819">
      <c r="C819" s="71"/>
      <c r="D819" s="71"/>
      <c r="E819" s="71"/>
      <c r="F819" s="71"/>
      <c r="J819" s="71"/>
    </row>
    <row r="820">
      <c r="C820" s="71"/>
      <c r="D820" s="71"/>
      <c r="E820" s="71"/>
      <c r="F820" s="71"/>
      <c r="J820" s="71"/>
    </row>
    <row r="821">
      <c r="C821" s="71"/>
      <c r="D821" s="71"/>
      <c r="E821" s="71"/>
      <c r="F821" s="71"/>
      <c r="J821" s="71"/>
    </row>
    <row r="822">
      <c r="C822" s="71"/>
      <c r="D822" s="71"/>
      <c r="E822" s="71"/>
      <c r="F822" s="71"/>
      <c r="J822" s="71"/>
    </row>
    <row r="823">
      <c r="C823" s="71"/>
      <c r="D823" s="71"/>
      <c r="E823" s="71"/>
      <c r="F823" s="71"/>
      <c r="J823" s="71"/>
    </row>
    <row r="824">
      <c r="C824" s="71"/>
      <c r="D824" s="71"/>
      <c r="E824" s="71"/>
      <c r="F824" s="71"/>
      <c r="J824" s="71"/>
    </row>
    <row r="825">
      <c r="C825" s="71"/>
      <c r="D825" s="71"/>
      <c r="E825" s="71"/>
      <c r="F825" s="71"/>
      <c r="J825" s="71"/>
    </row>
    <row r="826">
      <c r="C826" s="71"/>
      <c r="D826" s="71"/>
      <c r="E826" s="71"/>
      <c r="F826" s="71"/>
      <c r="J826" s="71"/>
    </row>
    <row r="827">
      <c r="C827" s="71"/>
      <c r="D827" s="71"/>
      <c r="E827" s="71"/>
      <c r="F827" s="71"/>
      <c r="J827" s="71"/>
    </row>
    <row r="828">
      <c r="C828" s="71"/>
      <c r="D828" s="71"/>
      <c r="E828" s="71"/>
      <c r="F828" s="71"/>
      <c r="J828" s="71"/>
    </row>
    <row r="829">
      <c r="C829" s="71"/>
      <c r="D829" s="71"/>
      <c r="E829" s="71"/>
      <c r="F829" s="71"/>
      <c r="J829" s="71"/>
    </row>
    <row r="830">
      <c r="C830" s="71"/>
      <c r="D830" s="71"/>
      <c r="E830" s="71"/>
      <c r="F830" s="71"/>
      <c r="J830" s="71"/>
    </row>
    <row r="831">
      <c r="C831" s="71"/>
      <c r="D831" s="71"/>
      <c r="E831" s="71"/>
      <c r="F831" s="71"/>
      <c r="J831" s="71"/>
    </row>
    <row r="832">
      <c r="C832" s="71"/>
      <c r="D832" s="71"/>
      <c r="E832" s="71"/>
      <c r="F832" s="71"/>
      <c r="J832" s="71"/>
    </row>
    <row r="833">
      <c r="C833" s="71"/>
      <c r="D833" s="71"/>
      <c r="E833" s="71"/>
      <c r="F833" s="71"/>
      <c r="J833" s="71"/>
    </row>
    <row r="834">
      <c r="C834" s="71"/>
      <c r="D834" s="71"/>
      <c r="E834" s="71"/>
      <c r="F834" s="71"/>
      <c r="J834" s="71"/>
    </row>
    <row r="835">
      <c r="C835" s="71"/>
      <c r="D835" s="71"/>
      <c r="E835" s="71"/>
      <c r="F835" s="71"/>
      <c r="J835" s="71"/>
    </row>
    <row r="836">
      <c r="C836" s="71"/>
      <c r="D836" s="71"/>
      <c r="E836" s="71"/>
      <c r="F836" s="71"/>
      <c r="J836" s="71"/>
    </row>
    <row r="837">
      <c r="C837" s="71"/>
      <c r="D837" s="71"/>
      <c r="E837" s="71"/>
      <c r="F837" s="71"/>
      <c r="J837" s="71"/>
    </row>
    <row r="838">
      <c r="C838" s="71"/>
      <c r="D838" s="71"/>
      <c r="E838" s="71"/>
      <c r="F838" s="71"/>
      <c r="J838" s="71"/>
    </row>
    <row r="839">
      <c r="C839" s="71"/>
      <c r="D839" s="71"/>
      <c r="E839" s="71"/>
      <c r="F839" s="71"/>
      <c r="J839" s="71"/>
    </row>
    <row r="840">
      <c r="C840" s="71"/>
      <c r="D840" s="71"/>
      <c r="E840" s="71"/>
      <c r="F840" s="71"/>
      <c r="J840" s="71"/>
    </row>
    <row r="841">
      <c r="C841" s="71"/>
      <c r="D841" s="71"/>
      <c r="E841" s="71"/>
      <c r="F841" s="71"/>
      <c r="J841" s="71"/>
    </row>
    <row r="842">
      <c r="C842" s="71"/>
      <c r="D842" s="71"/>
      <c r="E842" s="71"/>
      <c r="F842" s="71"/>
      <c r="J842" s="71"/>
    </row>
    <row r="843">
      <c r="C843" s="71"/>
      <c r="D843" s="71"/>
      <c r="E843" s="71"/>
      <c r="F843" s="71"/>
      <c r="J843" s="71"/>
    </row>
    <row r="844">
      <c r="C844" s="71"/>
      <c r="D844" s="71"/>
      <c r="E844" s="71"/>
      <c r="F844" s="71"/>
      <c r="J844" s="71"/>
    </row>
    <row r="845">
      <c r="C845" s="71"/>
      <c r="D845" s="71"/>
      <c r="E845" s="71"/>
      <c r="F845" s="71"/>
      <c r="J845" s="71"/>
    </row>
    <row r="846">
      <c r="C846" s="71"/>
      <c r="D846" s="71"/>
      <c r="E846" s="71"/>
      <c r="F846" s="71"/>
      <c r="J846" s="71"/>
    </row>
    <row r="847">
      <c r="C847" s="71"/>
      <c r="D847" s="71"/>
      <c r="E847" s="71"/>
      <c r="F847" s="71"/>
      <c r="J847" s="71"/>
    </row>
    <row r="848">
      <c r="C848" s="71"/>
      <c r="D848" s="71"/>
      <c r="E848" s="71"/>
      <c r="F848" s="71"/>
      <c r="J848" s="71"/>
    </row>
    <row r="849">
      <c r="C849" s="71"/>
      <c r="D849" s="71"/>
      <c r="E849" s="71"/>
      <c r="F849" s="71"/>
      <c r="J849" s="71"/>
    </row>
    <row r="850">
      <c r="C850" s="71"/>
      <c r="D850" s="71"/>
      <c r="E850" s="71"/>
      <c r="F850" s="71"/>
      <c r="J850" s="71"/>
    </row>
    <row r="851">
      <c r="C851" s="71"/>
      <c r="D851" s="71"/>
      <c r="E851" s="71"/>
      <c r="F851" s="71"/>
      <c r="J851" s="71"/>
    </row>
    <row r="852">
      <c r="C852" s="71"/>
      <c r="D852" s="71"/>
      <c r="E852" s="71"/>
      <c r="F852" s="71"/>
      <c r="J852" s="71"/>
    </row>
    <row r="853">
      <c r="C853" s="71"/>
      <c r="D853" s="71"/>
      <c r="E853" s="71"/>
      <c r="F853" s="71"/>
      <c r="J853" s="71"/>
    </row>
    <row r="854">
      <c r="C854" s="71"/>
      <c r="D854" s="71"/>
      <c r="E854" s="71"/>
      <c r="F854" s="71"/>
      <c r="J854" s="71"/>
    </row>
    <row r="855">
      <c r="C855" s="71"/>
      <c r="D855" s="71"/>
      <c r="E855" s="71"/>
      <c r="F855" s="71"/>
      <c r="J855" s="71"/>
    </row>
    <row r="856">
      <c r="C856" s="71"/>
      <c r="D856" s="71"/>
      <c r="E856" s="71"/>
      <c r="F856" s="71"/>
      <c r="J856" s="71"/>
    </row>
    <row r="857">
      <c r="C857" s="71"/>
      <c r="D857" s="71"/>
      <c r="E857" s="71"/>
      <c r="F857" s="71"/>
      <c r="J857" s="71"/>
    </row>
    <row r="858">
      <c r="C858" s="71"/>
      <c r="D858" s="71"/>
      <c r="E858" s="71"/>
      <c r="F858" s="71"/>
      <c r="J858" s="71"/>
    </row>
    <row r="859">
      <c r="C859" s="71"/>
      <c r="D859" s="71"/>
      <c r="E859" s="71"/>
      <c r="F859" s="71"/>
      <c r="J859" s="71"/>
    </row>
    <row r="860">
      <c r="C860" s="71"/>
      <c r="D860" s="71"/>
      <c r="E860" s="71"/>
      <c r="F860" s="71"/>
      <c r="J860" s="71"/>
    </row>
    <row r="861">
      <c r="C861" s="71"/>
      <c r="D861" s="71"/>
      <c r="E861" s="71"/>
      <c r="F861" s="71"/>
      <c r="J861" s="71"/>
    </row>
    <row r="862">
      <c r="C862" s="71"/>
      <c r="D862" s="71"/>
      <c r="E862" s="71"/>
      <c r="F862" s="71"/>
      <c r="J862" s="71"/>
    </row>
    <row r="863">
      <c r="C863" s="71"/>
      <c r="D863" s="71"/>
      <c r="E863" s="71"/>
      <c r="F863" s="71"/>
      <c r="J863" s="71"/>
    </row>
    <row r="864">
      <c r="C864" s="71"/>
      <c r="D864" s="71"/>
      <c r="E864" s="71"/>
      <c r="F864" s="71"/>
      <c r="J864" s="71"/>
    </row>
    <row r="865">
      <c r="C865" s="71"/>
      <c r="D865" s="71"/>
      <c r="E865" s="71"/>
      <c r="F865" s="71"/>
      <c r="J865" s="71"/>
    </row>
    <row r="866">
      <c r="C866" s="71"/>
      <c r="D866" s="71"/>
      <c r="E866" s="71"/>
      <c r="F866" s="71"/>
      <c r="J866" s="71"/>
    </row>
    <row r="867">
      <c r="C867" s="71"/>
      <c r="D867" s="71"/>
      <c r="E867" s="71"/>
      <c r="F867" s="71"/>
      <c r="J867" s="71"/>
    </row>
    <row r="868">
      <c r="C868" s="71"/>
      <c r="D868" s="71"/>
      <c r="E868" s="71"/>
      <c r="F868" s="71"/>
      <c r="J868" s="71"/>
    </row>
    <row r="869">
      <c r="C869" s="71"/>
      <c r="D869" s="71"/>
      <c r="E869" s="71"/>
      <c r="F869" s="71"/>
      <c r="J869" s="71"/>
    </row>
    <row r="870">
      <c r="C870" s="71"/>
      <c r="D870" s="71"/>
      <c r="E870" s="71"/>
      <c r="F870" s="71"/>
      <c r="J870" s="71"/>
    </row>
    <row r="871">
      <c r="C871" s="71"/>
      <c r="D871" s="71"/>
      <c r="E871" s="71"/>
      <c r="F871" s="71"/>
      <c r="J871" s="71"/>
    </row>
    <row r="872">
      <c r="C872" s="71"/>
      <c r="D872" s="71"/>
      <c r="E872" s="71"/>
      <c r="F872" s="71"/>
      <c r="J872" s="71"/>
    </row>
    <row r="873">
      <c r="C873" s="71"/>
      <c r="D873" s="71"/>
      <c r="E873" s="71"/>
      <c r="F873" s="71"/>
      <c r="J873" s="71"/>
    </row>
    <row r="874">
      <c r="C874" s="71"/>
      <c r="D874" s="71"/>
      <c r="E874" s="71"/>
      <c r="F874" s="71"/>
      <c r="J874" s="71"/>
    </row>
    <row r="875">
      <c r="C875" s="71"/>
      <c r="D875" s="71"/>
      <c r="E875" s="71"/>
      <c r="F875" s="71"/>
      <c r="J875" s="71"/>
    </row>
    <row r="876">
      <c r="C876" s="71"/>
      <c r="D876" s="71"/>
      <c r="E876" s="71"/>
      <c r="F876" s="71"/>
      <c r="J876" s="71"/>
    </row>
    <row r="877">
      <c r="C877" s="71"/>
      <c r="D877" s="71"/>
      <c r="E877" s="71"/>
      <c r="F877" s="71"/>
      <c r="J877" s="71"/>
    </row>
    <row r="878">
      <c r="C878" s="71"/>
      <c r="D878" s="71"/>
      <c r="E878" s="71"/>
      <c r="F878" s="71"/>
      <c r="J878" s="71"/>
    </row>
    <row r="879">
      <c r="C879" s="71"/>
      <c r="D879" s="71"/>
      <c r="E879" s="71"/>
      <c r="F879" s="71"/>
      <c r="J879" s="71"/>
    </row>
    <row r="880">
      <c r="C880" s="71"/>
      <c r="D880" s="71"/>
      <c r="E880" s="71"/>
      <c r="F880" s="71"/>
      <c r="J880" s="71"/>
    </row>
    <row r="881">
      <c r="C881" s="71"/>
      <c r="D881" s="71"/>
      <c r="E881" s="71"/>
      <c r="F881" s="71"/>
      <c r="J881" s="71"/>
    </row>
    <row r="882">
      <c r="C882" s="71"/>
      <c r="D882" s="71"/>
      <c r="E882" s="71"/>
      <c r="F882" s="71"/>
      <c r="J882" s="71"/>
    </row>
    <row r="883">
      <c r="C883" s="71"/>
      <c r="D883" s="71"/>
      <c r="E883" s="71"/>
      <c r="F883" s="71"/>
      <c r="J883" s="71"/>
    </row>
    <row r="884">
      <c r="C884" s="71"/>
      <c r="D884" s="71"/>
      <c r="E884" s="71"/>
      <c r="F884" s="71"/>
      <c r="J884" s="71"/>
    </row>
    <row r="885">
      <c r="C885" s="71"/>
      <c r="D885" s="71"/>
      <c r="E885" s="71"/>
      <c r="F885" s="71"/>
      <c r="J885" s="71"/>
    </row>
    <row r="886">
      <c r="C886" s="71"/>
      <c r="D886" s="71"/>
      <c r="E886" s="71"/>
      <c r="F886" s="71"/>
      <c r="J886" s="71"/>
    </row>
    <row r="887">
      <c r="C887" s="71"/>
      <c r="D887" s="71"/>
      <c r="E887" s="71"/>
      <c r="F887" s="71"/>
      <c r="J887" s="71"/>
    </row>
    <row r="888">
      <c r="C888" s="71"/>
      <c r="D888" s="71"/>
      <c r="E888" s="71"/>
      <c r="F888" s="71"/>
      <c r="J888" s="71"/>
    </row>
    <row r="889">
      <c r="C889" s="71"/>
      <c r="D889" s="71"/>
      <c r="E889" s="71"/>
      <c r="F889" s="71"/>
      <c r="J889" s="71"/>
    </row>
    <row r="890">
      <c r="C890" s="71"/>
      <c r="D890" s="71"/>
      <c r="E890" s="71"/>
      <c r="F890" s="71"/>
      <c r="J890" s="71"/>
    </row>
    <row r="891">
      <c r="C891" s="71"/>
      <c r="D891" s="71"/>
      <c r="E891" s="71"/>
      <c r="F891" s="71"/>
      <c r="J891" s="71"/>
    </row>
    <row r="892">
      <c r="C892" s="71"/>
      <c r="D892" s="71"/>
      <c r="E892" s="71"/>
      <c r="F892" s="71"/>
      <c r="J892" s="71"/>
    </row>
    <row r="893">
      <c r="C893" s="71"/>
      <c r="D893" s="71"/>
      <c r="E893" s="71"/>
      <c r="F893" s="71"/>
      <c r="J893" s="71"/>
    </row>
    <row r="894">
      <c r="C894" s="71"/>
      <c r="D894" s="71"/>
      <c r="E894" s="71"/>
      <c r="F894" s="71"/>
      <c r="J894" s="71"/>
    </row>
    <row r="895">
      <c r="C895" s="71"/>
      <c r="D895" s="71"/>
      <c r="E895" s="71"/>
      <c r="F895" s="71"/>
      <c r="J895" s="71"/>
    </row>
    <row r="896">
      <c r="C896" s="71"/>
      <c r="D896" s="71"/>
      <c r="E896" s="71"/>
      <c r="F896" s="71"/>
      <c r="J896" s="71"/>
    </row>
    <row r="897">
      <c r="C897" s="71"/>
      <c r="D897" s="71"/>
      <c r="E897" s="71"/>
      <c r="F897" s="71"/>
      <c r="J897" s="71"/>
    </row>
    <row r="898">
      <c r="C898" s="71"/>
      <c r="D898" s="71"/>
      <c r="E898" s="71"/>
      <c r="F898" s="71"/>
      <c r="J898" s="71"/>
    </row>
    <row r="899">
      <c r="C899" s="71"/>
      <c r="D899" s="71"/>
      <c r="E899" s="71"/>
      <c r="F899" s="71"/>
      <c r="J899" s="71"/>
    </row>
    <row r="900">
      <c r="C900" s="71"/>
      <c r="D900" s="71"/>
      <c r="E900" s="71"/>
      <c r="F900" s="71"/>
      <c r="J900" s="71"/>
    </row>
    <row r="901">
      <c r="C901" s="71"/>
      <c r="D901" s="71"/>
      <c r="E901" s="71"/>
      <c r="F901" s="71"/>
      <c r="J901" s="71"/>
    </row>
    <row r="902">
      <c r="C902" s="71"/>
      <c r="D902" s="71"/>
      <c r="E902" s="71"/>
      <c r="F902" s="71"/>
      <c r="J902" s="71"/>
    </row>
    <row r="903">
      <c r="C903" s="71"/>
      <c r="D903" s="71"/>
      <c r="E903" s="71"/>
      <c r="F903" s="71"/>
      <c r="J903" s="71"/>
    </row>
    <row r="904">
      <c r="C904" s="71"/>
      <c r="D904" s="71"/>
      <c r="E904" s="71"/>
      <c r="F904" s="71"/>
      <c r="J904" s="71"/>
    </row>
    <row r="905">
      <c r="C905" s="71"/>
      <c r="D905" s="71"/>
      <c r="E905" s="71"/>
      <c r="F905" s="71"/>
      <c r="J905" s="71"/>
    </row>
    <row r="906">
      <c r="C906" s="71"/>
      <c r="D906" s="71"/>
      <c r="E906" s="71"/>
      <c r="F906" s="71"/>
      <c r="J906" s="71"/>
    </row>
    <row r="907">
      <c r="C907" s="71"/>
      <c r="D907" s="71"/>
      <c r="E907" s="71"/>
      <c r="F907" s="71"/>
      <c r="J907" s="71"/>
    </row>
    <row r="908">
      <c r="C908" s="71"/>
      <c r="D908" s="71"/>
      <c r="E908" s="71"/>
      <c r="F908" s="71"/>
      <c r="J908" s="71"/>
    </row>
    <row r="909">
      <c r="C909" s="71"/>
      <c r="D909" s="71"/>
      <c r="E909" s="71"/>
      <c r="F909" s="71"/>
      <c r="J909" s="71"/>
    </row>
    <row r="910">
      <c r="C910" s="71"/>
      <c r="D910" s="71"/>
      <c r="E910" s="71"/>
      <c r="F910" s="71"/>
      <c r="J910" s="71"/>
    </row>
    <row r="911">
      <c r="C911" s="71"/>
      <c r="D911" s="71"/>
      <c r="E911" s="71"/>
      <c r="F911" s="71"/>
      <c r="J911" s="71"/>
    </row>
    <row r="912">
      <c r="C912" s="71"/>
      <c r="D912" s="71"/>
      <c r="E912" s="71"/>
      <c r="F912" s="71"/>
      <c r="J912" s="71"/>
    </row>
    <row r="913">
      <c r="C913" s="71"/>
      <c r="D913" s="71"/>
      <c r="E913" s="71"/>
      <c r="F913" s="71"/>
      <c r="J913" s="71"/>
    </row>
    <row r="914">
      <c r="C914" s="71"/>
      <c r="D914" s="71"/>
      <c r="E914" s="71"/>
      <c r="F914" s="71"/>
      <c r="J914" s="71"/>
    </row>
    <row r="915">
      <c r="C915" s="71"/>
      <c r="D915" s="71"/>
      <c r="E915" s="71"/>
      <c r="F915" s="71"/>
      <c r="J915" s="71"/>
    </row>
    <row r="916">
      <c r="C916" s="71"/>
      <c r="D916" s="71"/>
      <c r="E916" s="71"/>
      <c r="F916" s="71"/>
      <c r="J916" s="71"/>
    </row>
    <row r="917">
      <c r="C917" s="71"/>
      <c r="D917" s="71"/>
      <c r="E917" s="71"/>
      <c r="F917" s="71"/>
      <c r="J917" s="71"/>
    </row>
    <row r="918">
      <c r="C918" s="71"/>
      <c r="D918" s="71"/>
      <c r="E918" s="71"/>
      <c r="F918" s="71"/>
      <c r="J918" s="71"/>
    </row>
    <row r="919">
      <c r="C919" s="71"/>
      <c r="D919" s="71"/>
      <c r="E919" s="71"/>
      <c r="F919" s="71"/>
      <c r="J919" s="71"/>
    </row>
    <row r="920">
      <c r="C920" s="71"/>
      <c r="D920" s="71"/>
      <c r="E920" s="71"/>
      <c r="F920" s="71"/>
      <c r="J920" s="71"/>
    </row>
    <row r="921">
      <c r="C921" s="71"/>
      <c r="D921" s="71"/>
      <c r="E921" s="71"/>
      <c r="F921" s="71"/>
      <c r="J921" s="71"/>
    </row>
    <row r="922">
      <c r="C922" s="71"/>
      <c r="D922" s="71"/>
      <c r="E922" s="71"/>
      <c r="F922" s="71"/>
      <c r="J922" s="71"/>
    </row>
    <row r="923">
      <c r="C923" s="71"/>
      <c r="D923" s="71"/>
      <c r="E923" s="71"/>
      <c r="F923" s="71"/>
      <c r="J923" s="71"/>
    </row>
    <row r="924">
      <c r="C924" s="71"/>
      <c r="D924" s="71"/>
      <c r="E924" s="71"/>
      <c r="F924" s="71"/>
      <c r="J924" s="71"/>
    </row>
    <row r="925">
      <c r="C925" s="71"/>
      <c r="D925" s="71"/>
      <c r="E925" s="71"/>
      <c r="F925" s="71"/>
      <c r="J925" s="71"/>
    </row>
    <row r="926">
      <c r="C926" s="71"/>
      <c r="D926" s="71"/>
      <c r="E926" s="71"/>
      <c r="F926" s="71"/>
      <c r="J926" s="71"/>
    </row>
    <row r="927">
      <c r="C927" s="71"/>
      <c r="D927" s="71"/>
      <c r="E927" s="71"/>
      <c r="F927" s="71"/>
      <c r="J927" s="71"/>
    </row>
    <row r="928">
      <c r="C928" s="71"/>
      <c r="D928" s="71"/>
      <c r="E928" s="71"/>
      <c r="F928" s="71"/>
      <c r="J928" s="71"/>
    </row>
    <row r="929">
      <c r="C929" s="71"/>
      <c r="D929" s="71"/>
      <c r="E929" s="71"/>
      <c r="F929" s="71"/>
      <c r="J929" s="71"/>
    </row>
    <row r="930">
      <c r="C930" s="71"/>
      <c r="D930" s="71"/>
      <c r="E930" s="71"/>
      <c r="F930" s="71"/>
      <c r="J930" s="71"/>
    </row>
    <row r="931">
      <c r="C931" s="71"/>
      <c r="D931" s="71"/>
      <c r="E931" s="71"/>
      <c r="F931" s="71"/>
      <c r="J931" s="71"/>
    </row>
    <row r="932">
      <c r="C932" s="71"/>
      <c r="D932" s="71"/>
      <c r="E932" s="71"/>
      <c r="F932" s="71"/>
      <c r="J932" s="71"/>
    </row>
    <row r="933">
      <c r="C933" s="71"/>
      <c r="D933" s="71"/>
      <c r="E933" s="71"/>
      <c r="F933" s="71"/>
      <c r="J933" s="71"/>
    </row>
    <row r="934">
      <c r="C934" s="71"/>
      <c r="D934" s="71"/>
      <c r="E934" s="71"/>
      <c r="F934" s="71"/>
      <c r="J934" s="71"/>
    </row>
    <row r="935">
      <c r="C935" s="71"/>
      <c r="D935" s="71"/>
      <c r="E935" s="71"/>
      <c r="F935" s="71"/>
      <c r="J935" s="71"/>
    </row>
    <row r="936">
      <c r="C936" s="71"/>
      <c r="D936" s="71"/>
      <c r="E936" s="71"/>
      <c r="F936" s="71"/>
      <c r="J936" s="71"/>
    </row>
    <row r="937">
      <c r="C937" s="71"/>
      <c r="D937" s="71"/>
      <c r="E937" s="71"/>
      <c r="F937" s="71"/>
      <c r="J937" s="71"/>
    </row>
    <row r="938">
      <c r="C938" s="71"/>
      <c r="D938" s="71"/>
      <c r="E938" s="71"/>
      <c r="F938" s="71"/>
      <c r="J938" s="71"/>
    </row>
    <row r="939">
      <c r="C939" s="71"/>
      <c r="D939" s="71"/>
      <c r="E939" s="71"/>
      <c r="F939" s="71"/>
      <c r="J939" s="71"/>
    </row>
    <row r="940">
      <c r="C940" s="71"/>
      <c r="D940" s="71"/>
      <c r="E940" s="71"/>
      <c r="F940" s="71"/>
      <c r="J940" s="71"/>
    </row>
    <row r="941">
      <c r="C941" s="71"/>
      <c r="D941" s="71"/>
      <c r="E941" s="71"/>
      <c r="F941" s="71"/>
      <c r="J941" s="71"/>
    </row>
    <row r="942">
      <c r="C942" s="71"/>
      <c r="D942" s="71"/>
      <c r="E942" s="71"/>
      <c r="F942" s="71"/>
      <c r="J942" s="71"/>
    </row>
    <row r="943">
      <c r="C943" s="71"/>
      <c r="D943" s="71"/>
      <c r="E943" s="71"/>
      <c r="F943" s="71"/>
      <c r="J943" s="71"/>
    </row>
    <row r="944">
      <c r="C944" s="71"/>
      <c r="D944" s="71"/>
      <c r="E944" s="71"/>
      <c r="F944" s="71"/>
      <c r="J944" s="71"/>
    </row>
    <row r="945">
      <c r="C945" s="71"/>
      <c r="D945" s="71"/>
      <c r="E945" s="71"/>
      <c r="F945" s="71"/>
      <c r="J945" s="71"/>
    </row>
    <row r="946">
      <c r="C946" s="71"/>
      <c r="D946" s="71"/>
      <c r="E946" s="71"/>
      <c r="F946" s="71"/>
      <c r="J946" s="71"/>
    </row>
    <row r="947">
      <c r="C947" s="71"/>
      <c r="D947" s="71"/>
      <c r="E947" s="71"/>
      <c r="F947" s="71"/>
      <c r="J947" s="71"/>
    </row>
    <row r="948">
      <c r="C948" s="71"/>
      <c r="D948" s="71"/>
      <c r="E948" s="71"/>
      <c r="F948" s="71"/>
      <c r="J948" s="71"/>
    </row>
    <row r="949">
      <c r="C949" s="71"/>
      <c r="D949" s="71"/>
      <c r="E949" s="71"/>
      <c r="F949" s="71"/>
      <c r="J949" s="71"/>
    </row>
    <row r="950">
      <c r="C950" s="71"/>
      <c r="D950" s="71"/>
      <c r="E950" s="71"/>
      <c r="F950" s="71"/>
      <c r="J950" s="71"/>
    </row>
    <row r="951">
      <c r="C951" s="71"/>
      <c r="D951" s="71"/>
      <c r="E951" s="71"/>
      <c r="F951" s="71"/>
      <c r="J951" s="71"/>
    </row>
    <row r="952">
      <c r="C952" s="71"/>
      <c r="D952" s="71"/>
      <c r="E952" s="71"/>
      <c r="F952" s="71"/>
      <c r="J952" s="71"/>
    </row>
    <row r="953">
      <c r="C953" s="71"/>
      <c r="D953" s="71"/>
      <c r="E953" s="71"/>
      <c r="F953" s="71"/>
      <c r="J953" s="71"/>
    </row>
    <row r="954">
      <c r="C954" s="71"/>
      <c r="D954" s="71"/>
      <c r="E954" s="71"/>
      <c r="F954" s="71"/>
      <c r="J954" s="71"/>
    </row>
    <row r="955">
      <c r="C955" s="71"/>
      <c r="D955" s="71"/>
      <c r="E955" s="71"/>
      <c r="F955" s="71"/>
      <c r="J955" s="71"/>
    </row>
    <row r="956">
      <c r="C956" s="71"/>
      <c r="D956" s="71"/>
      <c r="E956" s="71"/>
      <c r="F956" s="71"/>
      <c r="J956" s="71"/>
    </row>
    <row r="957">
      <c r="C957" s="71"/>
      <c r="D957" s="71"/>
      <c r="E957" s="71"/>
      <c r="F957" s="71"/>
      <c r="J957" s="71"/>
    </row>
    <row r="958">
      <c r="C958" s="71"/>
      <c r="D958" s="71"/>
      <c r="E958" s="71"/>
      <c r="F958" s="71"/>
      <c r="J958" s="71"/>
    </row>
    <row r="959">
      <c r="C959" s="71"/>
      <c r="D959" s="71"/>
      <c r="E959" s="71"/>
      <c r="F959" s="71"/>
      <c r="J959" s="71"/>
    </row>
    <row r="960">
      <c r="C960" s="71"/>
      <c r="D960" s="71"/>
      <c r="E960" s="71"/>
      <c r="F960" s="71"/>
      <c r="J960" s="71"/>
    </row>
    <row r="961">
      <c r="C961" s="71"/>
      <c r="D961" s="71"/>
      <c r="E961" s="71"/>
      <c r="F961" s="71"/>
      <c r="J961" s="71"/>
    </row>
    <row r="962">
      <c r="C962" s="71"/>
      <c r="D962" s="71"/>
      <c r="E962" s="71"/>
      <c r="F962" s="71"/>
      <c r="J962" s="71"/>
    </row>
    <row r="963">
      <c r="C963" s="71"/>
      <c r="D963" s="71"/>
      <c r="E963" s="71"/>
      <c r="F963" s="71"/>
      <c r="J963" s="71"/>
    </row>
    <row r="964">
      <c r="C964" s="71"/>
      <c r="D964" s="71"/>
      <c r="E964" s="71"/>
      <c r="F964" s="71"/>
      <c r="J964" s="71"/>
    </row>
    <row r="965">
      <c r="C965" s="71"/>
      <c r="D965" s="71"/>
      <c r="E965" s="71"/>
      <c r="F965" s="71"/>
      <c r="J965" s="71"/>
    </row>
    <row r="966">
      <c r="C966" s="71"/>
      <c r="D966" s="71"/>
      <c r="E966" s="71"/>
      <c r="F966" s="71"/>
      <c r="J966" s="71"/>
    </row>
    <row r="967">
      <c r="C967" s="71"/>
      <c r="D967" s="71"/>
      <c r="E967" s="71"/>
      <c r="F967" s="71"/>
      <c r="J967" s="71"/>
    </row>
    <row r="968">
      <c r="C968" s="71"/>
      <c r="D968" s="71"/>
      <c r="E968" s="71"/>
      <c r="F968" s="71"/>
      <c r="J968" s="71"/>
    </row>
    <row r="969">
      <c r="C969" s="71"/>
      <c r="D969" s="71"/>
      <c r="E969" s="71"/>
      <c r="F969" s="71"/>
      <c r="J969" s="71"/>
    </row>
    <row r="970">
      <c r="C970" s="71"/>
      <c r="D970" s="71"/>
      <c r="E970" s="71"/>
      <c r="F970" s="71"/>
      <c r="J970" s="71"/>
    </row>
    <row r="971">
      <c r="C971" s="71"/>
      <c r="D971" s="71"/>
      <c r="E971" s="71"/>
      <c r="F971" s="71"/>
      <c r="J971" s="71"/>
    </row>
    <row r="972">
      <c r="C972" s="71"/>
      <c r="D972" s="71"/>
      <c r="E972" s="71"/>
      <c r="F972" s="71"/>
      <c r="J972" s="71"/>
    </row>
    <row r="973">
      <c r="C973" s="71"/>
      <c r="D973" s="71"/>
      <c r="E973" s="71"/>
      <c r="F973" s="71"/>
      <c r="J973" s="71"/>
    </row>
    <row r="974">
      <c r="C974" s="71"/>
      <c r="D974" s="71"/>
      <c r="E974" s="71"/>
      <c r="F974" s="71"/>
      <c r="J974" s="71"/>
    </row>
    <row r="975">
      <c r="C975" s="71"/>
      <c r="D975" s="71"/>
      <c r="E975" s="71"/>
      <c r="F975" s="71"/>
      <c r="J975" s="71"/>
    </row>
    <row r="976">
      <c r="C976" s="71"/>
      <c r="D976" s="71"/>
      <c r="E976" s="71"/>
      <c r="F976" s="71"/>
      <c r="J976" s="71"/>
    </row>
    <row r="977">
      <c r="C977" s="71"/>
      <c r="D977" s="71"/>
      <c r="E977" s="71"/>
      <c r="F977" s="71"/>
      <c r="J977" s="71"/>
    </row>
    <row r="978">
      <c r="C978" s="71"/>
      <c r="D978" s="71"/>
      <c r="E978" s="71"/>
      <c r="F978" s="71"/>
      <c r="J978" s="71"/>
    </row>
    <row r="979">
      <c r="C979" s="71"/>
      <c r="D979" s="71"/>
      <c r="E979" s="71"/>
      <c r="F979" s="71"/>
      <c r="J979" s="71"/>
    </row>
    <row r="980">
      <c r="C980" s="71"/>
      <c r="D980" s="71"/>
      <c r="E980" s="71"/>
      <c r="F980" s="71"/>
      <c r="J980" s="71"/>
    </row>
    <row r="981">
      <c r="C981" s="71"/>
      <c r="D981" s="71"/>
      <c r="E981" s="71"/>
      <c r="F981" s="71"/>
      <c r="J981" s="71"/>
    </row>
    <row r="982">
      <c r="C982" s="71"/>
      <c r="D982" s="71"/>
      <c r="E982" s="71"/>
      <c r="F982" s="71"/>
      <c r="J982" s="71"/>
    </row>
    <row r="983">
      <c r="C983" s="71"/>
      <c r="D983" s="71"/>
      <c r="E983" s="71"/>
      <c r="F983" s="71"/>
      <c r="J983" s="71"/>
    </row>
    <row r="984">
      <c r="C984" s="71"/>
      <c r="D984" s="71"/>
      <c r="E984" s="71"/>
      <c r="F984" s="71"/>
      <c r="J984" s="71"/>
    </row>
    <row r="985">
      <c r="C985" s="71"/>
      <c r="D985" s="71"/>
      <c r="E985" s="71"/>
      <c r="F985" s="71"/>
      <c r="J985" s="71"/>
    </row>
    <row r="986">
      <c r="C986" s="71"/>
      <c r="D986" s="71"/>
      <c r="E986" s="71"/>
      <c r="F986" s="71"/>
      <c r="J986" s="71"/>
    </row>
    <row r="987">
      <c r="C987" s="71"/>
      <c r="D987" s="71"/>
      <c r="E987" s="71"/>
      <c r="F987" s="71"/>
      <c r="J987" s="71"/>
    </row>
    <row r="988">
      <c r="C988" s="71"/>
      <c r="D988" s="71"/>
      <c r="E988" s="71"/>
      <c r="F988" s="71"/>
      <c r="J988" s="71"/>
    </row>
    <row r="989">
      <c r="C989" s="71"/>
      <c r="D989" s="71"/>
      <c r="E989" s="71"/>
      <c r="F989" s="71"/>
      <c r="J989" s="71"/>
    </row>
    <row r="990">
      <c r="C990" s="71"/>
      <c r="D990" s="71"/>
      <c r="E990" s="71"/>
      <c r="F990" s="71"/>
      <c r="J990" s="71"/>
    </row>
    <row r="991">
      <c r="C991" s="71"/>
      <c r="D991" s="71"/>
      <c r="E991" s="71"/>
      <c r="F991" s="71"/>
      <c r="J991" s="71"/>
    </row>
    <row r="992">
      <c r="C992" s="71"/>
      <c r="D992" s="71"/>
      <c r="E992" s="71"/>
      <c r="F992" s="71"/>
      <c r="J992" s="71"/>
    </row>
    <row r="993">
      <c r="C993" s="71"/>
      <c r="D993" s="71"/>
      <c r="E993" s="71"/>
      <c r="F993" s="71"/>
      <c r="J993" s="71"/>
    </row>
    <row r="994">
      <c r="C994" s="71"/>
      <c r="D994" s="71"/>
      <c r="E994" s="71"/>
      <c r="F994" s="71"/>
      <c r="J994" s="71"/>
    </row>
    <row r="995">
      <c r="C995" s="71"/>
      <c r="D995" s="71"/>
      <c r="E995" s="71"/>
      <c r="F995" s="71"/>
      <c r="J995" s="71"/>
    </row>
    <row r="996">
      <c r="C996" s="71"/>
      <c r="D996" s="71"/>
      <c r="E996" s="71"/>
      <c r="F996" s="71"/>
      <c r="J996" s="71"/>
    </row>
    <row r="997">
      <c r="C997" s="71"/>
      <c r="D997" s="71"/>
      <c r="E997" s="71"/>
      <c r="F997" s="71"/>
      <c r="J997" s="71"/>
    </row>
    <row r="998">
      <c r="C998" s="71"/>
      <c r="D998" s="71"/>
      <c r="E998" s="71"/>
      <c r="F998" s="71"/>
      <c r="J998" s="71"/>
    </row>
    <row r="999">
      <c r="C999" s="71"/>
      <c r="D999" s="71"/>
      <c r="E999" s="71"/>
      <c r="F999" s="71"/>
      <c r="J999" s="71"/>
    </row>
    <row r="1000">
      <c r="C1000" s="71"/>
      <c r="D1000" s="71"/>
      <c r="E1000" s="71"/>
      <c r="F1000" s="71"/>
      <c r="J1000" s="71"/>
    </row>
  </sheetData>
  <mergeCells count="22">
    <mergeCell ref="AC2:AC4"/>
    <mergeCell ref="AD2:AD4"/>
    <mergeCell ref="AG2:AK2"/>
    <mergeCell ref="AL2:AL4"/>
    <mergeCell ref="AM2:AM4"/>
    <mergeCell ref="AO2:AR2"/>
    <mergeCell ref="AS2:AS4"/>
    <mergeCell ref="AT2:AT4"/>
    <mergeCell ref="A3:A4"/>
    <mergeCell ref="B3:B4"/>
    <mergeCell ref="A101:B101"/>
    <mergeCell ref="A103:B103"/>
    <mergeCell ref="A104:B104"/>
    <mergeCell ref="A105:B105"/>
    <mergeCell ref="A106:B106"/>
    <mergeCell ref="C2:F2"/>
    <mergeCell ref="G2:G4"/>
    <mergeCell ref="H2:H4"/>
    <mergeCell ref="J2:S2"/>
    <mergeCell ref="T2:T4"/>
    <mergeCell ref="U2:U4"/>
    <mergeCell ref="W2:AB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8" width="7.75"/>
    <col customWidth="1" min="9" max="9" width="8.0"/>
    <col customWidth="1" min="10" max="15" width="7.75"/>
    <col customWidth="1" min="17" max="22" width="7.75"/>
    <col customWidth="1" min="24" max="29" width="7.75"/>
    <col customWidth="1" min="30" max="30" width="8.0"/>
    <col customWidth="1" min="31" max="36" width="7.75"/>
    <col customWidth="1" min="38" max="43" width="7.75"/>
  </cols>
  <sheetData>
    <row r="2">
      <c r="A2" s="130"/>
      <c r="B2" s="435"/>
      <c r="C2" s="142">
        <v>46024.0</v>
      </c>
      <c r="D2" s="133"/>
      <c r="E2" s="133"/>
      <c r="F2" s="134"/>
      <c r="G2" s="135"/>
      <c r="H2" s="136"/>
      <c r="J2" s="142">
        <v>46054.0</v>
      </c>
      <c r="K2" s="133"/>
      <c r="L2" s="133"/>
      <c r="M2" s="134"/>
      <c r="N2" s="135"/>
      <c r="O2" s="136"/>
      <c r="Q2" s="142">
        <v>46095.0</v>
      </c>
      <c r="R2" s="133"/>
      <c r="S2" s="133"/>
      <c r="T2" s="134"/>
      <c r="U2" s="135"/>
      <c r="V2" s="136"/>
      <c r="X2" s="142">
        <v>46122.0</v>
      </c>
      <c r="Y2" s="133"/>
      <c r="Z2" s="133"/>
      <c r="AA2" s="134"/>
      <c r="AB2" s="135"/>
      <c r="AC2" s="136"/>
      <c r="AE2" s="142">
        <v>46054.0</v>
      </c>
      <c r="AF2" s="133"/>
      <c r="AG2" s="133"/>
      <c r="AH2" s="134"/>
      <c r="AI2" s="135"/>
      <c r="AJ2" s="136"/>
      <c r="AL2" s="142">
        <v>46095.0</v>
      </c>
      <c r="AM2" s="133"/>
      <c r="AN2" s="133"/>
      <c r="AO2" s="134"/>
      <c r="AP2" s="135"/>
      <c r="AQ2" s="136"/>
    </row>
    <row r="3" ht="33.75" customHeight="1">
      <c r="A3" s="296" t="s">
        <v>47</v>
      </c>
      <c r="B3" s="436" t="s">
        <v>48</v>
      </c>
      <c r="C3" s="159"/>
      <c r="D3" s="159"/>
      <c r="E3" s="159"/>
      <c r="F3" s="159"/>
      <c r="G3" s="147"/>
      <c r="H3" s="148"/>
      <c r="J3" s="159"/>
      <c r="K3" s="159"/>
      <c r="L3" s="159"/>
      <c r="M3" s="159"/>
      <c r="N3" s="147"/>
      <c r="O3" s="148"/>
      <c r="Q3" s="159"/>
      <c r="R3" s="159"/>
      <c r="S3" s="159"/>
      <c r="T3" s="159"/>
      <c r="U3" s="147"/>
      <c r="V3" s="148"/>
      <c r="X3" s="159"/>
      <c r="Y3" s="159"/>
      <c r="Z3" s="159"/>
      <c r="AA3" s="159"/>
      <c r="AB3" s="147"/>
      <c r="AC3" s="148"/>
      <c r="AE3" s="159"/>
      <c r="AF3" s="159"/>
      <c r="AG3" s="159"/>
      <c r="AH3" s="159"/>
      <c r="AI3" s="147"/>
      <c r="AJ3" s="148"/>
      <c r="AL3" s="159"/>
      <c r="AM3" s="159"/>
      <c r="AN3" s="159"/>
      <c r="AO3" s="159"/>
      <c r="AP3" s="147"/>
      <c r="AQ3" s="148"/>
    </row>
    <row r="4">
      <c r="A4" s="160"/>
      <c r="B4" s="437"/>
      <c r="C4" s="161"/>
      <c r="D4" s="161"/>
      <c r="E4" s="161"/>
      <c r="F4" s="161"/>
      <c r="G4" s="84"/>
      <c r="H4" s="86"/>
      <c r="J4" s="161"/>
      <c r="K4" s="161"/>
      <c r="L4" s="161"/>
      <c r="M4" s="161"/>
      <c r="N4" s="84"/>
      <c r="O4" s="86"/>
      <c r="Q4" s="161"/>
      <c r="R4" s="161"/>
      <c r="S4" s="161"/>
      <c r="T4" s="161"/>
      <c r="U4" s="84"/>
      <c r="V4" s="86"/>
      <c r="X4" s="161"/>
      <c r="Y4" s="161"/>
      <c r="Z4" s="161"/>
      <c r="AA4" s="161"/>
      <c r="AB4" s="84"/>
      <c r="AC4" s="86"/>
      <c r="AE4" s="161"/>
      <c r="AF4" s="161"/>
      <c r="AG4" s="161"/>
      <c r="AH4" s="161"/>
      <c r="AI4" s="84"/>
      <c r="AJ4" s="86"/>
      <c r="AL4" s="161"/>
      <c r="AM4" s="161"/>
      <c r="AN4" s="161"/>
      <c r="AO4" s="161"/>
      <c r="AP4" s="84"/>
      <c r="AQ4" s="86"/>
    </row>
    <row r="5" hidden="1">
      <c r="A5" s="167" t="s">
        <v>49</v>
      </c>
      <c r="B5" s="168">
        <v>329.0</v>
      </c>
      <c r="C5" s="169"/>
      <c r="D5" s="170"/>
      <c r="E5" s="170"/>
      <c r="F5" s="186"/>
      <c r="G5" s="178"/>
      <c r="H5" s="173"/>
      <c r="J5" s="169"/>
      <c r="K5" s="170"/>
      <c r="L5" s="170"/>
      <c r="M5" s="186"/>
      <c r="N5" s="178"/>
      <c r="O5" s="173"/>
      <c r="Q5" s="169"/>
      <c r="R5" s="170"/>
      <c r="S5" s="170"/>
      <c r="T5" s="186"/>
      <c r="U5" s="178"/>
      <c r="V5" s="173"/>
      <c r="X5" s="169"/>
      <c r="Y5" s="170"/>
      <c r="Z5" s="170"/>
      <c r="AA5" s="186"/>
      <c r="AB5" s="178"/>
      <c r="AC5" s="173"/>
      <c r="AE5" s="169"/>
      <c r="AF5" s="170"/>
      <c r="AG5" s="170"/>
      <c r="AH5" s="186"/>
      <c r="AI5" s="178"/>
      <c r="AJ5" s="173"/>
      <c r="AL5" s="169"/>
      <c r="AM5" s="170"/>
      <c r="AN5" s="170"/>
      <c r="AO5" s="186"/>
      <c r="AP5" s="178"/>
      <c r="AQ5" s="173"/>
    </row>
    <row r="6" hidden="1">
      <c r="A6" s="101" t="s">
        <v>50</v>
      </c>
      <c r="B6" s="187">
        <v>329.0</v>
      </c>
      <c r="C6" s="89"/>
      <c r="D6" s="188"/>
      <c r="E6" s="188"/>
      <c r="F6" s="186"/>
      <c r="G6" s="178"/>
      <c r="H6" s="173"/>
      <c r="J6" s="89"/>
      <c r="K6" s="188"/>
      <c r="L6" s="188"/>
      <c r="M6" s="186"/>
      <c r="N6" s="178"/>
      <c r="O6" s="173"/>
      <c r="Q6" s="89"/>
      <c r="R6" s="188"/>
      <c r="S6" s="188"/>
      <c r="T6" s="186"/>
      <c r="U6" s="178"/>
      <c r="V6" s="173"/>
      <c r="X6" s="89"/>
      <c r="Y6" s="188"/>
      <c r="Z6" s="188"/>
      <c r="AA6" s="186"/>
      <c r="AB6" s="178"/>
      <c r="AC6" s="173"/>
      <c r="AE6" s="89"/>
      <c r="AF6" s="188"/>
      <c r="AG6" s="188"/>
      <c r="AH6" s="186"/>
      <c r="AI6" s="178"/>
      <c r="AJ6" s="173"/>
      <c r="AL6" s="89"/>
      <c r="AM6" s="188"/>
      <c r="AN6" s="188"/>
      <c r="AO6" s="186"/>
      <c r="AP6" s="178"/>
      <c r="AQ6" s="173"/>
    </row>
    <row r="7" hidden="1">
      <c r="A7" s="101" t="s">
        <v>51</v>
      </c>
      <c r="B7" s="187">
        <v>329.0</v>
      </c>
      <c r="C7" s="89"/>
      <c r="D7" s="188"/>
      <c r="E7" s="188"/>
      <c r="F7" s="186"/>
      <c r="G7" s="178"/>
      <c r="H7" s="173"/>
      <c r="J7" s="89"/>
      <c r="K7" s="188"/>
      <c r="L7" s="188"/>
      <c r="M7" s="186"/>
      <c r="N7" s="178"/>
      <c r="O7" s="173"/>
      <c r="Q7" s="89"/>
      <c r="R7" s="188"/>
      <c r="S7" s="188"/>
      <c r="T7" s="186"/>
      <c r="U7" s="178"/>
      <c r="V7" s="173"/>
      <c r="X7" s="89"/>
      <c r="Y7" s="188"/>
      <c r="Z7" s="188"/>
      <c r="AA7" s="186"/>
      <c r="AB7" s="178"/>
      <c r="AC7" s="173"/>
      <c r="AE7" s="89"/>
      <c r="AF7" s="188"/>
      <c r="AG7" s="188"/>
      <c r="AH7" s="186"/>
      <c r="AI7" s="178"/>
      <c r="AJ7" s="173"/>
      <c r="AL7" s="89"/>
      <c r="AM7" s="188"/>
      <c r="AN7" s="188"/>
      <c r="AO7" s="186"/>
      <c r="AP7" s="178"/>
      <c r="AQ7" s="173"/>
    </row>
    <row r="8">
      <c r="A8" s="101" t="s">
        <v>52</v>
      </c>
      <c r="B8" s="93">
        <v>329.0</v>
      </c>
      <c r="C8" s="89"/>
      <c r="D8" s="188"/>
      <c r="E8" s="188"/>
      <c r="F8" s="186"/>
      <c r="G8" s="178"/>
      <c r="H8" s="173"/>
      <c r="J8" s="89"/>
      <c r="K8" s="188"/>
      <c r="L8" s="188"/>
      <c r="M8" s="186"/>
      <c r="N8" s="178"/>
      <c r="O8" s="173"/>
      <c r="Q8" s="89"/>
      <c r="R8" s="188"/>
      <c r="S8" s="188"/>
      <c r="T8" s="186"/>
      <c r="U8" s="178"/>
      <c r="V8" s="173"/>
      <c r="X8" s="89"/>
      <c r="Y8" s="188"/>
      <c r="Z8" s="188"/>
      <c r="AA8" s="186"/>
      <c r="AB8" s="178"/>
      <c r="AC8" s="173"/>
      <c r="AE8" s="89"/>
      <c r="AF8" s="188"/>
      <c r="AG8" s="188"/>
      <c r="AH8" s="186"/>
      <c r="AI8" s="178"/>
      <c r="AJ8" s="173"/>
      <c r="AL8" s="89"/>
      <c r="AM8" s="188"/>
      <c r="AN8" s="188"/>
      <c r="AO8" s="186"/>
      <c r="AP8" s="178"/>
      <c r="AQ8" s="173"/>
    </row>
    <row r="9">
      <c r="A9" s="101" t="s">
        <v>53</v>
      </c>
      <c r="B9" s="93">
        <v>329.0</v>
      </c>
      <c r="C9" s="89"/>
      <c r="D9" s="188"/>
      <c r="E9" s="188"/>
      <c r="F9" s="186"/>
      <c r="G9" s="178"/>
      <c r="H9" s="173"/>
      <c r="J9" s="89"/>
      <c r="K9" s="188"/>
      <c r="L9" s="188"/>
      <c r="M9" s="186"/>
      <c r="N9" s="178"/>
      <c r="O9" s="173"/>
      <c r="Q9" s="89"/>
      <c r="R9" s="188"/>
      <c r="S9" s="188"/>
      <c r="T9" s="186"/>
      <c r="U9" s="178"/>
      <c r="V9" s="173"/>
      <c r="X9" s="89"/>
      <c r="Y9" s="188"/>
      <c r="Z9" s="188"/>
      <c r="AA9" s="186"/>
      <c r="AB9" s="178"/>
      <c r="AC9" s="173"/>
      <c r="AE9" s="89"/>
      <c r="AF9" s="188"/>
      <c r="AG9" s="188"/>
      <c r="AH9" s="186"/>
      <c r="AI9" s="178"/>
      <c r="AJ9" s="173"/>
      <c r="AL9" s="89"/>
      <c r="AM9" s="188"/>
      <c r="AN9" s="188"/>
      <c r="AO9" s="186"/>
      <c r="AP9" s="178"/>
      <c r="AQ9" s="173"/>
    </row>
    <row r="10">
      <c r="A10" s="101" t="s">
        <v>54</v>
      </c>
      <c r="B10" s="93">
        <v>329.0</v>
      </c>
      <c r="C10" s="89"/>
      <c r="D10" s="188"/>
      <c r="E10" s="188"/>
      <c r="F10" s="186"/>
      <c r="G10" s="178"/>
      <c r="H10" s="173"/>
      <c r="J10" s="89"/>
      <c r="K10" s="188"/>
      <c r="L10" s="188"/>
      <c r="M10" s="186"/>
      <c r="N10" s="178"/>
      <c r="O10" s="173"/>
      <c r="Q10" s="89"/>
      <c r="R10" s="188"/>
      <c r="S10" s="188"/>
      <c r="T10" s="186"/>
      <c r="U10" s="178"/>
      <c r="V10" s="173"/>
      <c r="X10" s="89"/>
      <c r="Y10" s="188"/>
      <c r="Z10" s="188"/>
      <c r="AA10" s="186"/>
      <c r="AB10" s="178"/>
      <c r="AC10" s="173"/>
      <c r="AE10" s="89"/>
      <c r="AF10" s="188"/>
      <c r="AG10" s="188"/>
      <c r="AH10" s="186"/>
      <c r="AI10" s="178"/>
      <c r="AJ10" s="173"/>
      <c r="AL10" s="89"/>
      <c r="AM10" s="188"/>
      <c r="AN10" s="188"/>
      <c r="AO10" s="186"/>
      <c r="AP10" s="178"/>
      <c r="AQ10" s="173"/>
    </row>
    <row r="11">
      <c r="A11" s="101" t="s">
        <v>55</v>
      </c>
      <c r="B11" s="93">
        <v>329.0</v>
      </c>
      <c r="C11" s="89"/>
      <c r="D11" s="188"/>
      <c r="E11" s="188"/>
      <c r="F11" s="186"/>
      <c r="G11" s="178"/>
      <c r="H11" s="173"/>
      <c r="J11" s="89"/>
      <c r="K11" s="188"/>
      <c r="L11" s="188"/>
      <c r="M11" s="186"/>
      <c r="N11" s="178"/>
      <c r="O11" s="173"/>
      <c r="Q11" s="89"/>
      <c r="R11" s="188"/>
      <c r="S11" s="188"/>
      <c r="T11" s="186"/>
      <c r="U11" s="178"/>
      <c r="V11" s="173"/>
      <c r="X11" s="89"/>
      <c r="Y11" s="188"/>
      <c r="Z11" s="188"/>
      <c r="AA11" s="186"/>
      <c r="AB11" s="178"/>
      <c r="AC11" s="173"/>
      <c r="AE11" s="89"/>
      <c r="AF11" s="188"/>
      <c r="AG11" s="188"/>
      <c r="AH11" s="186"/>
      <c r="AI11" s="178"/>
      <c r="AJ11" s="173"/>
      <c r="AL11" s="89"/>
      <c r="AM11" s="188"/>
      <c r="AN11" s="188"/>
      <c r="AO11" s="186"/>
      <c r="AP11" s="178"/>
      <c r="AQ11" s="173"/>
    </row>
    <row r="12">
      <c r="A12" s="101" t="s">
        <v>56</v>
      </c>
      <c r="B12" s="93">
        <v>329.0</v>
      </c>
      <c r="C12" s="89"/>
      <c r="D12" s="188"/>
      <c r="E12" s="188"/>
      <c r="F12" s="186"/>
      <c r="G12" s="178"/>
      <c r="H12" s="173"/>
      <c r="J12" s="89"/>
      <c r="K12" s="188"/>
      <c r="L12" s="188"/>
      <c r="M12" s="186"/>
      <c r="N12" s="178"/>
      <c r="O12" s="173"/>
      <c r="Q12" s="89"/>
      <c r="R12" s="188"/>
      <c r="S12" s="188"/>
      <c r="T12" s="186"/>
      <c r="U12" s="178"/>
      <c r="V12" s="173"/>
      <c r="X12" s="89"/>
      <c r="Y12" s="188"/>
      <c r="Z12" s="188"/>
      <c r="AA12" s="186"/>
      <c r="AB12" s="178"/>
      <c r="AC12" s="173"/>
      <c r="AE12" s="89"/>
      <c r="AF12" s="188"/>
      <c r="AG12" s="188"/>
      <c r="AH12" s="186"/>
      <c r="AI12" s="178"/>
      <c r="AJ12" s="173"/>
      <c r="AL12" s="89"/>
      <c r="AM12" s="188"/>
      <c r="AN12" s="188"/>
      <c r="AO12" s="186"/>
      <c r="AP12" s="178"/>
      <c r="AQ12" s="173"/>
    </row>
    <row r="13">
      <c r="A13" s="101" t="s">
        <v>57</v>
      </c>
      <c r="B13" s="93">
        <v>329.0</v>
      </c>
      <c r="C13" s="89"/>
      <c r="D13" s="188"/>
      <c r="E13" s="188"/>
      <c r="F13" s="186"/>
      <c r="G13" s="178"/>
      <c r="H13" s="173"/>
      <c r="J13" s="89"/>
      <c r="K13" s="188"/>
      <c r="L13" s="188"/>
      <c r="M13" s="186"/>
      <c r="N13" s="178"/>
      <c r="O13" s="173"/>
      <c r="Q13" s="89"/>
      <c r="R13" s="188"/>
      <c r="S13" s="188"/>
      <c r="T13" s="186"/>
      <c r="U13" s="178"/>
      <c r="V13" s="173"/>
      <c r="X13" s="89"/>
      <c r="Y13" s="188"/>
      <c r="Z13" s="188"/>
      <c r="AA13" s="186"/>
      <c r="AB13" s="178"/>
      <c r="AC13" s="173"/>
      <c r="AE13" s="89"/>
      <c r="AF13" s="188"/>
      <c r="AG13" s="188"/>
      <c r="AH13" s="186"/>
      <c r="AI13" s="178"/>
      <c r="AJ13" s="173"/>
      <c r="AL13" s="89"/>
      <c r="AM13" s="188"/>
      <c r="AN13" s="188"/>
      <c r="AO13" s="186"/>
      <c r="AP13" s="178"/>
      <c r="AQ13" s="173"/>
    </row>
    <row r="14">
      <c r="A14" s="101" t="s">
        <v>58</v>
      </c>
      <c r="B14" s="93">
        <v>329.0</v>
      </c>
      <c r="C14" s="89"/>
      <c r="D14" s="188"/>
      <c r="E14" s="188"/>
      <c r="F14" s="186"/>
      <c r="G14" s="178"/>
      <c r="H14" s="173"/>
      <c r="J14" s="89"/>
      <c r="K14" s="188"/>
      <c r="L14" s="188"/>
      <c r="M14" s="186"/>
      <c r="N14" s="178"/>
      <c r="O14" s="173"/>
      <c r="Q14" s="89"/>
      <c r="R14" s="188"/>
      <c r="S14" s="188"/>
      <c r="T14" s="186"/>
      <c r="U14" s="178"/>
      <c r="V14" s="173"/>
      <c r="X14" s="89"/>
      <c r="Y14" s="188"/>
      <c r="Z14" s="188"/>
      <c r="AA14" s="186"/>
      <c r="AB14" s="178"/>
      <c r="AC14" s="173"/>
      <c r="AE14" s="89"/>
      <c r="AF14" s="188"/>
      <c r="AG14" s="188"/>
      <c r="AH14" s="186"/>
      <c r="AI14" s="178"/>
      <c r="AJ14" s="173"/>
      <c r="AL14" s="89"/>
      <c r="AM14" s="188"/>
      <c r="AN14" s="188"/>
      <c r="AO14" s="186"/>
      <c r="AP14" s="178"/>
      <c r="AQ14" s="173"/>
    </row>
    <row r="15">
      <c r="A15" s="101" t="s">
        <v>59</v>
      </c>
      <c r="B15" s="93">
        <v>219.0</v>
      </c>
      <c r="C15" s="89"/>
      <c r="D15" s="188"/>
      <c r="E15" s="188"/>
      <c r="F15" s="186"/>
      <c r="G15" s="178"/>
      <c r="H15" s="173"/>
      <c r="J15" s="89"/>
      <c r="K15" s="188"/>
      <c r="L15" s="188"/>
      <c r="M15" s="186"/>
      <c r="N15" s="178"/>
      <c r="O15" s="173"/>
      <c r="Q15" s="89"/>
      <c r="R15" s="188"/>
      <c r="S15" s="188"/>
      <c r="T15" s="186"/>
      <c r="U15" s="178"/>
      <c r="V15" s="173"/>
      <c r="X15" s="89"/>
      <c r="Y15" s="188"/>
      <c r="Z15" s="188"/>
      <c r="AA15" s="186"/>
      <c r="AB15" s="178"/>
      <c r="AC15" s="173"/>
      <c r="AE15" s="89"/>
      <c r="AF15" s="188"/>
      <c r="AG15" s="188"/>
      <c r="AH15" s="186"/>
      <c r="AI15" s="178"/>
      <c r="AJ15" s="173"/>
      <c r="AL15" s="89"/>
      <c r="AM15" s="188"/>
      <c r="AN15" s="188"/>
      <c r="AO15" s="186"/>
      <c r="AP15" s="178"/>
      <c r="AQ15" s="173"/>
    </row>
    <row r="16" hidden="1">
      <c r="A16" s="101" t="s">
        <v>60</v>
      </c>
      <c r="B16" s="99"/>
      <c r="C16" s="89"/>
      <c r="D16" s="188"/>
      <c r="E16" s="188"/>
      <c r="F16" s="186"/>
      <c r="G16" s="178"/>
      <c r="H16" s="173"/>
      <c r="J16" s="89"/>
      <c r="K16" s="188"/>
      <c r="L16" s="188"/>
      <c r="M16" s="186"/>
      <c r="N16" s="178"/>
      <c r="O16" s="173"/>
      <c r="Q16" s="89"/>
      <c r="R16" s="188"/>
      <c r="S16" s="188"/>
      <c r="T16" s="186"/>
      <c r="U16" s="178"/>
      <c r="V16" s="173"/>
      <c r="X16" s="89"/>
      <c r="Y16" s="188"/>
      <c r="Z16" s="188"/>
      <c r="AA16" s="186"/>
      <c r="AB16" s="178"/>
      <c r="AC16" s="173"/>
      <c r="AE16" s="89"/>
      <c r="AF16" s="188"/>
      <c r="AG16" s="188"/>
      <c r="AH16" s="186"/>
      <c r="AI16" s="178"/>
      <c r="AJ16" s="173"/>
      <c r="AL16" s="89"/>
      <c r="AM16" s="188"/>
      <c r="AN16" s="188"/>
      <c r="AO16" s="186"/>
      <c r="AP16" s="178"/>
      <c r="AQ16" s="173"/>
    </row>
    <row r="17" hidden="1">
      <c r="A17" s="101" t="s">
        <v>61</v>
      </c>
      <c r="B17" s="99"/>
      <c r="C17" s="89"/>
      <c r="D17" s="188"/>
      <c r="E17" s="188"/>
      <c r="F17" s="186"/>
      <c r="G17" s="178"/>
      <c r="H17" s="173"/>
      <c r="J17" s="89"/>
      <c r="K17" s="188"/>
      <c r="L17" s="188"/>
      <c r="M17" s="186"/>
      <c r="N17" s="178"/>
      <c r="O17" s="173"/>
      <c r="Q17" s="89"/>
      <c r="R17" s="188"/>
      <c r="S17" s="188"/>
      <c r="T17" s="186"/>
      <c r="U17" s="178"/>
      <c r="V17" s="173"/>
      <c r="X17" s="89"/>
      <c r="Y17" s="188"/>
      <c r="Z17" s="188"/>
      <c r="AA17" s="186"/>
      <c r="AB17" s="178"/>
      <c r="AC17" s="173"/>
      <c r="AE17" s="89"/>
      <c r="AF17" s="188"/>
      <c r="AG17" s="188"/>
      <c r="AH17" s="186"/>
      <c r="AI17" s="178"/>
      <c r="AJ17" s="173"/>
      <c r="AL17" s="89"/>
      <c r="AM17" s="188"/>
      <c r="AN17" s="188"/>
      <c r="AO17" s="186"/>
      <c r="AP17" s="178"/>
      <c r="AQ17" s="173"/>
    </row>
    <row r="18">
      <c r="A18" s="109"/>
      <c r="B18" s="99"/>
      <c r="C18" s="89"/>
      <c r="D18" s="188"/>
      <c r="E18" s="188"/>
      <c r="F18" s="186"/>
      <c r="G18" s="178"/>
      <c r="H18" s="173"/>
      <c r="J18" s="89"/>
      <c r="K18" s="188"/>
      <c r="L18" s="188"/>
      <c r="M18" s="186"/>
      <c r="N18" s="178"/>
      <c r="O18" s="173"/>
      <c r="Q18" s="89"/>
      <c r="R18" s="188"/>
      <c r="S18" s="188"/>
      <c r="T18" s="186"/>
      <c r="U18" s="178"/>
      <c r="V18" s="173"/>
      <c r="X18" s="89"/>
      <c r="Y18" s="188"/>
      <c r="Z18" s="188"/>
      <c r="AA18" s="186"/>
      <c r="AB18" s="178"/>
      <c r="AC18" s="173"/>
      <c r="AE18" s="89"/>
      <c r="AF18" s="188"/>
      <c r="AG18" s="188"/>
      <c r="AH18" s="186"/>
      <c r="AI18" s="178"/>
      <c r="AJ18" s="173"/>
      <c r="AL18" s="89"/>
      <c r="AM18" s="188"/>
      <c r="AN18" s="188"/>
      <c r="AO18" s="186"/>
      <c r="AP18" s="178"/>
      <c r="AQ18" s="173"/>
    </row>
    <row r="19">
      <c r="A19" s="101" t="s">
        <v>62</v>
      </c>
      <c r="B19" s="93">
        <v>239.0</v>
      </c>
      <c r="C19" s="89"/>
      <c r="D19" s="188"/>
      <c r="E19" s="188"/>
      <c r="F19" s="186"/>
      <c r="G19" s="178"/>
      <c r="H19" s="173"/>
      <c r="J19" s="89"/>
      <c r="K19" s="188"/>
      <c r="L19" s="188"/>
      <c r="M19" s="186"/>
      <c r="N19" s="178"/>
      <c r="O19" s="173"/>
      <c r="Q19" s="89"/>
      <c r="R19" s="188"/>
      <c r="S19" s="188"/>
      <c r="T19" s="186"/>
      <c r="U19" s="178"/>
      <c r="V19" s="173"/>
      <c r="X19" s="89"/>
      <c r="Y19" s="188"/>
      <c r="Z19" s="188"/>
      <c r="AA19" s="186"/>
      <c r="AB19" s="178"/>
      <c r="AC19" s="173"/>
      <c r="AE19" s="89"/>
      <c r="AF19" s="188"/>
      <c r="AG19" s="188"/>
      <c r="AH19" s="186"/>
      <c r="AI19" s="178"/>
      <c r="AJ19" s="173"/>
      <c r="AL19" s="89"/>
      <c r="AM19" s="188"/>
      <c r="AN19" s="188"/>
      <c r="AO19" s="186"/>
      <c r="AP19" s="178"/>
      <c r="AQ19" s="173"/>
    </row>
    <row r="20">
      <c r="A20" s="101" t="s">
        <v>63</v>
      </c>
      <c r="B20" s="93">
        <v>239.0</v>
      </c>
      <c r="C20" s="89"/>
      <c r="D20" s="188"/>
      <c r="E20" s="188"/>
      <c r="F20" s="186"/>
      <c r="G20" s="178"/>
      <c r="H20" s="173"/>
      <c r="J20" s="89"/>
      <c r="K20" s="188"/>
      <c r="L20" s="188"/>
      <c r="M20" s="186"/>
      <c r="N20" s="178"/>
      <c r="O20" s="173"/>
      <c r="Q20" s="89"/>
      <c r="R20" s="188"/>
      <c r="S20" s="188"/>
      <c r="T20" s="186"/>
      <c r="U20" s="178"/>
      <c r="V20" s="173"/>
      <c r="X20" s="89"/>
      <c r="Y20" s="188"/>
      <c r="Z20" s="188"/>
      <c r="AA20" s="186"/>
      <c r="AB20" s="178"/>
      <c r="AC20" s="173"/>
      <c r="AE20" s="89"/>
      <c r="AF20" s="188"/>
      <c r="AG20" s="188"/>
      <c r="AH20" s="186"/>
      <c r="AI20" s="178"/>
      <c r="AJ20" s="173"/>
      <c r="AL20" s="89"/>
      <c r="AM20" s="188"/>
      <c r="AN20" s="188"/>
      <c r="AO20" s="186"/>
      <c r="AP20" s="178"/>
      <c r="AQ20" s="173"/>
    </row>
    <row r="21">
      <c r="A21" s="101" t="s">
        <v>64</v>
      </c>
      <c r="B21" s="93">
        <v>239.0</v>
      </c>
      <c r="C21" s="89"/>
      <c r="D21" s="188"/>
      <c r="E21" s="188"/>
      <c r="F21" s="186"/>
      <c r="G21" s="178"/>
      <c r="H21" s="173"/>
      <c r="J21" s="89"/>
      <c r="K21" s="188"/>
      <c r="L21" s="188"/>
      <c r="M21" s="186"/>
      <c r="N21" s="178"/>
      <c r="O21" s="173"/>
      <c r="Q21" s="89"/>
      <c r="R21" s="188"/>
      <c r="S21" s="188"/>
      <c r="T21" s="186"/>
      <c r="U21" s="178"/>
      <c r="V21" s="173"/>
      <c r="X21" s="89"/>
      <c r="Y21" s="188"/>
      <c r="Z21" s="188"/>
      <c r="AA21" s="186"/>
      <c r="AB21" s="178"/>
      <c r="AC21" s="173"/>
      <c r="AE21" s="89"/>
      <c r="AF21" s="188"/>
      <c r="AG21" s="188"/>
      <c r="AH21" s="186"/>
      <c r="AI21" s="178"/>
      <c r="AJ21" s="173"/>
      <c r="AL21" s="89"/>
      <c r="AM21" s="188"/>
      <c r="AN21" s="188"/>
      <c r="AO21" s="186"/>
      <c r="AP21" s="178"/>
      <c r="AQ21" s="173"/>
    </row>
    <row r="22">
      <c r="A22" s="101" t="s">
        <v>65</v>
      </c>
      <c r="B22" s="93">
        <v>219.0</v>
      </c>
      <c r="C22" s="89"/>
      <c r="D22" s="188"/>
      <c r="E22" s="188"/>
      <c r="F22" s="186"/>
      <c r="G22" s="178"/>
      <c r="H22" s="173"/>
      <c r="J22" s="89"/>
      <c r="K22" s="188"/>
      <c r="L22" s="188"/>
      <c r="M22" s="186"/>
      <c r="N22" s="178"/>
      <c r="O22" s="173"/>
      <c r="Q22" s="89"/>
      <c r="R22" s="188"/>
      <c r="S22" s="188"/>
      <c r="T22" s="186"/>
      <c r="U22" s="178"/>
      <c r="V22" s="173"/>
      <c r="X22" s="89"/>
      <c r="Y22" s="188"/>
      <c r="Z22" s="188"/>
      <c r="AA22" s="186"/>
      <c r="AB22" s="178"/>
      <c r="AC22" s="173"/>
      <c r="AE22" s="89"/>
      <c r="AF22" s="188"/>
      <c r="AG22" s="188"/>
      <c r="AH22" s="186"/>
      <c r="AI22" s="178"/>
      <c r="AJ22" s="173"/>
      <c r="AL22" s="89"/>
      <c r="AM22" s="188"/>
      <c r="AN22" s="188"/>
      <c r="AO22" s="186"/>
      <c r="AP22" s="178"/>
      <c r="AQ22" s="173"/>
    </row>
    <row r="23">
      <c r="A23" s="101" t="s">
        <v>66</v>
      </c>
      <c r="B23" s="93">
        <v>219.0</v>
      </c>
      <c r="C23" s="89"/>
      <c r="D23" s="188"/>
      <c r="E23" s="188"/>
      <c r="F23" s="186"/>
      <c r="G23" s="178"/>
      <c r="H23" s="173"/>
      <c r="J23" s="89"/>
      <c r="K23" s="188"/>
      <c r="L23" s="188"/>
      <c r="M23" s="186"/>
      <c r="N23" s="178"/>
      <c r="O23" s="173"/>
      <c r="Q23" s="89"/>
      <c r="R23" s="188"/>
      <c r="S23" s="188"/>
      <c r="T23" s="186"/>
      <c r="U23" s="178"/>
      <c r="V23" s="173"/>
      <c r="X23" s="89"/>
      <c r="Y23" s="188"/>
      <c r="Z23" s="188"/>
      <c r="AA23" s="186"/>
      <c r="AB23" s="178"/>
      <c r="AC23" s="173"/>
      <c r="AE23" s="89"/>
      <c r="AF23" s="188"/>
      <c r="AG23" s="188"/>
      <c r="AH23" s="186"/>
      <c r="AI23" s="178"/>
      <c r="AJ23" s="173"/>
      <c r="AL23" s="89"/>
      <c r="AM23" s="188"/>
      <c r="AN23" s="188"/>
      <c r="AO23" s="186"/>
      <c r="AP23" s="178"/>
      <c r="AQ23" s="173"/>
    </row>
    <row r="24">
      <c r="A24" s="101" t="s">
        <v>67</v>
      </c>
      <c r="B24" s="93">
        <v>219.0</v>
      </c>
      <c r="C24" s="89"/>
      <c r="D24" s="188"/>
      <c r="E24" s="188"/>
      <c r="F24" s="186"/>
      <c r="G24" s="178"/>
      <c r="H24" s="173"/>
      <c r="J24" s="89"/>
      <c r="K24" s="188"/>
      <c r="L24" s="188"/>
      <c r="M24" s="186"/>
      <c r="N24" s="178"/>
      <c r="O24" s="173"/>
      <c r="Q24" s="89"/>
      <c r="R24" s="188"/>
      <c r="S24" s="188"/>
      <c r="T24" s="186"/>
      <c r="U24" s="178"/>
      <c r="V24" s="173"/>
      <c r="X24" s="89"/>
      <c r="Y24" s="188"/>
      <c r="Z24" s="188"/>
      <c r="AA24" s="186"/>
      <c r="AB24" s="178"/>
      <c r="AC24" s="173"/>
      <c r="AE24" s="89"/>
      <c r="AF24" s="188"/>
      <c r="AG24" s="188"/>
      <c r="AH24" s="186"/>
      <c r="AI24" s="178"/>
      <c r="AJ24" s="173"/>
      <c r="AL24" s="89"/>
      <c r="AM24" s="188"/>
      <c r="AN24" s="188"/>
      <c r="AO24" s="186"/>
      <c r="AP24" s="178"/>
      <c r="AQ24" s="173"/>
    </row>
    <row r="25">
      <c r="A25" s="101" t="s">
        <v>68</v>
      </c>
      <c r="B25" s="93">
        <v>219.0</v>
      </c>
      <c r="C25" s="89"/>
      <c r="D25" s="188"/>
      <c r="E25" s="188"/>
      <c r="F25" s="186"/>
      <c r="G25" s="178"/>
      <c r="H25" s="173"/>
      <c r="J25" s="89"/>
      <c r="K25" s="188"/>
      <c r="L25" s="188"/>
      <c r="M25" s="186"/>
      <c r="N25" s="178"/>
      <c r="O25" s="173"/>
      <c r="Q25" s="89"/>
      <c r="R25" s="188"/>
      <c r="S25" s="188"/>
      <c r="T25" s="186"/>
      <c r="U25" s="178"/>
      <c r="V25" s="173"/>
      <c r="X25" s="89"/>
      <c r="Y25" s="188"/>
      <c r="Z25" s="188"/>
      <c r="AA25" s="186"/>
      <c r="AB25" s="178"/>
      <c r="AC25" s="173"/>
      <c r="AE25" s="89"/>
      <c r="AF25" s="188"/>
      <c r="AG25" s="188"/>
      <c r="AH25" s="186"/>
      <c r="AI25" s="178"/>
      <c r="AJ25" s="173"/>
      <c r="AL25" s="89"/>
      <c r="AM25" s="188"/>
      <c r="AN25" s="188"/>
      <c r="AO25" s="186"/>
      <c r="AP25" s="178"/>
      <c r="AQ25" s="173"/>
    </row>
    <row r="26">
      <c r="A26" s="101" t="s">
        <v>69</v>
      </c>
      <c r="B26" s="93">
        <v>219.0</v>
      </c>
      <c r="C26" s="89"/>
      <c r="D26" s="188"/>
      <c r="E26" s="188"/>
      <c r="F26" s="186"/>
      <c r="G26" s="178"/>
      <c r="H26" s="173"/>
      <c r="J26" s="89"/>
      <c r="K26" s="188"/>
      <c r="L26" s="188"/>
      <c r="M26" s="186"/>
      <c r="N26" s="178"/>
      <c r="O26" s="173"/>
      <c r="Q26" s="89"/>
      <c r="R26" s="188"/>
      <c r="S26" s="188"/>
      <c r="T26" s="186"/>
      <c r="U26" s="178"/>
      <c r="V26" s="173"/>
      <c r="X26" s="89"/>
      <c r="Y26" s="188"/>
      <c r="Z26" s="188"/>
      <c r="AA26" s="186"/>
      <c r="AB26" s="178"/>
      <c r="AC26" s="173"/>
      <c r="AE26" s="89"/>
      <c r="AF26" s="188"/>
      <c r="AG26" s="188"/>
      <c r="AH26" s="186"/>
      <c r="AI26" s="178"/>
      <c r="AJ26" s="173"/>
      <c r="AL26" s="89"/>
      <c r="AM26" s="188"/>
      <c r="AN26" s="188"/>
      <c r="AO26" s="186"/>
      <c r="AP26" s="178"/>
      <c r="AQ26" s="173"/>
    </row>
    <row r="27">
      <c r="A27" s="101" t="s">
        <v>70</v>
      </c>
      <c r="B27" s="93">
        <v>799.0</v>
      </c>
      <c r="C27" s="89"/>
      <c r="D27" s="188"/>
      <c r="E27" s="188"/>
      <c r="F27" s="186"/>
      <c r="G27" s="178"/>
      <c r="H27" s="173"/>
      <c r="J27" s="89"/>
      <c r="K27" s="188"/>
      <c r="L27" s="188"/>
      <c r="M27" s="186"/>
      <c r="N27" s="178"/>
      <c r="O27" s="173"/>
      <c r="Q27" s="89"/>
      <c r="R27" s="188"/>
      <c r="S27" s="188"/>
      <c r="T27" s="186"/>
      <c r="U27" s="178"/>
      <c r="V27" s="173"/>
      <c r="X27" s="89"/>
      <c r="Y27" s="188"/>
      <c r="Z27" s="188"/>
      <c r="AA27" s="186"/>
      <c r="AB27" s="178"/>
      <c r="AC27" s="173"/>
      <c r="AE27" s="89"/>
      <c r="AF27" s="188"/>
      <c r="AG27" s="188"/>
      <c r="AH27" s="186"/>
      <c r="AI27" s="178"/>
      <c r="AJ27" s="173"/>
      <c r="AL27" s="89"/>
      <c r="AM27" s="188"/>
      <c r="AN27" s="188"/>
      <c r="AO27" s="186"/>
      <c r="AP27" s="178"/>
      <c r="AQ27" s="173"/>
    </row>
    <row r="28">
      <c r="A28" s="102" t="s">
        <v>71</v>
      </c>
      <c r="B28" s="93">
        <v>609.0</v>
      </c>
      <c r="C28" s="89"/>
      <c r="D28" s="188"/>
      <c r="E28" s="188"/>
      <c r="F28" s="213"/>
      <c r="G28" s="178"/>
      <c r="H28" s="173"/>
      <c r="J28" s="89"/>
      <c r="K28" s="188"/>
      <c r="L28" s="188"/>
      <c r="M28" s="213"/>
      <c r="N28" s="178"/>
      <c r="O28" s="173"/>
      <c r="Q28" s="89"/>
      <c r="R28" s="188"/>
      <c r="S28" s="188"/>
      <c r="T28" s="213"/>
      <c r="U28" s="178"/>
      <c r="V28" s="173"/>
      <c r="X28" s="89"/>
      <c r="Y28" s="188"/>
      <c r="Z28" s="188"/>
      <c r="AA28" s="213"/>
      <c r="AB28" s="178"/>
      <c r="AC28" s="173"/>
      <c r="AE28" s="89"/>
      <c r="AF28" s="188"/>
      <c r="AG28" s="188"/>
      <c r="AH28" s="213"/>
      <c r="AI28" s="178"/>
      <c r="AJ28" s="173"/>
      <c r="AL28" s="89"/>
      <c r="AM28" s="188"/>
      <c r="AN28" s="188"/>
      <c r="AO28" s="213"/>
      <c r="AP28" s="178"/>
      <c r="AQ28" s="173"/>
    </row>
    <row r="29">
      <c r="A29" s="101" t="s">
        <v>72</v>
      </c>
      <c r="B29" s="93">
        <v>329.0</v>
      </c>
      <c r="C29" s="89"/>
      <c r="D29" s="188"/>
      <c r="E29" s="188"/>
      <c r="F29" s="186"/>
      <c r="G29" s="178"/>
      <c r="H29" s="173"/>
      <c r="J29" s="89"/>
      <c r="K29" s="188"/>
      <c r="L29" s="188"/>
      <c r="M29" s="186"/>
      <c r="N29" s="178"/>
      <c r="O29" s="173"/>
      <c r="Q29" s="89"/>
      <c r="R29" s="188"/>
      <c r="S29" s="188"/>
      <c r="T29" s="186"/>
      <c r="U29" s="178"/>
      <c r="V29" s="173"/>
      <c r="X29" s="89"/>
      <c r="Y29" s="188"/>
      <c r="Z29" s="188"/>
      <c r="AA29" s="186"/>
      <c r="AB29" s="178"/>
      <c r="AC29" s="173"/>
      <c r="AE29" s="89"/>
      <c r="AF29" s="188"/>
      <c r="AG29" s="188"/>
      <c r="AH29" s="186"/>
      <c r="AI29" s="178"/>
      <c r="AJ29" s="173"/>
      <c r="AL29" s="89"/>
      <c r="AM29" s="188"/>
      <c r="AN29" s="188"/>
      <c r="AO29" s="186"/>
      <c r="AP29" s="178"/>
      <c r="AQ29" s="173"/>
    </row>
    <row r="30">
      <c r="A30" s="101" t="s">
        <v>73</v>
      </c>
      <c r="B30" s="93">
        <v>329.0</v>
      </c>
      <c r="C30" s="89"/>
      <c r="D30" s="188"/>
      <c r="E30" s="188"/>
      <c r="F30" s="186"/>
      <c r="G30" s="178"/>
      <c r="H30" s="173"/>
      <c r="J30" s="89"/>
      <c r="K30" s="188"/>
      <c r="L30" s="188"/>
      <c r="M30" s="186"/>
      <c r="N30" s="178"/>
      <c r="O30" s="173"/>
      <c r="Q30" s="89"/>
      <c r="R30" s="188"/>
      <c r="S30" s="188"/>
      <c r="T30" s="186"/>
      <c r="U30" s="178"/>
      <c r="V30" s="173"/>
      <c r="X30" s="89"/>
      <c r="Y30" s="188"/>
      <c r="Z30" s="188"/>
      <c r="AA30" s="186"/>
      <c r="AB30" s="178"/>
      <c r="AC30" s="173"/>
      <c r="AE30" s="89"/>
      <c r="AF30" s="188"/>
      <c r="AG30" s="188"/>
      <c r="AH30" s="186"/>
      <c r="AI30" s="178"/>
      <c r="AJ30" s="173"/>
      <c r="AL30" s="89"/>
      <c r="AM30" s="188"/>
      <c r="AN30" s="188"/>
      <c r="AO30" s="186"/>
      <c r="AP30" s="178"/>
      <c r="AQ30" s="173"/>
    </row>
    <row r="31">
      <c r="A31" s="101" t="s">
        <v>74</v>
      </c>
      <c r="B31" s="93">
        <v>219.0</v>
      </c>
      <c r="C31" s="89"/>
      <c r="D31" s="188"/>
      <c r="E31" s="188"/>
      <c r="F31" s="186"/>
      <c r="G31" s="178"/>
      <c r="H31" s="173"/>
      <c r="J31" s="89"/>
      <c r="K31" s="188"/>
      <c r="L31" s="188"/>
      <c r="M31" s="186"/>
      <c r="N31" s="178"/>
      <c r="O31" s="173"/>
      <c r="Q31" s="89"/>
      <c r="R31" s="188"/>
      <c r="S31" s="188"/>
      <c r="T31" s="186"/>
      <c r="U31" s="178"/>
      <c r="V31" s="173"/>
      <c r="X31" s="89"/>
      <c r="Y31" s="188"/>
      <c r="Z31" s="188"/>
      <c r="AA31" s="186"/>
      <c r="AB31" s="178"/>
      <c r="AC31" s="173"/>
      <c r="AE31" s="89"/>
      <c r="AF31" s="188"/>
      <c r="AG31" s="188"/>
      <c r="AH31" s="186"/>
      <c r="AI31" s="178"/>
      <c r="AJ31" s="173"/>
      <c r="AL31" s="89"/>
      <c r="AM31" s="188"/>
      <c r="AN31" s="188"/>
      <c r="AO31" s="186"/>
      <c r="AP31" s="178"/>
      <c r="AQ31" s="173"/>
    </row>
    <row r="32">
      <c r="A32" s="101" t="s">
        <v>75</v>
      </c>
      <c r="B32" s="93">
        <v>219.0</v>
      </c>
      <c r="C32" s="89"/>
      <c r="D32" s="188"/>
      <c r="E32" s="188"/>
      <c r="F32" s="186"/>
      <c r="G32" s="178"/>
      <c r="H32" s="173"/>
      <c r="J32" s="89"/>
      <c r="K32" s="188"/>
      <c r="L32" s="188"/>
      <c r="M32" s="186"/>
      <c r="N32" s="178"/>
      <c r="O32" s="173"/>
      <c r="Q32" s="89"/>
      <c r="R32" s="188"/>
      <c r="S32" s="188"/>
      <c r="T32" s="186"/>
      <c r="U32" s="178"/>
      <c r="V32" s="173"/>
      <c r="X32" s="89"/>
      <c r="Y32" s="188"/>
      <c r="Z32" s="188"/>
      <c r="AA32" s="186"/>
      <c r="AB32" s="178"/>
      <c r="AC32" s="173"/>
      <c r="AE32" s="89"/>
      <c r="AF32" s="188"/>
      <c r="AG32" s="188"/>
      <c r="AH32" s="186"/>
      <c r="AI32" s="178"/>
      <c r="AJ32" s="173"/>
      <c r="AL32" s="89"/>
      <c r="AM32" s="188"/>
      <c r="AN32" s="188"/>
      <c r="AO32" s="186"/>
      <c r="AP32" s="178"/>
      <c r="AQ32" s="173"/>
    </row>
    <row r="33">
      <c r="A33" s="101" t="s">
        <v>76</v>
      </c>
      <c r="B33" s="93">
        <v>439.0</v>
      </c>
      <c r="C33" s="89"/>
      <c r="D33" s="188"/>
      <c r="E33" s="188"/>
      <c r="F33" s="186"/>
      <c r="G33" s="178"/>
      <c r="H33" s="173"/>
      <c r="J33" s="89"/>
      <c r="K33" s="188"/>
      <c r="L33" s="188"/>
      <c r="M33" s="186"/>
      <c r="N33" s="178"/>
      <c r="O33" s="173"/>
      <c r="Q33" s="89"/>
      <c r="R33" s="188"/>
      <c r="S33" s="188"/>
      <c r="T33" s="186"/>
      <c r="U33" s="178"/>
      <c r="V33" s="173"/>
      <c r="X33" s="89"/>
      <c r="Y33" s="188"/>
      <c r="Z33" s="188"/>
      <c r="AA33" s="186"/>
      <c r="AB33" s="178"/>
      <c r="AC33" s="173"/>
      <c r="AE33" s="89"/>
      <c r="AF33" s="188"/>
      <c r="AG33" s="188"/>
      <c r="AH33" s="186"/>
      <c r="AI33" s="178"/>
      <c r="AJ33" s="173"/>
      <c r="AL33" s="89"/>
      <c r="AM33" s="188"/>
      <c r="AN33" s="188"/>
      <c r="AO33" s="186"/>
      <c r="AP33" s="178"/>
      <c r="AQ33" s="173"/>
    </row>
    <row r="34">
      <c r="A34" s="101" t="s">
        <v>77</v>
      </c>
      <c r="B34" s="93">
        <v>899.0</v>
      </c>
      <c r="C34" s="89"/>
      <c r="D34" s="188"/>
      <c r="E34" s="178"/>
      <c r="F34" s="186"/>
      <c r="G34" s="178"/>
      <c r="H34" s="173"/>
      <c r="J34" s="89"/>
      <c r="K34" s="188"/>
      <c r="L34" s="178"/>
      <c r="M34" s="186"/>
      <c r="N34" s="178"/>
      <c r="O34" s="173"/>
      <c r="Q34" s="89"/>
      <c r="R34" s="188"/>
      <c r="S34" s="178"/>
      <c r="T34" s="186"/>
      <c r="U34" s="178"/>
      <c r="V34" s="173"/>
      <c r="X34" s="89"/>
      <c r="Y34" s="188"/>
      <c r="Z34" s="178"/>
      <c r="AA34" s="186"/>
      <c r="AB34" s="178"/>
      <c r="AC34" s="173"/>
      <c r="AE34" s="89"/>
      <c r="AF34" s="188"/>
      <c r="AG34" s="178"/>
      <c r="AH34" s="186"/>
      <c r="AI34" s="178"/>
      <c r="AJ34" s="173"/>
      <c r="AL34" s="89"/>
      <c r="AM34" s="188"/>
      <c r="AN34" s="178"/>
      <c r="AO34" s="186"/>
      <c r="AP34" s="178"/>
      <c r="AQ34" s="173"/>
    </row>
    <row r="35">
      <c r="A35" s="101" t="s">
        <v>78</v>
      </c>
      <c r="B35" s="93">
        <v>549.0</v>
      </c>
      <c r="C35" s="89"/>
      <c r="D35" s="178"/>
      <c r="E35" s="188"/>
      <c r="F35" s="186"/>
      <c r="G35" s="178"/>
      <c r="H35" s="173"/>
      <c r="J35" s="89"/>
      <c r="K35" s="178"/>
      <c r="L35" s="188"/>
      <c r="M35" s="186"/>
      <c r="N35" s="178"/>
      <c r="O35" s="173"/>
      <c r="Q35" s="89"/>
      <c r="R35" s="178"/>
      <c r="S35" s="188"/>
      <c r="T35" s="186"/>
      <c r="U35" s="178"/>
      <c r="V35" s="173"/>
      <c r="X35" s="89"/>
      <c r="Y35" s="178"/>
      <c r="Z35" s="188"/>
      <c r="AA35" s="186"/>
      <c r="AB35" s="178"/>
      <c r="AC35" s="173"/>
      <c r="AE35" s="89"/>
      <c r="AF35" s="178"/>
      <c r="AG35" s="188"/>
      <c r="AH35" s="186"/>
      <c r="AI35" s="178"/>
      <c r="AJ35" s="173"/>
      <c r="AL35" s="89"/>
      <c r="AM35" s="178"/>
      <c r="AN35" s="188"/>
      <c r="AO35" s="186"/>
      <c r="AP35" s="178"/>
      <c r="AQ35" s="173"/>
    </row>
    <row r="36">
      <c r="A36" s="101" t="s">
        <v>79</v>
      </c>
      <c r="B36" s="93">
        <v>549.0</v>
      </c>
      <c r="C36" s="89"/>
      <c r="D36" s="178"/>
      <c r="E36" s="188"/>
      <c r="F36" s="186"/>
      <c r="G36" s="178"/>
      <c r="H36" s="173"/>
      <c r="J36" s="89"/>
      <c r="K36" s="178"/>
      <c r="L36" s="188"/>
      <c r="M36" s="186"/>
      <c r="N36" s="178"/>
      <c r="O36" s="173"/>
      <c r="Q36" s="89"/>
      <c r="R36" s="178"/>
      <c r="S36" s="188"/>
      <c r="T36" s="186"/>
      <c r="U36" s="178"/>
      <c r="V36" s="173"/>
      <c r="X36" s="89"/>
      <c r="Y36" s="178"/>
      <c r="Z36" s="188"/>
      <c r="AA36" s="186"/>
      <c r="AB36" s="178"/>
      <c r="AC36" s="173"/>
      <c r="AE36" s="89"/>
      <c r="AF36" s="178"/>
      <c r="AG36" s="188"/>
      <c r="AH36" s="186"/>
      <c r="AI36" s="178"/>
      <c r="AJ36" s="173"/>
      <c r="AL36" s="89"/>
      <c r="AM36" s="178"/>
      <c r="AN36" s="188"/>
      <c r="AO36" s="186"/>
      <c r="AP36" s="178"/>
      <c r="AQ36" s="173"/>
    </row>
    <row r="37">
      <c r="A37" s="101" t="s">
        <v>80</v>
      </c>
      <c r="B37" s="93">
        <v>549.0</v>
      </c>
      <c r="C37" s="89"/>
      <c r="D37" s="188"/>
      <c r="E37" s="188"/>
      <c r="F37" s="186"/>
      <c r="G37" s="178"/>
      <c r="H37" s="173"/>
      <c r="J37" s="89"/>
      <c r="K37" s="188"/>
      <c r="L37" s="188"/>
      <c r="M37" s="186"/>
      <c r="N37" s="178"/>
      <c r="O37" s="173"/>
      <c r="Q37" s="89"/>
      <c r="R37" s="188"/>
      <c r="S37" s="188"/>
      <c r="T37" s="186"/>
      <c r="U37" s="178"/>
      <c r="V37" s="173"/>
      <c r="X37" s="89"/>
      <c r="Y37" s="188"/>
      <c r="Z37" s="188"/>
      <c r="AA37" s="186"/>
      <c r="AB37" s="178"/>
      <c r="AC37" s="173"/>
      <c r="AE37" s="89"/>
      <c r="AF37" s="188"/>
      <c r="AG37" s="188"/>
      <c r="AH37" s="186"/>
      <c r="AI37" s="178"/>
      <c r="AJ37" s="173"/>
      <c r="AL37" s="89"/>
      <c r="AM37" s="188"/>
      <c r="AN37" s="188"/>
      <c r="AO37" s="186"/>
      <c r="AP37" s="178"/>
      <c r="AQ37" s="173"/>
    </row>
    <row r="38">
      <c r="A38" s="102" t="s">
        <v>81</v>
      </c>
      <c r="B38" s="93">
        <v>799.0</v>
      </c>
      <c r="C38" s="89"/>
      <c r="D38" s="188"/>
      <c r="E38" s="188"/>
      <c r="F38" s="186"/>
      <c r="G38" s="178"/>
      <c r="H38" s="173"/>
      <c r="J38" s="89"/>
      <c r="K38" s="188"/>
      <c r="L38" s="188"/>
      <c r="M38" s="186"/>
      <c r="N38" s="178"/>
      <c r="O38" s="173"/>
      <c r="Q38" s="89"/>
      <c r="R38" s="188"/>
      <c r="S38" s="188"/>
      <c r="T38" s="186"/>
      <c r="U38" s="178"/>
      <c r="V38" s="173"/>
      <c r="X38" s="89"/>
      <c r="Y38" s="188"/>
      <c r="Z38" s="188"/>
      <c r="AA38" s="186"/>
      <c r="AB38" s="178"/>
      <c r="AC38" s="173"/>
      <c r="AE38" s="89"/>
      <c r="AF38" s="188"/>
      <c r="AG38" s="188"/>
      <c r="AH38" s="186"/>
      <c r="AI38" s="178"/>
      <c r="AJ38" s="173"/>
      <c r="AL38" s="89"/>
      <c r="AM38" s="188"/>
      <c r="AN38" s="188"/>
      <c r="AO38" s="186"/>
      <c r="AP38" s="178"/>
      <c r="AQ38" s="173"/>
    </row>
    <row r="39">
      <c r="A39" s="102" t="s">
        <v>82</v>
      </c>
      <c r="B39" s="93">
        <v>799.0</v>
      </c>
      <c r="C39" s="89"/>
      <c r="D39" s="188"/>
      <c r="E39" s="188"/>
      <c r="F39" s="186"/>
      <c r="G39" s="178"/>
      <c r="H39" s="173"/>
      <c r="J39" s="89"/>
      <c r="K39" s="188"/>
      <c r="L39" s="188"/>
      <c r="M39" s="186"/>
      <c r="N39" s="178"/>
      <c r="O39" s="173"/>
      <c r="Q39" s="89"/>
      <c r="R39" s="188"/>
      <c r="S39" s="188"/>
      <c r="T39" s="186"/>
      <c r="U39" s="178"/>
      <c r="V39" s="173"/>
      <c r="X39" s="89"/>
      <c r="Y39" s="188"/>
      <c r="Z39" s="188"/>
      <c r="AA39" s="186"/>
      <c r="AB39" s="178"/>
      <c r="AC39" s="173"/>
      <c r="AE39" s="89"/>
      <c r="AF39" s="188"/>
      <c r="AG39" s="188"/>
      <c r="AH39" s="186"/>
      <c r="AI39" s="178"/>
      <c r="AJ39" s="173"/>
      <c r="AL39" s="89"/>
      <c r="AM39" s="188"/>
      <c r="AN39" s="188"/>
      <c r="AO39" s="186"/>
      <c r="AP39" s="178"/>
      <c r="AQ39" s="173"/>
    </row>
    <row r="40">
      <c r="A40" s="101" t="s">
        <v>83</v>
      </c>
      <c r="B40" s="93">
        <v>439.0</v>
      </c>
      <c r="C40" s="89"/>
      <c r="D40" s="188"/>
      <c r="E40" s="188"/>
      <c r="F40" s="186"/>
      <c r="G40" s="178"/>
      <c r="H40" s="173"/>
      <c r="J40" s="89"/>
      <c r="K40" s="188"/>
      <c r="L40" s="188"/>
      <c r="M40" s="186"/>
      <c r="N40" s="178"/>
      <c r="O40" s="173"/>
      <c r="Q40" s="89"/>
      <c r="R40" s="188"/>
      <c r="S40" s="188"/>
      <c r="T40" s="186"/>
      <c r="U40" s="178"/>
      <c r="V40" s="173"/>
      <c r="X40" s="89"/>
      <c r="Y40" s="188"/>
      <c r="Z40" s="188"/>
      <c r="AA40" s="186"/>
      <c r="AB40" s="178"/>
      <c r="AC40" s="173"/>
      <c r="AE40" s="89"/>
      <c r="AF40" s="188"/>
      <c r="AG40" s="188"/>
      <c r="AH40" s="186"/>
      <c r="AI40" s="178"/>
      <c r="AJ40" s="173"/>
      <c r="AL40" s="89"/>
      <c r="AM40" s="188"/>
      <c r="AN40" s="188"/>
      <c r="AO40" s="186"/>
      <c r="AP40" s="178"/>
      <c r="AQ40" s="173"/>
    </row>
    <row r="41">
      <c r="A41" s="101" t="s">
        <v>84</v>
      </c>
      <c r="B41" s="93">
        <v>439.0</v>
      </c>
      <c r="C41" s="89"/>
      <c r="D41" s="188"/>
      <c r="E41" s="188"/>
      <c r="F41" s="186"/>
      <c r="G41" s="178"/>
      <c r="H41" s="173"/>
      <c r="J41" s="89"/>
      <c r="K41" s="188"/>
      <c r="L41" s="188"/>
      <c r="M41" s="186"/>
      <c r="N41" s="178"/>
      <c r="O41" s="173"/>
      <c r="Q41" s="89"/>
      <c r="R41" s="188"/>
      <c r="S41" s="188"/>
      <c r="T41" s="186"/>
      <c r="U41" s="178"/>
      <c r="V41" s="173"/>
      <c r="X41" s="89"/>
      <c r="Y41" s="188"/>
      <c r="Z41" s="188"/>
      <c r="AA41" s="186"/>
      <c r="AB41" s="178"/>
      <c r="AC41" s="173"/>
      <c r="AE41" s="89"/>
      <c r="AF41" s="188"/>
      <c r="AG41" s="188"/>
      <c r="AH41" s="186"/>
      <c r="AI41" s="178"/>
      <c r="AJ41" s="173"/>
      <c r="AL41" s="89"/>
      <c r="AM41" s="188"/>
      <c r="AN41" s="188"/>
      <c r="AO41" s="186"/>
      <c r="AP41" s="178"/>
      <c r="AQ41" s="173"/>
    </row>
    <row r="42">
      <c r="A42" s="101" t="s">
        <v>85</v>
      </c>
      <c r="B42" s="93">
        <v>60.0</v>
      </c>
      <c r="C42" s="89"/>
      <c r="D42" s="188"/>
      <c r="E42" s="188"/>
      <c r="F42" s="186"/>
      <c r="G42" s="178"/>
      <c r="H42" s="173"/>
      <c r="J42" s="89"/>
      <c r="K42" s="188"/>
      <c r="L42" s="188"/>
      <c r="M42" s="186"/>
      <c r="N42" s="178"/>
      <c r="O42" s="173"/>
      <c r="Q42" s="89"/>
      <c r="R42" s="188"/>
      <c r="S42" s="188"/>
      <c r="T42" s="186"/>
      <c r="U42" s="178"/>
      <c r="V42" s="173"/>
      <c r="X42" s="89"/>
      <c r="Y42" s="188"/>
      <c r="Z42" s="188"/>
      <c r="AA42" s="186"/>
      <c r="AB42" s="178"/>
      <c r="AC42" s="173"/>
      <c r="AE42" s="89"/>
      <c r="AF42" s="188"/>
      <c r="AG42" s="188"/>
      <c r="AH42" s="186"/>
      <c r="AI42" s="178"/>
      <c r="AJ42" s="173"/>
      <c r="AL42" s="89"/>
      <c r="AM42" s="188"/>
      <c r="AN42" s="188"/>
      <c r="AO42" s="186"/>
      <c r="AP42" s="178"/>
      <c r="AQ42" s="173"/>
    </row>
    <row r="43">
      <c r="A43" s="101" t="s">
        <v>86</v>
      </c>
      <c r="B43" s="93">
        <v>609.0</v>
      </c>
      <c r="C43" s="115"/>
      <c r="D43" s="215"/>
      <c r="E43" s="215"/>
      <c r="F43" s="186"/>
      <c r="G43" s="200"/>
      <c r="H43" s="173"/>
      <c r="J43" s="115"/>
      <c r="K43" s="215"/>
      <c r="L43" s="215"/>
      <c r="M43" s="186"/>
      <c r="N43" s="200"/>
      <c r="O43" s="173"/>
      <c r="Q43" s="115"/>
      <c r="R43" s="215"/>
      <c r="S43" s="215"/>
      <c r="T43" s="186"/>
      <c r="U43" s="200"/>
      <c r="V43" s="173"/>
      <c r="X43" s="115"/>
      <c r="Y43" s="215"/>
      <c r="Z43" s="215"/>
      <c r="AA43" s="186"/>
      <c r="AB43" s="200"/>
      <c r="AC43" s="173"/>
      <c r="AE43" s="115"/>
      <c r="AF43" s="215"/>
      <c r="AG43" s="215"/>
      <c r="AH43" s="186"/>
      <c r="AI43" s="200"/>
      <c r="AJ43" s="173"/>
      <c r="AL43" s="115"/>
      <c r="AM43" s="215"/>
      <c r="AN43" s="215"/>
      <c r="AO43" s="186"/>
      <c r="AP43" s="200"/>
      <c r="AQ43" s="173"/>
    </row>
    <row r="44">
      <c r="A44" s="101" t="s">
        <v>87</v>
      </c>
      <c r="B44" s="93">
        <v>379.0</v>
      </c>
      <c r="C44" s="115"/>
      <c r="D44" s="215"/>
      <c r="E44" s="215"/>
      <c r="F44" s="186"/>
      <c r="G44" s="200"/>
      <c r="H44" s="173"/>
      <c r="J44" s="115"/>
      <c r="K44" s="215"/>
      <c r="L44" s="215"/>
      <c r="M44" s="186"/>
      <c r="N44" s="200"/>
      <c r="O44" s="173"/>
      <c r="Q44" s="115"/>
      <c r="R44" s="215"/>
      <c r="S44" s="215"/>
      <c r="T44" s="186"/>
      <c r="U44" s="200"/>
      <c r="V44" s="173"/>
      <c r="X44" s="115"/>
      <c r="Y44" s="215"/>
      <c r="Z44" s="215"/>
      <c r="AA44" s="186"/>
      <c r="AB44" s="200"/>
      <c r="AC44" s="173"/>
      <c r="AE44" s="115"/>
      <c r="AF44" s="215"/>
      <c r="AG44" s="215"/>
      <c r="AH44" s="186"/>
      <c r="AI44" s="200"/>
      <c r="AJ44" s="173"/>
      <c r="AL44" s="115"/>
      <c r="AM44" s="215"/>
      <c r="AN44" s="215"/>
      <c r="AO44" s="186"/>
      <c r="AP44" s="200"/>
      <c r="AQ44" s="173"/>
    </row>
    <row r="45">
      <c r="A45" s="101" t="s">
        <v>88</v>
      </c>
      <c r="B45" s="93">
        <v>379.0</v>
      </c>
      <c r="C45" s="115"/>
      <c r="D45" s="215"/>
      <c r="E45" s="215"/>
      <c r="F45" s="186"/>
      <c r="G45" s="200"/>
      <c r="H45" s="173"/>
      <c r="J45" s="115"/>
      <c r="K45" s="215"/>
      <c r="L45" s="215"/>
      <c r="M45" s="186"/>
      <c r="N45" s="200"/>
      <c r="O45" s="173"/>
      <c r="Q45" s="115"/>
      <c r="R45" s="215"/>
      <c r="S45" s="215"/>
      <c r="T45" s="186"/>
      <c r="U45" s="200"/>
      <c r="V45" s="173"/>
      <c r="X45" s="115"/>
      <c r="Y45" s="215"/>
      <c r="Z45" s="215"/>
      <c r="AA45" s="186"/>
      <c r="AB45" s="200"/>
      <c r="AC45" s="173"/>
      <c r="AE45" s="115"/>
      <c r="AF45" s="215"/>
      <c r="AG45" s="215"/>
      <c r="AH45" s="186"/>
      <c r="AI45" s="200"/>
      <c r="AJ45" s="173"/>
      <c r="AL45" s="115"/>
      <c r="AM45" s="215"/>
      <c r="AN45" s="215"/>
      <c r="AO45" s="186"/>
      <c r="AP45" s="200"/>
      <c r="AQ45" s="173"/>
    </row>
    <row r="46">
      <c r="A46" s="101" t="s">
        <v>89</v>
      </c>
      <c r="B46" s="93">
        <v>1299.0</v>
      </c>
      <c r="C46" s="115"/>
      <c r="D46" s="215"/>
      <c r="E46" s="215"/>
      <c r="F46" s="186"/>
      <c r="G46" s="200"/>
      <c r="H46" s="173"/>
      <c r="J46" s="115"/>
      <c r="K46" s="215"/>
      <c r="L46" s="215"/>
      <c r="M46" s="186"/>
      <c r="N46" s="200"/>
      <c r="O46" s="173"/>
      <c r="Q46" s="115"/>
      <c r="R46" s="215"/>
      <c r="S46" s="215"/>
      <c r="T46" s="186"/>
      <c r="U46" s="200"/>
      <c r="V46" s="173"/>
      <c r="X46" s="115"/>
      <c r="Y46" s="215"/>
      <c r="Z46" s="215"/>
      <c r="AA46" s="186"/>
      <c r="AB46" s="200"/>
      <c r="AC46" s="173"/>
      <c r="AE46" s="115"/>
      <c r="AF46" s="215"/>
      <c r="AG46" s="215"/>
      <c r="AH46" s="186"/>
      <c r="AI46" s="200"/>
      <c r="AJ46" s="173"/>
      <c r="AL46" s="115"/>
      <c r="AM46" s="215"/>
      <c r="AN46" s="215"/>
      <c r="AO46" s="186"/>
      <c r="AP46" s="200"/>
      <c r="AQ46" s="173"/>
    </row>
    <row r="47">
      <c r="A47" s="67" t="s">
        <v>90</v>
      </c>
      <c r="B47" s="93">
        <v>1299.0</v>
      </c>
      <c r="C47" s="115"/>
      <c r="D47" s="215"/>
      <c r="E47" s="215"/>
      <c r="F47" s="186"/>
      <c r="G47" s="200"/>
      <c r="H47" s="173"/>
      <c r="J47" s="115"/>
      <c r="K47" s="215"/>
      <c r="L47" s="215"/>
      <c r="M47" s="186"/>
      <c r="N47" s="200"/>
      <c r="O47" s="173"/>
      <c r="Q47" s="115"/>
      <c r="R47" s="215"/>
      <c r="S47" s="215"/>
      <c r="T47" s="186"/>
      <c r="U47" s="200"/>
      <c r="V47" s="173"/>
      <c r="X47" s="115"/>
      <c r="Y47" s="215"/>
      <c r="Z47" s="215"/>
      <c r="AA47" s="186"/>
      <c r="AB47" s="200"/>
      <c r="AC47" s="173"/>
      <c r="AE47" s="115"/>
      <c r="AF47" s="215"/>
      <c r="AG47" s="215"/>
      <c r="AH47" s="186"/>
      <c r="AI47" s="200"/>
      <c r="AJ47" s="173"/>
      <c r="AL47" s="115"/>
      <c r="AM47" s="215"/>
      <c r="AN47" s="215"/>
      <c r="AO47" s="186"/>
      <c r="AP47" s="200"/>
      <c r="AQ47" s="173"/>
    </row>
    <row r="48">
      <c r="A48" s="101" t="s">
        <v>91</v>
      </c>
      <c r="B48" s="103">
        <v>0.0</v>
      </c>
      <c r="C48" s="115"/>
      <c r="D48" s="215"/>
      <c r="E48" s="215"/>
      <c r="F48" s="186"/>
      <c r="G48" s="200"/>
      <c r="H48" s="173"/>
      <c r="J48" s="115"/>
      <c r="K48" s="215"/>
      <c r="L48" s="215"/>
      <c r="M48" s="186"/>
      <c r="N48" s="200"/>
      <c r="O48" s="173"/>
      <c r="Q48" s="115"/>
      <c r="R48" s="215"/>
      <c r="S48" s="215"/>
      <c r="T48" s="186"/>
      <c r="U48" s="200"/>
      <c r="V48" s="173"/>
      <c r="X48" s="115"/>
      <c r="Y48" s="215"/>
      <c r="Z48" s="215"/>
      <c r="AA48" s="186"/>
      <c r="AB48" s="200"/>
      <c r="AC48" s="173"/>
      <c r="AE48" s="115"/>
      <c r="AF48" s="215"/>
      <c r="AG48" s="215"/>
      <c r="AH48" s="186"/>
      <c r="AI48" s="200"/>
      <c r="AJ48" s="173"/>
      <c r="AL48" s="115"/>
      <c r="AM48" s="215"/>
      <c r="AN48" s="215"/>
      <c r="AO48" s="186"/>
      <c r="AP48" s="200"/>
      <c r="AQ48" s="173"/>
    </row>
    <row r="49">
      <c r="A49" s="104"/>
      <c r="B49" s="105"/>
      <c r="C49" s="115"/>
      <c r="D49" s="215"/>
      <c r="E49" s="215"/>
      <c r="F49" s="186"/>
      <c r="G49" s="200"/>
      <c r="H49" s="173"/>
      <c r="J49" s="115"/>
      <c r="K49" s="215"/>
      <c r="L49" s="215"/>
      <c r="M49" s="186"/>
      <c r="N49" s="200"/>
      <c r="O49" s="173"/>
      <c r="Q49" s="115"/>
      <c r="R49" s="215"/>
      <c r="S49" s="215"/>
      <c r="T49" s="186"/>
      <c r="U49" s="200"/>
      <c r="V49" s="173"/>
      <c r="X49" s="115"/>
      <c r="Y49" s="215"/>
      <c r="Z49" s="215"/>
      <c r="AA49" s="186"/>
      <c r="AB49" s="200"/>
      <c r="AC49" s="173"/>
      <c r="AE49" s="115"/>
      <c r="AF49" s="215"/>
      <c r="AG49" s="215"/>
      <c r="AH49" s="186"/>
      <c r="AI49" s="200"/>
      <c r="AJ49" s="173"/>
      <c r="AL49" s="115"/>
      <c r="AM49" s="215"/>
      <c r="AN49" s="215"/>
      <c r="AO49" s="186"/>
      <c r="AP49" s="200"/>
      <c r="AQ49" s="173"/>
    </row>
    <row r="50">
      <c r="A50" s="102" t="s">
        <v>92</v>
      </c>
      <c r="B50" s="106">
        <v>609.0</v>
      </c>
      <c r="C50" s="115"/>
      <c r="D50" s="215"/>
      <c r="E50" s="215"/>
      <c r="F50" s="213"/>
      <c r="G50" s="200"/>
      <c r="H50" s="173"/>
      <c r="J50" s="115"/>
      <c r="K50" s="215"/>
      <c r="L50" s="215"/>
      <c r="M50" s="213"/>
      <c r="N50" s="200"/>
      <c r="O50" s="173"/>
      <c r="Q50" s="115"/>
      <c r="R50" s="215"/>
      <c r="S50" s="215"/>
      <c r="T50" s="213"/>
      <c r="U50" s="200"/>
      <c r="V50" s="173"/>
      <c r="X50" s="115"/>
      <c r="Y50" s="215"/>
      <c r="Z50" s="215"/>
      <c r="AA50" s="213"/>
      <c r="AB50" s="200"/>
      <c r="AC50" s="173"/>
      <c r="AE50" s="115"/>
      <c r="AF50" s="215"/>
      <c r="AG50" s="215"/>
      <c r="AH50" s="213"/>
      <c r="AI50" s="200"/>
      <c r="AJ50" s="173"/>
      <c r="AL50" s="115"/>
      <c r="AM50" s="215"/>
      <c r="AN50" s="215"/>
      <c r="AO50" s="213"/>
      <c r="AP50" s="200"/>
      <c r="AQ50" s="173"/>
    </row>
    <row r="51">
      <c r="A51" s="102" t="s">
        <v>93</v>
      </c>
      <c r="B51" s="93">
        <v>609.0</v>
      </c>
      <c r="C51" s="115"/>
      <c r="D51" s="215"/>
      <c r="E51" s="215"/>
      <c r="F51" s="213"/>
      <c r="G51" s="200"/>
      <c r="H51" s="173"/>
      <c r="J51" s="115"/>
      <c r="K51" s="215"/>
      <c r="L51" s="215"/>
      <c r="M51" s="213"/>
      <c r="N51" s="200"/>
      <c r="O51" s="173"/>
      <c r="Q51" s="115"/>
      <c r="R51" s="215"/>
      <c r="S51" s="215"/>
      <c r="T51" s="213"/>
      <c r="U51" s="200"/>
      <c r="V51" s="173"/>
      <c r="X51" s="115"/>
      <c r="Y51" s="215"/>
      <c r="Z51" s="215"/>
      <c r="AA51" s="213"/>
      <c r="AB51" s="200"/>
      <c r="AC51" s="173"/>
      <c r="AE51" s="115"/>
      <c r="AF51" s="215"/>
      <c r="AG51" s="215"/>
      <c r="AH51" s="213"/>
      <c r="AI51" s="200"/>
      <c r="AJ51" s="173"/>
      <c r="AL51" s="115"/>
      <c r="AM51" s="215"/>
      <c r="AN51" s="215"/>
      <c r="AO51" s="213"/>
      <c r="AP51" s="200"/>
      <c r="AQ51" s="173"/>
    </row>
    <row r="52">
      <c r="A52" s="102" t="s">
        <v>94</v>
      </c>
      <c r="B52" s="93">
        <v>329.0</v>
      </c>
      <c r="C52" s="115"/>
      <c r="D52" s="215"/>
      <c r="E52" s="215"/>
      <c r="F52" s="186"/>
      <c r="G52" s="200"/>
      <c r="H52" s="173"/>
      <c r="J52" s="115"/>
      <c r="K52" s="215"/>
      <c r="L52" s="215"/>
      <c r="M52" s="186"/>
      <c r="N52" s="200"/>
      <c r="O52" s="173"/>
      <c r="Q52" s="115"/>
      <c r="R52" s="215"/>
      <c r="S52" s="215"/>
      <c r="T52" s="186"/>
      <c r="U52" s="200"/>
      <c r="V52" s="173"/>
      <c r="X52" s="115"/>
      <c r="Y52" s="215"/>
      <c r="Z52" s="215"/>
      <c r="AA52" s="186"/>
      <c r="AB52" s="200"/>
      <c r="AC52" s="173"/>
      <c r="AE52" s="115"/>
      <c r="AF52" s="215"/>
      <c r="AG52" s="215"/>
      <c r="AH52" s="186"/>
      <c r="AI52" s="200"/>
      <c r="AJ52" s="173"/>
      <c r="AL52" s="115"/>
      <c r="AM52" s="215"/>
      <c r="AN52" s="215"/>
      <c r="AO52" s="186"/>
      <c r="AP52" s="200"/>
      <c r="AQ52" s="173"/>
    </row>
    <row r="53">
      <c r="A53" s="102" t="s">
        <v>263</v>
      </c>
      <c r="B53" s="93">
        <v>199.0</v>
      </c>
      <c r="C53" s="115"/>
      <c r="D53" s="215"/>
      <c r="E53" s="215"/>
      <c r="F53" s="186"/>
      <c r="G53" s="200"/>
      <c r="H53" s="173"/>
      <c r="J53" s="115"/>
      <c r="K53" s="215"/>
      <c r="L53" s="215"/>
      <c r="M53" s="186"/>
      <c r="N53" s="200"/>
      <c r="O53" s="173"/>
      <c r="Q53" s="115"/>
      <c r="R53" s="215"/>
      <c r="S53" s="215"/>
      <c r="T53" s="186"/>
      <c r="U53" s="200"/>
      <c r="V53" s="173"/>
      <c r="X53" s="115"/>
      <c r="Y53" s="215"/>
      <c r="Z53" s="215"/>
      <c r="AA53" s="186"/>
      <c r="AB53" s="200"/>
      <c r="AC53" s="173"/>
      <c r="AE53" s="115"/>
      <c r="AF53" s="215"/>
      <c r="AG53" s="215"/>
      <c r="AH53" s="186"/>
      <c r="AI53" s="200"/>
      <c r="AJ53" s="173"/>
      <c r="AL53" s="115"/>
      <c r="AM53" s="215"/>
      <c r="AN53" s="215"/>
      <c r="AO53" s="186"/>
      <c r="AP53" s="200"/>
      <c r="AQ53" s="173"/>
    </row>
    <row r="54">
      <c r="A54" s="102" t="s">
        <v>264</v>
      </c>
      <c r="B54" s="93">
        <v>199.0</v>
      </c>
      <c r="C54" s="115"/>
      <c r="D54" s="215"/>
      <c r="E54" s="215"/>
      <c r="F54" s="186"/>
      <c r="G54" s="200"/>
      <c r="H54" s="173"/>
      <c r="J54" s="115"/>
      <c r="K54" s="215"/>
      <c r="L54" s="215"/>
      <c r="M54" s="186"/>
      <c r="N54" s="200"/>
      <c r="O54" s="173"/>
      <c r="Q54" s="115"/>
      <c r="R54" s="215"/>
      <c r="S54" s="215"/>
      <c r="T54" s="186"/>
      <c r="U54" s="200"/>
      <c r="V54" s="173"/>
      <c r="X54" s="115"/>
      <c r="Y54" s="215"/>
      <c r="Z54" s="215"/>
      <c r="AA54" s="186"/>
      <c r="AB54" s="200"/>
      <c r="AC54" s="173"/>
      <c r="AE54" s="115"/>
      <c r="AF54" s="215"/>
      <c r="AG54" s="215"/>
      <c r="AH54" s="186"/>
      <c r="AI54" s="200"/>
      <c r="AJ54" s="173"/>
      <c r="AL54" s="115"/>
      <c r="AM54" s="215"/>
      <c r="AN54" s="215"/>
      <c r="AO54" s="186"/>
      <c r="AP54" s="200"/>
      <c r="AQ54" s="173"/>
    </row>
    <row r="55">
      <c r="A55" s="67" t="s">
        <v>97</v>
      </c>
      <c r="B55" s="93">
        <v>599.0</v>
      </c>
      <c r="C55" s="115"/>
      <c r="D55" s="215"/>
      <c r="E55" s="215"/>
      <c r="F55" s="186"/>
      <c r="G55" s="200"/>
      <c r="H55" s="173"/>
      <c r="J55" s="115"/>
      <c r="K55" s="215"/>
      <c r="L55" s="215"/>
      <c r="M55" s="186"/>
      <c r="N55" s="200"/>
      <c r="O55" s="173"/>
      <c r="Q55" s="115"/>
      <c r="R55" s="215"/>
      <c r="S55" s="215"/>
      <c r="T55" s="186"/>
      <c r="U55" s="200"/>
      <c r="V55" s="173"/>
      <c r="X55" s="115"/>
      <c r="Y55" s="215"/>
      <c r="Z55" s="215"/>
      <c r="AA55" s="186"/>
      <c r="AB55" s="200"/>
      <c r="AC55" s="173"/>
      <c r="AE55" s="115"/>
      <c r="AF55" s="215"/>
      <c r="AG55" s="215"/>
      <c r="AH55" s="186"/>
      <c r="AI55" s="200"/>
      <c r="AJ55" s="173"/>
      <c r="AL55" s="115"/>
      <c r="AM55" s="215"/>
      <c r="AN55" s="215"/>
      <c r="AO55" s="186"/>
      <c r="AP55" s="200"/>
      <c r="AQ55" s="173"/>
    </row>
    <row r="56">
      <c r="A56" s="102" t="s">
        <v>98</v>
      </c>
      <c r="B56" s="93">
        <v>1499.0</v>
      </c>
      <c r="C56" s="115"/>
      <c r="D56" s="215"/>
      <c r="E56" s="215"/>
      <c r="F56" s="186"/>
      <c r="G56" s="200"/>
      <c r="H56" s="173"/>
      <c r="J56" s="115"/>
      <c r="K56" s="215"/>
      <c r="L56" s="215"/>
      <c r="M56" s="186"/>
      <c r="N56" s="200"/>
      <c r="O56" s="173"/>
      <c r="Q56" s="115"/>
      <c r="R56" s="215"/>
      <c r="S56" s="215"/>
      <c r="T56" s="186"/>
      <c r="U56" s="200"/>
      <c r="V56" s="173"/>
      <c r="X56" s="115"/>
      <c r="Y56" s="215"/>
      <c r="Z56" s="215"/>
      <c r="AA56" s="186"/>
      <c r="AB56" s="200"/>
      <c r="AC56" s="173"/>
      <c r="AE56" s="115"/>
      <c r="AF56" s="215"/>
      <c r="AG56" s="215"/>
      <c r="AH56" s="186"/>
      <c r="AI56" s="200"/>
      <c r="AJ56" s="173"/>
      <c r="AL56" s="115"/>
      <c r="AM56" s="215"/>
      <c r="AN56" s="215"/>
      <c r="AO56" s="186"/>
      <c r="AP56" s="200"/>
      <c r="AQ56" s="173"/>
    </row>
    <row r="57">
      <c r="A57" s="104"/>
      <c r="B57" s="99"/>
      <c r="C57" s="115"/>
      <c r="D57" s="215"/>
      <c r="E57" s="215"/>
      <c r="F57" s="186"/>
      <c r="G57" s="200"/>
      <c r="H57" s="173"/>
      <c r="J57" s="115"/>
      <c r="K57" s="215"/>
      <c r="L57" s="215"/>
      <c r="M57" s="186"/>
      <c r="N57" s="200"/>
      <c r="O57" s="173"/>
      <c r="Q57" s="115"/>
      <c r="R57" s="215"/>
      <c r="S57" s="215"/>
      <c r="T57" s="186"/>
      <c r="U57" s="200"/>
      <c r="V57" s="173"/>
      <c r="X57" s="115"/>
      <c r="Y57" s="215"/>
      <c r="Z57" s="215"/>
      <c r="AA57" s="186"/>
      <c r="AB57" s="200"/>
      <c r="AC57" s="173"/>
      <c r="AE57" s="115"/>
      <c r="AF57" s="215"/>
      <c r="AG57" s="215"/>
      <c r="AH57" s="186"/>
      <c r="AI57" s="200"/>
      <c r="AJ57" s="173"/>
      <c r="AL57" s="115"/>
      <c r="AM57" s="215"/>
      <c r="AN57" s="215"/>
      <c r="AO57" s="186"/>
      <c r="AP57" s="200"/>
      <c r="AQ57" s="173"/>
    </row>
    <row r="58">
      <c r="A58" s="102" t="s">
        <v>99</v>
      </c>
      <c r="B58" s="93">
        <v>329.0</v>
      </c>
      <c r="C58" s="115"/>
      <c r="D58" s="215"/>
      <c r="E58" s="215"/>
      <c r="F58" s="186"/>
      <c r="G58" s="200"/>
      <c r="H58" s="173"/>
      <c r="J58" s="115"/>
      <c r="K58" s="215"/>
      <c r="L58" s="215"/>
      <c r="M58" s="186"/>
      <c r="N58" s="200"/>
      <c r="O58" s="173"/>
      <c r="Q58" s="115"/>
      <c r="R58" s="215"/>
      <c r="S58" s="215"/>
      <c r="T58" s="186"/>
      <c r="U58" s="200"/>
      <c r="V58" s="173"/>
      <c r="X58" s="115"/>
      <c r="Y58" s="215"/>
      <c r="Z58" s="215"/>
      <c r="AA58" s="186"/>
      <c r="AB58" s="200"/>
      <c r="AC58" s="173"/>
      <c r="AE58" s="115"/>
      <c r="AF58" s="215"/>
      <c r="AG58" s="215"/>
      <c r="AH58" s="186"/>
      <c r="AI58" s="200"/>
      <c r="AJ58" s="173"/>
      <c r="AL58" s="115"/>
      <c r="AM58" s="215"/>
      <c r="AN58" s="215"/>
      <c r="AO58" s="186"/>
      <c r="AP58" s="200"/>
      <c r="AQ58" s="173"/>
    </row>
    <row r="59">
      <c r="A59" s="102" t="s">
        <v>100</v>
      </c>
      <c r="B59" s="93">
        <v>329.0</v>
      </c>
      <c r="C59" s="115"/>
      <c r="D59" s="215"/>
      <c r="E59" s="215"/>
      <c r="F59" s="186"/>
      <c r="G59" s="200"/>
      <c r="H59" s="173"/>
      <c r="J59" s="115"/>
      <c r="K59" s="215"/>
      <c r="L59" s="215"/>
      <c r="M59" s="186"/>
      <c r="N59" s="200"/>
      <c r="O59" s="173"/>
      <c r="Q59" s="115"/>
      <c r="R59" s="215"/>
      <c r="S59" s="215"/>
      <c r="T59" s="186"/>
      <c r="U59" s="200"/>
      <c r="V59" s="173"/>
      <c r="X59" s="115"/>
      <c r="Y59" s="215"/>
      <c r="Z59" s="215"/>
      <c r="AA59" s="186"/>
      <c r="AB59" s="200"/>
      <c r="AC59" s="173"/>
      <c r="AE59" s="115"/>
      <c r="AF59" s="215"/>
      <c r="AG59" s="215"/>
      <c r="AH59" s="186"/>
      <c r="AI59" s="200"/>
      <c r="AJ59" s="173"/>
      <c r="AL59" s="115"/>
      <c r="AM59" s="215"/>
      <c r="AN59" s="215"/>
      <c r="AO59" s="186"/>
      <c r="AP59" s="200"/>
      <c r="AQ59" s="173"/>
    </row>
    <row r="60">
      <c r="A60" s="102" t="s">
        <v>101</v>
      </c>
      <c r="B60" s="93">
        <v>329.0</v>
      </c>
      <c r="C60" s="115"/>
      <c r="D60" s="215"/>
      <c r="E60" s="215"/>
      <c r="F60" s="186"/>
      <c r="G60" s="200"/>
      <c r="H60" s="173"/>
      <c r="J60" s="115"/>
      <c r="K60" s="215"/>
      <c r="L60" s="215"/>
      <c r="M60" s="186"/>
      <c r="N60" s="200"/>
      <c r="O60" s="173"/>
      <c r="Q60" s="115"/>
      <c r="R60" s="215"/>
      <c r="S60" s="215"/>
      <c r="T60" s="186"/>
      <c r="U60" s="200"/>
      <c r="V60" s="173"/>
      <c r="X60" s="115"/>
      <c r="Y60" s="215"/>
      <c r="Z60" s="215"/>
      <c r="AA60" s="186"/>
      <c r="AB60" s="200"/>
      <c r="AC60" s="173"/>
      <c r="AE60" s="115"/>
      <c r="AF60" s="215"/>
      <c r="AG60" s="215"/>
      <c r="AH60" s="186"/>
      <c r="AI60" s="200"/>
      <c r="AJ60" s="173"/>
      <c r="AL60" s="115"/>
      <c r="AM60" s="215"/>
      <c r="AN60" s="215"/>
      <c r="AO60" s="186"/>
      <c r="AP60" s="200"/>
      <c r="AQ60" s="173"/>
    </row>
    <row r="61">
      <c r="A61" s="102" t="s">
        <v>102</v>
      </c>
      <c r="B61" s="93">
        <v>249.0</v>
      </c>
      <c r="C61" s="115"/>
      <c r="D61" s="215"/>
      <c r="E61" s="215"/>
      <c r="F61" s="186"/>
      <c r="G61" s="200"/>
      <c r="H61" s="173"/>
      <c r="J61" s="115"/>
      <c r="K61" s="215"/>
      <c r="L61" s="215"/>
      <c r="M61" s="186"/>
      <c r="N61" s="200"/>
      <c r="O61" s="173"/>
      <c r="Q61" s="115"/>
      <c r="R61" s="215"/>
      <c r="S61" s="215"/>
      <c r="T61" s="186"/>
      <c r="U61" s="200"/>
      <c r="V61" s="173"/>
      <c r="X61" s="115"/>
      <c r="Y61" s="215"/>
      <c r="Z61" s="215"/>
      <c r="AA61" s="186"/>
      <c r="AB61" s="200"/>
      <c r="AC61" s="173"/>
      <c r="AE61" s="115"/>
      <c r="AF61" s="215"/>
      <c r="AG61" s="215"/>
      <c r="AH61" s="186"/>
      <c r="AI61" s="200"/>
      <c r="AJ61" s="173"/>
      <c r="AL61" s="115"/>
      <c r="AM61" s="215"/>
      <c r="AN61" s="215"/>
      <c r="AO61" s="186"/>
      <c r="AP61" s="200"/>
      <c r="AQ61" s="173"/>
    </row>
    <row r="62">
      <c r="A62" s="102" t="s">
        <v>103</v>
      </c>
      <c r="B62" s="93">
        <v>439.0</v>
      </c>
      <c r="C62" s="115"/>
      <c r="D62" s="200"/>
      <c r="E62" s="215"/>
      <c r="F62" s="186"/>
      <c r="G62" s="200"/>
      <c r="H62" s="173"/>
      <c r="J62" s="115"/>
      <c r="K62" s="200"/>
      <c r="L62" s="215"/>
      <c r="M62" s="186"/>
      <c r="N62" s="200"/>
      <c r="O62" s="173"/>
      <c r="Q62" s="115"/>
      <c r="R62" s="200"/>
      <c r="S62" s="215"/>
      <c r="T62" s="186"/>
      <c r="U62" s="200"/>
      <c r="V62" s="173"/>
      <c r="X62" s="115"/>
      <c r="Y62" s="200"/>
      <c r="Z62" s="215"/>
      <c r="AA62" s="186"/>
      <c r="AB62" s="200"/>
      <c r="AC62" s="173"/>
      <c r="AE62" s="115"/>
      <c r="AF62" s="200"/>
      <c r="AG62" s="215"/>
      <c r="AH62" s="186"/>
      <c r="AI62" s="200"/>
      <c r="AJ62" s="173"/>
      <c r="AL62" s="115"/>
      <c r="AM62" s="200"/>
      <c r="AN62" s="215"/>
      <c r="AO62" s="186"/>
      <c r="AP62" s="200"/>
      <c r="AQ62" s="173"/>
    </row>
    <row r="63">
      <c r="A63" s="102" t="s">
        <v>104</v>
      </c>
      <c r="B63" s="93">
        <v>439.0</v>
      </c>
      <c r="C63" s="115"/>
      <c r="D63" s="215"/>
      <c r="E63" s="215"/>
      <c r="F63" s="186"/>
      <c r="G63" s="200"/>
      <c r="H63" s="173"/>
      <c r="J63" s="115"/>
      <c r="K63" s="215"/>
      <c r="L63" s="215"/>
      <c r="M63" s="186"/>
      <c r="N63" s="200"/>
      <c r="O63" s="173"/>
      <c r="Q63" s="115"/>
      <c r="R63" s="215"/>
      <c r="S63" s="215"/>
      <c r="T63" s="186"/>
      <c r="U63" s="200"/>
      <c r="V63" s="173"/>
      <c r="X63" s="115"/>
      <c r="Y63" s="215"/>
      <c r="Z63" s="215"/>
      <c r="AA63" s="186"/>
      <c r="AB63" s="200"/>
      <c r="AC63" s="173"/>
      <c r="AE63" s="115"/>
      <c r="AF63" s="215"/>
      <c r="AG63" s="215"/>
      <c r="AH63" s="186"/>
      <c r="AI63" s="200"/>
      <c r="AJ63" s="173"/>
      <c r="AL63" s="115"/>
      <c r="AM63" s="215"/>
      <c r="AN63" s="215"/>
      <c r="AO63" s="186"/>
      <c r="AP63" s="200"/>
      <c r="AQ63" s="173"/>
    </row>
    <row r="64">
      <c r="A64" s="102" t="s">
        <v>105</v>
      </c>
      <c r="B64" s="93">
        <v>439.0</v>
      </c>
      <c r="C64" s="115"/>
      <c r="D64" s="215"/>
      <c r="E64" s="215"/>
      <c r="F64" s="186"/>
      <c r="G64" s="200"/>
      <c r="H64" s="173"/>
      <c r="J64" s="115"/>
      <c r="K64" s="215"/>
      <c r="L64" s="215"/>
      <c r="M64" s="186"/>
      <c r="N64" s="200"/>
      <c r="O64" s="173"/>
      <c r="Q64" s="115"/>
      <c r="R64" s="215"/>
      <c r="S64" s="215"/>
      <c r="T64" s="186"/>
      <c r="U64" s="200"/>
      <c r="V64" s="173"/>
      <c r="X64" s="115"/>
      <c r="Y64" s="215"/>
      <c r="Z64" s="215"/>
      <c r="AA64" s="186"/>
      <c r="AB64" s="200"/>
      <c r="AC64" s="173"/>
      <c r="AE64" s="115"/>
      <c r="AF64" s="215"/>
      <c r="AG64" s="215"/>
      <c r="AH64" s="186"/>
      <c r="AI64" s="200"/>
      <c r="AJ64" s="173"/>
      <c r="AL64" s="115"/>
      <c r="AM64" s="215"/>
      <c r="AN64" s="215"/>
      <c r="AO64" s="186"/>
      <c r="AP64" s="200"/>
      <c r="AQ64" s="173"/>
    </row>
    <row r="65">
      <c r="A65" s="102" t="s">
        <v>106</v>
      </c>
      <c r="B65" s="93">
        <v>799.0</v>
      </c>
      <c r="C65" s="115"/>
      <c r="D65" s="215"/>
      <c r="E65" s="215"/>
      <c r="F65" s="186"/>
      <c r="G65" s="200"/>
      <c r="H65" s="173"/>
      <c r="J65" s="115"/>
      <c r="K65" s="215"/>
      <c r="L65" s="215"/>
      <c r="M65" s="186"/>
      <c r="N65" s="200"/>
      <c r="O65" s="173"/>
      <c r="Q65" s="115"/>
      <c r="R65" s="215"/>
      <c r="S65" s="215"/>
      <c r="T65" s="186"/>
      <c r="U65" s="200"/>
      <c r="V65" s="173"/>
      <c r="X65" s="115"/>
      <c r="Y65" s="215"/>
      <c r="Z65" s="215"/>
      <c r="AA65" s="186"/>
      <c r="AB65" s="200"/>
      <c r="AC65" s="173"/>
      <c r="AE65" s="115"/>
      <c r="AF65" s="215"/>
      <c r="AG65" s="215"/>
      <c r="AH65" s="186"/>
      <c r="AI65" s="200"/>
      <c r="AJ65" s="173"/>
      <c r="AL65" s="115"/>
      <c r="AM65" s="215"/>
      <c r="AN65" s="215"/>
      <c r="AO65" s="186"/>
      <c r="AP65" s="200"/>
      <c r="AQ65" s="173"/>
    </row>
    <row r="66">
      <c r="A66" s="102" t="s">
        <v>107</v>
      </c>
      <c r="B66" s="93">
        <v>799.0</v>
      </c>
      <c r="C66" s="115"/>
      <c r="D66" s="215"/>
      <c r="E66" s="215"/>
      <c r="F66" s="186"/>
      <c r="G66" s="200"/>
      <c r="H66" s="173"/>
      <c r="J66" s="115"/>
      <c r="K66" s="215"/>
      <c r="L66" s="215"/>
      <c r="M66" s="186"/>
      <c r="N66" s="200"/>
      <c r="O66" s="173"/>
      <c r="Q66" s="115"/>
      <c r="R66" s="215"/>
      <c r="S66" s="215"/>
      <c r="T66" s="186"/>
      <c r="U66" s="200"/>
      <c r="V66" s="173"/>
      <c r="X66" s="115"/>
      <c r="Y66" s="215"/>
      <c r="Z66" s="215"/>
      <c r="AA66" s="186"/>
      <c r="AB66" s="200"/>
      <c r="AC66" s="173"/>
      <c r="AE66" s="115"/>
      <c r="AF66" s="215"/>
      <c r="AG66" s="215"/>
      <c r="AH66" s="186"/>
      <c r="AI66" s="200"/>
      <c r="AJ66" s="173"/>
      <c r="AL66" s="115"/>
      <c r="AM66" s="215"/>
      <c r="AN66" s="215"/>
      <c r="AO66" s="186"/>
      <c r="AP66" s="200"/>
      <c r="AQ66" s="173"/>
    </row>
    <row r="67">
      <c r="A67" s="102" t="s">
        <v>108</v>
      </c>
      <c r="B67" s="93">
        <v>799.0</v>
      </c>
      <c r="C67" s="115"/>
      <c r="D67" s="215"/>
      <c r="E67" s="215"/>
      <c r="F67" s="186"/>
      <c r="G67" s="200"/>
      <c r="H67" s="173"/>
      <c r="J67" s="115"/>
      <c r="K67" s="215"/>
      <c r="L67" s="215"/>
      <c r="M67" s="186"/>
      <c r="N67" s="200"/>
      <c r="O67" s="173"/>
      <c r="Q67" s="115"/>
      <c r="R67" s="215"/>
      <c r="S67" s="215"/>
      <c r="T67" s="186"/>
      <c r="U67" s="200"/>
      <c r="V67" s="173"/>
      <c r="X67" s="115"/>
      <c r="Y67" s="215"/>
      <c r="Z67" s="215"/>
      <c r="AA67" s="186"/>
      <c r="AB67" s="200"/>
      <c r="AC67" s="173"/>
      <c r="AE67" s="115"/>
      <c r="AF67" s="215"/>
      <c r="AG67" s="215"/>
      <c r="AH67" s="186"/>
      <c r="AI67" s="200"/>
      <c r="AJ67" s="173"/>
      <c r="AL67" s="115"/>
      <c r="AM67" s="215"/>
      <c r="AN67" s="215"/>
      <c r="AO67" s="186"/>
      <c r="AP67" s="200"/>
      <c r="AQ67" s="173"/>
    </row>
    <row r="68">
      <c r="A68" s="102" t="s">
        <v>109</v>
      </c>
      <c r="B68" s="195">
        <v>1299.0</v>
      </c>
      <c r="C68" s="115"/>
      <c r="D68" s="215"/>
      <c r="E68" s="215"/>
      <c r="F68" s="186"/>
      <c r="G68" s="200"/>
      <c r="H68" s="173"/>
      <c r="J68" s="115"/>
      <c r="K68" s="215"/>
      <c r="L68" s="215"/>
      <c r="M68" s="186"/>
      <c r="N68" s="200"/>
      <c r="O68" s="173"/>
      <c r="Q68" s="115"/>
      <c r="R68" s="215"/>
      <c r="S68" s="215"/>
      <c r="T68" s="186"/>
      <c r="U68" s="200"/>
      <c r="V68" s="173"/>
      <c r="X68" s="115"/>
      <c r="Y68" s="215"/>
      <c r="Z68" s="215"/>
      <c r="AA68" s="186"/>
      <c r="AB68" s="200"/>
      <c r="AC68" s="173"/>
      <c r="AE68" s="115"/>
      <c r="AF68" s="215"/>
      <c r="AG68" s="215"/>
      <c r="AH68" s="186"/>
      <c r="AI68" s="200"/>
      <c r="AJ68" s="173"/>
      <c r="AL68" s="115"/>
      <c r="AM68" s="215"/>
      <c r="AN68" s="215"/>
      <c r="AO68" s="186"/>
      <c r="AP68" s="200"/>
      <c r="AQ68" s="173"/>
    </row>
    <row r="69">
      <c r="A69" s="102" t="s">
        <v>110</v>
      </c>
      <c r="B69" s="195">
        <v>1299.0</v>
      </c>
      <c r="C69" s="115"/>
      <c r="D69" s="215"/>
      <c r="E69" s="215"/>
      <c r="F69" s="186"/>
      <c r="G69" s="200"/>
      <c r="H69" s="173"/>
      <c r="J69" s="115"/>
      <c r="K69" s="215"/>
      <c r="L69" s="215"/>
      <c r="M69" s="186"/>
      <c r="N69" s="200"/>
      <c r="O69" s="173"/>
      <c r="Q69" s="115"/>
      <c r="R69" s="215"/>
      <c r="S69" s="215"/>
      <c r="T69" s="186"/>
      <c r="U69" s="200"/>
      <c r="V69" s="173"/>
      <c r="X69" s="115"/>
      <c r="Y69" s="215"/>
      <c r="Z69" s="215"/>
      <c r="AA69" s="186"/>
      <c r="AB69" s="200"/>
      <c r="AC69" s="173"/>
      <c r="AE69" s="115"/>
      <c r="AF69" s="215"/>
      <c r="AG69" s="215"/>
      <c r="AH69" s="186"/>
      <c r="AI69" s="200"/>
      <c r="AJ69" s="173"/>
      <c r="AL69" s="115"/>
      <c r="AM69" s="215"/>
      <c r="AN69" s="215"/>
      <c r="AO69" s="186"/>
      <c r="AP69" s="200"/>
      <c r="AQ69" s="173"/>
    </row>
    <row r="70">
      <c r="A70" s="101" t="s">
        <v>111</v>
      </c>
      <c r="B70" s="195">
        <v>1299.0</v>
      </c>
      <c r="C70" s="115"/>
      <c r="D70" s="215"/>
      <c r="E70" s="215"/>
      <c r="F70" s="186"/>
      <c r="G70" s="200"/>
      <c r="H70" s="173"/>
      <c r="J70" s="115"/>
      <c r="K70" s="215"/>
      <c r="L70" s="215"/>
      <c r="M70" s="186"/>
      <c r="N70" s="200"/>
      <c r="O70" s="173"/>
      <c r="Q70" s="115"/>
      <c r="R70" s="215"/>
      <c r="S70" s="215"/>
      <c r="T70" s="186"/>
      <c r="U70" s="200"/>
      <c r="V70" s="173"/>
      <c r="X70" s="115"/>
      <c r="Y70" s="215"/>
      <c r="Z70" s="215"/>
      <c r="AA70" s="186"/>
      <c r="AB70" s="200"/>
      <c r="AC70" s="173"/>
      <c r="AE70" s="115"/>
      <c r="AF70" s="215"/>
      <c r="AG70" s="215"/>
      <c r="AH70" s="186"/>
      <c r="AI70" s="200"/>
      <c r="AJ70" s="173"/>
      <c r="AL70" s="115"/>
      <c r="AM70" s="215"/>
      <c r="AN70" s="215"/>
      <c r="AO70" s="186"/>
      <c r="AP70" s="200"/>
      <c r="AQ70" s="173"/>
    </row>
    <row r="71">
      <c r="A71" s="101" t="s">
        <v>112</v>
      </c>
      <c r="B71" s="93">
        <v>609.0</v>
      </c>
      <c r="C71" s="115"/>
      <c r="D71" s="215"/>
      <c r="E71" s="215"/>
      <c r="F71" s="186"/>
      <c r="G71" s="200"/>
      <c r="H71" s="173"/>
      <c r="J71" s="115"/>
      <c r="K71" s="215"/>
      <c r="L71" s="215"/>
      <c r="M71" s="186"/>
      <c r="N71" s="200"/>
      <c r="O71" s="173"/>
      <c r="Q71" s="115"/>
      <c r="R71" s="215"/>
      <c r="S71" s="215"/>
      <c r="T71" s="186"/>
      <c r="U71" s="200"/>
      <c r="V71" s="173"/>
      <c r="X71" s="115"/>
      <c r="Y71" s="215"/>
      <c r="Z71" s="215"/>
      <c r="AA71" s="186"/>
      <c r="AB71" s="200"/>
      <c r="AC71" s="173"/>
      <c r="AE71" s="115"/>
      <c r="AF71" s="215"/>
      <c r="AG71" s="215"/>
      <c r="AH71" s="186"/>
      <c r="AI71" s="200"/>
      <c r="AJ71" s="173"/>
      <c r="AL71" s="115"/>
      <c r="AM71" s="215"/>
      <c r="AN71" s="215"/>
      <c r="AO71" s="186"/>
      <c r="AP71" s="200"/>
      <c r="AQ71" s="173"/>
    </row>
    <row r="72">
      <c r="A72" s="101" t="s">
        <v>113</v>
      </c>
      <c r="B72" s="187">
        <v>1599.0</v>
      </c>
      <c r="C72" s="115"/>
      <c r="D72" s="215"/>
      <c r="E72" s="215"/>
      <c r="F72" s="186"/>
      <c r="G72" s="200"/>
      <c r="H72" s="173"/>
      <c r="J72" s="115"/>
      <c r="K72" s="215"/>
      <c r="L72" s="215"/>
      <c r="M72" s="186"/>
      <c r="N72" s="200"/>
      <c r="O72" s="173"/>
      <c r="Q72" s="115"/>
      <c r="R72" s="215"/>
      <c r="S72" s="215"/>
      <c r="T72" s="186"/>
      <c r="U72" s="200"/>
      <c r="V72" s="173"/>
      <c r="X72" s="115"/>
      <c r="Y72" s="215"/>
      <c r="Z72" s="215"/>
      <c r="AA72" s="186"/>
      <c r="AB72" s="200"/>
      <c r="AC72" s="173"/>
      <c r="AE72" s="115"/>
      <c r="AF72" s="215"/>
      <c r="AG72" s="215"/>
      <c r="AH72" s="186"/>
      <c r="AI72" s="200"/>
      <c r="AJ72" s="173"/>
      <c r="AL72" s="115"/>
      <c r="AM72" s="215"/>
      <c r="AN72" s="215"/>
      <c r="AO72" s="186"/>
      <c r="AP72" s="200"/>
      <c r="AQ72" s="173"/>
    </row>
    <row r="73">
      <c r="A73" s="101" t="s">
        <v>114</v>
      </c>
      <c r="B73" s="224">
        <v>1599.0</v>
      </c>
      <c r="C73" s="115"/>
      <c r="D73" s="215"/>
      <c r="E73" s="215"/>
      <c r="F73" s="186"/>
      <c r="G73" s="200"/>
      <c r="H73" s="173"/>
      <c r="J73" s="115"/>
      <c r="K73" s="215"/>
      <c r="L73" s="215"/>
      <c r="M73" s="186"/>
      <c r="N73" s="200"/>
      <c r="O73" s="173"/>
      <c r="Q73" s="115"/>
      <c r="R73" s="215"/>
      <c r="S73" s="215"/>
      <c r="T73" s="186"/>
      <c r="U73" s="200"/>
      <c r="V73" s="173"/>
      <c r="X73" s="115"/>
      <c r="Y73" s="215"/>
      <c r="Z73" s="215"/>
      <c r="AA73" s="186"/>
      <c r="AB73" s="200"/>
      <c r="AC73" s="173"/>
      <c r="AE73" s="115"/>
      <c r="AF73" s="215"/>
      <c r="AG73" s="215"/>
      <c r="AH73" s="186"/>
      <c r="AI73" s="200"/>
      <c r="AJ73" s="173"/>
      <c r="AL73" s="115"/>
      <c r="AM73" s="215"/>
      <c r="AN73" s="215"/>
      <c r="AO73" s="186"/>
      <c r="AP73" s="200"/>
      <c r="AQ73" s="173"/>
    </row>
    <row r="74">
      <c r="A74" s="101" t="s">
        <v>115</v>
      </c>
      <c r="B74" s="187">
        <v>1599.0</v>
      </c>
      <c r="C74" s="115"/>
      <c r="D74" s="215"/>
      <c r="E74" s="215"/>
      <c r="F74" s="186"/>
      <c r="G74" s="200"/>
      <c r="H74" s="173"/>
      <c r="J74" s="115"/>
      <c r="K74" s="215"/>
      <c r="L74" s="215"/>
      <c r="M74" s="186"/>
      <c r="N74" s="200"/>
      <c r="O74" s="173"/>
      <c r="Q74" s="115"/>
      <c r="R74" s="215"/>
      <c r="S74" s="215"/>
      <c r="T74" s="186"/>
      <c r="U74" s="200"/>
      <c r="V74" s="173"/>
      <c r="X74" s="115"/>
      <c r="Y74" s="215"/>
      <c r="Z74" s="215"/>
      <c r="AA74" s="186"/>
      <c r="AB74" s="200"/>
      <c r="AC74" s="173"/>
      <c r="AE74" s="115"/>
      <c r="AF74" s="215"/>
      <c r="AG74" s="215"/>
      <c r="AH74" s="186"/>
      <c r="AI74" s="200"/>
      <c r="AJ74" s="173"/>
      <c r="AL74" s="115"/>
      <c r="AM74" s="215"/>
      <c r="AN74" s="215"/>
      <c r="AO74" s="186"/>
      <c r="AP74" s="200"/>
      <c r="AQ74" s="173"/>
    </row>
    <row r="75">
      <c r="A75" s="101" t="s">
        <v>116</v>
      </c>
      <c r="B75" s="319"/>
      <c r="C75" s="115"/>
      <c r="D75" s="215"/>
      <c r="E75" s="215"/>
      <c r="F75" s="186"/>
      <c r="G75" s="200"/>
      <c r="H75" s="173"/>
      <c r="J75" s="115"/>
      <c r="K75" s="215"/>
      <c r="L75" s="215"/>
      <c r="M75" s="186"/>
      <c r="N75" s="200"/>
      <c r="O75" s="173"/>
      <c r="Q75" s="115"/>
      <c r="R75" s="215"/>
      <c r="S75" s="215"/>
      <c r="T75" s="186"/>
      <c r="U75" s="200"/>
      <c r="V75" s="173"/>
      <c r="X75" s="115"/>
      <c r="Y75" s="215"/>
      <c r="Z75" s="215"/>
      <c r="AA75" s="186"/>
      <c r="AB75" s="200"/>
      <c r="AC75" s="173"/>
      <c r="AE75" s="115"/>
      <c r="AF75" s="215"/>
      <c r="AG75" s="215"/>
      <c r="AH75" s="186"/>
      <c r="AI75" s="200"/>
      <c r="AJ75" s="173"/>
      <c r="AL75" s="115"/>
      <c r="AM75" s="215"/>
      <c r="AN75" s="215"/>
      <c r="AO75" s="186"/>
      <c r="AP75" s="200"/>
      <c r="AQ75" s="173"/>
    </row>
    <row r="76">
      <c r="A76" s="109"/>
      <c r="B76" s="319"/>
      <c r="C76" s="115"/>
      <c r="D76" s="215"/>
      <c r="E76" s="215"/>
      <c r="F76" s="186"/>
      <c r="G76" s="200"/>
      <c r="H76" s="173"/>
      <c r="J76" s="115"/>
      <c r="K76" s="215"/>
      <c r="L76" s="215"/>
      <c r="M76" s="186"/>
      <c r="N76" s="200"/>
      <c r="O76" s="173"/>
      <c r="Q76" s="115"/>
      <c r="R76" s="215"/>
      <c r="S76" s="215"/>
      <c r="T76" s="186"/>
      <c r="U76" s="200"/>
      <c r="V76" s="173"/>
      <c r="X76" s="115"/>
      <c r="Y76" s="215"/>
      <c r="Z76" s="215"/>
      <c r="AA76" s="186"/>
      <c r="AB76" s="200"/>
      <c r="AC76" s="173"/>
      <c r="AE76" s="115"/>
      <c r="AF76" s="215"/>
      <c r="AG76" s="215"/>
      <c r="AH76" s="186"/>
      <c r="AI76" s="200"/>
      <c r="AJ76" s="173"/>
      <c r="AL76" s="115"/>
      <c r="AM76" s="215"/>
      <c r="AN76" s="215"/>
      <c r="AO76" s="186"/>
      <c r="AP76" s="200"/>
      <c r="AQ76" s="173"/>
    </row>
    <row r="77">
      <c r="A77" s="110" t="s">
        <v>117</v>
      </c>
      <c r="B77" s="195">
        <v>379.0</v>
      </c>
      <c r="C77" s="115"/>
      <c r="D77" s="215"/>
      <c r="E77" s="215"/>
      <c r="F77" s="186"/>
      <c r="G77" s="200"/>
      <c r="H77" s="173"/>
      <c r="J77" s="115"/>
      <c r="K77" s="215"/>
      <c r="L77" s="215"/>
      <c r="M77" s="186"/>
      <c r="N77" s="200"/>
      <c r="O77" s="173"/>
      <c r="Q77" s="115"/>
      <c r="R77" s="215"/>
      <c r="S77" s="215"/>
      <c r="T77" s="186"/>
      <c r="U77" s="200"/>
      <c r="V77" s="173"/>
      <c r="X77" s="115"/>
      <c r="Y77" s="215"/>
      <c r="Z77" s="215"/>
      <c r="AA77" s="186"/>
      <c r="AB77" s="200"/>
      <c r="AC77" s="173"/>
      <c r="AE77" s="115"/>
      <c r="AF77" s="215"/>
      <c r="AG77" s="215"/>
      <c r="AH77" s="186"/>
      <c r="AI77" s="200"/>
      <c r="AJ77" s="173"/>
      <c r="AL77" s="115"/>
      <c r="AM77" s="215"/>
      <c r="AN77" s="215"/>
      <c r="AO77" s="186"/>
      <c r="AP77" s="200"/>
      <c r="AQ77" s="173"/>
    </row>
    <row r="78">
      <c r="A78" s="110" t="s">
        <v>118</v>
      </c>
      <c r="B78" s="195">
        <v>799.0</v>
      </c>
      <c r="C78" s="115"/>
      <c r="D78" s="215"/>
      <c r="E78" s="215"/>
      <c r="F78" s="186"/>
      <c r="G78" s="200"/>
      <c r="H78" s="173"/>
      <c r="J78" s="115"/>
      <c r="K78" s="215"/>
      <c r="L78" s="215"/>
      <c r="M78" s="186"/>
      <c r="N78" s="200"/>
      <c r="O78" s="173"/>
      <c r="Q78" s="115"/>
      <c r="R78" s="215"/>
      <c r="S78" s="215"/>
      <c r="T78" s="186"/>
      <c r="U78" s="200"/>
      <c r="V78" s="173"/>
      <c r="X78" s="115"/>
      <c r="Y78" s="215"/>
      <c r="Z78" s="215"/>
      <c r="AA78" s="186"/>
      <c r="AB78" s="200"/>
      <c r="AC78" s="173"/>
      <c r="AE78" s="115"/>
      <c r="AF78" s="215"/>
      <c r="AG78" s="215"/>
      <c r="AH78" s="186"/>
      <c r="AI78" s="200"/>
      <c r="AJ78" s="173"/>
      <c r="AL78" s="115"/>
      <c r="AM78" s="215"/>
      <c r="AN78" s="215"/>
      <c r="AO78" s="186"/>
      <c r="AP78" s="200"/>
      <c r="AQ78" s="173"/>
    </row>
    <row r="79">
      <c r="A79" s="110" t="s">
        <v>119</v>
      </c>
      <c r="B79" s="195">
        <v>439.0</v>
      </c>
      <c r="C79" s="115"/>
      <c r="D79" s="215"/>
      <c r="E79" s="215"/>
      <c r="F79" s="186"/>
      <c r="G79" s="200"/>
      <c r="H79" s="173"/>
      <c r="J79" s="115"/>
      <c r="K79" s="215"/>
      <c r="L79" s="215"/>
      <c r="M79" s="186"/>
      <c r="N79" s="200"/>
      <c r="O79" s="173"/>
      <c r="Q79" s="115"/>
      <c r="R79" s="215"/>
      <c r="S79" s="215"/>
      <c r="T79" s="186"/>
      <c r="U79" s="200"/>
      <c r="V79" s="173"/>
      <c r="X79" s="115"/>
      <c r="Y79" s="215"/>
      <c r="Z79" s="215"/>
      <c r="AA79" s="186"/>
      <c r="AB79" s="200"/>
      <c r="AC79" s="173"/>
      <c r="AE79" s="115"/>
      <c r="AF79" s="215"/>
      <c r="AG79" s="215"/>
      <c r="AH79" s="186"/>
      <c r="AI79" s="200"/>
      <c r="AJ79" s="173"/>
      <c r="AL79" s="115"/>
      <c r="AM79" s="215"/>
      <c r="AN79" s="215"/>
      <c r="AO79" s="186"/>
      <c r="AP79" s="200"/>
      <c r="AQ79" s="173"/>
    </row>
    <row r="80">
      <c r="A80" s="110" t="s">
        <v>120</v>
      </c>
      <c r="B80" s="195">
        <v>599.0</v>
      </c>
      <c r="C80" s="115"/>
      <c r="D80" s="215"/>
      <c r="E80" s="215"/>
      <c r="F80" s="186"/>
      <c r="G80" s="200"/>
      <c r="H80" s="173"/>
      <c r="J80" s="115"/>
      <c r="K80" s="215"/>
      <c r="L80" s="215"/>
      <c r="M80" s="186"/>
      <c r="N80" s="200"/>
      <c r="O80" s="173"/>
      <c r="Q80" s="115"/>
      <c r="R80" s="215"/>
      <c r="S80" s="215"/>
      <c r="T80" s="186"/>
      <c r="U80" s="200"/>
      <c r="V80" s="173"/>
      <c r="X80" s="115"/>
      <c r="Y80" s="215"/>
      <c r="Z80" s="215"/>
      <c r="AA80" s="186"/>
      <c r="AB80" s="200"/>
      <c r="AC80" s="173"/>
      <c r="AE80" s="115"/>
      <c r="AF80" s="215"/>
      <c r="AG80" s="215"/>
      <c r="AH80" s="186"/>
      <c r="AI80" s="200"/>
      <c r="AJ80" s="173"/>
      <c r="AL80" s="115"/>
      <c r="AM80" s="215"/>
      <c r="AN80" s="215"/>
      <c r="AO80" s="186"/>
      <c r="AP80" s="200"/>
      <c r="AQ80" s="173"/>
    </row>
    <row r="81">
      <c r="A81" s="110" t="s">
        <v>121</v>
      </c>
      <c r="B81" s="195">
        <v>229.0</v>
      </c>
      <c r="C81" s="115"/>
      <c r="D81" s="215"/>
      <c r="E81" s="215"/>
      <c r="F81" s="186"/>
      <c r="G81" s="200"/>
      <c r="H81" s="173"/>
      <c r="J81" s="115"/>
      <c r="K81" s="215"/>
      <c r="L81" s="215"/>
      <c r="M81" s="186"/>
      <c r="N81" s="200"/>
      <c r="O81" s="173"/>
      <c r="Q81" s="115"/>
      <c r="R81" s="215"/>
      <c r="S81" s="215"/>
      <c r="T81" s="186"/>
      <c r="U81" s="200"/>
      <c r="V81" s="173"/>
      <c r="X81" s="115"/>
      <c r="Y81" s="215"/>
      <c r="Z81" s="215"/>
      <c r="AA81" s="186"/>
      <c r="AB81" s="200"/>
      <c r="AC81" s="173"/>
      <c r="AE81" s="115"/>
      <c r="AF81" s="215"/>
      <c r="AG81" s="215"/>
      <c r="AH81" s="186"/>
      <c r="AI81" s="200"/>
      <c r="AJ81" s="173"/>
      <c r="AL81" s="115"/>
      <c r="AM81" s="215"/>
      <c r="AN81" s="215"/>
      <c r="AO81" s="186"/>
      <c r="AP81" s="200"/>
      <c r="AQ81" s="173"/>
    </row>
    <row r="82">
      <c r="A82" s="110" t="s">
        <v>122</v>
      </c>
      <c r="B82" s="195">
        <v>219.0</v>
      </c>
      <c r="C82" s="115"/>
      <c r="D82" s="215"/>
      <c r="E82" s="215"/>
      <c r="F82" s="186"/>
      <c r="G82" s="200"/>
      <c r="H82" s="173"/>
      <c r="J82" s="115"/>
      <c r="K82" s="215"/>
      <c r="L82" s="215"/>
      <c r="M82" s="186"/>
      <c r="N82" s="200"/>
      <c r="O82" s="173"/>
      <c r="Q82" s="115"/>
      <c r="R82" s="215"/>
      <c r="S82" s="215"/>
      <c r="T82" s="186"/>
      <c r="U82" s="200"/>
      <c r="V82" s="173"/>
      <c r="X82" s="115"/>
      <c r="Y82" s="215"/>
      <c r="Z82" s="215"/>
      <c r="AA82" s="186"/>
      <c r="AB82" s="200"/>
      <c r="AC82" s="173"/>
      <c r="AE82" s="115"/>
      <c r="AF82" s="215"/>
      <c r="AG82" s="215"/>
      <c r="AH82" s="186"/>
      <c r="AI82" s="200"/>
      <c r="AJ82" s="173"/>
      <c r="AL82" s="115"/>
      <c r="AM82" s="215"/>
      <c r="AN82" s="215"/>
      <c r="AO82" s="186"/>
      <c r="AP82" s="200"/>
      <c r="AQ82" s="173"/>
    </row>
    <row r="83">
      <c r="A83" s="110" t="s">
        <v>123</v>
      </c>
      <c r="B83" s="195">
        <v>1299.0</v>
      </c>
      <c r="C83" s="115"/>
      <c r="D83" s="215"/>
      <c r="E83" s="215"/>
      <c r="F83" s="186"/>
      <c r="G83" s="200"/>
      <c r="H83" s="173"/>
      <c r="J83" s="115"/>
      <c r="K83" s="215"/>
      <c r="L83" s="215"/>
      <c r="M83" s="186"/>
      <c r="N83" s="200"/>
      <c r="O83" s="173"/>
      <c r="Q83" s="115"/>
      <c r="R83" s="215"/>
      <c r="S83" s="215"/>
      <c r="T83" s="186"/>
      <c r="U83" s="200"/>
      <c r="V83" s="173"/>
      <c r="X83" s="115"/>
      <c r="Y83" s="215"/>
      <c r="Z83" s="215"/>
      <c r="AA83" s="186"/>
      <c r="AB83" s="200"/>
      <c r="AC83" s="173"/>
      <c r="AE83" s="115"/>
      <c r="AF83" s="215"/>
      <c r="AG83" s="215"/>
      <c r="AH83" s="186"/>
      <c r="AI83" s="200"/>
      <c r="AJ83" s="173"/>
      <c r="AL83" s="115"/>
      <c r="AM83" s="215"/>
      <c r="AN83" s="215"/>
      <c r="AO83" s="186"/>
      <c r="AP83" s="200"/>
      <c r="AQ83" s="173"/>
    </row>
    <row r="84">
      <c r="A84" s="102" t="s">
        <v>124</v>
      </c>
      <c r="B84" s="195">
        <v>1299.0</v>
      </c>
      <c r="C84" s="115"/>
      <c r="D84" s="215"/>
      <c r="E84" s="215"/>
      <c r="F84" s="186"/>
      <c r="G84" s="200"/>
      <c r="H84" s="173"/>
      <c r="J84" s="115"/>
      <c r="K84" s="215"/>
      <c r="L84" s="215"/>
      <c r="M84" s="186"/>
      <c r="N84" s="200"/>
      <c r="O84" s="173"/>
      <c r="Q84" s="115"/>
      <c r="R84" s="215"/>
      <c r="S84" s="215"/>
      <c r="T84" s="186"/>
      <c r="U84" s="200"/>
      <c r="V84" s="173"/>
      <c r="X84" s="115"/>
      <c r="Y84" s="215"/>
      <c r="Z84" s="215"/>
      <c r="AA84" s="186"/>
      <c r="AB84" s="200"/>
      <c r="AC84" s="173"/>
      <c r="AE84" s="115"/>
      <c r="AF84" s="215"/>
      <c r="AG84" s="215"/>
      <c r="AH84" s="186"/>
      <c r="AI84" s="200"/>
      <c r="AJ84" s="173"/>
      <c r="AL84" s="115"/>
      <c r="AM84" s="215"/>
      <c r="AN84" s="215"/>
      <c r="AO84" s="186"/>
      <c r="AP84" s="200"/>
      <c r="AQ84" s="173"/>
    </row>
    <row r="85">
      <c r="A85" s="111" t="s">
        <v>125</v>
      </c>
      <c r="B85" s="195">
        <v>1299.0</v>
      </c>
      <c r="C85" s="115"/>
      <c r="D85" s="215"/>
      <c r="E85" s="215"/>
      <c r="F85" s="186"/>
      <c r="G85" s="200"/>
      <c r="H85" s="173"/>
      <c r="J85" s="115"/>
      <c r="K85" s="215"/>
      <c r="L85" s="215"/>
      <c r="M85" s="186"/>
      <c r="N85" s="200"/>
      <c r="O85" s="173"/>
      <c r="Q85" s="115"/>
      <c r="R85" s="215"/>
      <c r="S85" s="215"/>
      <c r="T85" s="186"/>
      <c r="U85" s="200"/>
      <c r="V85" s="173"/>
      <c r="X85" s="115"/>
      <c r="Y85" s="215"/>
      <c r="Z85" s="215"/>
      <c r="AA85" s="186"/>
      <c r="AB85" s="200"/>
      <c r="AC85" s="173"/>
      <c r="AE85" s="115"/>
      <c r="AF85" s="215"/>
      <c r="AG85" s="215"/>
      <c r="AH85" s="186"/>
      <c r="AI85" s="200"/>
      <c r="AJ85" s="173"/>
      <c r="AL85" s="115"/>
      <c r="AM85" s="215"/>
      <c r="AN85" s="215"/>
      <c r="AO85" s="186"/>
      <c r="AP85" s="200"/>
      <c r="AQ85" s="173"/>
    </row>
    <row r="86">
      <c r="A86" s="112" t="s">
        <v>126</v>
      </c>
      <c r="B86" s="195">
        <v>1299.0</v>
      </c>
      <c r="C86" s="226"/>
      <c r="D86" s="227"/>
      <c r="E86" s="227"/>
      <c r="F86" s="186"/>
      <c r="G86" s="200"/>
      <c r="H86" s="173"/>
      <c r="J86" s="226"/>
      <c r="K86" s="227"/>
      <c r="L86" s="227"/>
      <c r="M86" s="186"/>
      <c r="N86" s="200"/>
      <c r="O86" s="173"/>
      <c r="Q86" s="226"/>
      <c r="R86" s="227"/>
      <c r="S86" s="227"/>
      <c r="T86" s="186"/>
      <c r="U86" s="200"/>
      <c r="V86" s="173"/>
      <c r="X86" s="226"/>
      <c r="Y86" s="227"/>
      <c r="Z86" s="227"/>
      <c r="AA86" s="186"/>
      <c r="AB86" s="200"/>
      <c r="AC86" s="173"/>
      <c r="AE86" s="226"/>
      <c r="AF86" s="227"/>
      <c r="AG86" s="227"/>
      <c r="AH86" s="186"/>
      <c r="AI86" s="200"/>
      <c r="AJ86" s="173"/>
      <c r="AL86" s="226"/>
      <c r="AM86" s="227"/>
      <c r="AN86" s="227"/>
      <c r="AO86" s="186"/>
      <c r="AP86" s="200"/>
      <c r="AQ86" s="173"/>
    </row>
    <row r="87">
      <c r="A87" s="113"/>
      <c r="B87" s="412"/>
      <c r="C87" s="115"/>
      <c r="D87" s="215"/>
      <c r="E87" s="215"/>
      <c r="F87" s="186"/>
      <c r="G87" s="200"/>
      <c r="H87" s="173"/>
      <c r="J87" s="115"/>
      <c r="K87" s="215"/>
      <c r="L87" s="215"/>
      <c r="M87" s="186"/>
      <c r="N87" s="200"/>
      <c r="O87" s="173"/>
      <c r="Q87" s="115"/>
      <c r="R87" s="215"/>
      <c r="S87" s="215"/>
      <c r="T87" s="186"/>
      <c r="U87" s="200"/>
      <c r="V87" s="173"/>
      <c r="X87" s="115"/>
      <c r="Y87" s="215"/>
      <c r="Z87" s="215"/>
      <c r="AA87" s="186"/>
      <c r="AB87" s="200"/>
      <c r="AC87" s="173"/>
      <c r="AE87" s="115"/>
      <c r="AF87" s="215"/>
      <c r="AG87" s="215"/>
      <c r="AH87" s="186"/>
      <c r="AI87" s="200"/>
      <c r="AJ87" s="173"/>
      <c r="AL87" s="115"/>
      <c r="AM87" s="215"/>
      <c r="AN87" s="215"/>
      <c r="AO87" s="186"/>
      <c r="AP87" s="200"/>
      <c r="AQ87" s="173"/>
    </row>
    <row r="88">
      <c r="A88" s="94" t="s">
        <v>127</v>
      </c>
      <c r="B88" s="195">
        <v>679.0</v>
      </c>
      <c r="C88" s="115"/>
      <c r="D88" s="230"/>
      <c r="E88" s="230"/>
      <c r="F88" s="186"/>
      <c r="G88" s="200"/>
      <c r="H88" s="173"/>
      <c r="J88" s="115"/>
      <c r="K88" s="230"/>
      <c r="L88" s="230"/>
      <c r="M88" s="186"/>
      <c r="N88" s="200"/>
      <c r="O88" s="173"/>
      <c r="Q88" s="115"/>
      <c r="R88" s="230"/>
      <c r="S88" s="230"/>
      <c r="T88" s="186"/>
      <c r="U88" s="200"/>
      <c r="V88" s="173"/>
      <c r="X88" s="115"/>
      <c r="Y88" s="230"/>
      <c r="Z88" s="230"/>
      <c r="AA88" s="186"/>
      <c r="AB88" s="200"/>
      <c r="AC88" s="173"/>
      <c r="AE88" s="115"/>
      <c r="AF88" s="230"/>
      <c r="AG88" s="230"/>
      <c r="AH88" s="186"/>
      <c r="AI88" s="200"/>
      <c r="AJ88" s="173"/>
      <c r="AL88" s="115"/>
      <c r="AM88" s="230"/>
      <c r="AN88" s="230"/>
      <c r="AO88" s="186"/>
      <c r="AP88" s="200"/>
      <c r="AQ88" s="173"/>
    </row>
    <row r="89">
      <c r="A89" s="94" t="s">
        <v>128</v>
      </c>
      <c r="B89" s="195">
        <v>679.0</v>
      </c>
      <c r="C89" s="104"/>
      <c r="D89" s="230"/>
      <c r="E89" s="230"/>
      <c r="F89" s="186"/>
      <c r="G89" s="200"/>
      <c r="H89" s="173"/>
      <c r="J89" s="104"/>
      <c r="K89" s="230"/>
      <c r="L89" s="230"/>
      <c r="M89" s="186"/>
      <c r="N89" s="200"/>
      <c r="O89" s="173"/>
      <c r="Q89" s="104"/>
      <c r="R89" s="230"/>
      <c r="S89" s="230"/>
      <c r="T89" s="186"/>
      <c r="U89" s="200"/>
      <c r="V89" s="173"/>
      <c r="X89" s="104"/>
      <c r="Y89" s="230"/>
      <c r="Z89" s="230"/>
      <c r="AA89" s="186"/>
      <c r="AB89" s="200"/>
      <c r="AC89" s="173"/>
      <c r="AE89" s="104"/>
      <c r="AF89" s="230"/>
      <c r="AG89" s="230"/>
      <c r="AH89" s="186"/>
      <c r="AI89" s="200"/>
      <c r="AJ89" s="173"/>
      <c r="AL89" s="104"/>
      <c r="AM89" s="230"/>
      <c r="AN89" s="230"/>
      <c r="AO89" s="186"/>
      <c r="AP89" s="200"/>
      <c r="AQ89" s="173"/>
    </row>
    <row r="90">
      <c r="A90" s="94" t="s">
        <v>129</v>
      </c>
      <c r="B90" s="195">
        <v>679.0</v>
      </c>
      <c r="C90" s="104"/>
      <c r="D90" s="230"/>
      <c r="E90" s="230"/>
      <c r="F90" s="186"/>
      <c r="G90" s="200"/>
      <c r="H90" s="173"/>
      <c r="J90" s="104"/>
      <c r="K90" s="230"/>
      <c r="L90" s="230"/>
      <c r="M90" s="186"/>
      <c r="N90" s="200"/>
      <c r="O90" s="173"/>
      <c r="Q90" s="104"/>
      <c r="R90" s="230"/>
      <c r="S90" s="230"/>
      <c r="T90" s="186"/>
      <c r="U90" s="200"/>
      <c r="V90" s="173"/>
      <c r="X90" s="104"/>
      <c r="Y90" s="230"/>
      <c r="Z90" s="230"/>
      <c r="AA90" s="186"/>
      <c r="AB90" s="200"/>
      <c r="AC90" s="173"/>
      <c r="AE90" s="104"/>
      <c r="AF90" s="230"/>
      <c r="AG90" s="230"/>
      <c r="AH90" s="186"/>
      <c r="AI90" s="200"/>
      <c r="AJ90" s="173"/>
      <c r="AL90" s="104"/>
      <c r="AM90" s="230"/>
      <c r="AN90" s="230"/>
      <c r="AO90" s="186"/>
      <c r="AP90" s="200"/>
      <c r="AQ90" s="173"/>
    </row>
    <row r="91">
      <c r="A91" s="115"/>
      <c r="B91" s="171"/>
      <c r="C91" s="104"/>
      <c r="D91" s="230"/>
      <c r="E91" s="230"/>
      <c r="F91" s="186"/>
      <c r="G91" s="200"/>
      <c r="H91" s="173"/>
      <c r="J91" s="104"/>
      <c r="K91" s="230"/>
      <c r="L91" s="230"/>
      <c r="M91" s="186"/>
      <c r="N91" s="200"/>
      <c r="O91" s="173"/>
      <c r="Q91" s="104"/>
      <c r="R91" s="230"/>
      <c r="S91" s="230"/>
      <c r="T91" s="186"/>
      <c r="U91" s="200"/>
      <c r="V91" s="173"/>
      <c r="X91" s="104"/>
      <c r="Y91" s="230"/>
      <c r="Z91" s="230"/>
      <c r="AA91" s="186"/>
      <c r="AB91" s="200"/>
      <c r="AC91" s="173"/>
      <c r="AE91" s="104"/>
      <c r="AF91" s="230"/>
      <c r="AG91" s="230"/>
      <c r="AH91" s="186"/>
      <c r="AI91" s="200"/>
      <c r="AJ91" s="173"/>
      <c r="AL91" s="104"/>
      <c r="AM91" s="230"/>
      <c r="AN91" s="230"/>
      <c r="AO91" s="186"/>
      <c r="AP91" s="200"/>
      <c r="AQ91" s="173"/>
    </row>
    <row r="92">
      <c r="A92" s="94" t="s">
        <v>130</v>
      </c>
      <c r="B92" s="195">
        <v>490.0</v>
      </c>
      <c r="C92" s="104"/>
      <c r="D92" s="230"/>
      <c r="E92" s="230"/>
      <c r="F92" s="186"/>
      <c r="G92" s="200"/>
      <c r="H92" s="173"/>
      <c r="J92" s="104"/>
      <c r="K92" s="230"/>
      <c r="L92" s="230"/>
      <c r="M92" s="186"/>
      <c r="N92" s="200"/>
      <c r="O92" s="173"/>
      <c r="Q92" s="104"/>
      <c r="R92" s="230"/>
      <c r="S92" s="230"/>
      <c r="T92" s="186"/>
      <c r="U92" s="200"/>
      <c r="V92" s="173"/>
      <c r="X92" s="104"/>
      <c r="Y92" s="230"/>
      <c r="Z92" s="230"/>
      <c r="AA92" s="186"/>
      <c r="AB92" s="200"/>
      <c r="AC92" s="173"/>
      <c r="AE92" s="104"/>
      <c r="AF92" s="230"/>
      <c r="AG92" s="230"/>
      <c r="AH92" s="186"/>
      <c r="AI92" s="200"/>
      <c r="AJ92" s="173"/>
      <c r="AL92" s="104"/>
      <c r="AM92" s="230"/>
      <c r="AN92" s="230"/>
      <c r="AO92" s="186"/>
      <c r="AP92" s="200"/>
      <c r="AQ92" s="173"/>
    </row>
    <row r="93">
      <c r="A93" s="94" t="s">
        <v>131</v>
      </c>
      <c r="B93" s="195">
        <v>490.0</v>
      </c>
      <c r="C93" s="104"/>
      <c r="D93" s="230"/>
      <c r="E93" s="230"/>
      <c r="F93" s="186"/>
      <c r="G93" s="200"/>
      <c r="H93" s="173"/>
      <c r="J93" s="104"/>
      <c r="K93" s="230"/>
      <c r="L93" s="230"/>
      <c r="M93" s="186"/>
      <c r="N93" s="200"/>
      <c r="O93" s="173"/>
      <c r="Q93" s="104"/>
      <c r="R93" s="230"/>
      <c r="S93" s="230"/>
      <c r="T93" s="186"/>
      <c r="U93" s="200"/>
      <c r="V93" s="173"/>
      <c r="X93" s="104"/>
      <c r="Y93" s="230"/>
      <c r="Z93" s="230"/>
      <c r="AA93" s="186"/>
      <c r="AB93" s="200"/>
      <c r="AC93" s="173"/>
      <c r="AE93" s="104"/>
      <c r="AF93" s="230"/>
      <c r="AG93" s="230"/>
      <c r="AH93" s="186"/>
      <c r="AI93" s="200"/>
      <c r="AJ93" s="173"/>
      <c r="AL93" s="104"/>
      <c r="AM93" s="230"/>
      <c r="AN93" s="230"/>
      <c r="AO93" s="186"/>
      <c r="AP93" s="200"/>
      <c r="AQ93" s="173"/>
    </row>
    <row r="94">
      <c r="A94" s="94" t="s">
        <v>132</v>
      </c>
      <c r="B94" s="195">
        <v>450.0</v>
      </c>
      <c r="C94" s="104"/>
      <c r="D94" s="230"/>
      <c r="E94" s="230"/>
      <c r="F94" s="186"/>
      <c r="G94" s="200"/>
      <c r="H94" s="173"/>
      <c r="J94" s="104"/>
      <c r="K94" s="230"/>
      <c r="L94" s="230"/>
      <c r="M94" s="186"/>
      <c r="N94" s="200"/>
      <c r="O94" s="173"/>
      <c r="Q94" s="104"/>
      <c r="R94" s="230"/>
      <c r="S94" s="230"/>
      <c r="T94" s="186"/>
      <c r="U94" s="200"/>
      <c r="V94" s="173"/>
      <c r="X94" s="104"/>
      <c r="Y94" s="230"/>
      <c r="Z94" s="230"/>
      <c r="AA94" s="186"/>
      <c r="AB94" s="200"/>
      <c r="AC94" s="173"/>
      <c r="AE94" s="104"/>
      <c r="AF94" s="230"/>
      <c r="AG94" s="230"/>
      <c r="AH94" s="186"/>
      <c r="AI94" s="200"/>
      <c r="AJ94" s="173"/>
      <c r="AL94" s="104"/>
      <c r="AM94" s="230"/>
      <c r="AN94" s="230"/>
      <c r="AO94" s="186"/>
      <c r="AP94" s="200"/>
      <c r="AQ94" s="173"/>
    </row>
    <row r="95">
      <c r="A95" s="117" t="s">
        <v>265</v>
      </c>
      <c r="B95" s="415">
        <v>450.0</v>
      </c>
      <c r="C95" s="104"/>
      <c r="D95" s="230"/>
      <c r="E95" s="230"/>
      <c r="F95" s="186"/>
      <c r="G95" s="200"/>
      <c r="H95" s="173"/>
      <c r="J95" s="104"/>
      <c r="K95" s="230"/>
      <c r="L95" s="230"/>
      <c r="M95" s="186"/>
      <c r="N95" s="200"/>
      <c r="O95" s="173"/>
      <c r="Q95" s="104"/>
      <c r="R95" s="230"/>
      <c r="S95" s="230"/>
      <c r="T95" s="186"/>
      <c r="U95" s="200"/>
      <c r="V95" s="173"/>
      <c r="X95" s="104"/>
      <c r="Y95" s="230"/>
      <c r="Z95" s="230"/>
      <c r="AA95" s="186"/>
      <c r="AB95" s="200"/>
      <c r="AC95" s="173"/>
      <c r="AE95" s="104"/>
      <c r="AF95" s="230"/>
      <c r="AG95" s="230"/>
      <c r="AH95" s="186"/>
      <c r="AI95" s="200"/>
      <c r="AJ95" s="173"/>
      <c r="AL95" s="104"/>
      <c r="AM95" s="230"/>
      <c r="AN95" s="230"/>
      <c r="AO95" s="186"/>
      <c r="AP95" s="200"/>
      <c r="AQ95" s="173"/>
    </row>
    <row r="96">
      <c r="A96" s="234"/>
      <c r="B96" s="228"/>
      <c r="C96" s="104"/>
      <c r="D96" s="235"/>
      <c r="E96" s="235"/>
      <c r="F96" s="418"/>
      <c r="G96" s="438"/>
      <c r="H96" s="173"/>
      <c r="J96" s="104"/>
      <c r="K96" s="235"/>
      <c r="L96" s="235"/>
      <c r="M96" s="418"/>
      <c r="N96" s="438"/>
      <c r="O96" s="173"/>
      <c r="Q96" s="104"/>
      <c r="R96" s="235"/>
      <c r="S96" s="235"/>
      <c r="T96" s="418"/>
      <c r="U96" s="438"/>
      <c r="V96" s="173"/>
      <c r="X96" s="104"/>
      <c r="Y96" s="235"/>
      <c r="Z96" s="235"/>
      <c r="AA96" s="418"/>
      <c r="AB96" s="438"/>
      <c r="AC96" s="173"/>
      <c r="AE96" s="104"/>
      <c r="AF96" s="235"/>
      <c r="AG96" s="235"/>
      <c r="AH96" s="418"/>
      <c r="AI96" s="438"/>
      <c r="AJ96" s="173"/>
      <c r="AL96" s="104"/>
      <c r="AM96" s="235"/>
      <c r="AN96" s="235"/>
      <c r="AO96" s="418"/>
      <c r="AP96" s="438"/>
      <c r="AQ96" s="173"/>
    </row>
    <row r="97">
      <c r="A97" s="372" t="s">
        <v>134</v>
      </c>
      <c r="B97" s="415">
        <v>1054.0</v>
      </c>
      <c r="C97" s="439"/>
      <c r="D97" s="113"/>
      <c r="E97" s="113"/>
      <c r="F97" s="440"/>
      <c r="G97" s="440"/>
      <c r="H97" s="173"/>
      <c r="J97" s="439"/>
      <c r="K97" s="113"/>
      <c r="L97" s="113"/>
      <c r="M97" s="440"/>
      <c r="N97" s="440"/>
      <c r="O97" s="173"/>
      <c r="Q97" s="439"/>
      <c r="R97" s="113"/>
      <c r="S97" s="113"/>
      <c r="T97" s="440"/>
      <c r="U97" s="440"/>
      <c r="V97" s="173"/>
      <c r="X97" s="439"/>
      <c r="Y97" s="113"/>
      <c r="Z97" s="113"/>
      <c r="AA97" s="440"/>
      <c r="AB97" s="440"/>
      <c r="AC97" s="173"/>
      <c r="AE97" s="439"/>
      <c r="AF97" s="113"/>
      <c r="AG97" s="113"/>
      <c r="AH97" s="440"/>
      <c r="AI97" s="440"/>
      <c r="AJ97" s="173"/>
      <c r="AL97" s="439"/>
      <c r="AM97" s="113"/>
      <c r="AN97" s="113"/>
      <c r="AO97" s="440"/>
      <c r="AP97" s="440"/>
      <c r="AQ97" s="173"/>
    </row>
    <row r="98">
      <c r="A98" s="351" t="s">
        <v>135</v>
      </c>
      <c r="B98" s="429"/>
      <c r="C98" s="352"/>
      <c r="D98" s="353"/>
      <c r="E98" s="353"/>
      <c r="F98" s="353"/>
      <c r="G98" s="353"/>
      <c r="H98" s="173"/>
      <c r="J98" s="352"/>
      <c r="K98" s="353"/>
      <c r="L98" s="353"/>
      <c r="M98" s="353"/>
      <c r="N98" s="353"/>
      <c r="O98" s="173"/>
      <c r="Q98" s="352"/>
      <c r="R98" s="353"/>
      <c r="S98" s="353"/>
      <c r="T98" s="353"/>
      <c r="U98" s="353"/>
      <c r="V98" s="173"/>
      <c r="X98" s="352"/>
      <c r="Y98" s="353"/>
      <c r="Z98" s="353"/>
      <c r="AA98" s="353"/>
      <c r="AB98" s="353"/>
      <c r="AC98" s="173"/>
      <c r="AE98" s="352"/>
      <c r="AF98" s="353"/>
      <c r="AG98" s="353"/>
      <c r="AH98" s="353"/>
      <c r="AI98" s="353"/>
      <c r="AJ98" s="173"/>
      <c r="AL98" s="352"/>
      <c r="AM98" s="353"/>
      <c r="AN98" s="353"/>
      <c r="AO98" s="353"/>
      <c r="AP98" s="353"/>
      <c r="AQ98" s="173"/>
    </row>
    <row r="99">
      <c r="A99" s="283"/>
      <c r="B99" s="280"/>
      <c r="C99" s="277"/>
      <c r="D99" s="277"/>
      <c r="E99" s="277"/>
      <c r="F99" s="277"/>
      <c r="G99" s="279"/>
      <c r="H99" s="277"/>
      <c r="J99" s="277"/>
      <c r="K99" s="277"/>
      <c r="L99" s="277"/>
      <c r="M99" s="277"/>
      <c r="N99" s="279"/>
      <c r="O99" s="277"/>
      <c r="Q99" s="277"/>
      <c r="R99" s="277"/>
      <c r="S99" s="277"/>
      <c r="T99" s="277"/>
      <c r="U99" s="279"/>
      <c r="V99" s="277"/>
      <c r="X99" s="277"/>
      <c r="Y99" s="277"/>
      <c r="Z99" s="277"/>
      <c r="AA99" s="277"/>
      <c r="AB99" s="279"/>
      <c r="AC99" s="277"/>
      <c r="AE99" s="277"/>
      <c r="AF99" s="277"/>
      <c r="AG99" s="277"/>
      <c r="AH99" s="277"/>
      <c r="AI99" s="279"/>
      <c r="AJ99" s="277"/>
      <c r="AL99" s="277"/>
      <c r="AM99" s="277"/>
      <c r="AN99" s="277"/>
      <c r="AO99" s="277"/>
      <c r="AP99" s="279"/>
      <c r="AQ99" s="277"/>
    </row>
    <row r="100">
      <c r="A100" s="72"/>
      <c r="B100" s="280"/>
    </row>
    <row r="101">
      <c r="A101" s="284" t="s">
        <v>270</v>
      </c>
    </row>
    <row r="102">
      <c r="A102" s="283"/>
      <c r="B102" s="284" t="s">
        <v>271</v>
      </c>
    </row>
    <row r="103">
      <c r="A103" s="286" t="s">
        <v>272</v>
      </c>
    </row>
    <row r="104">
      <c r="A104" s="286" t="s">
        <v>273</v>
      </c>
    </row>
    <row r="105">
      <c r="A105" s="287" t="s">
        <v>274</v>
      </c>
      <c r="B105" s="288"/>
    </row>
    <row r="106">
      <c r="A106" s="291" t="s">
        <v>275</v>
      </c>
    </row>
    <row r="107">
      <c r="A107" s="72"/>
      <c r="B107" s="280"/>
    </row>
    <row r="108">
      <c r="A108" s="291" t="str">
        <f>BI99</f>
        <v/>
      </c>
      <c r="B108" s="243" t="s">
        <v>136</v>
      </c>
    </row>
    <row r="109">
      <c r="A109" s="291" t="str">
        <f>CC99</f>
        <v/>
      </c>
      <c r="B109" s="243" t="s">
        <v>276</v>
      </c>
    </row>
    <row r="110">
      <c r="A110" s="291" t="str">
        <f>DV99</f>
        <v/>
      </c>
      <c r="B110" s="243" t="s">
        <v>277</v>
      </c>
    </row>
    <row r="111">
      <c r="A111" s="291" t="str">
        <f>FI99</f>
        <v/>
      </c>
      <c r="B111" s="243" t="s">
        <v>278</v>
      </c>
    </row>
    <row r="112">
      <c r="A112" s="291" t="str">
        <f>GX99</f>
        <v/>
      </c>
      <c r="B112" s="243" t="s">
        <v>4</v>
      </c>
    </row>
    <row r="113">
      <c r="A113" s="291" t="str">
        <f>IH99</f>
        <v/>
      </c>
      <c r="B113" s="243" t="s">
        <v>279</v>
      </c>
    </row>
    <row r="114">
      <c r="A114" s="291" t="str">
        <f>JX99</f>
        <v/>
      </c>
      <c r="B114" s="243" t="s">
        <v>280</v>
      </c>
    </row>
    <row r="115">
      <c r="A115" s="291" t="str">
        <f>LS99</f>
        <v/>
      </c>
      <c r="B115" s="243" t="s">
        <v>281</v>
      </c>
    </row>
    <row r="116">
      <c r="A116" s="291" t="str">
        <f>NP99</f>
        <v/>
      </c>
      <c r="B116" s="243" t="s">
        <v>282</v>
      </c>
    </row>
    <row r="117">
      <c r="A117" s="291" t="str">
        <f>PA99</f>
        <v/>
      </c>
      <c r="B117" s="243" t="s">
        <v>283</v>
      </c>
    </row>
    <row r="118">
      <c r="A118" s="291" t="str">
        <f>QU99</f>
        <v/>
      </c>
      <c r="B118" s="243" t="s">
        <v>284</v>
      </c>
    </row>
    <row r="119">
      <c r="A119" s="290" t="str">
        <f>ART100</f>
        <v/>
      </c>
      <c r="B119" s="292" t="s">
        <v>285</v>
      </c>
    </row>
    <row r="120">
      <c r="A120" s="291">
        <f>sum(A108:A116)</f>
        <v>0</v>
      </c>
      <c r="B120" s="280"/>
    </row>
    <row r="121">
      <c r="A121" s="72"/>
      <c r="B121" s="280"/>
    </row>
    <row r="122">
      <c r="A122" s="72"/>
      <c r="B122" s="280"/>
    </row>
  </sheetData>
  <mergeCells count="25">
    <mergeCell ref="AE2:AH2"/>
    <mergeCell ref="AL2:AO2"/>
    <mergeCell ref="AP2:AP4"/>
    <mergeCell ref="AQ2:AQ4"/>
    <mergeCell ref="U2:U4"/>
    <mergeCell ref="V2:V4"/>
    <mergeCell ref="X2:AA2"/>
    <mergeCell ref="AB2:AB4"/>
    <mergeCell ref="AC2:AC4"/>
    <mergeCell ref="AI2:AI4"/>
    <mergeCell ref="AJ2:AJ4"/>
    <mergeCell ref="A3:A4"/>
    <mergeCell ref="B3:B4"/>
    <mergeCell ref="A101:B101"/>
    <mergeCell ref="A103:B103"/>
    <mergeCell ref="A104:B104"/>
    <mergeCell ref="A105:B105"/>
    <mergeCell ref="A106:B106"/>
    <mergeCell ref="C2:F2"/>
    <mergeCell ref="G2:G4"/>
    <mergeCell ref="H2:H4"/>
    <mergeCell ref="J2:M2"/>
    <mergeCell ref="N2:N4"/>
    <mergeCell ref="O2:O4"/>
    <mergeCell ref="Q2:T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15" width="6.13"/>
    <col customWidth="1" min="18" max="29" width="9.25"/>
  </cols>
  <sheetData>
    <row r="1">
      <c r="A1" s="72"/>
      <c r="B1" s="72"/>
      <c r="C1" s="441" t="s">
        <v>592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Q1" s="75" t="s">
        <v>593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</row>
    <row r="2">
      <c r="A2" s="72"/>
      <c r="B2" s="72"/>
      <c r="C2" s="78" t="s">
        <v>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Q2" s="78" t="s">
        <v>594</v>
      </c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</row>
    <row r="3">
      <c r="A3" s="67" t="s">
        <v>47</v>
      </c>
      <c r="B3" s="67" t="s">
        <v>48</v>
      </c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  <c r="Q3" s="81" t="s">
        <v>0</v>
      </c>
      <c r="R3" s="82" t="s">
        <v>1</v>
      </c>
      <c r="S3" s="82" t="s">
        <v>2</v>
      </c>
      <c r="T3" s="82" t="s">
        <v>3</v>
      </c>
      <c r="U3" s="82" t="s">
        <v>4</v>
      </c>
      <c r="V3" s="82" t="s">
        <v>5</v>
      </c>
      <c r="W3" s="82" t="s">
        <v>6</v>
      </c>
      <c r="X3" s="82" t="s">
        <v>7</v>
      </c>
      <c r="Y3" s="82" t="s">
        <v>8</v>
      </c>
      <c r="Z3" s="82" t="s">
        <v>9</v>
      </c>
      <c r="AA3" s="82" t="s">
        <v>10</v>
      </c>
      <c r="AB3" s="82" t="s">
        <v>11</v>
      </c>
      <c r="AC3" s="83"/>
    </row>
    <row r="4">
      <c r="A4" s="72"/>
      <c r="B4" s="72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Q4" s="84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6"/>
    </row>
    <row r="5" hidden="1">
      <c r="A5" s="87" t="s">
        <v>49</v>
      </c>
      <c r="B5" s="88">
        <v>329.0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  <c r="Q5" s="89"/>
      <c r="R5" s="90"/>
      <c r="S5" s="90"/>
      <c r="T5" s="90"/>
      <c r="U5" s="90"/>
      <c r="V5" s="90"/>
      <c r="W5" s="90"/>
      <c r="X5" s="90"/>
      <c r="Y5" s="90"/>
      <c r="Z5" s="90"/>
      <c r="AA5" s="189"/>
      <c r="AB5" s="90"/>
      <c r="AC5" s="91"/>
    </row>
    <row r="6" hidden="1">
      <c r="A6" s="87" t="s">
        <v>50</v>
      </c>
      <c r="B6" s="88">
        <v>329.0</v>
      </c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  <c r="Q6" s="89"/>
      <c r="R6" s="90"/>
      <c r="S6" s="90"/>
      <c r="T6" s="90"/>
      <c r="U6" s="90"/>
      <c r="V6" s="90"/>
      <c r="W6" s="90"/>
      <c r="X6" s="90"/>
      <c r="Y6" s="90"/>
      <c r="Z6" s="90"/>
      <c r="AA6" s="189"/>
      <c r="AB6" s="90"/>
      <c r="AC6" s="91"/>
    </row>
    <row r="7" hidden="1">
      <c r="A7" s="87" t="s">
        <v>51</v>
      </c>
      <c r="B7" s="88">
        <v>329.0</v>
      </c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1"/>
      <c r="Q7" s="89"/>
      <c r="R7" s="90"/>
      <c r="S7" s="90"/>
      <c r="T7" s="90"/>
      <c r="U7" s="90"/>
      <c r="V7" s="90"/>
      <c r="W7" s="90"/>
      <c r="X7" s="90"/>
      <c r="Y7" s="90"/>
      <c r="Z7" s="90"/>
      <c r="AA7" s="189"/>
      <c r="AB7" s="90"/>
      <c r="AC7" s="91"/>
    </row>
    <row r="8">
      <c r="A8" s="92" t="s">
        <v>52</v>
      </c>
      <c r="B8" s="442">
        <v>349.0</v>
      </c>
      <c r="C8" s="94">
        <f>'COMMON ROOM'!C8+'COMMON ROOM'!O8+'COMMON ROOM'!AA8+'COMMON ROOM'!AM8+'COMMON ROOM'!AY8</f>
        <v>38</v>
      </c>
      <c r="D8" s="94">
        <f>'COMMON ROOM'!D8+'COMMON ROOM'!P8+'COMMON ROOM'!AB8+'COMMON ROOM'!AN8+'COMMON ROOM'!AZ8</f>
        <v>17</v>
      </c>
      <c r="E8" s="94">
        <f>'COMMON ROOM'!E8+'COMMON ROOM'!Q8+'COMMON ROOM'!AC8+'COMMON ROOM'!AO8+'COMMON ROOM'!BA8</f>
        <v>13</v>
      </c>
      <c r="F8" s="94">
        <f>'COMMON ROOM'!F8+'COMMON ROOM'!R8+'COMMON ROOM'!AD8+'COMMON ROOM'!AP8+'COMMON ROOM'!BB8</f>
        <v>15</v>
      </c>
      <c r="G8" s="97"/>
      <c r="H8" s="97"/>
      <c r="I8" s="97"/>
      <c r="J8" s="97"/>
      <c r="K8" s="97"/>
      <c r="L8" s="97"/>
      <c r="M8" s="97"/>
      <c r="N8" s="97"/>
      <c r="O8" s="91"/>
      <c r="Q8" s="121">
        <f t="shared" ref="Q8:Q97" si="1">B8*C8</f>
        <v>13262</v>
      </c>
      <c r="R8" s="443">
        <f t="shared" ref="R8:R96" si="2">B8*D8</f>
        <v>5933</v>
      </c>
      <c r="S8" s="443">
        <f t="shared" ref="S8:S96" si="3">B8*E8</f>
        <v>4537</v>
      </c>
      <c r="T8" s="444">
        <f t="shared" ref="T8:T96" si="4">B8*F8</f>
        <v>5235</v>
      </c>
      <c r="U8" s="444">
        <f t="shared" ref="U8:U96" si="5">B8*G8</f>
        <v>0</v>
      </c>
      <c r="V8" s="444">
        <f t="shared" ref="V8:V96" si="6">B8*H8</f>
        <v>0</v>
      </c>
      <c r="W8" s="444">
        <f t="shared" ref="W8:W95" si="7">B8*I8</f>
        <v>0</v>
      </c>
      <c r="X8" s="444">
        <f t="shared" ref="X8:X95" si="8">B8*J8</f>
        <v>0</v>
      </c>
      <c r="Y8" s="444">
        <f t="shared" ref="Y8:Y95" si="9">K8*B8</f>
        <v>0</v>
      </c>
      <c r="Z8" s="445">
        <f t="shared" ref="Z8:Z95" si="10">B8*L8</f>
        <v>0</v>
      </c>
      <c r="AA8" s="445">
        <f t="shared" ref="AA8:AA96" si="11">B8*M8</f>
        <v>0</v>
      </c>
      <c r="AB8" s="446">
        <f t="shared" ref="AB8:AB96" si="12">B8*N8</f>
        <v>0</v>
      </c>
      <c r="AC8" s="91"/>
    </row>
    <row r="9" hidden="1">
      <c r="A9" s="98" t="s">
        <v>53</v>
      </c>
      <c r="B9" s="93">
        <v>329.0</v>
      </c>
      <c r="C9" s="94">
        <f>'COMMON ROOM'!C9+'COMMON ROOM'!O9+'COMMON ROOM'!AA9+'COMMON ROOM'!AM9+'COMMON ROOM'!AY9</f>
        <v>0</v>
      </c>
      <c r="D9" s="94">
        <f>'COMMON ROOM'!D9+'COMMON ROOM'!P9+'COMMON ROOM'!AB9+'COMMON ROOM'!AN9+'COMMON ROOM'!AZ9</f>
        <v>0</v>
      </c>
      <c r="E9" s="94">
        <f>'COMMON ROOM'!E9+'COMMON ROOM'!Q9+'COMMON ROOM'!AC9+'COMMON ROOM'!AO9+'COMMON ROOM'!BA9</f>
        <v>0</v>
      </c>
      <c r="F9" s="94">
        <f>'COMMON ROOM'!F9+'COMMON ROOM'!R9+'COMMON ROOM'!AD9+'COMMON ROOM'!AP9+'COMMON ROOM'!BB9</f>
        <v>0</v>
      </c>
      <c r="G9" s="97"/>
      <c r="H9" s="97"/>
      <c r="I9" s="97"/>
      <c r="J9" s="97"/>
      <c r="K9" s="97"/>
      <c r="L9" s="97"/>
      <c r="M9" s="97"/>
      <c r="N9" s="97"/>
      <c r="O9" s="91"/>
      <c r="Q9" s="121">
        <f t="shared" si="1"/>
        <v>0</v>
      </c>
      <c r="R9" s="443">
        <f t="shared" si="2"/>
        <v>0</v>
      </c>
      <c r="S9" s="443">
        <f t="shared" si="3"/>
        <v>0</v>
      </c>
      <c r="T9" s="444">
        <f t="shared" si="4"/>
        <v>0</v>
      </c>
      <c r="U9" s="444">
        <f t="shared" si="5"/>
        <v>0</v>
      </c>
      <c r="V9" s="444">
        <f t="shared" si="6"/>
        <v>0</v>
      </c>
      <c r="W9" s="444">
        <f t="shared" si="7"/>
        <v>0</v>
      </c>
      <c r="X9" s="444">
        <f t="shared" si="8"/>
        <v>0</v>
      </c>
      <c r="Y9" s="444">
        <f t="shared" si="9"/>
        <v>0</v>
      </c>
      <c r="Z9" s="445">
        <f t="shared" si="10"/>
        <v>0</v>
      </c>
      <c r="AA9" s="445">
        <f t="shared" si="11"/>
        <v>0</v>
      </c>
      <c r="AB9" s="446">
        <f t="shared" si="12"/>
        <v>0</v>
      </c>
      <c r="AC9" s="91"/>
    </row>
    <row r="10">
      <c r="A10" s="98" t="s">
        <v>54</v>
      </c>
      <c r="B10" s="442">
        <v>349.0</v>
      </c>
      <c r="C10" s="94">
        <f>'COMMON ROOM'!C10+'COMMON ROOM'!O10+'COMMON ROOM'!AA10+'COMMON ROOM'!AM10+'COMMON ROOM'!AY10</f>
        <v>23</v>
      </c>
      <c r="D10" s="94">
        <f>'COMMON ROOM'!D10+'COMMON ROOM'!P10+'COMMON ROOM'!AB10+'COMMON ROOM'!AN10+'COMMON ROOM'!AZ10</f>
        <v>3</v>
      </c>
      <c r="E10" s="94">
        <f>'COMMON ROOM'!E10+'COMMON ROOM'!Q10+'COMMON ROOM'!AC10+'COMMON ROOM'!AO10+'COMMON ROOM'!BA10</f>
        <v>9</v>
      </c>
      <c r="F10" s="94">
        <f>'COMMON ROOM'!F10+'COMMON ROOM'!R10+'COMMON ROOM'!AD10+'COMMON ROOM'!AP10+'COMMON ROOM'!BB10</f>
        <v>34</v>
      </c>
      <c r="G10" s="97"/>
      <c r="H10" s="97"/>
      <c r="I10" s="97"/>
      <c r="J10" s="97"/>
      <c r="K10" s="97"/>
      <c r="L10" s="97"/>
      <c r="M10" s="97"/>
      <c r="N10" s="97"/>
      <c r="O10" s="91"/>
      <c r="Q10" s="121">
        <f t="shared" si="1"/>
        <v>8027</v>
      </c>
      <c r="R10" s="443">
        <f t="shared" si="2"/>
        <v>1047</v>
      </c>
      <c r="S10" s="443">
        <f t="shared" si="3"/>
        <v>3141</v>
      </c>
      <c r="T10" s="444">
        <f t="shared" si="4"/>
        <v>11866</v>
      </c>
      <c r="U10" s="444">
        <f t="shared" si="5"/>
        <v>0</v>
      </c>
      <c r="V10" s="444">
        <f t="shared" si="6"/>
        <v>0</v>
      </c>
      <c r="W10" s="444">
        <f t="shared" si="7"/>
        <v>0</v>
      </c>
      <c r="X10" s="444">
        <f t="shared" si="8"/>
        <v>0</v>
      </c>
      <c r="Y10" s="444">
        <f t="shared" si="9"/>
        <v>0</v>
      </c>
      <c r="Z10" s="445">
        <f t="shared" si="10"/>
        <v>0</v>
      </c>
      <c r="AA10" s="445">
        <f t="shared" si="11"/>
        <v>0</v>
      </c>
      <c r="AB10" s="446">
        <f t="shared" si="12"/>
        <v>0</v>
      </c>
      <c r="AC10" s="91"/>
    </row>
    <row r="11">
      <c r="A11" s="98" t="s">
        <v>55</v>
      </c>
      <c r="B11" s="442">
        <v>349.0</v>
      </c>
      <c r="C11" s="94">
        <f>'COMMON ROOM'!C11+'COMMON ROOM'!O11+'COMMON ROOM'!AA11+'COMMON ROOM'!AM11+'COMMON ROOM'!AY11</f>
        <v>24</v>
      </c>
      <c r="D11" s="94">
        <f>'COMMON ROOM'!D11+'COMMON ROOM'!P11+'COMMON ROOM'!AB11+'COMMON ROOM'!AN11+'COMMON ROOM'!AZ11</f>
        <v>2</v>
      </c>
      <c r="E11" s="94">
        <f>'COMMON ROOM'!E11+'COMMON ROOM'!Q11+'COMMON ROOM'!AC11+'COMMON ROOM'!AO11+'COMMON ROOM'!BA11</f>
        <v>11</v>
      </c>
      <c r="F11" s="94">
        <f>'COMMON ROOM'!F11+'COMMON ROOM'!R11+'COMMON ROOM'!AD11+'COMMON ROOM'!AP11+'COMMON ROOM'!BB11</f>
        <v>21</v>
      </c>
      <c r="G11" s="97"/>
      <c r="H11" s="97"/>
      <c r="I11" s="97"/>
      <c r="J11" s="97"/>
      <c r="K11" s="97"/>
      <c r="L11" s="97"/>
      <c r="M11" s="97"/>
      <c r="N11" s="97"/>
      <c r="O11" s="91"/>
      <c r="Q11" s="121">
        <f t="shared" si="1"/>
        <v>8376</v>
      </c>
      <c r="R11" s="443">
        <f t="shared" si="2"/>
        <v>698</v>
      </c>
      <c r="S11" s="443">
        <f t="shared" si="3"/>
        <v>3839</v>
      </c>
      <c r="T11" s="444">
        <f t="shared" si="4"/>
        <v>7329</v>
      </c>
      <c r="U11" s="444">
        <f t="shared" si="5"/>
        <v>0</v>
      </c>
      <c r="V11" s="444">
        <f t="shared" si="6"/>
        <v>0</v>
      </c>
      <c r="W11" s="444">
        <f t="shared" si="7"/>
        <v>0</v>
      </c>
      <c r="X11" s="444">
        <f t="shared" si="8"/>
        <v>0</v>
      </c>
      <c r="Y11" s="444">
        <f t="shared" si="9"/>
        <v>0</v>
      </c>
      <c r="Z11" s="445">
        <f t="shared" si="10"/>
        <v>0</v>
      </c>
      <c r="AA11" s="445">
        <f t="shared" si="11"/>
        <v>0</v>
      </c>
      <c r="AB11" s="446">
        <f t="shared" si="12"/>
        <v>0</v>
      </c>
      <c r="AC11" s="91"/>
    </row>
    <row r="12">
      <c r="A12" s="98" t="s">
        <v>56</v>
      </c>
      <c r="B12" s="442">
        <v>349.0</v>
      </c>
      <c r="C12" s="94">
        <f>'COMMON ROOM'!C12+'COMMON ROOM'!O12+'COMMON ROOM'!AA12+'COMMON ROOM'!AM12+'COMMON ROOM'!AY12</f>
        <v>16</v>
      </c>
      <c r="D12" s="94">
        <f>'COMMON ROOM'!D12+'COMMON ROOM'!P12+'COMMON ROOM'!AB12+'COMMON ROOM'!AN12+'COMMON ROOM'!AZ12</f>
        <v>8</v>
      </c>
      <c r="E12" s="94">
        <f>'COMMON ROOM'!E12+'COMMON ROOM'!Q12+'COMMON ROOM'!AC12+'COMMON ROOM'!AO12+'COMMON ROOM'!BA12</f>
        <v>8</v>
      </c>
      <c r="F12" s="94">
        <f>'COMMON ROOM'!F12+'COMMON ROOM'!R12+'COMMON ROOM'!AD12+'COMMON ROOM'!AP12+'COMMON ROOM'!BB12</f>
        <v>22</v>
      </c>
      <c r="G12" s="97"/>
      <c r="H12" s="97"/>
      <c r="I12" s="97"/>
      <c r="J12" s="97"/>
      <c r="K12" s="97"/>
      <c r="L12" s="97"/>
      <c r="M12" s="97"/>
      <c r="N12" s="97"/>
      <c r="O12" s="91"/>
      <c r="Q12" s="121">
        <f t="shared" si="1"/>
        <v>5584</v>
      </c>
      <c r="R12" s="443">
        <f t="shared" si="2"/>
        <v>2792</v>
      </c>
      <c r="S12" s="443">
        <f t="shared" si="3"/>
        <v>2792</v>
      </c>
      <c r="T12" s="444">
        <f t="shared" si="4"/>
        <v>7678</v>
      </c>
      <c r="U12" s="444">
        <f t="shared" si="5"/>
        <v>0</v>
      </c>
      <c r="V12" s="444">
        <f t="shared" si="6"/>
        <v>0</v>
      </c>
      <c r="W12" s="444">
        <f t="shared" si="7"/>
        <v>0</v>
      </c>
      <c r="X12" s="444">
        <f t="shared" si="8"/>
        <v>0</v>
      </c>
      <c r="Y12" s="444">
        <f t="shared" si="9"/>
        <v>0</v>
      </c>
      <c r="Z12" s="445">
        <f t="shared" si="10"/>
        <v>0</v>
      </c>
      <c r="AA12" s="445">
        <f t="shared" si="11"/>
        <v>0</v>
      </c>
      <c r="AB12" s="446">
        <f t="shared" si="12"/>
        <v>0</v>
      </c>
      <c r="AC12" s="91"/>
    </row>
    <row r="13">
      <c r="A13" s="98" t="s">
        <v>57</v>
      </c>
      <c r="B13" s="442">
        <v>349.0</v>
      </c>
      <c r="C13" s="94">
        <f>'COMMON ROOM'!C13+'COMMON ROOM'!O13+'COMMON ROOM'!AA13+'COMMON ROOM'!AM13+'COMMON ROOM'!AY13</f>
        <v>0</v>
      </c>
      <c r="D13" s="94">
        <f>'COMMON ROOM'!D13+'COMMON ROOM'!P13+'COMMON ROOM'!AB13+'COMMON ROOM'!AN13+'COMMON ROOM'!AZ13</f>
        <v>2</v>
      </c>
      <c r="E13" s="94">
        <f>'COMMON ROOM'!E13+'COMMON ROOM'!Q13+'COMMON ROOM'!AC13+'COMMON ROOM'!AO13+'COMMON ROOM'!BA13</f>
        <v>3</v>
      </c>
      <c r="F13" s="94">
        <f>'COMMON ROOM'!F13+'COMMON ROOM'!R13+'COMMON ROOM'!AD13+'COMMON ROOM'!AP13+'COMMON ROOM'!BB13</f>
        <v>2</v>
      </c>
      <c r="G13" s="97"/>
      <c r="H13" s="97"/>
      <c r="I13" s="97"/>
      <c r="J13" s="97"/>
      <c r="K13" s="97"/>
      <c r="L13" s="97"/>
      <c r="M13" s="97"/>
      <c r="N13" s="97"/>
      <c r="O13" s="91"/>
      <c r="Q13" s="121">
        <f t="shared" si="1"/>
        <v>0</v>
      </c>
      <c r="R13" s="443">
        <f t="shared" si="2"/>
        <v>698</v>
      </c>
      <c r="S13" s="443">
        <f t="shared" si="3"/>
        <v>1047</v>
      </c>
      <c r="T13" s="444">
        <f t="shared" si="4"/>
        <v>698</v>
      </c>
      <c r="U13" s="444">
        <f t="shared" si="5"/>
        <v>0</v>
      </c>
      <c r="V13" s="444">
        <f t="shared" si="6"/>
        <v>0</v>
      </c>
      <c r="W13" s="444">
        <f t="shared" si="7"/>
        <v>0</v>
      </c>
      <c r="X13" s="444">
        <f t="shared" si="8"/>
        <v>0</v>
      </c>
      <c r="Y13" s="444">
        <f t="shared" si="9"/>
        <v>0</v>
      </c>
      <c r="Z13" s="445">
        <f t="shared" si="10"/>
        <v>0</v>
      </c>
      <c r="AA13" s="445">
        <f t="shared" si="11"/>
        <v>0</v>
      </c>
      <c r="AB13" s="446">
        <f t="shared" si="12"/>
        <v>0</v>
      </c>
      <c r="AC13" s="91"/>
    </row>
    <row r="14">
      <c r="A14" s="98" t="s">
        <v>58</v>
      </c>
      <c r="B14" s="442">
        <v>349.0</v>
      </c>
      <c r="C14" s="94">
        <f>'COMMON ROOM'!C14+'COMMON ROOM'!O14+'COMMON ROOM'!AA14+'COMMON ROOM'!AM14+'COMMON ROOM'!AY14</f>
        <v>8</v>
      </c>
      <c r="D14" s="94">
        <f>'COMMON ROOM'!D14+'COMMON ROOM'!P14+'COMMON ROOM'!AB14+'COMMON ROOM'!AN14+'COMMON ROOM'!AZ14</f>
        <v>0</v>
      </c>
      <c r="E14" s="94">
        <f>'COMMON ROOM'!E14+'COMMON ROOM'!Q14+'COMMON ROOM'!AC14+'COMMON ROOM'!AO14+'COMMON ROOM'!BA14</f>
        <v>3</v>
      </c>
      <c r="F14" s="94">
        <f>'COMMON ROOM'!F14+'COMMON ROOM'!R14+'COMMON ROOM'!AD14+'COMMON ROOM'!AP14+'COMMON ROOM'!BB14</f>
        <v>0</v>
      </c>
      <c r="G14" s="97"/>
      <c r="H14" s="97"/>
      <c r="I14" s="97"/>
      <c r="J14" s="97"/>
      <c r="K14" s="97"/>
      <c r="L14" s="97"/>
      <c r="M14" s="97"/>
      <c r="N14" s="97"/>
      <c r="O14" s="91"/>
      <c r="Q14" s="121">
        <f t="shared" si="1"/>
        <v>2792</v>
      </c>
      <c r="R14" s="443">
        <f t="shared" si="2"/>
        <v>0</v>
      </c>
      <c r="S14" s="443">
        <f t="shared" si="3"/>
        <v>1047</v>
      </c>
      <c r="T14" s="444">
        <f t="shared" si="4"/>
        <v>0</v>
      </c>
      <c r="U14" s="444">
        <f t="shared" si="5"/>
        <v>0</v>
      </c>
      <c r="V14" s="444">
        <f t="shared" si="6"/>
        <v>0</v>
      </c>
      <c r="W14" s="444">
        <f t="shared" si="7"/>
        <v>0</v>
      </c>
      <c r="X14" s="444">
        <f t="shared" si="8"/>
        <v>0</v>
      </c>
      <c r="Y14" s="444">
        <f t="shared" si="9"/>
        <v>0</v>
      </c>
      <c r="Z14" s="445">
        <f t="shared" si="10"/>
        <v>0</v>
      </c>
      <c r="AA14" s="445">
        <f t="shared" si="11"/>
        <v>0</v>
      </c>
      <c r="AB14" s="446">
        <f t="shared" si="12"/>
        <v>0</v>
      </c>
      <c r="AC14" s="91"/>
    </row>
    <row r="15">
      <c r="A15" s="98" t="s">
        <v>59</v>
      </c>
      <c r="B15" s="442">
        <v>239.0</v>
      </c>
      <c r="C15" s="94">
        <f>'COMMON ROOM'!C15+'COMMON ROOM'!O15+'COMMON ROOM'!AA15+'COMMON ROOM'!AM15+'COMMON ROOM'!AY15</f>
        <v>2</v>
      </c>
      <c r="D15" s="94">
        <f>'COMMON ROOM'!D15+'COMMON ROOM'!P15+'COMMON ROOM'!AB15+'COMMON ROOM'!AN15+'COMMON ROOM'!AZ15</f>
        <v>4</v>
      </c>
      <c r="E15" s="94">
        <f>'COMMON ROOM'!E15+'COMMON ROOM'!Q15+'COMMON ROOM'!AC15+'COMMON ROOM'!AO15+'COMMON ROOM'!BA15</f>
        <v>4</v>
      </c>
      <c r="F15" s="94">
        <f>'COMMON ROOM'!F15+'COMMON ROOM'!R15+'COMMON ROOM'!AD15+'COMMON ROOM'!AP15+'COMMON ROOM'!BB15</f>
        <v>4</v>
      </c>
      <c r="G15" s="97"/>
      <c r="H15" s="97"/>
      <c r="I15" s="97"/>
      <c r="J15" s="97"/>
      <c r="K15" s="97"/>
      <c r="L15" s="97"/>
      <c r="M15" s="97"/>
      <c r="N15" s="97"/>
      <c r="O15" s="91"/>
      <c r="Q15" s="121">
        <f t="shared" si="1"/>
        <v>478</v>
      </c>
      <c r="R15" s="443">
        <f t="shared" si="2"/>
        <v>956</v>
      </c>
      <c r="S15" s="443">
        <f t="shared" si="3"/>
        <v>956</v>
      </c>
      <c r="T15" s="444">
        <f t="shared" si="4"/>
        <v>956</v>
      </c>
      <c r="U15" s="444">
        <f t="shared" si="5"/>
        <v>0</v>
      </c>
      <c r="V15" s="444">
        <f t="shared" si="6"/>
        <v>0</v>
      </c>
      <c r="W15" s="444">
        <f t="shared" si="7"/>
        <v>0</v>
      </c>
      <c r="X15" s="444">
        <f t="shared" si="8"/>
        <v>0</v>
      </c>
      <c r="Y15" s="444">
        <f t="shared" si="9"/>
        <v>0</v>
      </c>
      <c r="Z15" s="445">
        <f t="shared" si="10"/>
        <v>0</v>
      </c>
      <c r="AA15" s="445">
        <f t="shared" si="11"/>
        <v>0</v>
      </c>
      <c r="AB15" s="446">
        <f t="shared" si="12"/>
        <v>0</v>
      </c>
      <c r="AC15" s="91"/>
    </row>
    <row r="16" hidden="1">
      <c r="A16" s="98" t="s">
        <v>60</v>
      </c>
      <c r="B16" s="99"/>
      <c r="C16" s="94">
        <f>'COMMON ROOM'!C16+'COMMON ROOM'!O16+'COMMON ROOM'!AA16+'COMMON ROOM'!AM16+'COMMON ROOM'!AY16</f>
        <v>0</v>
      </c>
      <c r="D16" s="94">
        <f>'COMMON ROOM'!D16+'COMMON ROOM'!P16+'COMMON ROOM'!AB16+'COMMON ROOM'!AN16+'COMMON ROOM'!AZ16</f>
        <v>0</v>
      </c>
      <c r="E16" s="94">
        <f>'COMMON ROOM'!E16+'COMMON ROOM'!Q16+'COMMON ROOM'!AC16+'COMMON ROOM'!AO16+'COMMON ROOM'!BA16</f>
        <v>0</v>
      </c>
      <c r="F16" s="94">
        <f>'COMMON ROOM'!F16+'COMMON ROOM'!R16+'COMMON ROOM'!AD16+'COMMON ROOM'!AP16+'COMMON ROOM'!BB16</f>
        <v>0</v>
      </c>
      <c r="G16" s="97"/>
      <c r="H16" s="97"/>
      <c r="I16" s="97"/>
      <c r="J16" s="97"/>
      <c r="K16" s="97"/>
      <c r="L16" s="97"/>
      <c r="M16" s="97"/>
      <c r="N16" s="97"/>
      <c r="O16" s="91"/>
      <c r="Q16" s="121">
        <f t="shared" si="1"/>
        <v>0</v>
      </c>
      <c r="R16" s="443">
        <f t="shared" si="2"/>
        <v>0</v>
      </c>
      <c r="S16" s="443">
        <f t="shared" si="3"/>
        <v>0</v>
      </c>
      <c r="T16" s="444">
        <f t="shared" si="4"/>
        <v>0</v>
      </c>
      <c r="U16" s="444">
        <f t="shared" si="5"/>
        <v>0</v>
      </c>
      <c r="V16" s="444">
        <f t="shared" si="6"/>
        <v>0</v>
      </c>
      <c r="W16" s="444">
        <f t="shared" si="7"/>
        <v>0</v>
      </c>
      <c r="X16" s="444">
        <f t="shared" si="8"/>
        <v>0</v>
      </c>
      <c r="Y16" s="444">
        <f t="shared" si="9"/>
        <v>0</v>
      </c>
      <c r="Z16" s="445">
        <f t="shared" si="10"/>
        <v>0</v>
      </c>
      <c r="AA16" s="445">
        <f t="shared" si="11"/>
        <v>0</v>
      </c>
      <c r="AB16" s="446">
        <f t="shared" si="12"/>
        <v>0</v>
      </c>
      <c r="AC16" s="91"/>
    </row>
    <row r="17" hidden="1">
      <c r="A17" s="98" t="s">
        <v>61</v>
      </c>
      <c r="B17" s="99"/>
      <c r="C17" s="94">
        <f>'COMMON ROOM'!C17+'COMMON ROOM'!O17+'COMMON ROOM'!AA17+'COMMON ROOM'!AM17+'COMMON ROOM'!AY17</f>
        <v>0</v>
      </c>
      <c r="D17" s="94">
        <f>'COMMON ROOM'!D17+'COMMON ROOM'!P17+'COMMON ROOM'!AB17+'COMMON ROOM'!AN17+'COMMON ROOM'!AZ17</f>
        <v>0</v>
      </c>
      <c r="E17" s="94">
        <f>'COMMON ROOM'!E17+'COMMON ROOM'!Q17+'COMMON ROOM'!AC17+'COMMON ROOM'!AO17+'COMMON ROOM'!BA17</f>
        <v>0</v>
      </c>
      <c r="F17" s="94">
        <f>'COMMON ROOM'!F17+'COMMON ROOM'!R17+'COMMON ROOM'!AD17+'COMMON ROOM'!AP17+'COMMON ROOM'!BB17</f>
        <v>0</v>
      </c>
      <c r="G17" s="97"/>
      <c r="H17" s="97"/>
      <c r="I17" s="97"/>
      <c r="J17" s="97"/>
      <c r="K17" s="97"/>
      <c r="L17" s="97"/>
      <c r="M17" s="97"/>
      <c r="N17" s="97"/>
      <c r="O17" s="91"/>
      <c r="Q17" s="121">
        <f t="shared" si="1"/>
        <v>0</v>
      </c>
      <c r="R17" s="443">
        <f t="shared" si="2"/>
        <v>0</v>
      </c>
      <c r="S17" s="443">
        <f t="shared" si="3"/>
        <v>0</v>
      </c>
      <c r="T17" s="444">
        <f t="shared" si="4"/>
        <v>0</v>
      </c>
      <c r="U17" s="444">
        <f t="shared" si="5"/>
        <v>0</v>
      </c>
      <c r="V17" s="444">
        <f t="shared" si="6"/>
        <v>0</v>
      </c>
      <c r="W17" s="444">
        <f t="shared" si="7"/>
        <v>0</v>
      </c>
      <c r="X17" s="444">
        <f t="shared" si="8"/>
        <v>0</v>
      </c>
      <c r="Y17" s="444">
        <f t="shared" si="9"/>
        <v>0</v>
      </c>
      <c r="Z17" s="445">
        <f t="shared" si="10"/>
        <v>0</v>
      </c>
      <c r="AA17" s="445">
        <f t="shared" si="11"/>
        <v>0</v>
      </c>
      <c r="AB17" s="446">
        <f t="shared" si="12"/>
        <v>0</v>
      </c>
      <c r="AC17" s="91"/>
    </row>
    <row r="18">
      <c r="A18" s="100"/>
      <c r="B18" s="99"/>
      <c r="C18" s="94">
        <f>'COMMON ROOM'!C18+'COMMON ROOM'!O18+'COMMON ROOM'!AA18+'COMMON ROOM'!AM18+'COMMON ROOM'!AY18</f>
        <v>0</v>
      </c>
      <c r="D18" s="94">
        <f>'COMMON ROOM'!D18+'COMMON ROOM'!P18+'COMMON ROOM'!AB18+'COMMON ROOM'!AN18+'COMMON ROOM'!AZ18</f>
        <v>0</v>
      </c>
      <c r="E18" s="94">
        <f>'COMMON ROOM'!E18+'COMMON ROOM'!Q18+'COMMON ROOM'!AC18+'COMMON ROOM'!AO18+'COMMON ROOM'!BA18</f>
        <v>0</v>
      </c>
      <c r="F18" s="94">
        <f>'COMMON ROOM'!F18+'COMMON ROOM'!R18+'COMMON ROOM'!AD18+'COMMON ROOM'!AP18+'COMMON ROOM'!BB18</f>
        <v>0</v>
      </c>
      <c r="G18" s="97"/>
      <c r="H18" s="97"/>
      <c r="I18" s="97"/>
      <c r="J18" s="97"/>
      <c r="K18" s="97"/>
      <c r="L18" s="97"/>
      <c r="M18" s="97"/>
      <c r="N18" s="97"/>
      <c r="O18" s="91"/>
      <c r="Q18" s="121">
        <f t="shared" si="1"/>
        <v>0</v>
      </c>
      <c r="R18" s="443">
        <f t="shared" si="2"/>
        <v>0</v>
      </c>
      <c r="S18" s="443">
        <f t="shared" si="3"/>
        <v>0</v>
      </c>
      <c r="T18" s="444">
        <f t="shared" si="4"/>
        <v>0</v>
      </c>
      <c r="U18" s="444">
        <f t="shared" si="5"/>
        <v>0</v>
      </c>
      <c r="V18" s="444">
        <f t="shared" si="6"/>
        <v>0</v>
      </c>
      <c r="W18" s="444">
        <f t="shared" si="7"/>
        <v>0</v>
      </c>
      <c r="X18" s="444">
        <f t="shared" si="8"/>
        <v>0</v>
      </c>
      <c r="Y18" s="444">
        <f t="shared" si="9"/>
        <v>0</v>
      </c>
      <c r="Z18" s="445">
        <f t="shared" si="10"/>
        <v>0</v>
      </c>
      <c r="AA18" s="445">
        <f t="shared" si="11"/>
        <v>0</v>
      </c>
      <c r="AB18" s="446">
        <f t="shared" si="12"/>
        <v>0</v>
      </c>
      <c r="AC18" s="91"/>
    </row>
    <row r="19">
      <c r="A19" s="98" t="s">
        <v>62</v>
      </c>
      <c r="B19" s="442">
        <v>259.0</v>
      </c>
      <c r="C19" s="94">
        <f>'COMMON ROOM'!C19+'COMMON ROOM'!O19+'COMMON ROOM'!AA19+'COMMON ROOM'!AM19+'COMMON ROOM'!AY19</f>
        <v>11</v>
      </c>
      <c r="D19" s="94">
        <f>'COMMON ROOM'!D19+'COMMON ROOM'!P19+'COMMON ROOM'!AB19+'COMMON ROOM'!AN19+'COMMON ROOM'!AZ19</f>
        <v>10</v>
      </c>
      <c r="E19" s="94">
        <f>'COMMON ROOM'!E19+'COMMON ROOM'!Q19+'COMMON ROOM'!AC19+'COMMON ROOM'!AO19+'COMMON ROOM'!BA19</f>
        <v>10</v>
      </c>
      <c r="F19" s="94">
        <f>'COMMON ROOM'!F19+'COMMON ROOM'!R19+'COMMON ROOM'!AD19+'COMMON ROOM'!AP19+'COMMON ROOM'!BB19</f>
        <v>3</v>
      </c>
      <c r="G19" s="97"/>
      <c r="H19" s="97"/>
      <c r="I19" s="97"/>
      <c r="J19" s="97"/>
      <c r="K19" s="97"/>
      <c r="L19" s="97"/>
      <c r="M19" s="97"/>
      <c r="N19" s="97"/>
      <c r="O19" s="91"/>
      <c r="Q19" s="121">
        <f t="shared" si="1"/>
        <v>2849</v>
      </c>
      <c r="R19" s="443">
        <f t="shared" si="2"/>
        <v>2590</v>
      </c>
      <c r="S19" s="443">
        <f t="shared" si="3"/>
        <v>2590</v>
      </c>
      <c r="T19" s="444">
        <f t="shared" si="4"/>
        <v>777</v>
      </c>
      <c r="U19" s="444">
        <f t="shared" si="5"/>
        <v>0</v>
      </c>
      <c r="V19" s="444">
        <f t="shared" si="6"/>
        <v>0</v>
      </c>
      <c r="W19" s="444">
        <f t="shared" si="7"/>
        <v>0</v>
      </c>
      <c r="X19" s="444">
        <f t="shared" si="8"/>
        <v>0</v>
      </c>
      <c r="Y19" s="444">
        <f t="shared" si="9"/>
        <v>0</v>
      </c>
      <c r="Z19" s="445">
        <f t="shared" si="10"/>
        <v>0</v>
      </c>
      <c r="AA19" s="445">
        <f t="shared" si="11"/>
        <v>0</v>
      </c>
      <c r="AB19" s="446">
        <f t="shared" si="12"/>
        <v>0</v>
      </c>
      <c r="AC19" s="91"/>
    </row>
    <row r="20">
      <c r="A20" s="98" t="s">
        <v>63</v>
      </c>
      <c r="B20" s="442">
        <v>259.0</v>
      </c>
      <c r="C20" s="94">
        <f>'COMMON ROOM'!C20+'COMMON ROOM'!O20+'COMMON ROOM'!AA20+'COMMON ROOM'!AM20+'COMMON ROOM'!AY20</f>
        <v>9</v>
      </c>
      <c r="D20" s="94">
        <f>'COMMON ROOM'!D20+'COMMON ROOM'!P20+'COMMON ROOM'!AB20+'COMMON ROOM'!AN20+'COMMON ROOM'!AZ20</f>
        <v>7</v>
      </c>
      <c r="E20" s="94">
        <f>'COMMON ROOM'!E20+'COMMON ROOM'!Q20+'COMMON ROOM'!AC20+'COMMON ROOM'!AO20+'COMMON ROOM'!BA20</f>
        <v>9</v>
      </c>
      <c r="F20" s="94">
        <f>'COMMON ROOM'!F20+'COMMON ROOM'!R20+'COMMON ROOM'!AD20+'COMMON ROOM'!AP20+'COMMON ROOM'!BB20</f>
        <v>6</v>
      </c>
      <c r="G20" s="97"/>
      <c r="H20" s="97"/>
      <c r="I20" s="97"/>
      <c r="J20" s="97"/>
      <c r="K20" s="97"/>
      <c r="L20" s="97"/>
      <c r="M20" s="97"/>
      <c r="N20" s="97"/>
      <c r="O20" s="91"/>
      <c r="Q20" s="121">
        <f t="shared" si="1"/>
        <v>2331</v>
      </c>
      <c r="R20" s="443">
        <f t="shared" si="2"/>
        <v>1813</v>
      </c>
      <c r="S20" s="443">
        <f t="shared" si="3"/>
        <v>2331</v>
      </c>
      <c r="T20" s="444">
        <f t="shared" si="4"/>
        <v>1554</v>
      </c>
      <c r="U20" s="444">
        <f t="shared" si="5"/>
        <v>0</v>
      </c>
      <c r="V20" s="444">
        <f t="shared" si="6"/>
        <v>0</v>
      </c>
      <c r="W20" s="444">
        <f t="shared" si="7"/>
        <v>0</v>
      </c>
      <c r="X20" s="444">
        <f t="shared" si="8"/>
        <v>0</v>
      </c>
      <c r="Y20" s="444">
        <f t="shared" si="9"/>
        <v>0</v>
      </c>
      <c r="Z20" s="445">
        <f t="shared" si="10"/>
        <v>0</v>
      </c>
      <c r="AA20" s="445">
        <f t="shared" si="11"/>
        <v>0</v>
      </c>
      <c r="AB20" s="446">
        <f t="shared" si="12"/>
        <v>0</v>
      </c>
      <c r="AC20" s="91"/>
    </row>
    <row r="21">
      <c r="A21" s="98" t="s">
        <v>64</v>
      </c>
      <c r="B21" s="442">
        <v>259.0</v>
      </c>
      <c r="C21" s="94">
        <f>'COMMON ROOM'!C21+'COMMON ROOM'!O21+'COMMON ROOM'!AA21+'COMMON ROOM'!AM21+'COMMON ROOM'!AY21</f>
        <v>13</v>
      </c>
      <c r="D21" s="94">
        <f>'COMMON ROOM'!D21+'COMMON ROOM'!P21+'COMMON ROOM'!AB21+'COMMON ROOM'!AN21+'COMMON ROOM'!AZ21</f>
        <v>1</v>
      </c>
      <c r="E21" s="94">
        <f>'COMMON ROOM'!E21+'COMMON ROOM'!Q21+'COMMON ROOM'!AC21+'COMMON ROOM'!AO21+'COMMON ROOM'!BA21</f>
        <v>9</v>
      </c>
      <c r="F21" s="94">
        <f>'COMMON ROOM'!F21+'COMMON ROOM'!R21+'COMMON ROOM'!AD21+'COMMON ROOM'!AP21+'COMMON ROOM'!BB21</f>
        <v>2</v>
      </c>
      <c r="G21" s="97"/>
      <c r="H21" s="97"/>
      <c r="I21" s="97"/>
      <c r="J21" s="97"/>
      <c r="K21" s="97"/>
      <c r="L21" s="97"/>
      <c r="M21" s="97"/>
      <c r="N21" s="97"/>
      <c r="O21" s="91"/>
      <c r="Q21" s="121">
        <f t="shared" si="1"/>
        <v>3367</v>
      </c>
      <c r="R21" s="443">
        <f t="shared" si="2"/>
        <v>259</v>
      </c>
      <c r="S21" s="443">
        <f t="shared" si="3"/>
        <v>2331</v>
      </c>
      <c r="T21" s="444">
        <f t="shared" si="4"/>
        <v>518</v>
      </c>
      <c r="U21" s="444">
        <f t="shared" si="5"/>
        <v>0</v>
      </c>
      <c r="V21" s="444">
        <f t="shared" si="6"/>
        <v>0</v>
      </c>
      <c r="W21" s="444">
        <f t="shared" si="7"/>
        <v>0</v>
      </c>
      <c r="X21" s="444">
        <f t="shared" si="8"/>
        <v>0</v>
      </c>
      <c r="Y21" s="444">
        <f t="shared" si="9"/>
        <v>0</v>
      </c>
      <c r="Z21" s="445">
        <f t="shared" si="10"/>
        <v>0</v>
      </c>
      <c r="AA21" s="445">
        <f t="shared" si="11"/>
        <v>0</v>
      </c>
      <c r="AB21" s="446">
        <f t="shared" si="12"/>
        <v>0</v>
      </c>
      <c r="AC21" s="91"/>
    </row>
    <row r="22">
      <c r="A22" s="98" t="s">
        <v>65</v>
      </c>
      <c r="B22" s="442">
        <v>239.0</v>
      </c>
      <c r="C22" s="94">
        <f>'COMMON ROOM'!C22+'COMMON ROOM'!O22+'COMMON ROOM'!AA22+'COMMON ROOM'!AM22+'COMMON ROOM'!AY22</f>
        <v>9</v>
      </c>
      <c r="D22" s="94">
        <f>'COMMON ROOM'!D22+'COMMON ROOM'!P22+'COMMON ROOM'!AB22+'COMMON ROOM'!AN22+'COMMON ROOM'!AZ22</f>
        <v>22</v>
      </c>
      <c r="E22" s="94">
        <f>'COMMON ROOM'!E22+'COMMON ROOM'!Q22+'COMMON ROOM'!AC22+'COMMON ROOM'!AO22+'COMMON ROOM'!BA22</f>
        <v>7</v>
      </c>
      <c r="F22" s="94">
        <f>'COMMON ROOM'!F22+'COMMON ROOM'!R22+'COMMON ROOM'!AD22+'COMMON ROOM'!AP22+'COMMON ROOM'!BB22</f>
        <v>6</v>
      </c>
      <c r="G22" s="97"/>
      <c r="H22" s="97"/>
      <c r="I22" s="97"/>
      <c r="J22" s="97"/>
      <c r="K22" s="97"/>
      <c r="L22" s="97"/>
      <c r="M22" s="97"/>
      <c r="N22" s="97"/>
      <c r="O22" s="91"/>
      <c r="Q22" s="121">
        <f t="shared" si="1"/>
        <v>2151</v>
      </c>
      <c r="R22" s="443">
        <f t="shared" si="2"/>
        <v>5258</v>
      </c>
      <c r="S22" s="443">
        <f t="shared" si="3"/>
        <v>1673</v>
      </c>
      <c r="T22" s="444">
        <f t="shared" si="4"/>
        <v>1434</v>
      </c>
      <c r="U22" s="444">
        <f t="shared" si="5"/>
        <v>0</v>
      </c>
      <c r="V22" s="444">
        <f t="shared" si="6"/>
        <v>0</v>
      </c>
      <c r="W22" s="444">
        <f t="shared" si="7"/>
        <v>0</v>
      </c>
      <c r="X22" s="444">
        <f t="shared" si="8"/>
        <v>0</v>
      </c>
      <c r="Y22" s="444">
        <f t="shared" si="9"/>
        <v>0</v>
      </c>
      <c r="Z22" s="445">
        <f t="shared" si="10"/>
        <v>0</v>
      </c>
      <c r="AA22" s="445">
        <f t="shared" si="11"/>
        <v>0</v>
      </c>
      <c r="AB22" s="446">
        <f t="shared" si="12"/>
        <v>0</v>
      </c>
      <c r="AC22" s="91"/>
    </row>
    <row r="23">
      <c r="A23" s="98" t="s">
        <v>66</v>
      </c>
      <c r="B23" s="442">
        <v>239.0</v>
      </c>
      <c r="C23" s="94">
        <f>'COMMON ROOM'!C23+'COMMON ROOM'!O23+'COMMON ROOM'!AA23+'COMMON ROOM'!AM23+'COMMON ROOM'!AY23</f>
        <v>6</v>
      </c>
      <c r="D23" s="94">
        <f>'COMMON ROOM'!D23+'COMMON ROOM'!P23+'COMMON ROOM'!AB23+'COMMON ROOM'!AN23+'COMMON ROOM'!AZ23</f>
        <v>6</v>
      </c>
      <c r="E23" s="94">
        <f>'COMMON ROOM'!E23+'COMMON ROOM'!Q23+'COMMON ROOM'!AC23+'COMMON ROOM'!AO23+'COMMON ROOM'!BA23</f>
        <v>7</v>
      </c>
      <c r="F23" s="94">
        <f>'COMMON ROOM'!F23+'COMMON ROOM'!R23+'COMMON ROOM'!AD23+'COMMON ROOM'!AP23+'COMMON ROOM'!BB23</f>
        <v>7</v>
      </c>
      <c r="G23" s="97"/>
      <c r="H23" s="97"/>
      <c r="I23" s="97"/>
      <c r="J23" s="97"/>
      <c r="K23" s="97"/>
      <c r="L23" s="97"/>
      <c r="M23" s="97"/>
      <c r="N23" s="97"/>
      <c r="O23" s="91"/>
      <c r="Q23" s="121">
        <f t="shared" si="1"/>
        <v>1434</v>
      </c>
      <c r="R23" s="443">
        <f t="shared" si="2"/>
        <v>1434</v>
      </c>
      <c r="S23" s="443">
        <f t="shared" si="3"/>
        <v>1673</v>
      </c>
      <c r="T23" s="444">
        <f t="shared" si="4"/>
        <v>1673</v>
      </c>
      <c r="U23" s="444">
        <f t="shared" si="5"/>
        <v>0</v>
      </c>
      <c r="V23" s="444">
        <f t="shared" si="6"/>
        <v>0</v>
      </c>
      <c r="W23" s="444">
        <f t="shared" si="7"/>
        <v>0</v>
      </c>
      <c r="X23" s="444">
        <f t="shared" si="8"/>
        <v>0</v>
      </c>
      <c r="Y23" s="444">
        <f t="shared" si="9"/>
        <v>0</v>
      </c>
      <c r="Z23" s="445">
        <f t="shared" si="10"/>
        <v>0</v>
      </c>
      <c r="AA23" s="445">
        <f t="shared" si="11"/>
        <v>0</v>
      </c>
      <c r="AB23" s="446">
        <f t="shared" si="12"/>
        <v>0</v>
      </c>
      <c r="AC23" s="91"/>
    </row>
    <row r="24">
      <c r="A24" s="98" t="s">
        <v>67</v>
      </c>
      <c r="B24" s="442">
        <v>239.0</v>
      </c>
      <c r="C24" s="94">
        <f>'COMMON ROOM'!C24+'COMMON ROOM'!O24+'COMMON ROOM'!AA24+'COMMON ROOM'!AM24+'COMMON ROOM'!AY24</f>
        <v>3</v>
      </c>
      <c r="D24" s="94">
        <f>'COMMON ROOM'!D24+'COMMON ROOM'!P24+'COMMON ROOM'!AB24+'COMMON ROOM'!AN24+'COMMON ROOM'!AZ24</f>
        <v>3</v>
      </c>
      <c r="E24" s="94">
        <f>'COMMON ROOM'!E24+'COMMON ROOM'!Q24+'COMMON ROOM'!AC24+'COMMON ROOM'!AO24+'COMMON ROOM'!BA24</f>
        <v>1</v>
      </c>
      <c r="F24" s="94">
        <f>'COMMON ROOM'!F24+'COMMON ROOM'!R24+'COMMON ROOM'!AD24+'COMMON ROOM'!AP24+'COMMON ROOM'!BB24</f>
        <v>3</v>
      </c>
      <c r="G24" s="97"/>
      <c r="H24" s="97"/>
      <c r="I24" s="97"/>
      <c r="J24" s="97"/>
      <c r="K24" s="97"/>
      <c r="L24" s="97"/>
      <c r="M24" s="97"/>
      <c r="N24" s="97"/>
      <c r="O24" s="91"/>
      <c r="Q24" s="121">
        <f t="shared" si="1"/>
        <v>717</v>
      </c>
      <c r="R24" s="443">
        <f t="shared" si="2"/>
        <v>717</v>
      </c>
      <c r="S24" s="443">
        <f t="shared" si="3"/>
        <v>239</v>
      </c>
      <c r="T24" s="444">
        <f t="shared" si="4"/>
        <v>717</v>
      </c>
      <c r="U24" s="444">
        <f t="shared" si="5"/>
        <v>0</v>
      </c>
      <c r="V24" s="444">
        <f t="shared" si="6"/>
        <v>0</v>
      </c>
      <c r="W24" s="444">
        <f t="shared" si="7"/>
        <v>0</v>
      </c>
      <c r="X24" s="444">
        <f t="shared" si="8"/>
        <v>0</v>
      </c>
      <c r="Y24" s="444">
        <f t="shared" si="9"/>
        <v>0</v>
      </c>
      <c r="Z24" s="445">
        <f t="shared" si="10"/>
        <v>0</v>
      </c>
      <c r="AA24" s="445">
        <f t="shared" si="11"/>
        <v>0</v>
      </c>
      <c r="AB24" s="446">
        <f t="shared" si="12"/>
        <v>0</v>
      </c>
      <c r="AC24" s="91"/>
    </row>
    <row r="25" hidden="1">
      <c r="A25" s="98" t="s">
        <v>68</v>
      </c>
      <c r="B25" s="93">
        <v>219.0</v>
      </c>
      <c r="C25" s="94">
        <f>'COMMON ROOM'!C25+'COMMON ROOM'!O25+'COMMON ROOM'!AA25+'COMMON ROOM'!AM25+'COMMON ROOM'!AY25</f>
        <v>0</v>
      </c>
      <c r="D25" s="94">
        <f>'COMMON ROOM'!D25+'COMMON ROOM'!P25+'COMMON ROOM'!AB25+'COMMON ROOM'!AN25+'COMMON ROOM'!AZ25</f>
        <v>0</v>
      </c>
      <c r="E25" s="94">
        <f>'COMMON ROOM'!E25+'COMMON ROOM'!Q25+'COMMON ROOM'!AC25+'COMMON ROOM'!AO25+'COMMON ROOM'!BA25</f>
        <v>0</v>
      </c>
      <c r="F25" s="94">
        <f>'COMMON ROOM'!F25+'COMMON ROOM'!R25+'COMMON ROOM'!AD25+'COMMON ROOM'!AP25+'COMMON ROOM'!BB25</f>
        <v>0</v>
      </c>
      <c r="G25" s="97"/>
      <c r="H25" s="97"/>
      <c r="I25" s="97"/>
      <c r="J25" s="97"/>
      <c r="K25" s="97"/>
      <c r="L25" s="97"/>
      <c r="M25" s="97"/>
      <c r="N25" s="97"/>
      <c r="O25" s="91"/>
      <c r="Q25" s="121">
        <f t="shared" si="1"/>
        <v>0</v>
      </c>
      <c r="R25" s="443">
        <f t="shared" si="2"/>
        <v>0</v>
      </c>
      <c r="S25" s="443">
        <f t="shared" si="3"/>
        <v>0</v>
      </c>
      <c r="T25" s="444">
        <f t="shared" si="4"/>
        <v>0</v>
      </c>
      <c r="U25" s="444">
        <f t="shared" si="5"/>
        <v>0</v>
      </c>
      <c r="V25" s="444">
        <f t="shared" si="6"/>
        <v>0</v>
      </c>
      <c r="W25" s="444">
        <f t="shared" si="7"/>
        <v>0</v>
      </c>
      <c r="X25" s="444">
        <f t="shared" si="8"/>
        <v>0</v>
      </c>
      <c r="Y25" s="444">
        <f t="shared" si="9"/>
        <v>0</v>
      </c>
      <c r="Z25" s="445">
        <f t="shared" si="10"/>
        <v>0</v>
      </c>
      <c r="AA25" s="445">
        <f t="shared" si="11"/>
        <v>0</v>
      </c>
      <c r="AB25" s="446">
        <f t="shared" si="12"/>
        <v>0</v>
      </c>
      <c r="AC25" s="91"/>
    </row>
    <row r="26" hidden="1">
      <c r="A26" s="98" t="s">
        <v>69</v>
      </c>
      <c r="B26" s="93">
        <v>219.0</v>
      </c>
      <c r="C26" s="94">
        <f>'COMMON ROOM'!C26+'COMMON ROOM'!O26+'COMMON ROOM'!AA26+'COMMON ROOM'!AM26+'COMMON ROOM'!AY26</f>
        <v>0</v>
      </c>
      <c r="D26" s="94">
        <f>'COMMON ROOM'!D26+'COMMON ROOM'!P26+'COMMON ROOM'!AB26+'COMMON ROOM'!AN26+'COMMON ROOM'!AZ26</f>
        <v>0</v>
      </c>
      <c r="E26" s="94">
        <f>'COMMON ROOM'!E26+'COMMON ROOM'!Q26+'COMMON ROOM'!AC26+'COMMON ROOM'!AO26+'COMMON ROOM'!BA26</f>
        <v>0</v>
      </c>
      <c r="F26" s="94">
        <f>'COMMON ROOM'!F26+'COMMON ROOM'!R26+'COMMON ROOM'!AD26+'COMMON ROOM'!AP26+'COMMON ROOM'!BB26</f>
        <v>0</v>
      </c>
      <c r="G26" s="97"/>
      <c r="H26" s="97"/>
      <c r="I26" s="97"/>
      <c r="J26" s="97"/>
      <c r="K26" s="97"/>
      <c r="L26" s="97"/>
      <c r="M26" s="97"/>
      <c r="N26" s="97"/>
      <c r="O26" s="91"/>
      <c r="Q26" s="121">
        <f t="shared" si="1"/>
        <v>0</v>
      </c>
      <c r="R26" s="443">
        <f t="shared" si="2"/>
        <v>0</v>
      </c>
      <c r="S26" s="443">
        <f t="shared" si="3"/>
        <v>0</v>
      </c>
      <c r="T26" s="444">
        <f t="shared" si="4"/>
        <v>0</v>
      </c>
      <c r="U26" s="444">
        <f t="shared" si="5"/>
        <v>0</v>
      </c>
      <c r="V26" s="444">
        <f t="shared" si="6"/>
        <v>0</v>
      </c>
      <c r="W26" s="444">
        <f t="shared" si="7"/>
        <v>0</v>
      </c>
      <c r="X26" s="444">
        <f t="shared" si="8"/>
        <v>0</v>
      </c>
      <c r="Y26" s="444">
        <f t="shared" si="9"/>
        <v>0</v>
      </c>
      <c r="Z26" s="445">
        <f t="shared" si="10"/>
        <v>0</v>
      </c>
      <c r="AA26" s="445">
        <f t="shared" si="11"/>
        <v>0</v>
      </c>
      <c r="AB26" s="446">
        <f t="shared" si="12"/>
        <v>0</v>
      </c>
      <c r="AC26" s="91"/>
    </row>
    <row r="27">
      <c r="A27" s="101" t="s">
        <v>70</v>
      </c>
      <c r="B27" s="442">
        <v>819.0</v>
      </c>
      <c r="C27" s="94">
        <f>'COMMON ROOM'!C27+'COMMON ROOM'!O27+'COMMON ROOM'!AA27+'COMMON ROOM'!AM27+'COMMON ROOM'!AY27</f>
        <v>0</v>
      </c>
      <c r="D27" s="94">
        <f>'COMMON ROOM'!D27+'COMMON ROOM'!P27+'COMMON ROOM'!AB27+'COMMON ROOM'!AN27+'COMMON ROOM'!AZ27</f>
        <v>0</v>
      </c>
      <c r="E27" s="94">
        <f>'COMMON ROOM'!E27+'COMMON ROOM'!Q27+'COMMON ROOM'!AC27+'COMMON ROOM'!AO27+'COMMON ROOM'!BA27</f>
        <v>0</v>
      </c>
      <c r="F27" s="94">
        <f>'COMMON ROOM'!F27+'COMMON ROOM'!R27+'COMMON ROOM'!AD27+'COMMON ROOM'!AP27+'COMMON ROOM'!BB27</f>
        <v>0</v>
      </c>
      <c r="G27" s="97"/>
      <c r="H27" s="97"/>
      <c r="I27" s="97"/>
      <c r="J27" s="97"/>
      <c r="K27" s="97"/>
      <c r="L27" s="97"/>
      <c r="M27" s="97"/>
      <c r="N27" s="97"/>
      <c r="O27" s="91"/>
      <c r="Q27" s="121">
        <f t="shared" si="1"/>
        <v>0</v>
      </c>
      <c r="R27" s="443">
        <f t="shared" si="2"/>
        <v>0</v>
      </c>
      <c r="S27" s="443">
        <f t="shared" si="3"/>
        <v>0</v>
      </c>
      <c r="T27" s="444">
        <f t="shared" si="4"/>
        <v>0</v>
      </c>
      <c r="U27" s="444">
        <f t="shared" si="5"/>
        <v>0</v>
      </c>
      <c r="V27" s="444">
        <f t="shared" si="6"/>
        <v>0</v>
      </c>
      <c r="W27" s="444">
        <f t="shared" si="7"/>
        <v>0</v>
      </c>
      <c r="X27" s="444">
        <f t="shared" si="8"/>
        <v>0</v>
      </c>
      <c r="Y27" s="444">
        <f t="shared" si="9"/>
        <v>0</v>
      </c>
      <c r="Z27" s="445">
        <f t="shared" si="10"/>
        <v>0</v>
      </c>
      <c r="AA27" s="445">
        <f t="shared" si="11"/>
        <v>0</v>
      </c>
      <c r="AB27" s="446">
        <f t="shared" si="12"/>
        <v>0</v>
      </c>
      <c r="AC27" s="91"/>
    </row>
    <row r="28">
      <c r="A28" s="102" t="s">
        <v>71</v>
      </c>
      <c r="B28" s="442">
        <v>629.0</v>
      </c>
      <c r="C28" s="94">
        <f>'COMMON ROOM'!C28+'COMMON ROOM'!O28+'COMMON ROOM'!AA28+'COMMON ROOM'!AM28+'COMMON ROOM'!AY28</f>
        <v>3</v>
      </c>
      <c r="D28" s="94">
        <f>'COMMON ROOM'!D28+'COMMON ROOM'!P28+'COMMON ROOM'!AB28+'COMMON ROOM'!AN28+'COMMON ROOM'!AZ28</f>
        <v>3</v>
      </c>
      <c r="E28" s="94">
        <f>'COMMON ROOM'!E28+'COMMON ROOM'!Q28+'COMMON ROOM'!AC28+'COMMON ROOM'!AO28+'COMMON ROOM'!BA28</f>
        <v>4</v>
      </c>
      <c r="F28" s="94">
        <f>'COMMON ROOM'!F28+'COMMON ROOM'!R28+'COMMON ROOM'!AD28+'COMMON ROOM'!AP28+'COMMON ROOM'!BB28</f>
        <v>4</v>
      </c>
      <c r="G28" s="97"/>
      <c r="H28" s="97"/>
      <c r="I28" s="97"/>
      <c r="J28" s="97"/>
      <c r="K28" s="97"/>
      <c r="L28" s="97"/>
      <c r="M28" s="97"/>
      <c r="N28" s="97"/>
      <c r="O28" s="91"/>
      <c r="Q28" s="121">
        <f t="shared" si="1"/>
        <v>1887</v>
      </c>
      <c r="R28" s="443">
        <f t="shared" si="2"/>
        <v>1887</v>
      </c>
      <c r="S28" s="443">
        <f t="shared" si="3"/>
        <v>2516</v>
      </c>
      <c r="T28" s="444">
        <f t="shared" si="4"/>
        <v>2516</v>
      </c>
      <c r="U28" s="444">
        <f t="shared" si="5"/>
        <v>0</v>
      </c>
      <c r="V28" s="444">
        <f t="shared" si="6"/>
        <v>0</v>
      </c>
      <c r="W28" s="444">
        <f t="shared" si="7"/>
        <v>0</v>
      </c>
      <c r="X28" s="444">
        <f t="shared" si="8"/>
        <v>0</v>
      </c>
      <c r="Y28" s="444">
        <f t="shared" si="9"/>
        <v>0</v>
      </c>
      <c r="Z28" s="445">
        <f t="shared" si="10"/>
        <v>0</v>
      </c>
      <c r="AA28" s="445">
        <f t="shared" si="11"/>
        <v>0</v>
      </c>
      <c r="AB28" s="446">
        <f t="shared" si="12"/>
        <v>0</v>
      </c>
      <c r="AC28" s="91"/>
    </row>
    <row r="29">
      <c r="A29" s="101" t="s">
        <v>72</v>
      </c>
      <c r="B29" s="442">
        <v>349.0</v>
      </c>
      <c r="C29" s="94">
        <f>'COMMON ROOM'!C29+'COMMON ROOM'!O29+'COMMON ROOM'!AA29+'COMMON ROOM'!AM29+'COMMON ROOM'!AY29</f>
        <v>13</v>
      </c>
      <c r="D29" s="94">
        <f>'COMMON ROOM'!D29+'COMMON ROOM'!P29+'COMMON ROOM'!AB29+'COMMON ROOM'!AN29+'COMMON ROOM'!AZ29</f>
        <v>7</v>
      </c>
      <c r="E29" s="94">
        <f>'COMMON ROOM'!E29+'COMMON ROOM'!Q29+'COMMON ROOM'!AC29+'COMMON ROOM'!AO29+'COMMON ROOM'!BA29</f>
        <v>1</v>
      </c>
      <c r="F29" s="94">
        <f>'COMMON ROOM'!F29+'COMMON ROOM'!R29+'COMMON ROOM'!AD29+'COMMON ROOM'!AP29+'COMMON ROOM'!BB29</f>
        <v>8</v>
      </c>
      <c r="G29" s="97"/>
      <c r="H29" s="97"/>
      <c r="I29" s="97"/>
      <c r="J29" s="97"/>
      <c r="K29" s="97"/>
      <c r="L29" s="97"/>
      <c r="M29" s="97"/>
      <c r="N29" s="97"/>
      <c r="O29" s="91"/>
      <c r="Q29" s="121">
        <f t="shared" si="1"/>
        <v>4537</v>
      </c>
      <c r="R29" s="443">
        <f t="shared" si="2"/>
        <v>2443</v>
      </c>
      <c r="S29" s="443">
        <f t="shared" si="3"/>
        <v>349</v>
      </c>
      <c r="T29" s="444">
        <f t="shared" si="4"/>
        <v>2792</v>
      </c>
      <c r="U29" s="444">
        <f t="shared" si="5"/>
        <v>0</v>
      </c>
      <c r="V29" s="444">
        <f t="shared" si="6"/>
        <v>0</v>
      </c>
      <c r="W29" s="444">
        <f t="shared" si="7"/>
        <v>0</v>
      </c>
      <c r="X29" s="444">
        <f t="shared" si="8"/>
        <v>0</v>
      </c>
      <c r="Y29" s="444">
        <f t="shared" si="9"/>
        <v>0</v>
      </c>
      <c r="Z29" s="445">
        <f t="shared" si="10"/>
        <v>0</v>
      </c>
      <c r="AA29" s="445">
        <f t="shared" si="11"/>
        <v>0</v>
      </c>
      <c r="AB29" s="446">
        <f t="shared" si="12"/>
        <v>0</v>
      </c>
      <c r="AC29" s="91"/>
    </row>
    <row r="30">
      <c r="A30" s="101" t="s">
        <v>73</v>
      </c>
      <c r="B30" s="442">
        <v>349.0</v>
      </c>
      <c r="C30" s="94">
        <f>'COMMON ROOM'!C30+'COMMON ROOM'!O30+'COMMON ROOM'!AA30+'COMMON ROOM'!AM30+'COMMON ROOM'!AY30</f>
        <v>0</v>
      </c>
      <c r="D30" s="94">
        <f>'COMMON ROOM'!D30+'COMMON ROOM'!P30+'COMMON ROOM'!AB30+'COMMON ROOM'!AN30+'COMMON ROOM'!AZ30</f>
        <v>0</v>
      </c>
      <c r="E30" s="94">
        <f>'COMMON ROOM'!E30+'COMMON ROOM'!Q30+'COMMON ROOM'!AC30+'COMMON ROOM'!AO30+'COMMON ROOM'!BA30</f>
        <v>0</v>
      </c>
      <c r="F30" s="94">
        <f>'COMMON ROOM'!F30+'COMMON ROOM'!R30+'COMMON ROOM'!AD30+'COMMON ROOM'!AP30+'COMMON ROOM'!BB30</f>
        <v>0</v>
      </c>
      <c r="G30" s="97"/>
      <c r="H30" s="97"/>
      <c r="I30" s="97"/>
      <c r="J30" s="97"/>
      <c r="K30" s="97"/>
      <c r="L30" s="97"/>
      <c r="M30" s="97"/>
      <c r="N30" s="97"/>
      <c r="O30" s="91"/>
      <c r="Q30" s="121">
        <f t="shared" si="1"/>
        <v>0</v>
      </c>
      <c r="R30" s="443">
        <f t="shared" si="2"/>
        <v>0</v>
      </c>
      <c r="S30" s="443">
        <f t="shared" si="3"/>
        <v>0</v>
      </c>
      <c r="T30" s="444">
        <f t="shared" si="4"/>
        <v>0</v>
      </c>
      <c r="U30" s="444">
        <f t="shared" si="5"/>
        <v>0</v>
      </c>
      <c r="V30" s="444">
        <f t="shared" si="6"/>
        <v>0</v>
      </c>
      <c r="W30" s="444">
        <f t="shared" si="7"/>
        <v>0</v>
      </c>
      <c r="X30" s="444">
        <f t="shared" si="8"/>
        <v>0</v>
      </c>
      <c r="Y30" s="444">
        <f t="shared" si="9"/>
        <v>0</v>
      </c>
      <c r="Z30" s="445">
        <f t="shared" si="10"/>
        <v>0</v>
      </c>
      <c r="AA30" s="445">
        <f t="shared" si="11"/>
        <v>0</v>
      </c>
      <c r="AB30" s="446">
        <f t="shared" si="12"/>
        <v>0</v>
      </c>
      <c r="AC30" s="91"/>
    </row>
    <row r="31">
      <c r="A31" s="101" t="s">
        <v>74</v>
      </c>
      <c r="B31" s="442">
        <v>239.0</v>
      </c>
      <c r="C31" s="94">
        <f>'COMMON ROOM'!C31+'COMMON ROOM'!O31+'COMMON ROOM'!AA31+'COMMON ROOM'!AM31+'COMMON ROOM'!AY31</f>
        <v>3</v>
      </c>
      <c r="D31" s="94">
        <f>'COMMON ROOM'!D31+'COMMON ROOM'!P31+'COMMON ROOM'!AB31+'COMMON ROOM'!AN31+'COMMON ROOM'!AZ31</f>
        <v>4</v>
      </c>
      <c r="E31" s="94">
        <f>'COMMON ROOM'!E31+'COMMON ROOM'!Q31+'COMMON ROOM'!AC31+'COMMON ROOM'!AO31+'COMMON ROOM'!BA31</f>
        <v>7</v>
      </c>
      <c r="F31" s="94">
        <f>'COMMON ROOM'!F31+'COMMON ROOM'!R31+'COMMON ROOM'!AD31+'COMMON ROOM'!AP31+'COMMON ROOM'!BB31</f>
        <v>10</v>
      </c>
      <c r="G31" s="97"/>
      <c r="H31" s="97"/>
      <c r="I31" s="97"/>
      <c r="J31" s="97"/>
      <c r="K31" s="97"/>
      <c r="L31" s="97"/>
      <c r="M31" s="97"/>
      <c r="N31" s="97"/>
      <c r="O31" s="91"/>
      <c r="Q31" s="121">
        <f t="shared" si="1"/>
        <v>717</v>
      </c>
      <c r="R31" s="443">
        <f t="shared" si="2"/>
        <v>956</v>
      </c>
      <c r="S31" s="443">
        <f t="shared" si="3"/>
        <v>1673</v>
      </c>
      <c r="T31" s="444">
        <f t="shared" si="4"/>
        <v>2390</v>
      </c>
      <c r="U31" s="444">
        <f t="shared" si="5"/>
        <v>0</v>
      </c>
      <c r="V31" s="444">
        <f t="shared" si="6"/>
        <v>0</v>
      </c>
      <c r="W31" s="444">
        <f t="shared" si="7"/>
        <v>0</v>
      </c>
      <c r="X31" s="444">
        <f t="shared" si="8"/>
        <v>0</v>
      </c>
      <c r="Y31" s="444">
        <f t="shared" si="9"/>
        <v>0</v>
      </c>
      <c r="Z31" s="445">
        <f t="shared" si="10"/>
        <v>0</v>
      </c>
      <c r="AA31" s="445">
        <f t="shared" si="11"/>
        <v>0</v>
      </c>
      <c r="AB31" s="446">
        <f t="shared" si="12"/>
        <v>0</v>
      </c>
      <c r="AC31" s="91"/>
    </row>
    <row r="32">
      <c r="A32" s="101" t="s">
        <v>75</v>
      </c>
      <c r="B32" s="442">
        <v>239.0</v>
      </c>
      <c r="C32" s="94">
        <f>'COMMON ROOM'!C32+'COMMON ROOM'!O32+'COMMON ROOM'!AA32+'COMMON ROOM'!AM32+'COMMON ROOM'!AY32</f>
        <v>0</v>
      </c>
      <c r="D32" s="94">
        <f>'COMMON ROOM'!D32+'COMMON ROOM'!P32+'COMMON ROOM'!AB32+'COMMON ROOM'!AN32+'COMMON ROOM'!AZ32</f>
        <v>0</v>
      </c>
      <c r="E32" s="94">
        <f>'COMMON ROOM'!E32+'COMMON ROOM'!Q32+'COMMON ROOM'!AC32+'COMMON ROOM'!AO32+'COMMON ROOM'!BA32</f>
        <v>0</v>
      </c>
      <c r="F32" s="94">
        <f>'COMMON ROOM'!F32+'COMMON ROOM'!R32+'COMMON ROOM'!AD32+'COMMON ROOM'!AP32+'COMMON ROOM'!BB32</f>
        <v>0</v>
      </c>
      <c r="G32" s="97"/>
      <c r="H32" s="97"/>
      <c r="I32" s="97"/>
      <c r="J32" s="97"/>
      <c r="K32" s="97"/>
      <c r="L32" s="97"/>
      <c r="M32" s="97"/>
      <c r="N32" s="97"/>
      <c r="O32" s="91"/>
      <c r="Q32" s="121">
        <f t="shared" si="1"/>
        <v>0</v>
      </c>
      <c r="R32" s="443">
        <f t="shared" si="2"/>
        <v>0</v>
      </c>
      <c r="S32" s="443">
        <f t="shared" si="3"/>
        <v>0</v>
      </c>
      <c r="T32" s="444">
        <f t="shared" si="4"/>
        <v>0</v>
      </c>
      <c r="U32" s="444">
        <f t="shared" si="5"/>
        <v>0</v>
      </c>
      <c r="V32" s="444">
        <f t="shared" si="6"/>
        <v>0</v>
      </c>
      <c r="W32" s="444">
        <f t="shared" si="7"/>
        <v>0</v>
      </c>
      <c r="X32" s="444">
        <f t="shared" si="8"/>
        <v>0</v>
      </c>
      <c r="Y32" s="444">
        <f t="shared" si="9"/>
        <v>0</v>
      </c>
      <c r="Z32" s="445">
        <f t="shared" si="10"/>
        <v>0</v>
      </c>
      <c r="AA32" s="445">
        <f t="shared" si="11"/>
        <v>0</v>
      </c>
      <c r="AB32" s="446">
        <f t="shared" si="12"/>
        <v>0</v>
      </c>
      <c r="AC32" s="91"/>
    </row>
    <row r="33">
      <c r="A33" s="101" t="s">
        <v>76</v>
      </c>
      <c r="B33" s="442">
        <v>459.0</v>
      </c>
      <c r="C33" s="94">
        <f>'COMMON ROOM'!C33+'COMMON ROOM'!O33+'COMMON ROOM'!AA33+'COMMON ROOM'!AM33+'COMMON ROOM'!AY33</f>
        <v>4</v>
      </c>
      <c r="D33" s="94">
        <f>'COMMON ROOM'!D33+'COMMON ROOM'!P33+'COMMON ROOM'!AB33+'COMMON ROOM'!AN33+'COMMON ROOM'!AZ33</f>
        <v>6</v>
      </c>
      <c r="E33" s="94">
        <f>'COMMON ROOM'!E33+'COMMON ROOM'!Q33+'COMMON ROOM'!AC33+'COMMON ROOM'!AO33+'COMMON ROOM'!BA33</f>
        <v>6</v>
      </c>
      <c r="F33" s="94">
        <f>'COMMON ROOM'!F33+'COMMON ROOM'!R33+'COMMON ROOM'!AD33+'COMMON ROOM'!AP33+'COMMON ROOM'!BB33</f>
        <v>3</v>
      </c>
      <c r="G33" s="97"/>
      <c r="H33" s="97"/>
      <c r="I33" s="97"/>
      <c r="J33" s="97"/>
      <c r="K33" s="97"/>
      <c r="L33" s="97"/>
      <c r="M33" s="97"/>
      <c r="N33" s="97"/>
      <c r="O33" s="91"/>
      <c r="Q33" s="121">
        <f t="shared" si="1"/>
        <v>1836</v>
      </c>
      <c r="R33" s="443">
        <f t="shared" si="2"/>
        <v>2754</v>
      </c>
      <c r="S33" s="443">
        <f t="shared" si="3"/>
        <v>2754</v>
      </c>
      <c r="T33" s="444">
        <f t="shared" si="4"/>
        <v>1377</v>
      </c>
      <c r="U33" s="444">
        <f t="shared" si="5"/>
        <v>0</v>
      </c>
      <c r="V33" s="444">
        <f t="shared" si="6"/>
        <v>0</v>
      </c>
      <c r="W33" s="444">
        <f t="shared" si="7"/>
        <v>0</v>
      </c>
      <c r="X33" s="444">
        <f t="shared" si="8"/>
        <v>0</v>
      </c>
      <c r="Y33" s="444">
        <f t="shared" si="9"/>
        <v>0</v>
      </c>
      <c r="Z33" s="445">
        <f t="shared" si="10"/>
        <v>0</v>
      </c>
      <c r="AA33" s="445">
        <f t="shared" si="11"/>
        <v>0</v>
      </c>
      <c r="AB33" s="446">
        <f t="shared" si="12"/>
        <v>0</v>
      </c>
      <c r="AC33" s="91"/>
    </row>
    <row r="34">
      <c r="A34" s="101" t="s">
        <v>77</v>
      </c>
      <c r="B34" s="93">
        <v>899.0</v>
      </c>
      <c r="C34" s="94">
        <f>'COMMON ROOM'!C34+'COMMON ROOM'!O34+'COMMON ROOM'!AA34+'COMMON ROOM'!AM34+'COMMON ROOM'!AY34</f>
        <v>0</v>
      </c>
      <c r="D34" s="94">
        <f>'COMMON ROOM'!D34+'COMMON ROOM'!P34+'COMMON ROOM'!AB34+'COMMON ROOM'!AN34+'COMMON ROOM'!AZ34</f>
        <v>0</v>
      </c>
      <c r="E34" s="94">
        <f>'COMMON ROOM'!E34+'COMMON ROOM'!Q34+'COMMON ROOM'!AC34+'COMMON ROOM'!AO34+'COMMON ROOM'!BA34</f>
        <v>0</v>
      </c>
      <c r="F34" s="94">
        <f>'COMMON ROOM'!F34+'COMMON ROOM'!R34+'COMMON ROOM'!AD34+'COMMON ROOM'!AP34+'COMMON ROOM'!BB34</f>
        <v>0</v>
      </c>
      <c r="G34" s="97"/>
      <c r="H34" s="97"/>
      <c r="I34" s="97"/>
      <c r="J34" s="97"/>
      <c r="K34" s="97"/>
      <c r="L34" s="97"/>
      <c r="M34" s="97"/>
      <c r="N34" s="97"/>
      <c r="O34" s="91"/>
      <c r="Q34" s="121">
        <f t="shared" si="1"/>
        <v>0</v>
      </c>
      <c r="R34" s="443">
        <f t="shared" si="2"/>
        <v>0</v>
      </c>
      <c r="S34" s="443">
        <f t="shared" si="3"/>
        <v>0</v>
      </c>
      <c r="T34" s="444">
        <f t="shared" si="4"/>
        <v>0</v>
      </c>
      <c r="U34" s="444">
        <f t="shared" si="5"/>
        <v>0</v>
      </c>
      <c r="V34" s="444">
        <f t="shared" si="6"/>
        <v>0</v>
      </c>
      <c r="W34" s="444">
        <f t="shared" si="7"/>
        <v>0</v>
      </c>
      <c r="X34" s="444">
        <f t="shared" si="8"/>
        <v>0</v>
      </c>
      <c r="Y34" s="444">
        <f t="shared" si="9"/>
        <v>0</v>
      </c>
      <c r="Z34" s="445">
        <f t="shared" si="10"/>
        <v>0</v>
      </c>
      <c r="AA34" s="445">
        <f t="shared" si="11"/>
        <v>0</v>
      </c>
      <c r="AB34" s="446">
        <f t="shared" si="12"/>
        <v>0</v>
      </c>
      <c r="AC34" s="91"/>
    </row>
    <row r="35">
      <c r="A35" s="101" t="s">
        <v>78</v>
      </c>
      <c r="B35" s="442">
        <v>569.0</v>
      </c>
      <c r="C35" s="94">
        <f>'COMMON ROOM'!C35+'COMMON ROOM'!O35+'COMMON ROOM'!AA35+'COMMON ROOM'!AM35+'COMMON ROOM'!AY35</f>
        <v>10</v>
      </c>
      <c r="D35" s="94">
        <f>'COMMON ROOM'!D35+'COMMON ROOM'!P35+'COMMON ROOM'!AB35+'COMMON ROOM'!AN35+'COMMON ROOM'!AZ35</f>
        <v>2</v>
      </c>
      <c r="E35" s="94">
        <f>'COMMON ROOM'!E35+'COMMON ROOM'!Q35+'COMMON ROOM'!AC35+'COMMON ROOM'!AO35+'COMMON ROOM'!BA35</f>
        <v>2</v>
      </c>
      <c r="F35" s="94">
        <f>'COMMON ROOM'!F35+'COMMON ROOM'!R35+'COMMON ROOM'!AD35+'COMMON ROOM'!AP35+'COMMON ROOM'!BB35</f>
        <v>0</v>
      </c>
      <c r="G35" s="97"/>
      <c r="H35" s="97"/>
      <c r="I35" s="97"/>
      <c r="J35" s="97"/>
      <c r="K35" s="97"/>
      <c r="L35" s="97"/>
      <c r="M35" s="97"/>
      <c r="N35" s="97"/>
      <c r="O35" s="91"/>
      <c r="Q35" s="121">
        <f t="shared" si="1"/>
        <v>5690</v>
      </c>
      <c r="R35" s="443">
        <f t="shared" si="2"/>
        <v>1138</v>
      </c>
      <c r="S35" s="443">
        <f t="shared" si="3"/>
        <v>1138</v>
      </c>
      <c r="T35" s="444">
        <f t="shared" si="4"/>
        <v>0</v>
      </c>
      <c r="U35" s="444">
        <f t="shared" si="5"/>
        <v>0</v>
      </c>
      <c r="V35" s="444">
        <f t="shared" si="6"/>
        <v>0</v>
      </c>
      <c r="W35" s="444">
        <f t="shared" si="7"/>
        <v>0</v>
      </c>
      <c r="X35" s="444">
        <f t="shared" si="8"/>
        <v>0</v>
      </c>
      <c r="Y35" s="444">
        <f t="shared" si="9"/>
        <v>0</v>
      </c>
      <c r="Z35" s="445">
        <f t="shared" si="10"/>
        <v>0</v>
      </c>
      <c r="AA35" s="445">
        <f t="shared" si="11"/>
        <v>0</v>
      </c>
      <c r="AB35" s="446">
        <f t="shared" si="12"/>
        <v>0</v>
      </c>
      <c r="AC35" s="91"/>
    </row>
    <row r="36">
      <c r="A36" s="101" t="s">
        <v>79</v>
      </c>
      <c r="B36" s="442">
        <v>569.0</v>
      </c>
      <c r="C36" s="94">
        <f>'COMMON ROOM'!C36+'COMMON ROOM'!O36+'COMMON ROOM'!AA36+'COMMON ROOM'!AM36+'COMMON ROOM'!AY36</f>
        <v>6</v>
      </c>
      <c r="D36" s="94">
        <f>'COMMON ROOM'!D36+'COMMON ROOM'!P36+'COMMON ROOM'!AB36+'COMMON ROOM'!AN36+'COMMON ROOM'!AZ36</f>
        <v>2</v>
      </c>
      <c r="E36" s="94">
        <f>'COMMON ROOM'!E36+'COMMON ROOM'!Q36+'COMMON ROOM'!AC36+'COMMON ROOM'!AO36+'COMMON ROOM'!BA36</f>
        <v>5</v>
      </c>
      <c r="F36" s="94">
        <f>'COMMON ROOM'!F36+'COMMON ROOM'!R36+'COMMON ROOM'!AD36+'COMMON ROOM'!AP36+'COMMON ROOM'!BB36</f>
        <v>1</v>
      </c>
      <c r="G36" s="97"/>
      <c r="H36" s="97"/>
      <c r="I36" s="97"/>
      <c r="J36" s="97"/>
      <c r="K36" s="97"/>
      <c r="L36" s="97"/>
      <c r="M36" s="97"/>
      <c r="N36" s="97"/>
      <c r="O36" s="91"/>
      <c r="Q36" s="121">
        <f t="shared" si="1"/>
        <v>3414</v>
      </c>
      <c r="R36" s="443">
        <f t="shared" si="2"/>
        <v>1138</v>
      </c>
      <c r="S36" s="443">
        <f t="shared" si="3"/>
        <v>2845</v>
      </c>
      <c r="T36" s="444">
        <f t="shared" si="4"/>
        <v>569</v>
      </c>
      <c r="U36" s="444">
        <f t="shared" si="5"/>
        <v>0</v>
      </c>
      <c r="V36" s="444">
        <f t="shared" si="6"/>
        <v>0</v>
      </c>
      <c r="W36" s="444">
        <f t="shared" si="7"/>
        <v>0</v>
      </c>
      <c r="X36" s="444">
        <f t="shared" si="8"/>
        <v>0</v>
      </c>
      <c r="Y36" s="444">
        <f t="shared" si="9"/>
        <v>0</v>
      </c>
      <c r="Z36" s="445">
        <f t="shared" si="10"/>
        <v>0</v>
      </c>
      <c r="AA36" s="445">
        <f t="shared" si="11"/>
        <v>0</v>
      </c>
      <c r="AB36" s="446">
        <f t="shared" si="12"/>
        <v>0</v>
      </c>
      <c r="AC36" s="91"/>
    </row>
    <row r="37">
      <c r="A37" s="101" t="s">
        <v>80</v>
      </c>
      <c r="B37" s="442">
        <v>569.0</v>
      </c>
      <c r="C37" s="94">
        <f>'COMMON ROOM'!C37+'COMMON ROOM'!O37+'COMMON ROOM'!AA37+'COMMON ROOM'!AM37+'COMMON ROOM'!AY37</f>
        <v>2</v>
      </c>
      <c r="D37" s="94">
        <f>'COMMON ROOM'!D37+'COMMON ROOM'!P37+'COMMON ROOM'!AB37+'COMMON ROOM'!AN37+'COMMON ROOM'!AZ37</f>
        <v>4</v>
      </c>
      <c r="E37" s="94">
        <f>'COMMON ROOM'!E37+'COMMON ROOM'!Q37+'COMMON ROOM'!AC37+'COMMON ROOM'!AO37+'COMMON ROOM'!BA37</f>
        <v>0</v>
      </c>
      <c r="F37" s="94">
        <f>'COMMON ROOM'!F37+'COMMON ROOM'!R37+'COMMON ROOM'!AD37+'COMMON ROOM'!AP37+'COMMON ROOM'!BB37</f>
        <v>0</v>
      </c>
      <c r="G37" s="97"/>
      <c r="H37" s="97"/>
      <c r="I37" s="97"/>
      <c r="J37" s="97"/>
      <c r="K37" s="97"/>
      <c r="L37" s="97"/>
      <c r="M37" s="97"/>
      <c r="N37" s="97"/>
      <c r="O37" s="91"/>
      <c r="Q37" s="121">
        <f t="shared" si="1"/>
        <v>1138</v>
      </c>
      <c r="R37" s="443">
        <f t="shared" si="2"/>
        <v>2276</v>
      </c>
      <c r="S37" s="443">
        <f t="shared" si="3"/>
        <v>0</v>
      </c>
      <c r="T37" s="444">
        <f t="shared" si="4"/>
        <v>0</v>
      </c>
      <c r="U37" s="444">
        <f t="shared" si="5"/>
        <v>0</v>
      </c>
      <c r="V37" s="444">
        <f t="shared" si="6"/>
        <v>0</v>
      </c>
      <c r="W37" s="444">
        <f t="shared" si="7"/>
        <v>0</v>
      </c>
      <c r="X37" s="444">
        <f t="shared" si="8"/>
        <v>0</v>
      </c>
      <c r="Y37" s="444">
        <f t="shared" si="9"/>
        <v>0</v>
      </c>
      <c r="Z37" s="445">
        <f t="shared" si="10"/>
        <v>0</v>
      </c>
      <c r="AA37" s="445">
        <f t="shared" si="11"/>
        <v>0</v>
      </c>
      <c r="AB37" s="446">
        <f t="shared" si="12"/>
        <v>0</v>
      </c>
      <c r="AC37" s="91"/>
    </row>
    <row r="38">
      <c r="A38" s="102" t="s">
        <v>81</v>
      </c>
      <c r="B38" s="93">
        <v>799.0</v>
      </c>
      <c r="C38" s="94">
        <f>'COMMON ROOM'!C38+'COMMON ROOM'!O38+'COMMON ROOM'!AA38+'COMMON ROOM'!AM38+'COMMON ROOM'!AY38</f>
        <v>0</v>
      </c>
      <c r="D38" s="94">
        <f>'COMMON ROOM'!D38+'COMMON ROOM'!P38+'COMMON ROOM'!AB38+'COMMON ROOM'!AN38+'COMMON ROOM'!AZ38</f>
        <v>0</v>
      </c>
      <c r="E38" s="94">
        <f>'COMMON ROOM'!E38+'COMMON ROOM'!Q38+'COMMON ROOM'!AC38+'COMMON ROOM'!AO38+'COMMON ROOM'!BA38</f>
        <v>0</v>
      </c>
      <c r="F38" s="94">
        <f>'COMMON ROOM'!F38+'COMMON ROOM'!R38+'COMMON ROOM'!AD38+'COMMON ROOM'!AP38+'COMMON ROOM'!BB38</f>
        <v>0</v>
      </c>
      <c r="G38" s="97"/>
      <c r="H38" s="97"/>
      <c r="I38" s="97"/>
      <c r="J38" s="97"/>
      <c r="K38" s="97"/>
      <c r="L38" s="97"/>
      <c r="M38" s="97"/>
      <c r="N38" s="97"/>
      <c r="O38" s="91"/>
      <c r="Q38" s="121">
        <f t="shared" si="1"/>
        <v>0</v>
      </c>
      <c r="R38" s="443">
        <f t="shared" si="2"/>
        <v>0</v>
      </c>
      <c r="S38" s="443">
        <f t="shared" si="3"/>
        <v>0</v>
      </c>
      <c r="T38" s="444">
        <f t="shared" si="4"/>
        <v>0</v>
      </c>
      <c r="U38" s="444">
        <f t="shared" si="5"/>
        <v>0</v>
      </c>
      <c r="V38" s="444">
        <f t="shared" si="6"/>
        <v>0</v>
      </c>
      <c r="W38" s="444">
        <f t="shared" si="7"/>
        <v>0</v>
      </c>
      <c r="X38" s="444">
        <f t="shared" si="8"/>
        <v>0</v>
      </c>
      <c r="Y38" s="444">
        <f t="shared" si="9"/>
        <v>0</v>
      </c>
      <c r="Z38" s="445">
        <f t="shared" si="10"/>
        <v>0</v>
      </c>
      <c r="AA38" s="445">
        <f t="shared" si="11"/>
        <v>0</v>
      </c>
      <c r="AB38" s="446">
        <f t="shared" si="12"/>
        <v>0</v>
      </c>
      <c r="AC38" s="91"/>
    </row>
    <row r="39">
      <c r="A39" s="102" t="s">
        <v>82</v>
      </c>
      <c r="B39" s="93">
        <v>799.0</v>
      </c>
      <c r="C39" s="94">
        <f>'COMMON ROOM'!C39+'COMMON ROOM'!O39+'COMMON ROOM'!AA39+'COMMON ROOM'!AM39+'COMMON ROOM'!AY39</f>
        <v>0</v>
      </c>
      <c r="D39" s="94">
        <f>'COMMON ROOM'!D39+'COMMON ROOM'!P39+'COMMON ROOM'!AB39+'COMMON ROOM'!AN39+'COMMON ROOM'!AZ39</f>
        <v>0</v>
      </c>
      <c r="E39" s="94">
        <f>'COMMON ROOM'!E39+'COMMON ROOM'!Q39+'COMMON ROOM'!AC39+'COMMON ROOM'!AO39+'COMMON ROOM'!BA39</f>
        <v>0</v>
      </c>
      <c r="F39" s="94">
        <f>'COMMON ROOM'!F39+'COMMON ROOM'!R39+'COMMON ROOM'!AD39+'COMMON ROOM'!AP39+'COMMON ROOM'!BB39</f>
        <v>0</v>
      </c>
      <c r="G39" s="97"/>
      <c r="H39" s="97"/>
      <c r="I39" s="97"/>
      <c r="J39" s="97"/>
      <c r="K39" s="97"/>
      <c r="L39" s="97"/>
      <c r="M39" s="97"/>
      <c r="N39" s="97"/>
      <c r="O39" s="91"/>
      <c r="Q39" s="121">
        <f t="shared" si="1"/>
        <v>0</v>
      </c>
      <c r="R39" s="443">
        <f t="shared" si="2"/>
        <v>0</v>
      </c>
      <c r="S39" s="443">
        <f t="shared" si="3"/>
        <v>0</v>
      </c>
      <c r="T39" s="444">
        <f t="shared" si="4"/>
        <v>0</v>
      </c>
      <c r="U39" s="444">
        <f t="shared" si="5"/>
        <v>0</v>
      </c>
      <c r="V39" s="444">
        <f t="shared" si="6"/>
        <v>0</v>
      </c>
      <c r="W39" s="444">
        <f t="shared" si="7"/>
        <v>0</v>
      </c>
      <c r="X39" s="444">
        <f t="shared" si="8"/>
        <v>0</v>
      </c>
      <c r="Y39" s="444">
        <f t="shared" si="9"/>
        <v>0</v>
      </c>
      <c r="Z39" s="445">
        <f t="shared" si="10"/>
        <v>0</v>
      </c>
      <c r="AA39" s="445">
        <f t="shared" si="11"/>
        <v>0</v>
      </c>
      <c r="AB39" s="446">
        <f t="shared" si="12"/>
        <v>0</v>
      </c>
      <c r="AC39" s="91"/>
    </row>
    <row r="40">
      <c r="A40" s="101" t="s">
        <v>83</v>
      </c>
      <c r="B40" s="442">
        <v>459.0</v>
      </c>
      <c r="C40" s="94">
        <f>'COMMON ROOM'!C40+'COMMON ROOM'!O40+'COMMON ROOM'!AA40+'COMMON ROOM'!AM40+'COMMON ROOM'!AY40</f>
        <v>6</v>
      </c>
      <c r="D40" s="94">
        <f>'COMMON ROOM'!D40+'COMMON ROOM'!P40+'COMMON ROOM'!AB40+'COMMON ROOM'!AN40+'COMMON ROOM'!AZ40</f>
        <v>1</v>
      </c>
      <c r="E40" s="94">
        <f>'COMMON ROOM'!E40+'COMMON ROOM'!Q40+'COMMON ROOM'!AC40+'COMMON ROOM'!AO40+'COMMON ROOM'!BA40</f>
        <v>5</v>
      </c>
      <c r="F40" s="94">
        <f>'COMMON ROOM'!F40+'COMMON ROOM'!R40+'COMMON ROOM'!AD40+'COMMON ROOM'!AP40+'COMMON ROOM'!BB40</f>
        <v>2</v>
      </c>
      <c r="G40" s="97"/>
      <c r="H40" s="97"/>
      <c r="I40" s="97"/>
      <c r="J40" s="97"/>
      <c r="K40" s="97"/>
      <c r="L40" s="97"/>
      <c r="M40" s="97"/>
      <c r="N40" s="97"/>
      <c r="O40" s="91"/>
      <c r="Q40" s="121">
        <f t="shared" si="1"/>
        <v>2754</v>
      </c>
      <c r="R40" s="443">
        <f t="shared" si="2"/>
        <v>459</v>
      </c>
      <c r="S40" s="443">
        <f t="shared" si="3"/>
        <v>2295</v>
      </c>
      <c r="T40" s="444">
        <f t="shared" si="4"/>
        <v>918</v>
      </c>
      <c r="U40" s="444">
        <f t="shared" si="5"/>
        <v>0</v>
      </c>
      <c r="V40" s="444">
        <f t="shared" si="6"/>
        <v>0</v>
      </c>
      <c r="W40" s="444">
        <f t="shared" si="7"/>
        <v>0</v>
      </c>
      <c r="X40" s="444">
        <f t="shared" si="8"/>
        <v>0</v>
      </c>
      <c r="Y40" s="444">
        <f t="shared" si="9"/>
        <v>0</v>
      </c>
      <c r="Z40" s="445">
        <f t="shared" si="10"/>
        <v>0</v>
      </c>
      <c r="AA40" s="445">
        <f t="shared" si="11"/>
        <v>0</v>
      </c>
      <c r="AB40" s="446">
        <f t="shared" si="12"/>
        <v>0</v>
      </c>
      <c r="AC40" s="91"/>
    </row>
    <row r="41">
      <c r="A41" s="101" t="s">
        <v>84</v>
      </c>
      <c r="B41" s="442">
        <v>459.0</v>
      </c>
      <c r="C41" s="94">
        <f>'COMMON ROOM'!C41+'COMMON ROOM'!O41+'COMMON ROOM'!AA41+'COMMON ROOM'!AM41+'COMMON ROOM'!AY41</f>
        <v>3</v>
      </c>
      <c r="D41" s="94">
        <f>'COMMON ROOM'!D41+'COMMON ROOM'!P41+'COMMON ROOM'!AB41+'COMMON ROOM'!AN41+'COMMON ROOM'!AZ41</f>
        <v>0</v>
      </c>
      <c r="E41" s="94">
        <f>'COMMON ROOM'!E41+'COMMON ROOM'!Q41+'COMMON ROOM'!AC41+'COMMON ROOM'!AO41+'COMMON ROOM'!BA41</f>
        <v>1</v>
      </c>
      <c r="F41" s="94">
        <f>'COMMON ROOM'!F41+'COMMON ROOM'!R41+'COMMON ROOM'!AD41+'COMMON ROOM'!AP41+'COMMON ROOM'!BB41</f>
        <v>2</v>
      </c>
      <c r="G41" s="97"/>
      <c r="H41" s="97"/>
      <c r="I41" s="97"/>
      <c r="J41" s="97"/>
      <c r="K41" s="97"/>
      <c r="L41" s="97"/>
      <c r="M41" s="97"/>
      <c r="N41" s="97"/>
      <c r="O41" s="91"/>
      <c r="Q41" s="121">
        <f t="shared" si="1"/>
        <v>1377</v>
      </c>
      <c r="R41" s="443">
        <f t="shared" si="2"/>
        <v>0</v>
      </c>
      <c r="S41" s="443">
        <f t="shared" si="3"/>
        <v>459</v>
      </c>
      <c r="T41" s="444">
        <f t="shared" si="4"/>
        <v>918</v>
      </c>
      <c r="U41" s="444">
        <f t="shared" si="5"/>
        <v>0</v>
      </c>
      <c r="V41" s="444">
        <f t="shared" si="6"/>
        <v>0</v>
      </c>
      <c r="W41" s="444">
        <f t="shared" si="7"/>
        <v>0</v>
      </c>
      <c r="X41" s="444">
        <f t="shared" si="8"/>
        <v>0</v>
      </c>
      <c r="Y41" s="444">
        <f t="shared" si="9"/>
        <v>0</v>
      </c>
      <c r="Z41" s="445">
        <f t="shared" si="10"/>
        <v>0</v>
      </c>
      <c r="AA41" s="445">
        <f t="shared" si="11"/>
        <v>0</v>
      </c>
      <c r="AB41" s="446">
        <f t="shared" si="12"/>
        <v>0</v>
      </c>
      <c r="AC41" s="91"/>
    </row>
    <row r="42">
      <c r="A42" s="101" t="s">
        <v>85</v>
      </c>
      <c r="B42" s="93">
        <v>60.0</v>
      </c>
      <c r="C42" s="94">
        <f>'COMMON ROOM'!C42+'COMMON ROOM'!O42+'COMMON ROOM'!AA42+'COMMON ROOM'!AM42+'COMMON ROOM'!AY42</f>
        <v>0</v>
      </c>
      <c r="D42" s="94">
        <f>'COMMON ROOM'!D42+'COMMON ROOM'!P42+'COMMON ROOM'!AB42+'COMMON ROOM'!AN42+'COMMON ROOM'!AZ42</f>
        <v>0</v>
      </c>
      <c r="E42" s="94">
        <f>'COMMON ROOM'!E42+'COMMON ROOM'!Q42+'COMMON ROOM'!AC42+'COMMON ROOM'!AO42+'COMMON ROOM'!BA42</f>
        <v>0</v>
      </c>
      <c r="F42" s="94">
        <f>'COMMON ROOM'!F42+'COMMON ROOM'!R42+'COMMON ROOM'!AD42+'COMMON ROOM'!AP42+'COMMON ROOM'!BB42</f>
        <v>0</v>
      </c>
      <c r="G42" s="97"/>
      <c r="H42" s="97"/>
      <c r="I42" s="97"/>
      <c r="J42" s="97"/>
      <c r="K42" s="97"/>
      <c r="L42" s="97"/>
      <c r="M42" s="97"/>
      <c r="N42" s="97"/>
      <c r="O42" s="91"/>
      <c r="Q42" s="121">
        <f t="shared" si="1"/>
        <v>0</v>
      </c>
      <c r="R42" s="443">
        <f t="shared" si="2"/>
        <v>0</v>
      </c>
      <c r="S42" s="443">
        <f t="shared" si="3"/>
        <v>0</v>
      </c>
      <c r="T42" s="444">
        <f t="shared" si="4"/>
        <v>0</v>
      </c>
      <c r="U42" s="444">
        <f t="shared" si="5"/>
        <v>0</v>
      </c>
      <c r="V42" s="444">
        <f t="shared" si="6"/>
        <v>0</v>
      </c>
      <c r="W42" s="444">
        <f t="shared" si="7"/>
        <v>0</v>
      </c>
      <c r="X42" s="444">
        <f t="shared" si="8"/>
        <v>0</v>
      </c>
      <c r="Y42" s="444">
        <f t="shared" si="9"/>
        <v>0</v>
      </c>
      <c r="Z42" s="445">
        <f t="shared" si="10"/>
        <v>0</v>
      </c>
      <c r="AA42" s="445">
        <f t="shared" si="11"/>
        <v>0</v>
      </c>
      <c r="AB42" s="446">
        <f t="shared" si="12"/>
        <v>0</v>
      </c>
      <c r="AC42" s="91"/>
    </row>
    <row r="43">
      <c r="A43" s="101" t="s">
        <v>86</v>
      </c>
      <c r="B43" s="442">
        <v>629.0</v>
      </c>
      <c r="C43" s="94">
        <f>'COMMON ROOM'!C43+'COMMON ROOM'!O43+'COMMON ROOM'!AA43+'COMMON ROOM'!AM43+'COMMON ROOM'!AY43</f>
        <v>12</v>
      </c>
      <c r="D43" s="94">
        <f>'COMMON ROOM'!D43+'COMMON ROOM'!P43+'COMMON ROOM'!AB43+'COMMON ROOM'!AN43+'COMMON ROOM'!AZ43</f>
        <v>9</v>
      </c>
      <c r="E43" s="94">
        <f>'COMMON ROOM'!E43+'COMMON ROOM'!Q43+'COMMON ROOM'!AC43+'COMMON ROOM'!AO43+'COMMON ROOM'!BA43</f>
        <v>9</v>
      </c>
      <c r="F43" s="94">
        <f>'COMMON ROOM'!F43+'COMMON ROOM'!R43+'COMMON ROOM'!AD43+'COMMON ROOM'!AP43+'COMMON ROOM'!BB43</f>
        <v>10</v>
      </c>
      <c r="G43" s="97"/>
      <c r="H43" s="97"/>
      <c r="I43" s="97"/>
      <c r="J43" s="97"/>
      <c r="K43" s="97"/>
      <c r="L43" s="97"/>
      <c r="M43" s="97"/>
      <c r="N43" s="97"/>
      <c r="O43" s="91"/>
      <c r="Q43" s="121">
        <f t="shared" si="1"/>
        <v>7548</v>
      </c>
      <c r="R43" s="443">
        <f t="shared" si="2"/>
        <v>5661</v>
      </c>
      <c r="S43" s="443">
        <f t="shared" si="3"/>
        <v>5661</v>
      </c>
      <c r="T43" s="444">
        <f t="shared" si="4"/>
        <v>6290</v>
      </c>
      <c r="U43" s="444">
        <f t="shared" si="5"/>
        <v>0</v>
      </c>
      <c r="V43" s="444">
        <f t="shared" si="6"/>
        <v>0</v>
      </c>
      <c r="W43" s="444">
        <f t="shared" si="7"/>
        <v>0</v>
      </c>
      <c r="X43" s="444">
        <f t="shared" si="8"/>
        <v>0</v>
      </c>
      <c r="Y43" s="444">
        <f t="shared" si="9"/>
        <v>0</v>
      </c>
      <c r="Z43" s="445">
        <f t="shared" si="10"/>
        <v>0</v>
      </c>
      <c r="AA43" s="445">
        <f t="shared" si="11"/>
        <v>0</v>
      </c>
      <c r="AB43" s="446">
        <f t="shared" si="12"/>
        <v>0</v>
      </c>
      <c r="AC43" s="91"/>
    </row>
    <row r="44">
      <c r="A44" s="101" t="s">
        <v>87</v>
      </c>
      <c r="B44" s="442">
        <v>399.0</v>
      </c>
      <c r="C44" s="94">
        <f>'COMMON ROOM'!C44+'COMMON ROOM'!O44+'COMMON ROOM'!AA44+'COMMON ROOM'!AM44+'COMMON ROOM'!AY44</f>
        <v>1</v>
      </c>
      <c r="D44" s="94">
        <f>'COMMON ROOM'!D44+'COMMON ROOM'!P44+'COMMON ROOM'!AB44+'COMMON ROOM'!AN44+'COMMON ROOM'!AZ44</f>
        <v>0</v>
      </c>
      <c r="E44" s="94">
        <f>'COMMON ROOM'!E44+'COMMON ROOM'!Q44+'COMMON ROOM'!AC44+'COMMON ROOM'!AO44+'COMMON ROOM'!BA44</f>
        <v>2</v>
      </c>
      <c r="F44" s="94">
        <f>'COMMON ROOM'!F44+'COMMON ROOM'!R44+'COMMON ROOM'!AD44+'COMMON ROOM'!AP44+'COMMON ROOM'!BB44</f>
        <v>2</v>
      </c>
      <c r="G44" s="97"/>
      <c r="H44" s="97"/>
      <c r="I44" s="97"/>
      <c r="J44" s="97"/>
      <c r="K44" s="97"/>
      <c r="L44" s="97"/>
      <c r="M44" s="97"/>
      <c r="N44" s="97"/>
      <c r="O44" s="91"/>
      <c r="Q44" s="121">
        <f t="shared" si="1"/>
        <v>399</v>
      </c>
      <c r="R44" s="443">
        <f t="shared" si="2"/>
        <v>0</v>
      </c>
      <c r="S44" s="443">
        <f t="shared" si="3"/>
        <v>798</v>
      </c>
      <c r="T44" s="444">
        <f t="shared" si="4"/>
        <v>798</v>
      </c>
      <c r="U44" s="444">
        <f t="shared" si="5"/>
        <v>0</v>
      </c>
      <c r="V44" s="444">
        <f t="shared" si="6"/>
        <v>0</v>
      </c>
      <c r="W44" s="444">
        <f t="shared" si="7"/>
        <v>0</v>
      </c>
      <c r="X44" s="444">
        <f t="shared" si="8"/>
        <v>0</v>
      </c>
      <c r="Y44" s="444">
        <f t="shared" si="9"/>
        <v>0</v>
      </c>
      <c r="Z44" s="445">
        <f t="shared" si="10"/>
        <v>0</v>
      </c>
      <c r="AA44" s="445">
        <f t="shared" si="11"/>
        <v>0</v>
      </c>
      <c r="AB44" s="446">
        <f t="shared" si="12"/>
        <v>0</v>
      </c>
      <c r="AC44" s="91"/>
    </row>
    <row r="45">
      <c r="A45" s="101" t="s">
        <v>88</v>
      </c>
      <c r="B45" s="442">
        <v>399.0</v>
      </c>
      <c r="C45" s="94">
        <f>'COMMON ROOM'!C45+'COMMON ROOM'!O45+'COMMON ROOM'!AA45+'COMMON ROOM'!AM45+'COMMON ROOM'!AY45</f>
        <v>1</v>
      </c>
      <c r="D45" s="94">
        <f>'COMMON ROOM'!D45+'COMMON ROOM'!P45+'COMMON ROOM'!AB45+'COMMON ROOM'!AN45+'COMMON ROOM'!AZ45</f>
        <v>1</v>
      </c>
      <c r="E45" s="94">
        <f>'COMMON ROOM'!E45+'COMMON ROOM'!Q45+'COMMON ROOM'!AC45+'COMMON ROOM'!AO45+'COMMON ROOM'!BA45</f>
        <v>0</v>
      </c>
      <c r="F45" s="94">
        <f>'COMMON ROOM'!F45+'COMMON ROOM'!R45+'COMMON ROOM'!AD45+'COMMON ROOM'!AP45+'COMMON ROOM'!BB45</f>
        <v>0</v>
      </c>
      <c r="G45" s="97"/>
      <c r="H45" s="97"/>
      <c r="I45" s="97"/>
      <c r="J45" s="97"/>
      <c r="K45" s="97"/>
      <c r="L45" s="97"/>
      <c r="M45" s="97"/>
      <c r="N45" s="97"/>
      <c r="O45" s="91"/>
      <c r="Q45" s="121">
        <f t="shared" si="1"/>
        <v>399</v>
      </c>
      <c r="R45" s="443">
        <f t="shared" si="2"/>
        <v>399</v>
      </c>
      <c r="S45" s="443">
        <f t="shared" si="3"/>
        <v>0</v>
      </c>
      <c r="T45" s="444">
        <f t="shared" si="4"/>
        <v>0</v>
      </c>
      <c r="U45" s="444">
        <f t="shared" si="5"/>
        <v>0</v>
      </c>
      <c r="V45" s="444">
        <f t="shared" si="6"/>
        <v>0</v>
      </c>
      <c r="W45" s="444">
        <f t="shared" si="7"/>
        <v>0</v>
      </c>
      <c r="X45" s="444">
        <f t="shared" si="8"/>
        <v>0</v>
      </c>
      <c r="Y45" s="444">
        <f t="shared" si="9"/>
        <v>0</v>
      </c>
      <c r="Z45" s="445">
        <f t="shared" si="10"/>
        <v>0</v>
      </c>
      <c r="AA45" s="445">
        <f t="shared" si="11"/>
        <v>0</v>
      </c>
      <c r="AB45" s="446">
        <f t="shared" si="12"/>
        <v>0</v>
      </c>
      <c r="AC45" s="91"/>
    </row>
    <row r="46">
      <c r="A46" s="101" t="s">
        <v>89</v>
      </c>
      <c r="B46" s="93">
        <v>1299.0</v>
      </c>
      <c r="C46" s="94">
        <f>'COMMON ROOM'!C46+'COMMON ROOM'!O46+'COMMON ROOM'!AA46+'COMMON ROOM'!AM46+'COMMON ROOM'!AY46</f>
        <v>0</v>
      </c>
      <c r="D46" s="94">
        <f>'COMMON ROOM'!D46+'COMMON ROOM'!P46+'COMMON ROOM'!AB46+'COMMON ROOM'!AN46+'COMMON ROOM'!AZ46</f>
        <v>0</v>
      </c>
      <c r="E46" s="94">
        <f>'COMMON ROOM'!E46+'COMMON ROOM'!Q46+'COMMON ROOM'!AC46+'COMMON ROOM'!AO46+'COMMON ROOM'!BA46</f>
        <v>0</v>
      </c>
      <c r="F46" s="94">
        <f>'COMMON ROOM'!F46+'COMMON ROOM'!R46+'COMMON ROOM'!AD46+'COMMON ROOM'!AP46+'COMMON ROOM'!BB46</f>
        <v>0</v>
      </c>
      <c r="G46" s="97"/>
      <c r="H46" s="97"/>
      <c r="I46" s="97"/>
      <c r="J46" s="97"/>
      <c r="K46" s="97"/>
      <c r="L46" s="97"/>
      <c r="M46" s="97"/>
      <c r="N46" s="97"/>
      <c r="O46" s="91"/>
      <c r="Q46" s="121">
        <f t="shared" si="1"/>
        <v>0</v>
      </c>
      <c r="R46" s="443">
        <f t="shared" si="2"/>
        <v>0</v>
      </c>
      <c r="S46" s="443">
        <f t="shared" si="3"/>
        <v>0</v>
      </c>
      <c r="T46" s="444">
        <f t="shared" si="4"/>
        <v>0</v>
      </c>
      <c r="U46" s="444">
        <f t="shared" si="5"/>
        <v>0</v>
      </c>
      <c r="V46" s="444">
        <f t="shared" si="6"/>
        <v>0</v>
      </c>
      <c r="W46" s="444">
        <f t="shared" si="7"/>
        <v>0</v>
      </c>
      <c r="X46" s="444">
        <f t="shared" si="8"/>
        <v>0</v>
      </c>
      <c r="Y46" s="444">
        <f t="shared" si="9"/>
        <v>0</v>
      </c>
      <c r="Z46" s="445">
        <f t="shared" si="10"/>
        <v>0</v>
      </c>
      <c r="AA46" s="445">
        <f t="shared" si="11"/>
        <v>0</v>
      </c>
      <c r="AB46" s="446">
        <f t="shared" si="12"/>
        <v>0</v>
      </c>
      <c r="AC46" s="91"/>
    </row>
    <row r="47">
      <c r="A47" s="67" t="s">
        <v>90</v>
      </c>
      <c r="B47" s="93">
        <v>1299.0</v>
      </c>
      <c r="C47" s="94">
        <f>'COMMON ROOM'!C47+'COMMON ROOM'!O47+'COMMON ROOM'!AA47+'COMMON ROOM'!AM47+'COMMON ROOM'!AY47</f>
        <v>0</v>
      </c>
      <c r="D47" s="94">
        <f>'COMMON ROOM'!D47+'COMMON ROOM'!P47+'COMMON ROOM'!AB47+'COMMON ROOM'!AN47+'COMMON ROOM'!AZ47</f>
        <v>0</v>
      </c>
      <c r="E47" s="94">
        <f>'COMMON ROOM'!E47+'COMMON ROOM'!Q47+'COMMON ROOM'!AC47+'COMMON ROOM'!AO47+'COMMON ROOM'!BA47</f>
        <v>0</v>
      </c>
      <c r="F47" s="94">
        <f>'COMMON ROOM'!F47+'COMMON ROOM'!R47+'COMMON ROOM'!AD47+'COMMON ROOM'!AP47+'COMMON ROOM'!BB47</f>
        <v>0</v>
      </c>
      <c r="G47" s="97"/>
      <c r="H47" s="97"/>
      <c r="I47" s="97"/>
      <c r="J47" s="97"/>
      <c r="K47" s="97"/>
      <c r="L47" s="97"/>
      <c r="M47" s="97"/>
      <c r="N47" s="97"/>
      <c r="O47" s="91"/>
      <c r="Q47" s="121">
        <f t="shared" si="1"/>
        <v>0</v>
      </c>
      <c r="R47" s="443">
        <f t="shared" si="2"/>
        <v>0</v>
      </c>
      <c r="S47" s="443">
        <f t="shared" si="3"/>
        <v>0</v>
      </c>
      <c r="T47" s="444">
        <f t="shared" si="4"/>
        <v>0</v>
      </c>
      <c r="U47" s="444">
        <f t="shared" si="5"/>
        <v>0</v>
      </c>
      <c r="V47" s="444">
        <f t="shared" si="6"/>
        <v>0</v>
      </c>
      <c r="W47" s="444">
        <f t="shared" si="7"/>
        <v>0</v>
      </c>
      <c r="X47" s="444">
        <f t="shared" si="8"/>
        <v>0</v>
      </c>
      <c r="Y47" s="444">
        <f t="shared" si="9"/>
        <v>0</v>
      </c>
      <c r="Z47" s="445">
        <f t="shared" si="10"/>
        <v>0</v>
      </c>
      <c r="AA47" s="445">
        <f t="shared" si="11"/>
        <v>0</v>
      </c>
      <c r="AB47" s="446">
        <f t="shared" si="12"/>
        <v>0</v>
      </c>
      <c r="AC47" s="91"/>
    </row>
    <row r="48">
      <c r="A48" s="101" t="s">
        <v>91</v>
      </c>
      <c r="B48" s="103">
        <v>0.0</v>
      </c>
      <c r="C48" s="94">
        <f>'COMMON ROOM'!C48+'COMMON ROOM'!O48+'COMMON ROOM'!AA48+'COMMON ROOM'!AM48+'COMMON ROOM'!AY48</f>
        <v>0</v>
      </c>
      <c r="D48" s="94">
        <f>'COMMON ROOM'!D48+'COMMON ROOM'!P48+'COMMON ROOM'!AB48+'COMMON ROOM'!AN48+'COMMON ROOM'!AZ48</f>
        <v>0</v>
      </c>
      <c r="E48" s="94">
        <f>'COMMON ROOM'!E48+'COMMON ROOM'!Q48+'COMMON ROOM'!AC48+'COMMON ROOM'!AO48+'COMMON ROOM'!BA48</f>
        <v>0</v>
      </c>
      <c r="F48" s="94">
        <f>'COMMON ROOM'!F48+'COMMON ROOM'!R48+'COMMON ROOM'!AD48+'COMMON ROOM'!AP48+'COMMON ROOM'!BB48</f>
        <v>0</v>
      </c>
      <c r="G48" s="97"/>
      <c r="H48" s="97"/>
      <c r="I48" s="97"/>
      <c r="J48" s="97"/>
      <c r="K48" s="97"/>
      <c r="L48" s="97"/>
      <c r="M48" s="97"/>
      <c r="N48" s="97"/>
      <c r="O48" s="91"/>
      <c r="Q48" s="121">
        <f t="shared" si="1"/>
        <v>0</v>
      </c>
      <c r="R48" s="443">
        <f t="shared" si="2"/>
        <v>0</v>
      </c>
      <c r="S48" s="443">
        <f t="shared" si="3"/>
        <v>0</v>
      </c>
      <c r="T48" s="444">
        <f t="shared" si="4"/>
        <v>0</v>
      </c>
      <c r="U48" s="444">
        <f t="shared" si="5"/>
        <v>0</v>
      </c>
      <c r="V48" s="444">
        <f t="shared" si="6"/>
        <v>0</v>
      </c>
      <c r="W48" s="444">
        <f t="shared" si="7"/>
        <v>0</v>
      </c>
      <c r="X48" s="444">
        <f t="shared" si="8"/>
        <v>0</v>
      </c>
      <c r="Y48" s="444">
        <f t="shared" si="9"/>
        <v>0</v>
      </c>
      <c r="Z48" s="445">
        <f t="shared" si="10"/>
        <v>0</v>
      </c>
      <c r="AA48" s="445">
        <f t="shared" si="11"/>
        <v>0</v>
      </c>
      <c r="AB48" s="446">
        <f t="shared" si="12"/>
        <v>0</v>
      </c>
      <c r="AC48" s="91"/>
    </row>
    <row r="49">
      <c r="A49" s="104"/>
      <c r="B49" s="105"/>
      <c r="C49" s="94">
        <f>'COMMON ROOM'!C49+'COMMON ROOM'!O49+'COMMON ROOM'!AA49+'COMMON ROOM'!AM49+'COMMON ROOM'!AY49</f>
        <v>0</v>
      </c>
      <c r="D49" s="94">
        <f>'COMMON ROOM'!D49+'COMMON ROOM'!P49+'COMMON ROOM'!AB49+'COMMON ROOM'!AN49+'COMMON ROOM'!AZ49</f>
        <v>0</v>
      </c>
      <c r="E49" s="94">
        <f>'COMMON ROOM'!E49+'COMMON ROOM'!Q49+'COMMON ROOM'!AC49+'COMMON ROOM'!AO49+'COMMON ROOM'!BA49</f>
        <v>0</v>
      </c>
      <c r="F49" s="94">
        <f>'COMMON ROOM'!F49+'COMMON ROOM'!R49+'COMMON ROOM'!AD49+'COMMON ROOM'!AP49+'COMMON ROOM'!BB49</f>
        <v>0</v>
      </c>
      <c r="G49" s="97"/>
      <c r="H49" s="97"/>
      <c r="I49" s="97"/>
      <c r="J49" s="97"/>
      <c r="K49" s="97"/>
      <c r="L49" s="97"/>
      <c r="M49" s="97"/>
      <c r="N49" s="97"/>
      <c r="O49" s="91"/>
      <c r="Q49" s="121">
        <f t="shared" si="1"/>
        <v>0</v>
      </c>
      <c r="R49" s="443">
        <f t="shared" si="2"/>
        <v>0</v>
      </c>
      <c r="S49" s="443">
        <f t="shared" si="3"/>
        <v>0</v>
      </c>
      <c r="T49" s="444">
        <f t="shared" si="4"/>
        <v>0</v>
      </c>
      <c r="U49" s="444">
        <f t="shared" si="5"/>
        <v>0</v>
      </c>
      <c r="V49" s="444">
        <f t="shared" si="6"/>
        <v>0</v>
      </c>
      <c r="W49" s="444">
        <f t="shared" si="7"/>
        <v>0</v>
      </c>
      <c r="X49" s="444">
        <f t="shared" si="8"/>
        <v>0</v>
      </c>
      <c r="Y49" s="444">
        <f t="shared" si="9"/>
        <v>0</v>
      </c>
      <c r="Z49" s="445">
        <f t="shared" si="10"/>
        <v>0</v>
      </c>
      <c r="AA49" s="445">
        <f t="shared" si="11"/>
        <v>0</v>
      </c>
      <c r="AB49" s="446">
        <f t="shared" si="12"/>
        <v>0</v>
      </c>
      <c r="AC49" s="91"/>
    </row>
    <row r="50">
      <c r="A50" s="102" t="s">
        <v>92</v>
      </c>
      <c r="B50" s="447">
        <v>629.0</v>
      </c>
      <c r="C50" s="94">
        <f>'COMMON ROOM'!C50+'COMMON ROOM'!O50+'COMMON ROOM'!AA50+'COMMON ROOM'!AM50+'COMMON ROOM'!AY50</f>
        <v>24</v>
      </c>
      <c r="D50" s="94">
        <f>'COMMON ROOM'!D50+'COMMON ROOM'!P50+'COMMON ROOM'!AB50+'COMMON ROOM'!AN50+'COMMON ROOM'!AZ50</f>
        <v>22</v>
      </c>
      <c r="E50" s="94">
        <f>'COMMON ROOM'!E50+'COMMON ROOM'!Q50+'COMMON ROOM'!AC50+'COMMON ROOM'!AO50+'COMMON ROOM'!BA50</f>
        <v>6</v>
      </c>
      <c r="F50" s="94">
        <f>'COMMON ROOM'!F50+'COMMON ROOM'!R50+'COMMON ROOM'!AD50+'COMMON ROOM'!AP50+'COMMON ROOM'!BB50</f>
        <v>18</v>
      </c>
      <c r="G50" s="97"/>
      <c r="H50" s="97"/>
      <c r="I50" s="97"/>
      <c r="J50" s="97"/>
      <c r="K50" s="97"/>
      <c r="L50" s="97"/>
      <c r="M50" s="97"/>
      <c r="N50" s="97"/>
      <c r="O50" s="91"/>
      <c r="Q50" s="121">
        <f t="shared" si="1"/>
        <v>15096</v>
      </c>
      <c r="R50" s="443">
        <f t="shared" si="2"/>
        <v>13838</v>
      </c>
      <c r="S50" s="443">
        <f t="shared" si="3"/>
        <v>3774</v>
      </c>
      <c r="T50" s="444">
        <f t="shared" si="4"/>
        <v>11322</v>
      </c>
      <c r="U50" s="444">
        <f t="shared" si="5"/>
        <v>0</v>
      </c>
      <c r="V50" s="444">
        <f t="shared" si="6"/>
        <v>0</v>
      </c>
      <c r="W50" s="444">
        <f t="shared" si="7"/>
        <v>0</v>
      </c>
      <c r="X50" s="444">
        <f t="shared" si="8"/>
        <v>0</v>
      </c>
      <c r="Y50" s="444">
        <f t="shared" si="9"/>
        <v>0</v>
      </c>
      <c r="Z50" s="445">
        <f t="shared" si="10"/>
        <v>0</v>
      </c>
      <c r="AA50" s="445">
        <f t="shared" si="11"/>
        <v>0</v>
      </c>
      <c r="AB50" s="446">
        <f t="shared" si="12"/>
        <v>0</v>
      </c>
      <c r="AC50" s="91"/>
    </row>
    <row r="51">
      <c r="A51" s="102" t="s">
        <v>93</v>
      </c>
      <c r="B51" s="442">
        <v>629.0</v>
      </c>
      <c r="C51" s="94">
        <f>'COMMON ROOM'!C51+'COMMON ROOM'!O51+'COMMON ROOM'!AA51+'COMMON ROOM'!AM51+'COMMON ROOM'!AY51</f>
        <v>12</v>
      </c>
      <c r="D51" s="94">
        <f>'COMMON ROOM'!D51+'COMMON ROOM'!P51+'COMMON ROOM'!AB51+'COMMON ROOM'!AN51+'COMMON ROOM'!AZ51</f>
        <v>18</v>
      </c>
      <c r="E51" s="94">
        <f>'COMMON ROOM'!E51+'COMMON ROOM'!Q51+'COMMON ROOM'!AC51+'COMMON ROOM'!AO51+'COMMON ROOM'!BA51</f>
        <v>8</v>
      </c>
      <c r="F51" s="94">
        <f>'COMMON ROOM'!F51+'COMMON ROOM'!R51+'COMMON ROOM'!AD51+'COMMON ROOM'!AP51+'COMMON ROOM'!BB51</f>
        <v>9</v>
      </c>
      <c r="G51" s="97"/>
      <c r="H51" s="97"/>
      <c r="I51" s="97"/>
      <c r="J51" s="97"/>
      <c r="K51" s="97"/>
      <c r="L51" s="97"/>
      <c r="M51" s="97"/>
      <c r="N51" s="97"/>
      <c r="O51" s="91"/>
      <c r="Q51" s="121">
        <f t="shared" si="1"/>
        <v>7548</v>
      </c>
      <c r="R51" s="443">
        <f t="shared" si="2"/>
        <v>11322</v>
      </c>
      <c r="S51" s="443">
        <f t="shared" si="3"/>
        <v>5032</v>
      </c>
      <c r="T51" s="444">
        <f t="shared" si="4"/>
        <v>5661</v>
      </c>
      <c r="U51" s="444">
        <f t="shared" si="5"/>
        <v>0</v>
      </c>
      <c r="V51" s="444">
        <f t="shared" si="6"/>
        <v>0</v>
      </c>
      <c r="W51" s="444">
        <f t="shared" si="7"/>
        <v>0</v>
      </c>
      <c r="X51" s="444">
        <f t="shared" si="8"/>
        <v>0</v>
      </c>
      <c r="Y51" s="444">
        <f t="shared" si="9"/>
        <v>0</v>
      </c>
      <c r="Z51" s="445">
        <f t="shared" si="10"/>
        <v>0</v>
      </c>
      <c r="AA51" s="445">
        <f t="shared" si="11"/>
        <v>0</v>
      </c>
      <c r="AB51" s="446">
        <f t="shared" si="12"/>
        <v>0</v>
      </c>
      <c r="AC51" s="91"/>
    </row>
    <row r="52">
      <c r="A52" s="102" t="s">
        <v>94</v>
      </c>
      <c r="B52" s="442">
        <v>349.0</v>
      </c>
      <c r="C52" s="94">
        <f>'COMMON ROOM'!C52+'COMMON ROOM'!O52+'COMMON ROOM'!AA52+'COMMON ROOM'!AM52+'COMMON ROOM'!AY52</f>
        <v>2</v>
      </c>
      <c r="D52" s="94">
        <f>'COMMON ROOM'!D52+'COMMON ROOM'!P52+'COMMON ROOM'!AB52+'COMMON ROOM'!AN52+'COMMON ROOM'!AZ52</f>
        <v>1</v>
      </c>
      <c r="E52" s="94">
        <f>'COMMON ROOM'!E52+'COMMON ROOM'!Q52+'COMMON ROOM'!AC52+'COMMON ROOM'!AO52+'COMMON ROOM'!BA52</f>
        <v>0</v>
      </c>
      <c r="F52" s="94">
        <f>'COMMON ROOM'!F52+'COMMON ROOM'!R52+'COMMON ROOM'!AD52+'COMMON ROOM'!AP52+'COMMON ROOM'!BB52</f>
        <v>0</v>
      </c>
      <c r="G52" s="97"/>
      <c r="H52" s="97"/>
      <c r="I52" s="97"/>
      <c r="J52" s="97"/>
      <c r="K52" s="97"/>
      <c r="L52" s="97"/>
      <c r="M52" s="97"/>
      <c r="N52" s="97"/>
      <c r="O52" s="91"/>
      <c r="Q52" s="121">
        <f t="shared" si="1"/>
        <v>698</v>
      </c>
      <c r="R52" s="443">
        <f t="shared" si="2"/>
        <v>349</v>
      </c>
      <c r="S52" s="443">
        <f t="shared" si="3"/>
        <v>0</v>
      </c>
      <c r="T52" s="444">
        <f t="shared" si="4"/>
        <v>0</v>
      </c>
      <c r="U52" s="444">
        <f t="shared" si="5"/>
        <v>0</v>
      </c>
      <c r="V52" s="444">
        <f t="shared" si="6"/>
        <v>0</v>
      </c>
      <c r="W52" s="444">
        <f t="shared" si="7"/>
        <v>0</v>
      </c>
      <c r="X52" s="444">
        <f t="shared" si="8"/>
        <v>0</v>
      </c>
      <c r="Y52" s="444">
        <f t="shared" si="9"/>
        <v>0</v>
      </c>
      <c r="Z52" s="445">
        <f t="shared" si="10"/>
        <v>0</v>
      </c>
      <c r="AA52" s="445">
        <f t="shared" si="11"/>
        <v>0</v>
      </c>
      <c r="AB52" s="446">
        <f t="shared" si="12"/>
        <v>0</v>
      </c>
      <c r="AC52" s="91"/>
    </row>
    <row r="53">
      <c r="A53" s="102" t="s">
        <v>95</v>
      </c>
      <c r="B53" s="93">
        <v>199.0</v>
      </c>
      <c r="C53" s="94">
        <f>'COMMON ROOM'!C53+'COMMON ROOM'!O53+'COMMON ROOM'!AA53+'COMMON ROOM'!AM53+'COMMON ROOM'!AY53</f>
        <v>0</v>
      </c>
      <c r="D53" s="94">
        <f>'COMMON ROOM'!D53+'COMMON ROOM'!P53+'COMMON ROOM'!AB53+'COMMON ROOM'!AN53+'COMMON ROOM'!AZ53</f>
        <v>0</v>
      </c>
      <c r="E53" s="94">
        <f>'COMMON ROOM'!E53+'COMMON ROOM'!Q53+'COMMON ROOM'!AC53+'COMMON ROOM'!AO53+'COMMON ROOM'!BA53</f>
        <v>0</v>
      </c>
      <c r="F53" s="94">
        <f>'COMMON ROOM'!F53+'COMMON ROOM'!R53+'COMMON ROOM'!AD53+'COMMON ROOM'!AP53+'COMMON ROOM'!BB53</f>
        <v>0</v>
      </c>
      <c r="G53" s="97"/>
      <c r="H53" s="97"/>
      <c r="I53" s="97"/>
      <c r="J53" s="97"/>
      <c r="K53" s="97"/>
      <c r="L53" s="97"/>
      <c r="M53" s="97"/>
      <c r="N53" s="97"/>
      <c r="O53" s="91"/>
      <c r="Q53" s="121">
        <f t="shared" si="1"/>
        <v>0</v>
      </c>
      <c r="R53" s="443">
        <f t="shared" si="2"/>
        <v>0</v>
      </c>
      <c r="S53" s="443">
        <f t="shared" si="3"/>
        <v>0</v>
      </c>
      <c r="T53" s="444">
        <f t="shared" si="4"/>
        <v>0</v>
      </c>
      <c r="U53" s="444">
        <f t="shared" si="5"/>
        <v>0</v>
      </c>
      <c r="V53" s="444">
        <f t="shared" si="6"/>
        <v>0</v>
      </c>
      <c r="W53" s="444">
        <f t="shared" si="7"/>
        <v>0</v>
      </c>
      <c r="X53" s="444">
        <f t="shared" si="8"/>
        <v>0</v>
      </c>
      <c r="Y53" s="444">
        <f t="shared" si="9"/>
        <v>0</v>
      </c>
      <c r="Z53" s="445">
        <f t="shared" si="10"/>
        <v>0</v>
      </c>
      <c r="AA53" s="445">
        <f t="shared" si="11"/>
        <v>0</v>
      </c>
      <c r="AB53" s="446">
        <f t="shared" si="12"/>
        <v>0</v>
      </c>
      <c r="AC53" s="91"/>
    </row>
    <row r="54">
      <c r="A54" s="102" t="s">
        <v>96</v>
      </c>
      <c r="B54" s="93">
        <v>199.0</v>
      </c>
      <c r="C54" s="94">
        <f>'COMMON ROOM'!C54+'COMMON ROOM'!O54+'COMMON ROOM'!AA54+'COMMON ROOM'!AM54+'COMMON ROOM'!AY54</f>
        <v>0</v>
      </c>
      <c r="D54" s="94">
        <f>'COMMON ROOM'!D54+'COMMON ROOM'!P54+'COMMON ROOM'!AB54+'COMMON ROOM'!AN54+'COMMON ROOM'!AZ54</f>
        <v>0</v>
      </c>
      <c r="E54" s="94">
        <f>'COMMON ROOM'!E54+'COMMON ROOM'!Q54+'COMMON ROOM'!AC54+'COMMON ROOM'!AO54+'COMMON ROOM'!BA54</f>
        <v>0</v>
      </c>
      <c r="F54" s="94">
        <f>'COMMON ROOM'!F54+'COMMON ROOM'!R54+'COMMON ROOM'!AD54+'COMMON ROOM'!AP54+'COMMON ROOM'!BB54</f>
        <v>0</v>
      </c>
      <c r="G54" s="97"/>
      <c r="H54" s="97"/>
      <c r="I54" s="97"/>
      <c r="J54" s="97"/>
      <c r="K54" s="97"/>
      <c r="L54" s="97"/>
      <c r="M54" s="97"/>
      <c r="N54" s="97"/>
      <c r="O54" s="91"/>
      <c r="Q54" s="121">
        <f t="shared" si="1"/>
        <v>0</v>
      </c>
      <c r="R54" s="443">
        <f t="shared" si="2"/>
        <v>0</v>
      </c>
      <c r="S54" s="443">
        <f t="shared" si="3"/>
        <v>0</v>
      </c>
      <c r="T54" s="444">
        <f t="shared" si="4"/>
        <v>0</v>
      </c>
      <c r="U54" s="444">
        <f t="shared" si="5"/>
        <v>0</v>
      </c>
      <c r="V54" s="444">
        <f t="shared" si="6"/>
        <v>0</v>
      </c>
      <c r="W54" s="444">
        <f t="shared" si="7"/>
        <v>0</v>
      </c>
      <c r="X54" s="444">
        <f t="shared" si="8"/>
        <v>0</v>
      </c>
      <c r="Y54" s="444">
        <f t="shared" si="9"/>
        <v>0</v>
      </c>
      <c r="Z54" s="445">
        <f t="shared" si="10"/>
        <v>0</v>
      </c>
      <c r="AA54" s="445">
        <f t="shared" si="11"/>
        <v>0</v>
      </c>
      <c r="AB54" s="446">
        <f t="shared" si="12"/>
        <v>0</v>
      </c>
      <c r="AC54" s="91"/>
    </row>
    <row r="55">
      <c r="A55" s="67" t="s">
        <v>97</v>
      </c>
      <c r="B55" s="93">
        <v>599.0</v>
      </c>
      <c r="C55" s="94">
        <f>'COMMON ROOM'!C55+'COMMON ROOM'!O55+'COMMON ROOM'!AA55+'COMMON ROOM'!AM55+'COMMON ROOM'!AY55</f>
        <v>0</v>
      </c>
      <c r="D55" s="94">
        <f>'COMMON ROOM'!D55+'COMMON ROOM'!P55+'COMMON ROOM'!AB55+'COMMON ROOM'!AN55+'COMMON ROOM'!AZ55</f>
        <v>0</v>
      </c>
      <c r="E55" s="94">
        <f>'COMMON ROOM'!E55+'COMMON ROOM'!Q55+'COMMON ROOM'!AC55+'COMMON ROOM'!AO55+'COMMON ROOM'!BA55</f>
        <v>0</v>
      </c>
      <c r="F55" s="94">
        <f>'COMMON ROOM'!F55+'COMMON ROOM'!R55+'COMMON ROOM'!AD55+'COMMON ROOM'!AP55+'COMMON ROOM'!BB55</f>
        <v>0</v>
      </c>
      <c r="G55" s="97"/>
      <c r="H55" s="97"/>
      <c r="I55" s="97"/>
      <c r="J55" s="97"/>
      <c r="K55" s="97"/>
      <c r="L55" s="97"/>
      <c r="M55" s="97"/>
      <c r="N55" s="97"/>
      <c r="O55" s="91"/>
      <c r="Q55" s="121">
        <f t="shared" si="1"/>
        <v>0</v>
      </c>
      <c r="R55" s="443">
        <f t="shared" si="2"/>
        <v>0</v>
      </c>
      <c r="S55" s="443">
        <f t="shared" si="3"/>
        <v>0</v>
      </c>
      <c r="T55" s="444">
        <f t="shared" si="4"/>
        <v>0</v>
      </c>
      <c r="U55" s="444">
        <f t="shared" si="5"/>
        <v>0</v>
      </c>
      <c r="V55" s="444">
        <f t="shared" si="6"/>
        <v>0</v>
      </c>
      <c r="W55" s="444">
        <f t="shared" si="7"/>
        <v>0</v>
      </c>
      <c r="X55" s="444">
        <f t="shared" si="8"/>
        <v>0</v>
      </c>
      <c r="Y55" s="444">
        <f t="shared" si="9"/>
        <v>0</v>
      </c>
      <c r="Z55" s="445">
        <f t="shared" si="10"/>
        <v>0</v>
      </c>
      <c r="AA55" s="445">
        <f t="shared" si="11"/>
        <v>0</v>
      </c>
      <c r="AB55" s="446">
        <f t="shared" si="12"/>
        <v>0</v>
      </c>
      <c r="AC55" s="91"/>
    </row>
    <row r="56">
      <c r="A56" s="102" t="s">
        <v>98</v>
      </c>
      <c r="B56" s="93">
        <v>1499.0</v>
      </c>
      <c r="C56" s="94">
        <f>'COMMON ROOM'!C56+'COMMON ROOM'!O56+'COMMON ROOM'!AA56+'COMMON ROOM'!AM56+'COMMON ROOM'!AY56</f>
        <v>0</v>
      </c>
      <c r="D56" s="94">
        <f>'COMMON ROOM'!D56+'COMMON ROOM'!P56+'COMMON ROOM'!AB56+'COMMON ROOM'!AN56+'COMMON ROOM'!AZ56</f>
        <v>0</v>
      </c>
      <c r="E56" s="94">
        <f>'COMMON ROOM'!E56+'COMMON ROOM'!Q56+'COMMON ROOM'!AC56+'COMMON ROOM'!AO56+'COMMON ROOM'!BA56</f>
        <v>0</v>
      </c>
      <c r="F56" s="94">
        <f>'COMMON ROOM'!F56+'COMMON ROOM'!R56+'COMMON ROOM'!AD56+'COMMON ROOM'!AP56+'COMMON ROOM'!BB56</f>
        <v>0</v>
      </c>
      <c r="G56" s="97"/>
      <c r="H56" s="97"/>
      <c r="I56" s="97"/>
      <c r="J56" s="97"/>
      <c r="K56" s="97"/>
      <c r="L56" s="97"/>
      <c r="M56" s="97"/>
      <c r="N56" s="97"/>
      <c r="O56" s="91"/>
      <c r="Q56" s="121">
        <f t="shared" si="1"/>
        <v>0</v>
      </c>
      <c r="R56" s="443">
        <f t="shared" si="2"/>
        <v>0</v>
      </c>
      <c r="S56" s="443">
        <f t="shared" si="3"/>
        <v>0</v>
      </c>
      <c r="T56" s="444">
        <f t="shared" si="4"/>
        <v>0</v>
      </c>
      <c r="U56" s="444">
        <f t="shared" si="5"/>
        <v>0</v>
      </c>
      <c r="V56" s="444">
        <f t="shared" si="6"/>
        <v>0</v>
      </c>
      <c r="W56" s="444">
        <f t="shared" si="7"/>
        <v>0</v>
      </c>
      <c r="X56" s="444">
        <f t="shared" si="8"/>
        <v>0</v>
      </c>
      <c r="Y56" s="444">
        <f t="shared" si="9"/>
        <v>0</v>
      </c>
      <c r="Z56" s="445">
        <f t="shared" si="10"/>
        <v>0</v>
      </c>
      <c r="AA56" s="445">
        <f t="shared" si="11"/>
        <v>0</v>
      </c>
      <c r="AB56" s="446">
        <f t="shared" si="12"/>
        <v>0</v>
      </c>
      <c r="AC56" s="91"/>
    </row>
    <row r="57">
      <c r="A57" s="104"/>
      <c r="B57" s="99"/>
      <c r="C57" s="94">
        <f>'COMMON ROOM'!C57+'COMMON ROOM'!O57+'COMMON ROOM'!AA57+'COMMON ROOM'!AM57+'COMMON ROOM'!AY57</f>
        <v>0</v>
      </c>
      <c r="D57" s="94">
        <f>'COMMON ROOM'!D57+'COMMON ROOM'!P57+'COMMON ROOM'!AB57+'COMMON ROOM'!AN57+'COMMON ROOM'!AZ57</f>
        <v>0</v>
      </c>
      <c r="E57" s="94">
        <f>'COMMON ROOM'!E57+'COMMON ROOM'!Q57+'COMMON ROOM'!AC57+'COMMON ROOM'!AO57+'COMMON ROOM'!BA57</f>
        <v>0</v>
      </c>
      <c r="F57" s="94">
        <f>'COMMON ROOM'!F57+'COMMON ROOM'!R57+'COMMON ROOM'!AD57+'COMMON ROOM'!AP57+'COMMON ROOM'!BB57</f>
        <v>0</v>
      </c>
      <c r="G57" s="97"/>
      <c r="H57" s="97"/>
      <c r="I57" s="97"/>
      <c r="J57" s="97"/>
      <c r="K57" s="97"/>
      <c r="L57" s="97"/>
      <c r="M57" s="97"/>
      <c r="N57" s="97"/>
      <c r="O57" s="91"/>
      <c r="Q57" s="121">
        <f t="shared" si="1"/>
        <v>0</v>
      </c>
      <c r="R57" s="443">
        <f t="shared" si="2"/>
        <v>0</v>
      </c>
      <c r="S57" s="443">
        <f t="shared" si="3"/>
        <v>0</v>
      </c>
      <c r="T57" s="444">
        <f t="shared" si="4"/>
        <v>0</v>
      </c>
      <c r="U57" s="444">
        <f t="shared" si="5"/>
        <v>0</v>
      </c>
      <c r="V57" s="444">
        <f t="shared" si="6"/>
        <v>0</v>
      </c>
      <c r="W57" s="444">
        <f t="shared" si="7"/>
        <v>0</v>
      </c>
      <c r="X57" s="444">
        <f t="shared" si="8"/>
        <v>0</v>
      </c>
      <c r="Y57" s="444">
        <f t="shared" si="9"/>
        <v>0</v>
      </c>
      <c r="Z57" s="445">
        <f t="shared" si="10"/>
        <v>0</v>
      </c>
      <c r="AA57" s="445">
        <f t="shared" si="11"/>
        <v>0</v>
      </c>
      <c r="AB57" s="446">
        <f t="shared" si="12"/>
        <v>0</v>
      </c>
      <c r="AC57" s="91"/>
    </row>
    <row r="58">
      <c r="A58" s="102" t="s">
        <v>99</v>
      </c>
      <c r="B58" s="442">
        <v>349.0</v>
      </c>
      <c r="C58" s="94">
        <f>'COMMON ROOM'!C58+'COMMON ROOM'!O58+'COMMON ROOM'!AA58+'COMMON ROOM'!AM58+'COMMON ROOM'!AY58</f>
        <v>7</v>
      </c>
      <c r="D58" s="94">
        <f>'COMMON ROOM'!D58+'COMMON ROOM'!P58+'COMMON ROOM'!AB58+'COMMON ROOM'!AN58+'COMMON ROOM'!AZ58</f>
        <v>9</v>
      </c>
      <c r="E58" s="94">
        <f>'COMMON ROOM'!E58+'COMMON ROOM'!Q58+'COMMON ROOM'!AC58+'COMMON ROOM'!AO58+'COMMON ROOM'!BA58</f>
        <v>5</v>
      </c>
      <c r="F58" s="94">
        <f>'COMMON ROOM'!F58+'COMMON ROOM'!R58+'COMMON ROOM'!AD58+'COMMON ROOM'!AP58+'COMMON ROOM'!BB58</f>
        <v>1</v>
      </c>
      <c r="G58" s="97"/>
      <c r="H58" s="97"/>
      <c r="I58" s="97"/>
      <c r="J58" s="97"/>
      <c r="K58" s="97"/>
      <c r="L58" s="97"/>
      <c r="M58" s="97"/>
      <c r="N58" s="97"/>
      <c r="O58" s="91"/>
      <c r="Q58" s="121">
        <f t="shared" si="1"/>
        <v>2443</v>
      </c>
      <c r="R58" s="443">
        <f t="shared" si="2"/>
        <v>3141</v>
      </c>
      <c r="S58" s="443">
        <f t="shared" si="3"/>
        <v>1745</v>
      </c>
      <c r="T58" s="444">
        <f t="shared" si="4"/>
        <v>349</v>
      </c>
      <c r="U58" s="444">
        <f t="shared" si="5"/>
        <v>0</v>
      </c>
      <c r="V58" s="444">
        <f t="shared" si="6"/>
        <v>0</v>
      </c>
      <c r="W58" s="444">
        <f t="shared" si="7"/>
        <v>0</v>
      </c>
      <c r="X58" s="444">
        <f t="shared" si="8"/>
        <v>0</v>
      </c>
      <c r="Y58" s="444">
        <f t="shared" si="9"/>
        <v>0</v>
      </c>
      <c r="Z58" s="445">
        <f t="shared" si="10"/>
        <v>0</v>
      </c>
      <c r="AA58" s="445">
        <f t="shared" si="11"/>
        <v>0</v>
      </c>
      <c r="AB58" s="446">
        <f t="shared" si="12"/>
        <v>0</v>
      </c>
      <c r="AC58" s="91"/>
    </row>
    <row r="59">
      <c r="A59" s="102" t="s">
        <v>100</v>
      </c>
      <c r="B59" s="442">
        <v>349.0</v>
      </c>
      <c r="C59" s="94">
        <f>'COMMON ROOM'!C59+'COMMON ROOM'!O59+'COMMON ROOM'!AA59+'COMMON ROOM'!AM59+'COMMON ROOM'!AY59</f>
        <v>12</v>
      </c>
      <c r="D59" s="94">
        <f>'COMMON ROOM'!D59+'COMMON ROOM'!P59+'COMMON ROOM'!AB59+'COMMON ROOM'!AN59+'COMMON ROOM'!AZ59</f>
        <v>10</v>
      </c>
      <c r="E59" s="94">
        <f>'COMMON ROOM'!E59+'COMMON ROOM'!Q59+'COMMON ROOM'!AC59+'COMMON ROOM'!AO59+'COMMON ROOM'!BA59</f>
        <v>7</v>
      </c>
      <c r="F59" s="94">
        <f>'COMMON ROOM'!F59+'COMMON ROOM'!R59+'COMMON ROOM'!AD59+'COMMON ROOM'!AP59+'COMMON ROOM'!BB59</f>
        <v>4</v>
      </c>
      <c r="G59" s="97"/>
      <c r="H59" s="97"/>
      <c r="I59" s="97"/>
      <c r="J59" s="97"/>
      <c r="K59" s="97"/>
      <c r="L59" s="97"/>
      <c r="M59" s="97"/>
      <c r="N59" s="97"/>
      <c r="O59" s="91"/>
      <c r="Q59" s="121">
        <f t="shared" si="1"/>
        <v>4188</v>
      </c>
      <c r="R59" s="443">
        <f t="shared" si="2"/>
        <v>3490</v>
      </c>
      <c r="S59" s="443">
        <f t="shared" si="3"/>
        <v>2443</v>
      </c>
      <c r="T59" s="444">
        <f t="shared" si="4"/>
        <v>1396</v>
      </c>
      <c r="U59" s="444">
        <f t="shared" si="5"/>
        <v>0</v>
      </c>
      <c r="V59" s="444">
        <f t="shared" si="6"/>
        <v>0</v>
      </c>
      <c r="W59" s="444">
        <f t="shared" si="7"/>
        <v>0</v>
      </c>
      <c r="X59" s="444">
        <f t="shared" si="8"/>
        <v>0</v>
      </c>
      <c r="Y59" s="444">
        <f t="shared" si="9"/>
        <v>0</v>
      </c>
      <c r="Z59" s="445">
        <f t="shared" si="10"/>
        <v>0</v>
      </c>
      <c r="AA59" s="445">
        <f t="shared" si="11"/>
        <v>0</v>
      </c>
      <c r="AB59" s="446">
        <f t="shared" si="12"/>
        <v>0</v>
      </c>
      <c r="AC59" s="91"/>
    </row>
    <row r="60">
      <c r="A60" s="102" t="s">
        <v>101</v>
      </c>
      <c r="B60" s="442">
        <v>349.0</v>
      </c>
      <c r="C60" s="94">
        <f>'COMMON ROOM'!C60+'COMMON ROOM'!O60+'COMMON ROOM'!AA60+'COMMON ROOM'!AM60+'COMMON ROOM'!AY60</f>
        <v>20</v>
      </c>
      <c r="D60" s="94">
        <f>'COMMON ROOM'!D60+'COMMON ROOM'!P60+'COMMON ROOM'!AB60+'COMMON ROOM'!AN60+'COMMON ROOM'!AZ60</f>
        <v>21</v>
      </c>
      <c r="E60" s="94">
        <f>'COMMON ROOM'!E60+'COMMON ROOM'!Q60+'COMMON ROOM'!AC60+'COMMON ROOM'!AO60+'COMMON ROOM'!BA60</f>
        <v>11</v>
      </c>
      <c r="F60" s="94">
        <f>'COMMON ROOM'!F60+'COMMON ROOM'!R60+'COMMON ROOM'!AD60+'COMMON ROOM'!AP60+'COMMON ROOM'!BB60</f>
        <v>4</v>
      </c>
      <c r="G60" s="97"/>
      <c r="H60" s="97"/>
      <c r="I60" s="97"/>
      <c r="J60" s="97"/>
      <c r="K60" s="97"/>
      <c r="L60" s="97"/>
      <c r="M60" s="97"/>
      <c r="N60" s="97"/>
      <c r="O60" s="91"/>
      <c r="Q60" s="121">
        <f t="shared" si="1"/>
        <v>6980</v>
      </c>
      <c r="R60" s="443">
        <f t="shared" si="2"/>
        <v>7329</v>
      </c>
      <c r="S60" s="443">
        <f t="shared" si="3"/>
        <v>3839</v>
      </c>
      <c r="T60" s="444">
        <f t="shared" si="4"/>
        <v>1396</v>
      </c>
      <c r="U60" s="444">
        <f t="shared" si="5"/>
        <v>0</v>
      </c>
      <c r="V60" s="444">
        <f t="shared" si="6"/>
        <v>0</v>
      </c>
      <c r="W60" s="444">
        <f t="shared" si="7"/>
        <v>0</v>
      </c>
      <c r="X60" s="444">
        <f t="shared" si="8"/>
        <v>0</v>
      </c>
      <c r="Y60" s="444">
        <f t="shared" si="9"/>
        <v>0</v>
      </c>
      <c r="Z60" s="445">
        <f t="shared" si="10"/>
        <v>0</v>
      </c>
      <c r="AA60" s="445">
        <f t="shared" si="11"/>
        <v>0</v>
      </c>
      <c r="AB60" s="446">
        <f t="shared" si="12"/>
        <v>0</v>
      </c>
      <c r="AC60" s="91"/>
    </row>
    <row r="61">
      <c r="A61" s="102" t="s">
        <v>102</v>
      </c>
      <c r="B61" s="442">
        <v>269.0</v>
      </c>
      <c r="C61" s="94">
        <f>'COMMON ROOM'!C61+'COMMON ROOM'!O61+'COMMON ROOM'!AA61+'COMMON ROOM'!AM61+'COMMON ROOM'!AY61</f>
        <v>2</v>
      </c>
      <c r="D61" s="94">
        <f>'COMMON ROOM'!D61+'COMMON ROOM'!P61+'COMMON ROOM'!AB61+'COMMON ROOM'!AN61+'COMMON ROOM'!AZ61</f>
        <v>4</v>
      </c>
      <c r="E61" s="94">
        <f>'COMMON ROOM'!E61+'COMMON ROOM'!Q61+'COMMON ROOM'!AC61+'COMMON ROOM'!AO61+'COMMON ROOM'!BA61</f>
        <v>4</v>
      </c>
      <c r="F61" s="94">
        <f>'COMMON ROOM'!F61+'COMMON ROOM'!R61+'COMMON ROOM'!AD61+'COMMON ROOM'!AP61+'COMMON ROOM'!BB61</f>
        <v>0</v>
      </c>
      <c r="G61" s="97"/>
      <c r="H61" s="97"/>
      <c r="I61" s="97"/>
      <c r="J61" s="97"/>
      <c r="K61" s="97"/>
      <c r="L61" s="97"/>
      <c r="M61" s="97"/>
      <c r="N61" s="97"/>
      <c r="O61" s="91"/>
      <c r="Q61" s="121">
        <f t="shared" si="1"/>
        <v>538</v>
      </c>
      <c r="R61" s="443">
        <f t="shared" si="2"/>
        <v>1076</v>
      </c>
      <c r="S61" s="443">
        <f t="shared" si="3"/>
        <v>1076</v>
      </c>
      <c r="T61" s="444">
        <f t="shared" si="4"/>
        <v>0</v>
      </c>
      <c r="U61" s="444">
        <f t="shared" si="5"/>
        <v>0</v>
      </c>
      <c r="V61" s="444">
        <f t="shared" si="6"/>
        <v>0</v>
      </c>
      <c r="W61" s="444">
        <f t="shared" si="7"/>
        <v>0</v>
      </c>
      <c r="X61" s="444">
        <f t="shared" si="8"/>
        <v>0</v>
      </c>
      <c r="Y61" s="444">
        <f t="shared" si="9"/>
        <v>0</v>
      </c>
      <c r="Z61" s="445">
        <f t="shared" si="10"/>
        <v>0</v>
      </c>
      <c r="AA61" s="445">
        <f t="shared" si="11"/>
        <v>0</v>
      </c>
      <c r="AB61" s="446">
        <f t="shared" si="12"/>
        <v>0</v>
      </c>
      <c r="AC61" s="91"/>
    </row>
    <row r="62">
      <c r="A62" s="102" t="s">
        <v>103</v>
      </c>
      <c r="B62" s="442">
        <v>459.0</v>
      </c>
      <c r="C62" s="94">
        <f>'COMMON ROOM'!C62+'COMMON ROOM'!O62+'COMMON ROOM'!AA62+'COMMON ROOM'!AM62+'COMMON ROOM'!AY62</f>
        <v>2</v>
      </c>
      <c r="D62" s="94">
        <f>'COMMON ROOM'!D62+'COMMON ROOM'!P62+'COMMON ROOM'!AB62+'COMMON ROOM'!AN62+'COMMON ROOM'!AZ62</f>
        <v>0</v>
      </c>
      <c r="E62" s="94">
        <f>'COMMON ROOM'!E62+'COMMON ROOM'!Q62+'COMMON ROOM'!AC62+'COMMON ROOM'!AO62+'COMMON ROOM'!BA62</f>
        <v>1</v>
      </c>
      <c r="F62" s="94">
        <f>'COMMON ROOM'!F62+'COMMON ROOM'!R62+'COMMON ROOM'!AD62+'COMMON ROOM'!AP62+'COMMON ROOM'!BB62</f>
        <v>0</v>
      </c>
      <c r="G62" s="97"/>
      <c r="H62" s="97"/>
      <c r="I62" s="97"/>
      <c r="J62" s="97"/>
      <c r="K62" s="97"/>
      <c r="L62" s="97"/>
      <c r="M62" s="97"/>
      <c r="N62" s="97"/>
      <c r="O62" s="91"/>
      <c r="Q62" s="121">
        <f t="shared" si="1"/>
        <v>918</v>
      </c>
      <c r="R62" s="443">
        <f t="shared" si="2"/>
        <v>0</v>
      </c>
      <c r="S62" s="443">
        <f t="shared" si="3"/>
        <v>459</v>
      </c>
      <c r="T62" s="444">
        <f t="shared" si="4"/>
        <v>0</v>
      </c>
      <c r="U62" s="444">
        <f t="shared" si="5"/>
        <v>0</v>
      </c>
      <c r="V62" s="444">
        <f t="shared" si="6"/>
        <v>0</v>
      </c>
      <c r="W62" s="444">
        <f t="shared" si="7"/>
        <v>0</v>
      </c>
      <c r="X62" s="444">
        <f t="shared" si="8"/>
        <v>0</v>
      </c>
      <c r="Y62" s="444">
        <f t="shared" si="9"/>
        <v>0</v>
      </c>
      <c r="Z62" s="445">
        <f t="shared" si="10"/>
        <v>0</v>
      </c>
      <c r="AA62" s="445">
        <f t="shared" si="11"/>
        <v>0</v>
      </c>
      <c r="AB62" s="446">
        <f t="shared" si="12"/>
        <v>0</v>
      </c>
      <c r="AC62" s="91"/>
    </row>
    <row r="63">
      <c r="A63" s="102" t="s">
        <v>104</v>
      </c>
      <c r="B63" s="442">
        <v>459.0</v>
      </c>
      <c r="C63" s="94">
        <f>'COMMON ROOM'!C63+'COMMON ROOM'!O63+'COMMON ROOM'!AA63+'COMMON ROOM'!AM63+'COMMON ROOM'!AY63</f>
        <v>5</v>
      </c>
      <c r="D63" s="94">
        <f>'COMMON ROOM'!D63+'COMMON ROOM'!P63+'COMMON ROOM'!AB63+'COMMON ROOM'!AN63+'COMMON ROOM'!AZ63</f>
        <v>1</v>
      </c>
      <c r="E63" s="94">
        <f>'COMMON ROOM'!E63+'COMMON ROOM'!Q63+'COMMON ROOM'!AC63+'COMMON ROOM'!AO63+'COMMON ROOM'!BA63</f>
        <v>3</v>
      </c>
      <c r="F63" s="94">
        <f>'COMMON ROOM'!F63+'COMMON ROOM'!R63+'COMMON ROOM'!AD63+'COMMON ROOM'!AP63+'COMMON ROOM'!BB63</f>
        <v>2</v>
      </c>
      <c r="G63" s="97"/>
      <c r="H63" s="97"/>
      <c r="I63" s="97"/>
      <c r="J63" s="97"/>
      <c r="K63" s="97"/>
      <c r="L63" s="97"/>
      <c r="M63" s="97"/>
      <c r="N63" s="97"/>
      <c r="O63" s="91"/>
      <c r="Q63" s="121">
        <f t="shared" si="1"/>
        <v>2295</v>
      </c>
      <c r="R63" s="443">
        <f t="shared" si="2"/>
        <v>459</v>
      </c>
      <c r="S63" s="443">
        <f t="shared" si="3"/>
        <v>1377</v>
      </c>
      <c r="T63" s="444">
        <f t="shared" si="4"/>
        <v>918</v>
      </c>
      <c r="U63" s="444">
        <f t="shared" si="5"/>
        <v>0</v>
      </c>
      <c r="V63" s="444">
        <f t="shared" si="6"/>
        <v>0</v>
      </c>
      <c r="W63" s="444">
        <f t="shared" si="7"/>
        <v>0</v>
      </c>
      <c r="X63" s="444">
        <f t="shared" si="8"/>
        <v>0</v>
      </c>
      <c r="Y63" s="444">
        <f t="shared" si="9"/>
        <v>0</v>
      </c>
      <c r="Z63" s="445">
        <f t="shared" si="10"/>
        <v>0</v>
      </c>
      <c r="AA63" s="445">
        <f t="shared" si="11"/>
        <v>0</v>
      </c>
      <c r="AB63" s="446">
        <f t="shared" si="12"/>
        <v>0</v>
      </c>
      <c r="AC63" s="91"/>
    </row>
    <row r="64">
      <c r="A64" s="102" t="s">
        <v>105</v>
      </c>
      <c r="B64" s="442">
        <v>459.0</v>
      </c>
      <c r="C64" s="94">
        <f>'COMMON ROOM'!C64+'COMMON ROOM'!O64+'COMMON ROOM'!AA64+'COMMON ROOM'!AM64+'COMMON ROOM'!AY64</f>
        <v>1</v>
      </c>
      <c r="D64" s="94">
        <f>'COMMON ROOM'!D64+'COMMON ROOM'!P64+'COMMON ROOM'!AB64+'COMMON ROOM'!AN64+'COMMON ROOM'!AZ64</f>
        <v>4</v>
      </c>
      <c r="E64" s="94">
        <f>'COMMON ROOM'!E64+'COMMON ROOM'!Q64+'COMMON ROOM'!AC64+'COMMON ROOM'!AO64+'COMMON ROOM'!BA64</f>
        <v>0</v>
      </c>
      <c r="F64" s="94">
        <f>'COMMON ROOM'!F64+'COMMON ROOM'!R64+'COMMON ROOM'!AD64+'COMMON ROOM'!AP64+'COMMON ROOM'!BB64</f>
        <v>1</v>
      </c>
      <c r="G64" s="97"/>
      <c r="H64" s="97"/>
      <c r="I64" s="97"/>
      <c r="J64" s="97"/>
      <c r="K64" s="97"/>
      <c r="L64" s="97"/>
      <c r="M64" s="97"/>
      <c r="N64" s="97"/>
      <c r="O64" s="91"/>
      <c r="Q64" s="121">
        <f t="shared" si="1"/>
        <v>459</v>
      </c>
      <c r="R64" s="443">
        <f t="shared" si="2"/>
        <v>1836</v>
      </c>
      <c r="S64" s="443">
        <f t="shared" si="3"/>
        <v>0</v>
      </c>
      <c r="T64" s="444">
        <f t="shared" si="4"/>
        <v>459</v>
      </c>
      <c r="U64" s="444">
        <f t="shared" si="5"/>
        <v>0</v>
      </c>
      <c r="V64" s="444">
        <f t="shared" si="6"/>
        <v>0</v>
      </c>
      <c r="W64" s="444">
        <f t="shared" si="7"/>
        <v>0</v>
      </c>
      <c r="X64" s="444">
        <f t="shared" si="8"/>
        <v>0</v>
      </c>
      <c r="Y64" s="444">
        <f t="shared" si="9"/>
        <v>0</v>
      </c>
      <c r="Z64" s="445">
        <f t="shared" si="10"/>
        <v>0</v>
      </c>
      <c r="AA64" s="445">
        <f t="shared" si="11"/>
        <v>0</v>
      </c>
      <c r="AB64" s="446">
        <f t="shared" si="12"/>
        <v>0</v>
      </c>
      <c r="AC64" s="91"/>
    </row>
    <row r="65">
      <c r="A65" s="102" t="s">
        <v>106</v>
      </c>
      <c r="B65" s="93">
        <v>799.0</v>
      </c>
      <c r="C65" s="94">
        <f>'COMMON ROOM'!C65+'COMMON ROOM'!O65+'COMMON ROOM'!AA65+'COMMON ROOM'!AM65+'COMMON ROOM'!AY65</f>
        <v>0</v>
      </c>
      <c r="D65" s="94">
        <f>'COMMON ROOM'!D65+'COMMON ROOM'!P65+'COMMON ROOM'!AB65+'COMMON ROOM'!AN65+'COMMON ROOM'!AZ65</f>
        <v>0</v>
      </c>
      <c r="E65" s="94">
        <f>'COMMON ROOM'!E65+'COMMON ROOM'!Q65+'COMMON ROOM'!AC65+'COMMON ROOM'!AO65+'COMMON ROOM'!BA65</f>
        <v>0</v>
      </c>
      <c r="F65" s="94">
        <f>'COMMON ROOM'!F65+'COMMON ROOM'!R65+'COMMON ROOM'!AD65+'COMMON ROOM'!AP65+'COMMON ROOM'!BB65</f>
        <v>0</v>
      </c>
      <c r="G65" s="97"/>
      <c r="H65" s="97"/>
      <c r="I65" s="97"/>
      <c r="J65" s="97"/>
      <c r="K65" s="97"/>
      <c r="L65" s="97"/>
      <c r="M65" s="97"/>
      <c r="N65" s="97"/>
      <c r="O65" s="91"/>
      <c r="Q65" s="121">
        <f t="shared" si="1"/>
        <v>0</v>
      </c>
      <c r="R65" s="443">
        <f t="shared" si="2"/>
        <v>0</v>
      </c>
      <c r="S65" s="443">
        <f t="shared" si="3"/>
        <v>0</v>
      </c>
      <c r="T65" s="444">
        <f t="shared" si="4"/>
        <v>0</v>
      </c>
      <c r="U65" s="444">
        <f t="shared" si="5"/>
        <v>0</v>
      </c>
      <c r="V65" s="444">
        <f t="shared" si="6"/>
        <v>0</v>
      </c>
      <c r="W65" s="444">
        <f t="shared" si="7"/>
        <v>0</v>
      </c>
      <c r="X65" s="444">
        <f t="shared" si="8"/>
        <v>0</v>
      </c>
      <c r="Y65" s="444">
        <f t="shared" si="9"/>
        <v>0</v>
      </c>
      <c r="Z65" s="445">
        <f t="shared" si="10"/>
        <v>0</v>
      </c>
      <c r="AA65" s="445">
        <f t="shared" si="11"/>
        <v>0</v>
      </c>
      <c r="AB65" s="446">
        <f t="shared" si="12"/>
        <v>0</v>
      </c>
      <c r="AC65" s="91"/>
    </row>
    <row r="66">
      <c r="A66" s="102" t="s">
        <v>107</v>
      </c>
      <c r="B66" s="93">
        <v>799.0</v>
      </c>
      <c r="C66" s="94">
        <f>'COMMON ROOM'!C66+'COMMON ROOM'!O66+'COMMON ROOM'!AA66+'COMMON ROOM'!AM66+'COMMON ROOM'!AY66</f>
        <v>0</v>
      </c>
      <c r="D66" s="94">
        <f>'COMMON ROOM'!D66+'COMMON ROOM'!P66+'COMMON ROOM'!AB66+'COMMON ROOM'!AN66+'COMMON ROOM'!AZ66</f>
        <v>0</v>
      </c>
      <c r="E66" s="94">
        <f>'COMMON ROOM'!E66+'COMMON ROOM'!Q66+'COMMON ROOM'!AC66+'COMMON ROOM'!AO66+'COMMON ROOM'!BA66</f>
        <v>0</v>
      </c>
      <c r="F66" s="94">
        <f>'COMMON ROOM'!F66+'COMMON ROOM'!R66+'COMMON ROOM'!AD66+'COMMON ROOM'!AP66+'COMMON ROOM'!BB66</f>
        <v>0</v>
      </c>
      <c r="G66" s="97"/>
      <c r="H66" s="97"/>
      <c r="I66" s="97"/>
      <c r="J66" s="97"/>
      <c r="K66" s="97"/>
      <c r="L66" s="97"/>
      <c r="M66" s="97"/>
      <c r="N66" s="97"/>
      <c r="O66" s="91"/>
      <c r="Q66" s="121">
        <f t="shared" si="1"/>
        <v>0</v>
      </c>
      <c r="R66" s="443">
        <f t="shared" si="2"/>
        <v>0</v>
      </c>
      <c r="S66" s="443">
        <f t="shared" si="3"/>
        <v>0</v>
      </c>
      <c r="T66" s="444">
        <f t="shared" si="4"/>
        <v>0</v>
      </c>
      <c r="U66" s="444">
        <f t="shared" si="5"/>
        <v>0</v>
      </c>
      <c r="V66" s="444">
        <f t="shared" si="6"/>
        <v>0</v>
      </c>
      <c r="W66" s="444">
        <f t="shared" si="7"/>
        <v>0</v>
      </c>
      <c r="X66" s="444">
        <f t="shared" si="8"/>
        <v>0</v>
      </c>
      <c r="Y66" s="444">
        <f t="shared" si="9"/>
        <v>0</v>
      </c>
      <c r="Z66" s="445">
        <f t="shared" si="10"/>
        <v>0</v>
      </c>
      <c r="AA66" s="445">
        <f t="shared" si="11"/>
        <v>0</v>
      </c>
      <c r="AB66" s="446">
        <f t="shared" si="12"/>
        <v>0</v>
      </c>
      <c r="AC66" s="91"/>
    </row>
    <row r="67">
      <c r="A67" s="102" t="s">
        <v>108</v>
      </c>
      <c r="B67" s="93">
        <v>799.0</v>
      </c>
      <c r="C67" s="94">
        <f>'COMMON ROOM'!C67+'COMMON ROOM'!O67+'COMMON ROOM'!AA67+'COMMON ROOM'!AM67+'COMMON ROOM'!AY67</f>
        <v>0</v>
      </c>
      <c r="D67" s="94">
        <f>'COMMON ROOM'!D67+'COMMON ROOM'!P67+'COMMON ROOM'!AB67+'COMMON ROOM'!AN67+'COMMON ROOM'!AZ67</f>
        <v>0</v>
      </c>
      <c r="E67" s="94">
        <f>'COMMON ROOM'!E67+'COMMON ROOM'!Q67+'COMMON ROOM'!AC67+'COMMON ROOM'!AO67+'COMMON ROOM'!BA67</f>
        <v>0</v>
      </c>
      <c r="F67" s="94">
        <f>'COMMON ROOM'!F67+'COMMON ROOM'!R67+'COMMON ROOM'!AD67+'COMMON ROOM'!AP67+'COMMON ROOM'!BB67</f>
        <v>0</v>
      </c>
      <c r="G67" s="97"/>
      <c r="H67" s="97"/>
      <c r="I67" s="97"/>
      <c r="J67" s="97"/>
      <c r="K67" s="97"/>
      <c r="L67" s="97"/>
      <c r="M67" s="97"/>
      <c r="N67" s="97"/>
      <c r="O67" s="91"/>
      <c r="Q67" s="121">
        <f t="shared" si="1"/>
        <v>0</v>
      </c>
      <c r="R67" s="443">
        <f t="shared" si="2"/>
        <v>0</v>
      </c>
      <c r="S67" s="443">
        <f t="shared" si="3"/>
        <v>0</v>
      </c>
      <c r="T67" s="444">
        <f t="shared" si="4"/>
        <v>0</v>
      </c>
      <c r="U67" s="444">
        <f t="shared" si="5"/>
        <v>0</v>
      </c>
      <c r="V67" s="444">
        <f t="shared" si="6"/>
        <v>0</v>
      </c>
      <c r="W67" s="444">
        <f t="shared" si="7"/>
        <v>0</v>
      </c>
      <c r="X67" s="444">
        <f t="shared" si="8"/>
        <v>0</v>
      </c>
      <c r="Y67" s="444">
        <f t="shared" si="9"/>
        <v>0</v>
      </c>
      <c r="Z67" s="445">
        <f t="shared" si="10"/>
        <v>0</v>
      </c>
      <c r="AA67" s="445">
        <f t="shared" si="11"/>
        <v>0</v>
      </c>
      <c r="AB67" s="446">
        <f t="shared" si="12"/>
        <v>0</v>
      </c>
      <c r="AC67" s="91"/>
    </row>
    <row r="68">
      <c r="A68" s="102" t="s">
        <v>109</v>
      </c>
      <c r="B68" s="96">
        <v>1299.0</v>
      </c>
      <c r="C68" s="94">
        <f>'COMMON ROOM'!C68+'COMMON ROOM'!O68+'COMMON ROOM'!AA68+'COMMON ROOM'!AM68+'COMMON ROOM'!AY68</f>
        <v>0</v>
      </c>
      <c r="D68" s="94">
        <f>'COMMON ROOM'!D68+'COMMON ROOM'!P68+'COMMON ROOM'!AB68+'COMMON ROOM'!AN68+'COMMON ROOM'!AZ68</f>
        <v>0</v>
      </c>
      <c r="E68" s="94">
        <f>'COMMON ROOM'!E68+'COMMON ROOM'!Q68+'COMMON ROOM'!AC68+'COMMON ROOM'!AO68+'COMMON ROOM'!BA68</f>
        <v>0</v>
      </c>
      <c r="F68" s="94">
        <f>'COMMON ROOM'!F68+'COMMON ROOM'!R68+'COMMON ROOM'!AD68+'COMMON ROOM'!AP68+'COMMON ROOM'!BB68</f>
        <v>0</v>
      </c>
      <c r="G68" s="97"/>
      <c r="H68" s="97"/>
      <c r="I68" s="97"/>
      <c r="J68" s="97"/>
      <c r="K68" s="97"/>
      <c r="L68" s="97"/>
      <c r="M68" s="97"/>
      <c r="N68" s="97"/>
      <c r="O68" s="91"/>
      <c r="Q68" s="121">
        <f t="shared" si="1"/>
        <v>0</v>
      </c>
      <c r="R68" s="443">
        <f t="shared" si="2"/>
        <v>0</v>
      </c>
      <c r="S68" s="443">
        <f t="shared" si="3"/>
        <v>0</v>
      </c>
      <c r="T68" s="444">
        <f t="shared" si="4"/>
        <v>0</v>
      </c>
      <c r="U68" s="444">
        <f t="shared" si="5"/>
        <v>0</v>
      </c>
      <c r="V68" s="444">
        <f t="shared" si="6"/>
        <v>0</v>
      </c>
      <c r="W68" s="444">
        <f t="shared" si="7"/>
        <v>0</v>
      </c>
      <c r="X68" s="444">
        <f t="shared" si="8"/>
        <v>0</v>
      </c>
      <c r="Y68" s="444">
        <f t="shared" si="9"/>
        <v>0</v>
      </c>
      <c r="Z68" s="445">
        <f t="shared" si="10"/>
        <v>0</v>
      </c>
      <c r="AA68" s="445">
        <f t="shared" si="11"/>
        <v>0</v>
      </c>
      <c r="AB68" s="446">
        <f t="shared" si="12"/>
        <v>0</v>
      </c>
      <c r="AC68" s="91"/>
    </row>
    <row r="69">
      <c r="A69" s="102" t="s">
        <v>110</v>
      </c>
      <c r="B69" s="96">
        <v>1299.0</v>
      </c>
      <c r="C69" s="94">
        <f>'COMMON ROOM'!C69+'COMMON ROOM'!O69+'COMMON ROOM'!AA69+'COMMON ROOM'!AM69+'COMMON ROOM'!AY69</f>
        <v>0</v>
      </c>
      <c r="D69" s="94">
        <f>'COMMON ROOM'!D69+'COMMON ROOM'!P69+'COMMON ROOM'!AB69+'COMMON ROOM'!AN69+'COMMON ROOM'!AZ69</f>
        <v>0</v>
      </c>
      <c r="E69" s="94">
        <f>'COMMON ROOM'!E69+'COMMON ROOM'!Q69+'COMMON ROOM'!AC69+'COMMON ROOM'!AO69+'COMMON ROOM'!BA69</f>
        <v>0</v>
      </c>
      <c r="F69" s="94">
        <f>'COMMON ROOM'!F69+'COMMON ROOM'!R69+'COMMON ROOM'!AD69+'COMMON ROOM'!AP69+'COMMON ROOM'!BB69</f>
        <v>0</v>
      </c>
      <c r="G69" s="97"/>
      <c r="H69" s="97"/>
      <c r="I69" s="97"/>
      <c r="J69" s="97"/>
      <c r="K69" s="97"/>
      <c r="L69" s="97"/>
      <c r="M69" s="97"/>
      <c r="N69" s="97"/>
      <c r="O69" s="91"/>
      <c r="Q69" s="121">
        <f t="shared" si="1"/>
        <v>0</v>
      </c>
      <c r="R69" s="443">
        <f t="shared" si="2"/>
        <v>0</v>
      </c>
      <c r="S69" s="443">
        <f t="shared" si="3"/>
        <v>0</v>
      </c>
      <c r="T69" s="444">
        <f t="shared" si="4"/>
        <v>0</v>
      </c>
      <c r="U69" s="444">
        <f t="shared" si="5"/>
        <v>0</v>
      </c>
      <c r="V69" s="444">
        <f t="shared" si="6"/>
        <v>0</v>
      </c>
      <c r="W69" s="444">
        <f t="shared" si="7"/>
        <v>0</v>
      </c>
      <c r="X69" s="444">
        <f t="shared" si="8"/>
        <v>0</v>
      </c>
      <c r="Y69" s="444">
        <f t="shared" si="9"/>
        <v>0</v>
      </c>
      <c r="Z69" s="445">
        <f t="shared" si="10"/>
        <v>0</v>
      </c>
      <c r="AA69" s="445">
        <f t="shared" si="11"/>
        <v>0</v>
      </c>
      <c r="AB69" s="446">
        <f t="shared" si="12"/>
        <v>0</v>
      </c>
      <c r="AC69" s="91"/>
    </row>
    <row r="70">
      <c r="A70" s="101" t="s">
        <v>111</v>
      </c>
      <c r="B70" s="96">
        <v>1299.0</v>
      </c>
      <c r="C70" s="94">
        <f>'COMMON ROOM'!C70+'COMMON ROOM'!O70+'COMMON ROOM'!AA70+'COMMON ROOM'!AM70+'COMMON ROOM'!AY70</f>
        <v>0</v>
      </c>
      <c r="D70" s="94">
        <f>'COMMON ROOM'!D70+'COMMON ROOM'!P70+'COMMON ROOM'!AB70+'COMMON ROOM'!AN70+'COMMON ROOM'!AZ70</f>
        <v>0</v>
      </c>
      <c r="E70" s="94">
        <f>'COMMON ROOM'!E70+'COMMON ROOM'!Q70+'COMMON ROOM'!AC70+'COMMON ROOM'!AO70+'COMMON ROOM'!BA70</f>
        <v>0</v>
      </c>
      <c r="F70" s="94">
        <f>'COMMON ROOM'!F70+'COMMON ROOM'!R70+'COMMON ROOM'!AD70+'COMMON ROOM'!AP70+'COMMON ROOM'!BB70</f>
        <v>0</v>
      </c>
      <c r="G70" s="97"/>
      <c r="H70" s="97"/>
      <c r="I70" s="97"/>
      <c r="J70" s="97"/>
      <c r="K70" s="97"/>
      <c r="L70" s="97"/>
      <c r="M70" s="97"/>
      <c r="N70" s="97"/>
      <c r="O70" s="91"/>
      <c r="Q70" s="121">
        <f t="shared" si="1"/>
        <v>0</v>
      </c>
      <c r="R70" s="443">
        <f t="shared" si="2"/>
        <v>0</v>
      </c>
      <c r="S70" s="443">
        <f t="shared" si="3"/>
        <v>0</v>
      </c>
      <c r="T70" s="444">
        <f t="shared" si="4"/>
        <v>0</v>
      </c>
      <c r="U70" s="444">
        <f t="shared" si="5"/>
        <v>0</v>
      </c>
      <c r="V70" s="444">
        <f t="shared" si="6"/>
        <v>0</v>
      </c>
      <c r="W70" s="444">
        <f t="shared" si="7"/>
        <v>0</v>
      </c>
      <c r="X70" s="444">
        <f t="shared" si="8"/>
        <v>0</v>
      </c>
      <c r="Y70" s="444">
        <f t="shared" si="9"/>
        <v>0</v>
      </c>
      <c r="Z70" s="445">
        <f t="shared" si="10"/>
        <v>0</v>
      </c>
      <c r="AA70" s="445">
        <f t="shared" si="11"/>
        <v>0</v>
      </c>
      <c r="AB70" s="446">
        <f t="shared" si="12"/>
        <v>0</v>
      </c>
      <c r="AC70" s="91"/>
    </row>
    <row r="71">
      <c r="A71" s="101" t="s">
        <v>112</v>
      </c>
      <c r="B71" s="442">
        <v>629.0</v>
      </c>
      <c r="C71" s="94">
        <f>'COMMON ROOM'!C71+'COMMON ROOM'!O71+'COMMON ROOM'!AA71+'COMMON ROOM'!AM71+'COMMON ROOM'!AY71</f>
        <v>8</v>
      </c>
      <c r="D71" s="94">
        <f>'COMMON ROOM'!D71+'COMMON ROOM'!P71+'COMMON ROOM'!AB71+'COMMON ROOM'!AN71+'COMMON ROOM'!AZ71</f>
        <v>6</v>
      </c>
      <c r="E71" s="94">
        <f>'COMMON ROOM'!E71+'COMMON ROOM'!Q71+'COMMON ROOM'!AC71+'COMMON ROOM'!AO71+'COMMON ROOM'!BA71</f>
        <v>6</v>
      </c>
      <c r="F71" s="94">
        <f>'COMMON ROOM'!F71+'COMMON ROOM'!R71+'COMMON ROOM'!AD71+'COMMON ROOM'!AP71+'COMMON ROOM'!BB71</f>
        <v>6</v>
      </c>
      <c r="G71" s="97"/>
      <c r="H71" s="97"/>
      <c r="I71" s="97"/>
      <c r="J71" s="97"/>
      <c r="K71" s="97"/>
      <c r="L71" s="97"/>
      <c r="M71" s="97"/>
      <c r="N71" s="97"/>
      <c r="O71" s="91"/>
      <c r="Q71" s="121">
        <f t="shared" si="1"/>
        <v>5032</v>
      </c>
      <c r="R71" s="443">
        <f t="shared" si="2"/>
        <v>3774</v>
      </c>
      <c r="S71" s="443">
        <f t="shared" si="3"/>
        <v>3774</v>
      </c>
      <c r="T71" s="444">
        <f t="shared" si="4"/>
        <v>3774</v>
      </c>
      <c r="U71" s="444">
        <f t="shared" si="5"/>
        <v>0</v>
      </c>
      <c r="V71" s="444">
        <f t="shared" si="6"/>
        <v>0</v>
      </c>
      <c r="W71" s="444">
        <f t="shared" si="7"/>
        <v>0</v>
      </c>
      <c r="X71" s="444">
        <f t="shared" si="8"/>
        <v>0</v>
      </c>
      <c r="Y71" s="444">
        <f t="shared" si="9"/>
        <v>0</v>
      </c>
      <c r="Z71" s="445">
        <f t="shared" si="10"/>
        <v>0</v>
      </c>
      <c r="AA71" s="445">
        <f t="shared" si="11"/>
        <v>0</v>
      </c>
      <c r="AB71" s="446">
        <f t="shared" si="12"/>
        <v>0</v>
      </c>
      <c r="AC71" s="91"/>
    </row>
    <row r="72">
      <c r="A72" s="101" t="s">
        <v>113</v>
      </c>
      <c r="B72" s="107">
        <v>1619.0</v>
      </c>
      <c r="C72" s="94">
        <f>'COMMON ROOM'!C72+'COMMON ROOM'!O72+'COMMON ROOM'!AA72+'COMMON ROOM'!AM72+'COMMON ROOM'!AY72</f>
        <v>3</v>
      </c>
      <c r="D72" s="94">
        <f>'COMMON ROOM'!D72+'COMMON ROOM'!P72+'COMMON ROOM'!AB72+'COMMON ROOM'!AN72+'COMMON ROOM'!AZ72</f>
        <v>0</v>
      </c>
      <c r="E72" s="94">
        <f>'COMMON ROOM'!E72+'COMMON ROOM'!Q72+'COMMON ROOM'!AC72+'COMMON ROOM'!AO72+'COMMON ROOM'!BA72</f>
        <v>1</v>
      </c>
      <c r="F72" s="94">
        <f>'COMMON ROOM'!F72+'COMMON ROOM'!R72+'COMMON ROOM'!AD72+'COMMON ROOM'!AP72+'COMMON ROOM'!BB72</f>
        <v>1</v>
      </c>
      <c r="G72" s="97"/>
      <c r="H72" s="97"/>
      <c r="I72" s="97"/>
      <c r="J72" s="97"/>
      <c r="K72" s="97"/>
      <c r="L72" s="97"/>
      <c r="M72" s="97"/>
      <c r="N72" s="97"/>
      <c r="O72" s="91"/>
      <c r="Q72" s="121">
        <f t="shared" si="1"/>
        <v>4857</v>
      </c>
      <c r="R72" s="443">
        <f t="shared" si="2"/>
        <v>0</v>
      </c>
      <c r="S72" s="443">
        <f t="shared" si="3"/>
        <v>1619</v>
      </c>
      <c r="T72" s="444">
        <f t="shared" si="4"/>
        <v>1619</v>
      </c>
      <c r="U72" s="444">
        <f t="shared" si="5"/>
        <v>0</v>
      </c>
      <c r="V72" s="444">
        <f t="shared" si="6"/>
        <v>0</v>
      </c>
      <c r="W72" s="444">
        <f t="shared" si="7"/>
        <v>0</v>
      </c>
      <c r="X72" s="444">
        <f t="shared" si="8"/>
        <v>0</v>
      </c>
      <c r="Y72" s="444">
        <f t="shared" si="9"/>
        <v>0</v>
      </c>
      <c r="Z72" s="445">
        <f t="shared" si="10"/>
        <v>0</v>
      </c>
      <c r="AA72" s="445">
        <f t="shared" si="11"/>
        <v>0</v>
      </c>
      <c r="AB72" s="446">
        <f t="shared" si="12"/>
        <v>0</v>
      </c>
      <c r="AC72" s="91"/>
    </row>
    <row r="73">
      <c r="A73" s="101" t="s">
        <v>114</v>
      </c>
      <c r="B73" s="107">
        <v>1619.0</v>
      </c>
      <c r="C73" s="94">
        <f>'COMMON ROOM'!C73+'COMMON ROOM'!O73+'COMMON ROOM'!AA73+'COMMON ROOM'!AM73+'COMMON ROOM'!AY73</f>
        <v>4</v>
      </c>
      <c r="D73" s="94">
        <f>'COMMON ROOM'!D73+'COMMON ROOM'!P73+'COMMON ROOM'!AB73+'COMMON ROOM'!AN73+'COMMON ROOM'!AZ73</f>
        <v>0</v>
      </c>
      <c r="E73" s="94">
        <f>'COMMON ROOM'!E73+'COMMON ROOM'!Q73+'COMMON ROOM'!AC73+'COMMON ROOM'!AO73+'COMMON ROOM'!BA73</f>
        <v>0</v>
      </c>
      <c r="F73" s="94">
        <f>'COMMON ROOM'!F73+'COMMON ROOM'!R73+'COMMON ROOM'!AD73+'COMMON ROOM'!AP73+'COMMON ROOM'!BB73</f>
        <v>0</v>
      </c>
      <c r="G73" s="97"/>
      <c r="H73" s="97"/>
      <c r="I73" s="97"/>
      <c r="J73" s="97"/>
      <c r="K73" s="97"/>
      <c r="L73" s="97"/>
      <c r="M73" s="97"/>
      <c r="N73" s="97"/>
      <c r="O73" s="91"/>
      <c r="Q73" s="121">
        <f t="shared" si="1"/>
        <v>6476</v>
      </c>
      <c r="R73" s="443">
        <f t="shared" si="2"/>
        <v>0</v>
      </c>
      <c r="S73" s="443">
        <f t="shared" si="3"/>
        <v>0</v>
      </c>
      <c r="T73" s="444">
        <f t="shared" si="4"/>
        <v>0</v>
      </c>
      <c r="U73" s="444">
        <f t="shared" si="5"/>
        <v>0</v>
      </c>
      <c r="V73" s="444">
        <f t="shared" si="6"/>
        <v>0</v>
      </c>
      <c r="W73" s="444">
        <f t="shared" si="7"/>
        <v>0</v>
      </c>
      <c r="X73" s="444">
        <f t="shared" si="8"/>
        <v>0</v>
      </c>
      <c r="Y73" s="444">
        <f t="shared" si="9"/>
        <v>0</v>
      </c>
      <c r="Z73" s="445">
        <f t="shared" si="10"/>
        <v>0</v>
      </c>
      <c r="AA73" s="445">
        <f t="shared" si="11"/>
        <v>0</v>
      </c>
      <c r="AB73" s="446">
        <f t="shared" si="12"/>
        <v>0</v>
      </c>
      <c r="AC73" s="91"/>
    </row>
    <row r="74">
      <c r="A74" s="101" t="s">
        <v>115</v>
      </c>
      <c r="B74" s="107">
        <v>1619.0</v>
      </c>
      <c r="C74" s="94">
        <f>'COMMON ROOM'!C74+'COMMON ROOM'!O74+'COMMON ROOM'!AA74+'COMMON ROOM'!AM74+'COMMON ROOM'!AY74</f>
        <v>2</v>
      </c>
      <c r="D74" s="94">
        <f>'COMMON ROOM'!D74+'COMMON ROOM'!P74+'COMMON ROOM'!AB74+'COMMON ROOM'!AN74+'COMMON ROOM'!AZ74</f>
        <v>3</v>
      </c>
      <c r="E74" s="94">
        <f>'COMMON ROOM'!E74+'COMMON ROOM'!Q74+'COMMON ROOM'!AC74+'COMMON ROOM'!AO74+'COMMON ROOM'!BA74</f>
        <v>0</v>
      </c>
      <c r="F74" s="94">
        <f>'COMMON ROOM'!F74+'COMMON ROOM'!R74+'COMMON ROOM'!AD74+'COMMON ROOM'!AP74+'COMMON ROOM'!BB74</f>
        <v>0</v>
      </c>
      <c r="G74" s="97"/>
      <c r="H74" s="97"/>
      <c r="I74" s="97"/>
      <c r="J74" s="97"/>
      <c r="K74" s="97"/>
      <c r="L74" s="97"/>
      <c r="M74" s="97"/>
      <c r="N74" s="97"/>
      <c r="O74" s="91"/>
      <c r="Q74" s="121">
        <f t="shared" si="1"/>
        <v>3238</v>
      </c>
      <c r="R74" s="443">
        <f t="shared" si="2"/>
        <v>4857</v>
      </c>
      <c r="S74" s="443">
        <f t="shared" si="3"/>
        <v>0</v>
      </c>
      <c r="T74" s="444">
        <f t="shared" si="4"/>
        <v>0</v>
      </c>
      <c r="U74" s="444">
        <f t="shared" si="5"/>
        <v>0</v>
      </c>
      <c r="V74" s="444">
        <f t="shared" si="6"/>
        <v>0</v>
      </c>
      <c r="W74" s="444">
        <f t="shared" si="7"/>
        <v>0</v>
      </c>
      <c r="X74" s="444">
        <f t="shared" si="8"/>
        <v>0</v>
      </c>
      <c r="Y74" s="444">
        <f t="shared" si="9"/>
        <v>0</v>
      </c>
      <c r="Z74" s="445">
        <f t="shared" si="10"/>
        <v>0</v>
      </c>
      <c r="AA74" s="445">
        <f t="shared" si="11"/>
        <v>0</v>
      </c>
      <c r="AB74" s="446">
        <f t="shared" si="12"/>
        <v>0</v>
      </c>
      <c r="AC74" s="91"/>
    </row>
    <row r="75">
      <c r="A75" s="101" t="s">
        <v>116</v>
      </c>
      <c r="B75" s="108"/>
      <c r="C75" s="94">
        <f>'COMMON ROOM'!C75+'COMMON ROOM'!O75+'COMMON ROOM'!AA75+'COMMON ROOM'!AM75+'COMMON ROOM'!AY75</f>
        <v>2</v>
      </c>
      <c r="D75" s="94">
        <f>'COMMON ROOM'!D75+'COMMON ROOM'!P75+'COMMON ROOM'!AB75+'COMMON ROOM'!AN75+'COMMON ROOM'!AZ75</f>
        <v>0</v>
      </c>
      <c r="E75" s="94">
        <f>'COMMON ROOM'!E75+'COMMON ROOM'!Q75+'COMMON ROOM'!AC75+'COMMON ROOM'!AO75+'COMMON ROOM'!BA75</f>
        <v>0</v>
      </c>
      <c r="F75" s="94">
        <f>'COMMON ROOM'!F75+'COMMON ROOM'!R75+'COMMON ROOM'!AD75+'COMMON ROOM'!AP75+'COMMON ROOM'!BB75</f>
        <v>0</v>
      </c>
      <c r="G75" s="97"/>
      <c r="H75" s="97"/>
      <c r="I75" s="97"/>
      <c r="J75" s="97"/>
      <c r="K75" s="97"/>
      <c r="L75" s="97"/>
      <c r="M75" s="97"/>
      <c r="N75" s="97"/>
      <c r="O75" s="91"/>
      <c r="Q75" s="121">
        <f t="shared" si="1"/>
        <v>0</v>
      </c>
      <c r="R75" s="443">
        <f t="shared" si="2"/>
        <v>0</v>
      </c>
      <c r="S75" s="443">
        <f t="shared" si="3"/>
        <v>0</v>
      </c>
      <c r="T75" s="444">
        <f t="shared" si="4"/>
        <v>0</v>
      </c>
      <c r="U75" s="444">
        <f t="shared" si="5"/>
        <v>0</v>
      </c>
      <c r="V75" s="444">
        <f t="shared" si="6"/>
        <v>0</v>
      </c>
      <c r="W75" s="444">
        <f t="shared" si="7"/>
        <v>0</v>
      </c>
      <c r="X75" s="444">
        <f t="shared" si="8"/>
        <v>0</v>
      </c>
      <c r="Y75" s="444">
        <f t="shared" si="9"/>
        <v>0</v>
      </c>
      <c r="Z75" s="445">
        <f t="shared" si="10"/>
        <v>0</v>
      </c>
      <c r="AA75" s="445">
        <f t="shared" si="11"/>
        <v>0</v>
      </c>
      <c r="AB75" s="446">
        <f t="shared" si="12"/>
        <v>0</v>
      </c>
      <c r="AC75" s="83"/>
    </row>
    <row r="76">
      <c r="A76" s="109"/>
      <c r="B76" s="108"/>
      <c r="C76" s="94">
        <f>'COMMON ROOM'!C76+'COMMON ROOM'!O76+'COMMON ROOM'!AA76+'COMMON ROOM'!AM76+'COMMON ROOM'!AY76</f>
        <v>0</v>
      </c>
      <c r="D76" s="94">
        <f>'COMMON ROOM'!D76+'COMMON ROOM'!P76+'COMMON ROOM'!AB76+'COMMON ROOM'!AN76+'COMMON ROOM'!AZ76</f>
        <v>0</v>
      </c>
      <c r="E76" s="94">
        <f>'COMMON ROOM'!E76+'COMMON ROOM'!Q76+'COMMON ROOM'!AC76+'COMMON ROOM'!AO76+'COMMON ROOM'!BA76</f>
        <v>0</v>
      </c>
      <c r="F76" s="94">
        <f>'COMMON ROOM'!F76+'COMMON ROOM'!R76+'COMMON ROOM'!AD76+'COMMON ROOM'!AP76+'COMMON ROOM'!BB76</f>
        <v>0</v>
      </c>
      <c r="G76" s="97"/>
      <c r="H76" s="97"/>
      <c r="I76" s="97"/>
      <c r="J76" s="97"/>
      <c r="K76" s="97"/>
      <c r="L76" s="97"/>
      <c r="M76" s="97"/>
      <c r="N76" s="97"/>
      <c r="O76" s="91"/>
      <c r="Q76" s="121">
        <f t="shared" si="1"/>
        <v>0</v>
      </c>
      <c r="R76" s="443">
        <f t="shared" si="2"/>
        <v>0</v>
      </c>
      <c r="S76" s="443">
        <f t="shared" si="3"/>
        <v>0</v>
      </c>
      <c r="T76" s="444">
        <f t="shared" si="4"/>
        <v>0</v>
      </c>
      <c r="U76" s="444">
        <f t="shared" si="5"/>
        <v>0</v>
      </c>
      <c r="V76" s="444">
        <f t="shared" si="6"/>
        <v>0</v>
      </c>
      <c r="W76" s="444">
        <f t="shared" si="7"/>
        <v>0</v>
      </c>
      <c r="X76" s="444">
        <f t="shared" si="8"/>
        <v>0</v>
      </c>
      <c r="Y76" s="444">
        <f t="shared" si="9"/>
        <v>0</v>
      </c>
      <c r="Z76" s="445">
        <f t="shared" si="10"/>
        <v>0</v>
      </c>
      <c r="AA76" s="445">
        <f t="shared" si="11"/>
        <v>0</v>
      </c>
      <c r="AB76" s="446">
        <f t="shared" si="12"/>
        <v>0</v>
      </c>
      <c r="AC76" s="90"/>
    </row>
    <row r="77">
      <c r="A77" s="110" t="s">
        <v>117</v>
      </c>
      <c r="B77" s="448">
        <v>399.0</v>
      </c>
      <c r="C77" s="94">
        <f>'COMMON ROOM'!C77+'COMMON ROOM'!O77+'COMMON ROOM'!AA77+'COMMON ROOM'!AM77+'COMMON ROOM'!AY77</f>
        <v>1</v>
      </c>
      <c r="D77" s="94">
        <f>'COMMON ROOM'!D77+'COMMON ROOM'!P77+'COMMON ROOM'!AB77+'COMMON ROOM'!AN77+'COMMON ROOM'!AZ77</f>
        <v>1</v>
      </c>
      <c r="E77" s="94">
        <f>'COMMON ROOM'!E77+'COMMON ROOM'!Q77+'COMMON ROOM'!AC77+'COMMON ROOM'!AO77+'COMMON ROOM'!BA77</f>
        <v>0</v>
      </c>
      <c r="F77" s="94">
        <f>'COMMON ROOM'!F77+'COMMON ROOM'!R77+'COMMON ROOM'!AD77+'COMMON ROOM'!AP77+'COMMON ROOM'!BB77</f>
        <v>0</v>
      </c>
      <c r="G77" s="97"/>
      <c r="H77" s="97"/>
      <c r="I77" s="97"/>
      <c r="J77" s="97"/>
      <c r="K77" s="97"/>
      <c r="L77" s="97"/>
      <c r="M77" s="97"/>
      <c r="N77" s="97"/>
      <c r="O77" s="91"/>
      <c r="Q77" s="121">
        <f t="shared" si="1"/>
        <v>399</v>
      </c>
      <c r="R77" s="443">
        <f t="shared" si="2"/>
        <v>399</v>
      </c>
      <c r="S77" s="443">
        <f t="shared" si="3"/>
        <v>0</v>
      </c>
      <c r="T77" s="444">
        <f t="shared" si="4"/>
        <v>0</v>
      </c>
      <c r="U77" s="444">
        <f t="shared" si="5"/>
        <v>0</v>
      </c>
      <c r="V77" s="444">
        <f t="shared" si="6"/>
        <v>0</v>
      </c>
      <c r="W77" s="444">
        <f t="shared" si="7"/>
        <v>0</v>
      </c>
      <c r="X77" s="444">
        <f t="shared" si="8"/>
        <v>0</v>
      </c>
      <c r="Y77" s="444">
        <f t="shared" si="9"/>
        <v>0</v>
      </c>
      <c r="Z77" s="445">
        <f t="shared" si="10"/>
        <v>0</v>
      </c>
      <c r="AA77" s="445">
        <f t="shared" si="11"/>
        <v>0</v>
      </c>
      <c r="AB77" s="446">
        <f t="shared" si="12"/>
        <v>0</v>
      </c>
      <c r="AC77" s="90"/>
    </row>
    <row r="78">
      <c r="A78" s="110" t="s">
        <v>118</v>
      </c>
      <c r="B78" s="96">
        <v>799.0</v>
      </c>
      <c r="C78" s="94">
        <f>'COMMON ROOM'!C78+'COMMON ROOM'!O78+'COMMON ROOM'!AA78+'COMMON ROOM'!AM78+'COMMON ROOM'!AY78</f>
        <v>0</v>
      </c>
      <c r="D78" s="94">
        <f>'COMMON ROOM'!D78+'COMMON ROOM'!P78+'COMMON ROOM'!AB78+'COMMON ROOM'!AN78+'COMMON ROOM'!AZ78</f>
        <v>0</v>
      </c>
      <c r="E78" s="94">
        <f>'COMMON ROOM'!E78+'COMMON ROOM'!Q78+'COMMON ROOM'!AC78+'COMMON ROOM'!AO78+'COMMON ROOM'!BA78</f>
        <v>0</v>
      </c>
      <c r="F78" s="94">
        <f>'COMMON ROOM'!F78+'COMMON ROOM'!R78+'COMMON ROOM'!AD78+'COMMON ROOM'!AP78+'COMMON ROOM'!BB78</f>
        <v>0</v>
      </c>
      <c r="G78" s="97"/>
      <c r="H78" s="97"/>
      <c r="I78" s="97"/>
      <c r="J78" s="97"/>
      <c r="K78" s="97"/>
      <c r="L78" s="97"/>
      <c r="M78" s="97"/>
      <c r="N78" s="97"/>
      <c r="O78" s="91"/>
      <c r="Q78" s="121">
        <f t="shared" si="1"/>
        <v>0</v>
      </c>
      <c r="R78" s="443">
        <f t="shared" si="2"/>
        <v>0</v>
      </c>
      <c r="S78" s="443">
        <f t="shared" si="3"/>
        <v>0</v>
      </c>
      <c r="T78" s="444">
        <f t="shared" si="4"/>
        <v>0</v>
      </c>
      <c r="U78" s="444">
        <f t="shared" si="5"/>
        <v>0</v>
      </c>
      <c r="V78" s="444">
        <f t="shared" si="6"/>
        <v>0</v>
      </c>
      <c r="W78" s="444">
        <f t="shared" si="7"/>
        <v>0</v>
      </c>
      <c r="X78" s="444">
        <f t="shared" si="8"/>
        <v>0</v>
      </c>
      <c r="Y78" s="444">
        <f t="shared" si="9"/>
        <v>0</v>
      </c>
      <c r="Z78" s="445">
        <f t="shared" si="10"/>
        <v>0</v>
      </c>
      <c r="AA78" s="445">
        <f t="shared" si="11"/>
        <v>0</v>
      </c>
      <c r="AB78" s="446">
        <f t="shared" si="12"/>
        <v>0</v>
      </c>
      <c r="AC78" s="90"/>
    </row>
    <row r="79">
      <c r="A79" s="110" t="s">
        <v>119</v>
      </c>
      <c r="B79" s="448">
        <v>459.0</v>
      </c>
      <c r="C79" s="94">
        <f>'COMMON ROOM'!C79+'COMMON ROOM'!O79+'COMMON ROOM'!AA79+'COMMON ROOM'!AM79+'COMMON ROOM'!AY79</f>
        <v>2</v>
      </c>
      <c r="D79" s="94">
        <f>'COMMON ROOM'!D79+'COMMON ROOM'!P79+'COMMON ROOM'!AB79+'COMMON ROOM'!AN79+'COMMON ROOM'!AZ79</f>
        <v>0</v>
      </c>
      <c r="E79" s="94">
        <f>'COMMON ROOM'!E79+'COMMON ROOM'!Q79+'COMMON ROOM'!AC79+'COMMON ROOM'!AO79+'COMMON ROOM'!BA79</f>
        <v>0</v>
      </c>
      <c r="F79" s="94">
        <f>'COMMON ROOM'!F79+'COMMON ROOM'!R79+'COMMON ROOM'!AD79+'COMMON ROOM'!AP79+'COMMON ROOM'!BB79</f>
        <v>1</v>
      </c>
      <c r="G79" s="97"/>
      <c r="H79" s="97"/>
      <c r="I79" s="97"/>
      <c r="J79" s="97"/>
      <c r="K79" s="97"/>
      <c r="L79" s="97"/>
      <c r="M79" s="97"/>
      <c r="N79" s="97"/>
      <c r="O79" s="91"/>
      <c r="Q79" s="121">
        <f t="shared" si="1"/>
        <v>918</v>
      </c>
      <c r="R79" s="443">
        <f t="shared" si="2"/>
        <v>0</v>
      </c>
      <c r="S79" s="443">
        <f t="shared" si="3"/>
        <v>0</v>
      </c>
      <c r="T79" s="444">
        <f t="shared" si="4"/>
        <v>459</v>
      </c>
      <c r="U79" s="444">
        <f t="shared" si="5"/>
        <v>0</v>
      </c>
      <c r="V79" s="444">
        <f t="shared" si="6"/>
        <v>0</v>
      </c>
      <c r="W79" s="444">
        <f t="shared" si="7"/>
        <v>0</v>
      </c>
      <c r="X79" s="444">
        <f t="shared" si="8"/>
        <v>0</v>
      </c>
      <c r="Y79" s="444">
        <f t="shared" si="9"/>
        <v>0</v>
      </c>
      <c r="Z79" s="445">
        <f t="shared" si="10"/>
        <v>0</v>
      </c>
      <c r="AA79" s="445">
        <f t="shared" si="11"/>
        <v>0</v>
      </c>
      <c r="AB79" s="446">
        <f t="shared" si="12"/>
        <v>0</v>
      </c>
      <c r="AC79" s="90"/>
    </row>
    <row r="80">
      <c r="A80" s="110" t="s">
        <v>120</v>
      </c>
      <c r="B80" s="96">
        <v>599.0</v>
      </c>
      <c r="C80" s="94">
        <f>'COMMON ROOM'!C80+'COMMON ROOM'!O80+'COMMON ROOM'!AA80+'COMMON ROOM'!AM80+'COMMON ROOM'!AY80</f>
        <v>0</v>
      </c>
      <c r="D80" s="94">
        <f>'COMMON ROOM'!D80+'COMMON ROOM'!P80+'COMMON ROOM'!AB80+'COMMON ROOM'!AN80+'COMMON ROOM'!AZ80</f>
        <v>0</v>
      </c>
      <c r="E80" s="94">
        <f>'COMMON ROOM'!E80+'COMMON ROOM'!Q80+'COMMON ROOM'!AC80+'COMMON ROOM'!AO80+'COMMON ROOM'!BA80</f>
        <v>0</v>
      </c>
      <c r="F80" s="94">
        <f>'COMMON ROOM'!F80+'COMMON ROOM'!R80+'COMMON ROOM'!AD80+'COMMON ROOM'!AP80+'COMMON ROOM'!BB80</f>
        <v>0</v>
      </c>
      <c r="G80" s="97"/>
      <c r="H80" s="97"/>
      <c r="I80" s="97"/>
      <c r="J80" s="97"/>
      <c r="K80" s="97"/>
      <c r="L80" s="97"/>
      <c r="M80" s="97"/>
      <c r="N80" s="97"/>
      <c r="O80" s="91"/>
      <c r="Q80" s="121">
        <f t="shared" si="1"/>
        <v>0</v>
      </c>
      <c r="R80" s="443">
        <f t="shared" si="2"/>
        <v>0</v>
      </c>
      <c r="S80" s="443">
        <f t="shared" si="3"/>
        <v>0</v>
      </c>
      <c r="T80" s="444">
        <f t="shared" si="4"/>
        <v>0</v>
      </c>
      <c r="U80" s="444">
        <f t="shared" si="5"/>
        <v>0</v>
      </c>
      <c r="V80" s="444">
        <f t="shared" si="6"/>
        <v>0</v>
      </c>
      <c r="W80" s="444">
        <f t="shared" si="7"/>
        <v>0</v>
      </c>
      <c r="X80" s="444">
        <f t="shared" si="8"/>
        <v>0</v>
      </c>
      <c r="Y80" s="444">
        <f t="shared" si="9"/>
        <v>0</v>
      </c>
      <c r="Z80" s="445">
        <f t="shared" si="10"/>
        <v>0</v>
      </c>
      <c r="AA80" s="445">
        <f t="shared" si="11"/>
        <v>0</v>
      </c>
      <c r="AB80" s="446">
        <f t="shared" si="12"/>
        <v>0</v>
      </c>
      <c r="AC80" s="90"/>
    </row>
    <row r="81">
      <c r="A81" s="110" t="s">
        <v>121</v>
      </c>
      <c r="B81" s="448">
        <v>249.0</v>
      </c>
      <c r="C81" s="94">
        <f>'COMMON ROOM'!C81+'COMMON ROOM'!O81+'COMMON ROOM'!AA81+'COMMON ROOM'!AM81+'COMMON ROOM'!AY81</f>
        <v>8</v>
      </c>
      <c r="D81" s="94">
        <f>'COMMON ROOM'!D81+'COMMON ROOM'!P81+'COMMON ROOM'!AB81+'COMMON ROOM'!AN81+'COMMON ROOM'!AZ81</f>
        <v>1</v>
      </c>
      <c r="E81" s="94">
        <f>'COMMON ROOM'!E81+'COMMON ROOM'!Q81+'COMMON ROOM'!AC81+'COMMON ROOM'!AO81+'COMMON ROOM'!BA81</f>
        <v>2</v>
      </c>
      <c r="F81" s="94">
        <f>'COMMON ROOM'!F81+'COMMON ROOM'!R81+'COMMON ROOM'!AD81+'COMMON ROOM'!AP81+'COMMON ROOM'!BB81</f>
        <v>3</v>
      </c>
      <c r="G81" s="97"/>
      <c r="H81" s="97"/>
      <c r="I81" s="97"/>
      <c r="J81" s="97"/>
      <c r="K81" s="97"/>
      <c r="L81" s="97"/>
      <c r="M81" s="97"/>
      <c r="N81" s="97"/>
      <c r="O81" s="91"/>
      <c r="Q81" s="121">
        <f t="shared" si="1"/>
        <v>1992</v>
      </c>
      <c r="R81" s="443">
        <f t="shared" si="2"/>
        <v>249</v>
      </c>
      <c r="S81" s="443">
        <f t="shared" si="3"/>
        <v>498</v>
      </c>
      <c r="T81" s="444">
        <f t="shared" si="4"/>
        <v>747</v>
      </c>
      <c r="U81" s="444">
        <f t="shared" si="5"/>
        <v>0</v>
      </c>
      <c r="V81" s="444">
        <f t="shared" si="6"/>
        <v>0</v>
      </c>
      <c r="W81" s="444">
        <f t="shared" si="7"/>
        <v>0</v>
      </c>
      <c r="X81" s="444">
        <f t="shared" si="8"/>
        <v>0</v>
      </c>
      <c r="Y81" s="444">
        <f t="shared" si="9"/>
        <v>0</v>
      </c>
      <c r="Z81" s="445">
        <f t="shared" si="10"/>
        <v>0</v>
      </c>
      <c r="AA81" s="445">
        <f t="shared" si="11"/>
        <v>0</v>
      </c>
      <c r="AB81" s="446">
        <f t="shared" si="12"/>
        <v>0</v>
      </c>
      <c r="AC81" s="90"/>
    </row>
    <row r="82">
      <c r="A82" s="110" t="s">
        <v>122</v>
      </c>
      <c r="B82" s="448">
        <v>239.0</v>
      </c>
      <c r="C82" s="94">
        <f>'COMMON ROOM'!C82+'COMMON ROOM'!O82+'COMMON ROOM'!AA82+'COMMON ROOM'!AM82+'COMMON ROOM'!AY82</f>
        <v>0</v>
      </c>
      <c r="D82" s="94">
        <f>'COMMON ROOM'!D82+'COMMON ROOM'!P82+'COMMON ROOM'!AB82+'COMMON ROOM'!AN82+'COMMON ROOM'!AZ82</f>
        <v>1</v>
      </c>
      <c r="E82" s="94">
        <f>'COMMON ROOM'!E82+'COMMON ROOM'!Q82+'COMMON ROOM'!AC82+'COMMON ROOM'!AO82+'COMMON ROOM'!BA82</f>
        <v>1</v>
      </c>
      <c r="F82" s="94">
        <f>'COMMON ROOM'!F82+'COMMON ROOM'!R82+'COMMON ROOM'!AD82+'COMMON ROOM'!AP82+'COMMON ROOM'!BB82</f>
        <v>0</v>
      </c>
      <c r="G82" s="97"/>
      <c r="H82" s="97"/>
      <c r="I82" s="97"/>
      <c r="J82" s="97"/>
      <c r="K82" s="97"/>
      <c r="L82" s="97"/>
      <c r="M82" s="97"/>
      <c r="N82" s="97"/>
      <c r="O82" s="91"/>
      <c r="Q82" s="121">
        <f t="shared" si="1"/>
        <v>0</v>
      </c>
      <c r="R82" s="443">
        <f t="shared" si="2"/>
        <v>239</v>
      </c>
      <c r="S82" s="443">
        <f t="shared" si="3"/>
        <v>239</v>
      </c>
      <c r="T82" s="444">
        <f t="shared" si="4"/>
        <v>0</v>
      </c>
      <c r="U82" s="444">
        <f t="shared" si="5"/>
        <v>0</v>
      </c>
      <c r="V82" s="444">
        <f t="shared" si="6"/>
        <v>0</v>
      </c>
      <c r="W82" s="444">
        <f t="shared" si="7"/>
        <v>0</v>
      </c>
      <c r="X82" s="444">
        <f t="shared" si="8"/>
        <v>0</v>
      </c>
      <c r="Y82" s="444">
        <f t="shared" si="9"/>
        <v>0</v>
      </c>
      <c r="Z82" s="445">
        <f t="shared" si="10"/>
        <v>0</v>
      </c>
      <c r="AA82" s="445">
        <f t="shared" si="11"/>
        <v>0</v>
      </c>
      <c r="AB82" s="446">
        <f t="shared" si="12"/>
        <v>0</v>
      </c>
      <c r="AC82" s="90"/>
    </row>
    <row r="83">
      <c r="A83" s="110" t="s">
        <v>123</v>
      </c>
      <c r="B83" s="96">
        <v>1299.0</v>
      </c>
      <c r="C83" s="94">
        <f>'COMMON ROOM'!C83+'COMMON ROOM'!O83+'COMMON ROOM'!AA83+'COMMON ROOM'!AM83+'COMMON ROOM'!AY83</f>
        <v>0</v>
      </c>
      <c r="D83" s="94">
        <f>'COMMON ROOM'!D83+'COMMON ROOM'!P83+'COMMON ROOM'!AB83+'COMMON ROOM'!AN83+'COMMON ROOM'!AZ83</f>
        <v>0</v>
      </c>
      <c r="E83" s="94">
        <f>'COMMON ROOM'!E83+'COMMON ROOM'!Q83+'COMMON ROOM'!AC83+'COMMON ROOM'!AO83+'COMMON ROOM'!BA83</f>
        <v>0</v>
      </c>
      <c r="F83" s="94">
        <f>'COMMON ROOM'!F83+'COMMON ROOM'!R83+'COMMON ROOM'!AD83+'COMMON ROOM'!AP83+'COMMON ROOM'!BB83</f>
        <v>0</v>
      </c>
      <c r="G83" s="97"/>
      <c r="H83" s="97"/>
      <c r="I83" s="97"/>
      <c r="J83" s="97"/>
      <c r="K83" s="97"/>
      <c r="L83" s="97"/>
      <c r="M83" s="97"/>
      <c r="N83" s="97"/>
      <c r="O83" s="91"/>
      <c r="Q83" s="121">
        <f t="shared" si="1"/>
        <v>0</v>
      </c>
      <c r="R83" s="443">
        <f t="shared" si="2"/>
        <v>0</v>
      </c>
      <c r="S83" s="443">
        <f t="shared" si="3"/>
        <v>0</v>
      </c>
      <c r="T83" s="444">
        <f t="shared" si="4"/>
        <v>0</v>
      </c>
      <c r="U83" s="444">
        <f t="shared" si="5"/>
        <v>0</v>
      </c>
      <c r="V83" s="444">
        <f t="shared" si="6"/>
        <v>0</v>
      </c>
      <c r="W83" s="444">
        <f t="shared" si="7"/>
        <v>0</v>
      </c>
      <c r="X83" s="444">
        <f t="shared" si="8"/>
        <v>0</v>
      </c>
      <c r="Y83" s="444">
        <f t="shared" si="9"/>
        <v>0</v>
      </c>
      <c r="Z83" s="445">
        <f t="shared" si="10"/>
        <v>0</v>
      </c>
      <c r="AA83" s="445">
        <f t="shared" si="11"/>
        <v>0</v>
      </c>
      <c r="AB83" s="446">
        <f t="shared" si="12"/>
        <v>0</v>
      </c>
      <c r="AC83" s="90"/>
    </row>
    <row r="84">
      <c r="A84" s="102" t="s">
        <v>124</v>
      </c>
      <c r="B84" s="96">
        <v>1299.0</v>
      </c>
      <c r="C84" s="94">
        <f>'COMMON ROOM'!C84+'COMMON ROOM'!O84+'COMMON ROOM'!AA84+'COMMON ROOM'!AM84+'COMMON ROOM'!AY84</f>
        <v>0</v>
      </c>
      <c r="D84" s="94">
        <f>'COMMON ROOM'!D84+'COMMON ROOM'!P84+'COMMON ROOM'!AB84+'COMMON ROOM'!AN84+'COMMON ROOM'!AZ84</f>
        <v>0</v>
      </c>
      <c r="E84" s="94">
        <f>'COMMON ROOM'!E84+'COMMON ROOM'!Q84+'COMMON ROOM'!AC84+'COMMON ROOM'!AO84+'COMMON ROOM'!BA84</f>
        <v>0</v>
      </c>
      <c r="F84" s="94">
        <f>'COMMON ROOM'!F84+'COMMON ROOM'!R84+'COMMON ROOM'!AD84+'COMMON ROOM'!AP84+'COMMON ROOM'!BB84</f>
        <v>0</v>
      </c>
      <c r="G84" s="97"/>
      <c r="H84" s="97"/>
      <c r="I84" s="97"/>
      <c r="J84" s="97"/>
      <c r="K84" s="97"/>
      <c r="L84" s="97"/>
      <c r="M84" s="97"/>
      <c r="N84" s="97"/>
      <c r="O84" s="91"/>
      <c r="Q84" s="121">
        <f t="shared" si="1"/>
        <v>0</v>
      </c>
      <c r="R84" s="443">
        <f t="shared" si="2"/>
        <v>0</v>
      </c>
      <c r="S84" s="443">
        <f t="shared" si="3"/>
        <v>0</v>
      </c>
      <c r="T84" s="444">
        <f t="shared" si="4"/>
        <v>0</v>
      </c>
      <c r="U84" s="444">
        <f t="shared" si="5"/>
        <v>0</v>
      </c>
      <c r="V84" s="444">
        <f t="shared" si="6"/>
        <v>0</v>
      </c>
      <c r="W84" s="444">
        <f t="shared" si="7"/>
        <v>0</v>
      </c>
      <c r="X84" s="444">
        <f t="shared" si="8"/>
        <v>0</v>
      </c>
      <c r="Y84" s="444">
        <f t="shared" si="9"/>
        <v>0</v>
      </c>
      <c r="Z84" s="445">
        <f t="shared" si="10"/>
        <v>0</v>
      </c>
      <c r="AA84" s="445">
        <f t="shared" si="11"/>
        <v>0</v>
      </c>
      <c r="AB84" s="446">
        <f t="shared" si="12"/>
        <v>0</v>
      </c>
      <c r="AC84" s="90"/>
    </row>
    <row r="85">
      <c r="A85" s="111" t="s">
        <v>125</v>
      </c>
      <c r="B85" s="96">
        <v>1299.0</v>
      </c>
      <c r="C85" s="94">
        <f>'COMMON ROOM'!C85+'COMMON ROOM'!O85+'COMMON ROOM'!AA85+'COMMON ROOM'!AM85+'COMMON ROOM'!AY85</f>
        <v>0</v>
      </c>
      <c r="D85" s="94">
        <f>'COMMON ROOM'!D85+'COMMON ROOM'!P85+'COMMON ROOM'!AB85+'COMMON ROOM'!AN85+'COMMON ROOM'!AZ85</f>
        <v>0</v>
      </c>
      <c r="E85" s="94">
        <f>'COMMON ROOM'!E85+'COMMON ROOM'!Q85+'COMMON ROOM'!AC85+'COMMON ROOM'!AO85+'COMMON ROOM'!BA85</f>
        <v>0</v>
      </c>
      <c r="F85" s="94">
        <f>'COMMON ROOM'!F85+'COMMON ROOM'!R85+'COMMON ROOM'!AD85+'COMMON ROOM'!AP85+'COMMON ROOM'!BB85</f>
        <v>0</v>
      </c>
      <c r="G85" s="97"/>
      <c r="H85" s="97"/>
      <c r="I85" s="97"/>
      <c r="J85" s="97"/>
      <c r="K85" s="97"/>
      <c r="L85" s="97"/>
      <c r="M85" s="97"/>
      <c r="N85" s="97"/>
      <c r="O85" s="91"/>
      <c r="Q85" s="121">
        <f t="shared" si="1"/>
        <v>0</v>
      </c>
      <c r="R85" s="443">
        <f t="shared" si="2"/>
        <v>0</v>
      </c>
      <c r="S85" s="443">
        <f t="shared" si="3"/>
        <v>0</v>
      </c>
      <c r="T85" s="444">
        <f t="shared" si="4"/>
        <v>0</v>
      </c>
      <c r="U85" s="444">
        <f t="shared" si="5"/>
        <v>0</v>
      </c>
      <c r="V85" s="444">
        <f t="shared" si="6"/>
        <v>0</v>
      </c>
      <c r="W85" s="444">
        <f t="shared" si="7"/>
        <v>0</v>
      </c>
      <c r="X85" s="444">
        <f t="shared" si="8"/>
        <v>0</v>
      </c>
      <c r="Y85" s="444">
        <f t="shared" si="9"/>
        <v>0</v>
      </c>
      <c r="Z85" s="445">
        <f t="shared" si="10"/>
        <v>0</v>
      </c>
      <c r="AA85" s="445">
        <f t="shared" si="11"/>
        <v>0</v>
      </c>
      <c r="AB85" s="446">
        <f t="shared" si="12"/>
        <v>0</v>
      </c>
      <c r="AC85" s="90"/>
    </row>
    <row r="86">
      <c r="A86" s="112" t="s">
        <v>126</v>
      </c>
      <c r="B86" s="96">
        <v>1299.0</v>
      </c>
      <c r="C86" s="94">
        <f>'COMMON ROOM'!C86+'COMMON ROOM'!O86+'COMMON ROOM'!AA86+'COMMON ROOM'!AM86+'COMMON ROOM'!AY86</f>
        <v>0</v>
      </c>
      <c r="D86" s="94">
        <f>'COMMON ROOM'!D86+'COMMON ROOM'!P86+'COMMON ROOM'!AB86+'COMMON ROOM'!AN86+'COMMON ROOM'!AZ86</f>
        <v>0</v>
      </c>
      <c r="E86" s="94">
        <f>'COMMON ROOM'!E86+'COMMON ROOM'!Q86+'COMMON ROOM'!AC86+'COMMON ROOM'!AO86+'COMMON ROOM'!BA86</f>
        <v>0</v>
      </c>
      <c r="F86" s="94">
        <f>'COMMON ROOM'!F86+'COMMON ROOM'!R86+'COMMON ROOM'!AD86+'COMMON ROOM'!AP86+'COMMON ROOM'!BB86</f>
        <v>0</v>
      </c>
      <c r="G86" s="97"/>
      <c r="H86" s="97"/>
      <c r="I86" s="97"/>
      <c r="J86" s="97"/>
      <c r="K86" s="97"/>
      <c r="L86" s="97"/>
      <c r="M86" s="97"/>
      <c r="N86" s="97"/>
      <c r="O86" s="91"/>
      <c r="Q86" s="121">
        <f t="shared" si="1"/>
        <v>0</v>
      </c>
      <c r="R86" s="443">
        <f t="shared" si="2"/>
        <v>0</v>
      </c>
      <c r="S86" s="443">
        <f t="shared" si="3"/>
        <v>0</v>
      </c>
      <c r="T86" s="444">
        <f t="shared" si="4"/>
        <v>0</v>
      </c>
      <c r="U86" s="444">
        <f t="shared" si="5"/>
        <v>0</v>
      </c>
      <c r="V86" s="444">
        <f t="shared" si="6"/>
        <v>0</v>
      </c>
      <c r="W86" s="444">
        <f t="shared" si="7"/>
        <v>0</v>
      </c>
      <c r="X86" s="444">
        <f t="shared" si="8"/>
        <v>0</v>
      </c>
      <c r="Y86" s="444">
        <f t="shared" si="9"/>
        <v>0</v>
      </c>
      <c r="Z86" s="445">
        <f t="shared" si="10"/>
        <v>0</v>
      </c>
      <c r="AA86" s="445">
        <f t="shared" si="11"/>
        <v>0</v>
      </c>
      <c r="AB86" s="446">
        <f t="shared" si="12"/>
        <v>0</v>
      </c>
      <c r="AC86" s="90"/>
    </row>
    <row r="87">
      <c r="A87" s="113"/>
      <c r="B87" s="114"/>
      <c r="C87" s="94">
        <f>'COMMON ROOM'!C87+'COMMON ROOM'!O87+'COMMON ROOM'!AA87+'COMMON ROOM'!AM87+'COMMON ROOM'!AY87</f>
        <v>0</v>
      </c>
      <c r="D87" s="94">
        <f>'COMMON ROOM'!D87+'COMMON ROOM'!P87+'COMMON ROOM'!AB87+'COMMON ROOM'!AN87+'COMMON ROOM'!AZ87</f>
        <v>0</v>
      </c>
      <c r="E87" s="94">
        <f>'COMMON ROOM'!E87+'COMMON ROOM'!Q87+'COMMON ROOM'!AC87+'COMMON ROOM'!AO87+'COMMON ROOM'!BA87</f>
        <v>0</v>
      </c>
      <c r="F87" s="94">
        <f>'COMMON ROOM'!F87+'COMMON ROOM'!R87+'COMMON ROOM'!AD87+'COMMON ROOM'!AP87+'COMMON ROOM'!BB87</f>
        <v>0</v>
      </c>
      <c r="G87" s="97"/>
      <c r="H87" s="97"/>
      <c r="I87" s="97"/>
      <c r="J87" s="97"/>
      <c r="K87" s="97"/>
      <c r="L87" s="97"/>
      <c r="M87" s="97"/>
      <c r="N87" s="97"/>
      <c r="O87" s="91"/>
      <c r="Q87" s="121">
        <f t="shared" si="1"/>
        <v>0</v>
      </c>
      <c r="R87" s="443">
        <f t="shared" si="2"/>
        <v>0</v>
      </c>
      <c r="S87" s="443">
        <f t="shared" si="3"/>
        <v>0</v>
      </c>
      <c r="T87" s="444">
        <f t="shared" si="4"/>
        <v>0</v>
      </c>
      <c r="U87" s="444">
        <f t="shared" si="5"/>
        <v>0</v>
      </c>
      <c r="V87" s="444">
        <f t="shared" si="6"/>
        <v>0</v>
      </c>
      <c r="W87" s="444">
        <f t="shared" si="7"/>
        <v>0</v>
      </c>
      <c r="X87" s="444">
        <f t="shared" si="8"/>
        <v>0</v>
      </c>
      <c r="Y87" s="444">
        <f t="shared" si="9"/>
        <v>0</v>
      </c>
      <c r="Z87" s="445">
        <f t="shared" si="10"/>
        <v>0</v>
      </c>
      <c r="AA87" s="445">
        <f t="shared" si="11"/>
        <v>0</v>
      </c>
      <c r="AB87" s="446">
        <f t="shared" si="12"/>
        <v>0</v>
      </c>
      <c r="AC87" s="449"/>
    </row>
    <row r="88">
      <c r="A88" s="94" t="s">
        <v>127</v>
      </c>
      <c r="B88" s="96">
        <v>679.0</v>
      </c>
      <c r="C88" s="94">
        <f>'COMMON ROOM'!C88+'COMMON ROOM'!O88+'COMMON ROOM'!AA88+'COMMON ROOM'!AM88+'COMMON ROOM'!AY88</f>
        <v>0</v>
      </c>
      <c r="D88" s="94">
        <f>'COMMON ROOM'!D88+'COMMON ROOM'!P88+'COMMON ROOM'!AB88+'COMMON ROOM'!AN88+'COMMON ROOM'!AZ88</f>
        <v>0</v>
      </c>
      <c r="E88" s="94">
        <f>'COMMON ROOM'!E88+'COMMON ROOM'!Q88+'COMMON ROOM'!AC88+'COMMON ROOM'!AO88+'COMMON ROOM'!BA88</f>
        <v>0</v>
      </c>
      <c r="F88" s="94">
        <f>'COMMON ROOM'!F88+'COMMON ROOM'!R88+'COMMON ROOM'!AD88+'COMMON ROOM'!AP88+'COMMON ROOM'!BB88</f>
        <v>0</v>
      </c>
      <c r="G88" s="97"/>
      <c r="H88" s="97"/>
      <c r="I88" s="97"/>
      <c r="J88" s="97"/>
      <c r="K88" s="97"/>
      <c r="L88" s="97"/>
      <c r="M88" s="97"/>
      <c r="N88" s="97"/>
      <c r="O88" s="91"/>
      <c r="Q88" s="121">
        <f t="shared" si="1"/>
        <v>0</v>
      </c>
      <c r="R88" s="443">
        <f t="shared" si="2"/>
        <v>0</v>
      </c>
      <c r="S88" s="443">
        <f t="shared" si="3"/>
        <v>0</v>
      </c>
      <c r="T88" s="444">
        <f t="shared" si="4"/>
        <v>0</v>
      </c>
      <c r="U88" s="444">
        <f t="shared" si="5"/>
        <v>0</v>
      </c>
      <c r="V88" s="444">
        <f t="shared" si="6"/>
        <v>0</v>
      </c>
      <c r="W88" s="444">
        <f t="shared" si="7"/>
        <v>0</v>
      </c>
      <c r="X88" s="444">
        <f t="shared" si="8"/>
        <v>0</v>
      </c>
      <c r="Y88" s="444">
        <f t="shared" si="9"/>
        <v>0</v>
      </c>
      <c r="Z88" s="445">
        <f t="shared" si="10"/>
        <v>0</v>
      </c>
      <c r="AA88" s="445">
        <f t="shared" si="11"/>
        <v>0</v>
      </c>
      <c r="AB88" s="446">
        <f t="shared" si="12"/>
        <v>0</v>
      </c>
      <c r="AC88" s="449"/>
    </row>
    <row r="89">
      <c r="A89" s="94" t="s">
        <v>128</v>
      </c>
      <c r="B89" s="96">
        <v>679.0</v>
      </c>
      <c r="C89" s="94">
        <f>'COMMON ROOM'!C89+'COMMON ROOM'!O89+'COMMON ROOM'!AA89+'COMMON ROOM'!AM89+'COMMON ROOM'!AY89</f>
        <v>0</v>
      </c>
      <c r="D89" s="94">
        <f>'COMMON ROOM'!D89+'COMMON ROOM'!P89+'COMMON ROOM'!AB89+'COMMON ROOM'!AN89+'COMMON ROOM'!AZ89</f>
        <v>0</v>
      </c>
      <c r="E89" s="94">
        <f>'COMMON ROOM'!E89+'COMMON ROOM'!Q89+'COMMON ROOM'!AC89+'COMMON ROOM'!AO89+'COMMON ROOM'!BA89</f>
        <v>0</v>
      </c>
      <c r="F89" s="94">
        <f>'COMMON ROOM'!F89+'COMMON ROOM'!R89+'COMMON ROOM'!AD89+'COMMON ROOM'!AP89+'COMMON ROOM'!BB89</f>
        <v>0</v>
      </c>
      <c r="G89" s="97"/>
      <c r="H89" s="97"/>
      <c r="I89" s="97"/>
      <c r="J89" s="97"/>
      <c r="K89" s="97"/>
      <c r="L89" s="97"/>
      <c r="M89" s="97"/>
      <c r="N89" s="97"/>
      <c r="O89" s="91"/>
      <c r="Q89" s="121">
        <f t="shared" si="1"/>
        <v>0</v>
      </c>
      <c r="R89" s="443">
        <f t="shared" si="2"/>
        <v>0</v>
      </c>
      <c r="S89" s="443">
        <f t="shared" si="3"/>
        <v>0</v>
      </c>
      <c r="T89" s="444">
        <f t="shared" si="4"/>
        <v>0</v>
      </c>
      <c r="U89" s="444">
        <f t="shared" si="5"/>
        <v>0</v>
      </c>
      <c r="V89" s="444">
        <f t="shared" si="6"/>
        <v>0</v>
      </c>
      <c r="W89" s="444">
        <f t="shared" si="7"/>
        <v>0</v>
      </c>
      <c r="X89" s="444">
        <f t="shared" si="8"/>
        <v>0</v>
      </c>
      <c r="Y89" s="444">
        <f t="shared" si="9"/>
        <v>0</v>
      </c>
      <c r="Z89" s="445">
        <f t="shared" si="10"/>
        <v>0</v>
      </c>
      <c r="AA89" s="445">
        <f t="shared" si="11"/>
        <v>0</v>
      </c>
      <c r="AB89" s="446">
        <f t="shared" si="12"/>
        <v>0</v>
      </c>
      <c r="AC89" s="449"/>
    </row>
    <row r="90">
      <c r="A90" s="94" t="s">
        <v>129</v>
      </c>
      <c r="B90" s="96">
        <v>679.0</v>
      </c>
      <c r="C90" s="94">
        <f>'COMMON ROOM'!C90+'COMMON ROOM'!O90+'COMMON ROOM'!AA90+'COMMON ROOM'!AM90+'COMMON ROOM'!AY90</f>
        <v>0</v>
      </c>
      <c r="D90" s="94">
        <f>'COMMON ROOM'!D90+'COMMON ROOM'!P90+'COMMON ROOM'!AB90+'COMMON ROOM'!AN90+'COMMON ROOM'!AZ90</f>
        <v>0</v>
      </c>
      <c r="E90" s="94">
        <f>'COMMON ROOM'!E90+'COMMON ROOM'!Q90+'COMMON ROOM'!AC90+'COMMON ROOM'!AO90+'COMMON ROOM'!BA90</f>
        <v>0</v>
      </c>
      <c r="F90" s="94">
        <f>'COMMON ROOM'!F90+'COMMON ROOM'!R90+'COMMON ROOM'!AD90+'COMMON ROOM'!AP90+'COMMON ROOM'!BB90</f>
        <v>0</v>
      </c>
      <c r="G90" s="97"/>
      <c r="H90" s="97"/>
      <c r="I90" s="97"/>
      <c r="J90" s="97"/>
      <c r="K90" s="97"/>
      <c r="L90" s="97"/>
      <c r="M90" s="97"/>
      <c r="N90" s="97"/>
      <c r="O90" s="91"/>
      <c r="Q90" s="121">
        <f t="shared" si="1"/>
        <v>0</v>
      </c>
      <c r="R90" s="443">
        <f t="shared" si="2"/>
        <v>0</v>
      </c>
      <c r="S90" s="443">
        <f t="shared" si="3"/>
        <v>0</v>
      </c>
      <c r="T90" s="444">
        <f t="shared" si="4"/>
        <v>0</v>
      </c>
      <c r="U90" s="444">
        <f t="shared" si="5"/>
        <v>0</v>
      </c>
      <c r="V90" s="444">
        <f t="shared" si="6"/>
        <v>0</v>
      </c>
      <c r="W90" s="444">
        <f t="shared" si="7"/>
        <v>0</v>
      </c>
      <c r="X90" s="444">
        <f t="shared" si="8"/>
        <v>0</v>
      </c>
      <c r="Y90" s="444">
        <f t="shared" si="9"/>
        <v>0</v>
      </c>
      <c r="Z90" s="445">
        <f t="shared" si="10"/>
        <v>0</v>
      </c>
      <c r="AA90" s="445">
        <f t="shared" si="11"/>
        <v>0</v>
      </c>
      <c r="AB90" s="446">
        <f t="shared" si="12"/>
        <v>0</v>
      </c>
      <c r="AC90" s="449"/>
    </row>
    <row r="91">
      <c r="A91" s="115"/>
      <c r="B91" s="116"/>
      <c r="C91" s="94">
        <f>'COMMON ROOM'!C91+'COMMON ROOM'!O91+'COMMON ROOM'!AA91+'COMMON ROOM'!AM91+'COMMON ROOM'!AY91</f>
        <v>0</v>
      </c>
      <c r="D91" s="94">
        <f>'COMMON ROOM'!D91+'COMMON ROOM'!P91+'COMMON ROOM'!AB91+'COMMON ROOM'!AN91+'COMMON ROOM'!AZ91</f>
        <v>0</v>
      </c>
      <c r="E91" s="94">
        <f>'COMMON ROOM'!E91+'COMMON ROOM'!Q91+'COMMON ROOM'!AC91+'COMMON ROOM'!AO91+'COMMON ROOM'!BA91</f>
        <v>0</v>
      </c>
      <c r="F91" s="94">
        <f>'COMMON ROOM'!F91+'COMMON ROOM'!R91+'COMMON ROOM'!AD91+'COMMON ROOM'!AP91+'COMMON ROOM'!BB91</f>
        <v>0</v>
      </c>
      <c r="G91" s="97"/>
      <c r="H91" s="97"/>
      <c r="I91" s="97"/>
      <c r="J91" s="97"/>
      <c r="K91" s="97"/>
      <c r="L91" s="97"/>
      <c r="M91" s="97"/>
      <c r="N91" s="97"/>
      <c r="O91" s="91"/>
      <c r="Q91" s="121">
        <f t="shared" si="1"/>
        <v>0</v>
      </c>
      <c r="R91" s="443">
        <f t="shared" si="2"/>
        <v>0</v>
      </c>
      <c r="S91" s="443">
        <f t="shared" si="3"/>
        <v>0</v>
      </c>
      <c r="T91" s="444">
        <f t="shared" si="4"/>
        <v>0</v>
      </c>
      <c r="U91" s="444">
        <f t="shared" si="5"/>
        <v>0</v>
      </c>
      <c r="V91" s="444">
        <f t="shared" si="6"/>
        <v>0</v>
      </c>
      <c r="W91" s="444">
        <f t="shared" si="7"/>
        <v>0</v>
      </c>
      <c r="X91" s="444">
        <f t="shared" si="8"/>
        <v>0</v>
      </c>
      <c r="Y91" s="444">
        <f t="shared" si="9"/>
        <v>0</v>
      </c>
      <c r="Z91" s="445">
        <f t="shared" si="10"/>
        <v>0</v>
      </c>
      <c r="AA91" s="445">
        <f t="shared" si="11"/>
        <v>0</v>
      </c>
      <c r="AB91" s="446">
        <f t="shared" si="12"/>
        <v>0</v>
      </c>
      <c r="AC91" s="449"/>
    </row>
    <row r="92">
      <c r="A92" s="94" t="s">
        <v>130</v>
      </c>
      <c r="B92" s="96">
        <v>490.0</v>
      </c>
      <c r="C92" s="94">
        <f>'COMMON ROOM'!C92+'COMMON ROOM'!O92+'COMMON ROOM'!AA92+'COMMON ROOM'!AM92+'COMMON ROOM'!AY92</f>
        <v>0</v>
      </c>
      <c r="D92" s="94">
        <f>'COMMON ROOM'!D92+'COMMON ROOM'!P92+'COMMON ROOM'!AB92+'COMMON ROOM'!AN92+'COMMON ROOM'!AZ92</f>
        <v>0</v>
      </c>
      <c r="E92" s="94">
        <f>'COMMON ROOM'!E92+'COMMON ROOM'!Q92+'COMMON ROOM'!AC92+'COMMON ROOM'!AO92+'COMMON ROOM'!BA92</f>
        <v>0</v>
      </c>
      <c r="F92" s="94">
        <f>'COMMON ROOM'!F92+'COMMON ROOM'!R92+'COMMON ROOM'!AD92+'COMMON ROOM'!AP92+'COMMON ROOM'!BB92</f>
        <v>0</v>
      </c>
      <c r="G92" s="97"/>
      <c r="H92" s="97"/>
      <c r="I92" s="97"/>
      <c r="J92" s="97"/>
      <c r="K92" s="97"/>
      <c r="L92" s="97"/>
      <c r="M92" s="97"/>
      <c r="N92" s="97"/>
      <c r="O92" s="91"/>
      <c r="Q92" s="121">
        <f t="shared" si="1"/>
        <v>0</v>
      </c>
      <c r="R92" s="443">
        <f t="shared" si="2"/>
        <v>0</v>
      </c>
      <c r="S92" s="443">
        <f t="shared" si="3"/>
        <v>0</v>
      </c>
      <c r="T92" s="444">
        <f t="shared" si="4"/>
        <v>0</v>
      </c>
      <c r="U92" s="444">
        <f t="shared" si="5"/>
        <v>0</v>
      </c>
      <c r="V92" s="444">
        <f t="shared" si="6"/>
        <v>0</v>
      </c>
      <c r="W92" s="444">
        <f t="shared" si="7"/>
        <v>0</v>
      </c>
      <c r="X92" s="444">
        <f t="shared" si="8"/>
        <v>0</v>
      </c>
      <c r="Y92" s="444">
        <f t="shared" si="9"/>
        <v>0</v>
      </c>
      <c r="Z92" s="445">
        <f t="shared" si="10"/>
        <v>0</v>
      </c>
      <c r="AA92" s="445">
        <f t="shared" si="11"/>
        <v>0</v>
      </c>
      <c r="AB92" s="446">
        <f t="shared" si="12"/>
        <v>0</v>
      </c>
      <c r="AC92" s="449"/>
    </row>
    <row r="93">
      <c r="A93" s="94" t="s">
        <v>131</v>
      </c>
      <c r="B93" s="96">
        <v>490.0</v>
      </c>
      <c r="C93" s="94">
        <f>'COMMON ROOM'!C93+'COMMON ROOM'!O93+'COMMON ROOM'!AA93+'COMMON ROOM'!AM93+'COMMON ROOM'!AY93</f>
        <v>0</v>
      </c>
      <c r="D93" s="94">
        <f>'COMMON ROOM'!D93+'COMMON ROOM'!P93+'COMMON ROOM'!AB93+'COMMON ROOM'!AN93+'COMMON ROOM'!AZ93</f>
        <v>0</v>
      </c>
      <c r="E93" s="94">
        <f>'COMMON ROOM'!E93+'COMMON ROOM'!Q93+'COMMON ROOM'!AC93+'COMMON ROOM'!AO93+'COMMON ROOM'!BA93</f>
        <v>0</v>
      </c>
      <c r="F93" s="94">
        <f>'COMMON ROOM'!F93+'COMMON ROOM'!R93+'COMMON ROOM'!AD93+'COMMON ROOM'!AP93+'COMMON ROOM'!BB93</f>
        <v>0</v>
      </c>
      <c r="G93" s="97"/>
      <c r="H93" s="97"/>
      <c r="I93" s="97"/>
      <c r="J93" s="97"/>
      <c r="K93" s="97"/>
      <c r="L93" s="97"/>
      <c r="M93" s="97"/>
      <c r="N93" s="97"/>
      <c r="O93" s="91"/>
      <c r="Q93" s="121">
        <f t="shared" si="1"/>
        <v>0</v>
      </c>
      <c r="R93" s="443">
        <f t="shared" si="2"/>
        <v>0</v>
      </c>
      <c r="S93" s="443">
        <f t="shared" si="3"/>
        <v>0</v>
      </c>
      <c r="T93" s="444">
        <f t="shared" si="4"/>
        <v>0</v>
      </c>
      <c r="U93" s="444">
        <f t="shared" si="5"/>
        <v>0</v>
      </c>
      <c r="V93" s="444">
        <f t="shared" si="6"/>
        <v>0</v>
      </c>
      <c r="W93" s="444">
        <f t="shared" si="7"/>
        <v>0</v>
      </c>
      <c r="X93" s="444">
        <f t="shared" si="8"/>
        <v>0</v>
      </c>
      <c r="Y93" s="444">
        <f t="shared" si="9"/>
        <v>0</v>
      </c>
      <c r="Z93" s="445">
        <f t="shared" si="10"/>
        <v>0</v>
      </c>
      <c r="AA93" s="445">
        <f t="shared" si="11"/>
        <v>0</v>
      </c>
      <c r="AB93" s="446">
        <f t="shared" si="12"/>
        <v>0</v>
      </c>
      <c r="AC93" s="449"/>
    </row>
    <row r="94">
      <c r="A94" s="94" t="s">
        <v>132</v>
      </c>
      <c r="B94" s="96">
        <v>450.0</v>
      </c>
      <c r="C94" s="94">
        <f>'COMMON ROOM'!C94+'COMMON ROOM'!O94+'COMMON ROOM'!AA94+'COMMON ROOM'!AM94+'COMMON ROOM'!AY94</f>
        <v>0</v>
      </c>
      <c r="D94" s="94">
        <f>'COMMON ROOM'!D94+'COMMON ROOM'!P94+'COMMON ROOM'!AB94+'COMMON ROOM'!AN94+'COMMON ROOM'!AZ94</f>
        <v>0</v>
      </c>
      <c r="E94" s="94">
        <f>'COMMON ROOM'!E94+'COMMON ROOM'!Q94+'COMMON ROOM'!AC94+'COMMON ROOM'!AO94+'COMMON ROOM'!BA94</f>
        <v>0</v>
      </c>
      <c r="F94" s="94">
        <f>'COMMON ROOM'!F94+'COMMON ROOM'!R94+'COMMON ROOM'!AD94+'COMMON ROOM'!AP94+'COMMON ROOM'!BB94</f>
        <v>0</v>
      </c>
      <c r="G94" s="97"/>
      <c r="H94" s="97"/>
      <c r="I94" s="97"/>
      <c r="J94" s="97"/>
      <c r="K94" s="97"/>
      <c r="L94" s="97"/>
      <c r="M94" s="97"/>
      <c r="N94" s="97"/>
      <c r="O94" s="91"/>
      <c r="Q94" s="121">
        <f t="shared" si="1"/>
        <v>0</v>
      </c>
      <c r="R94" s="443">
        <f t="shared" si="2"/>
        <v>0</v>
      </c>
      <c r="S94" s="443">
        <f t="shared" si="3"/>
        <v>0</v>
      </c>
      <c r="T94" s="444">
        <f t="shared" si="4"/>
        <v>0</v>
      </c>
      <c r="U94" s="444">
        <f t="shared" si="5"/>
        <v>0</v>
      </c>
      <c r="V94" s="444">
        <f t="shared" si="6"/>
        <v>0</v>
      </c>
      <c r="W94" s="444">
        <f t="shared" si="7"/>
        <v>0</v>
      </c>
      <c r="X94" s="444">
        <f t="shared" si="8"/>
        <v>0</v>
      </c>
      <c r="Y94" s="444">
        <f t="shared" si="9"/>
        <v>0</v>
      </c>
      <c r="Z94" s="445">
        <f t="shared" si="10"/>
        <v>0</v>
      </c>
      <c r="AA94" s="445">
        <f t="shared" si="11"/>
        <v>0</v>
      </c>
      <c r="AB94" s="446">
        <f t="shared" si="12"/>
        <v>0</v>
      </c>
      <c r="AC94" s="449"/>
    </row>
    <row r="95">
      <c r="A95" s="117" t="s">
        <v>133</v>
      </c>
      <c r="B95" s="118">
        <v>450.0</v>
      </c>
      <c r="C95" s="94">
        <f>'COMMON ROOM'!C95+'COMMON ROOM'!O95+'COMMON ROOM'!AA95+'COMMON ROOM'!AM95+'COMMON ROOM'!AY95</f>
        <v>0</v>
      </c>
      <c r="D95" s="94">
        <f>'COMMON ROOM'!D95+'COMMON ROOM'!P95+'COMMON ROOM'!AB95+'COMMON ROOM'!AN95+'COMMON ROOM'!AZ95</f>
        <v>0</v>
      </c>
      <c r="E95" s="94">
        <f>'COMMON ROOM'!E95+'COMMON ROOM'!Q95+'COMMON ROOM'!AC95+'COMMON ROOM'!AO95+'COMMON ROOM'!BA95</f>
        <v>0</v>
      </c>
      <c r="F95" s="94">
        <f>'COMMON ROOM'!F95+'COMMON ROOM'!R95+'COMMON ROOM'!AD95+'COMMON ROOM'!AP95+'COMMON ROOM'!BB95</f>
        <v>0</v>
      </c>
      <c r="G95" s="97"/>
      <c r="H95" s="97"/>
      <c r="I95" s="97"/>
      <c r="J95" s="97"/>
      <c r="K95" s="97"/>
      <c r="L95" s="97"/>
      <c r="M95" s="97"/>
      <c r="N95" s="97"/>
      <c r="O95" s="91"/>
      <c r="Q95" s="121">
        <f t="shared" si="1"/>
        <v>0</v>
      </c>
      <c r="R95" s="443">
        <f t="shared" si="2"/>
        <v>0</v>
      </c>
      <c r="S95" s="443">
        <f t="shared" si="3"/>
        <v>0</v>
      </c>
      <c r="T95" s="444">
        <f t="shared" si="4"/>
        <v>0</v>
      </c>
      <c r="U95" s="444">
        <f t="shared" si="5"/>
        <v>0</v>
      </c>
      <c r="V95" s="444">
        <f t="shared" si="6"/>
        <v>0</v>
      </c>
      <c r="W95" s="444">
        <f t="shared" si="7"/>
        <v>0</v>
      </c>
      <c r="X95" s="444">
        <f t="shared" si="8"/>
        <v>0</v>
      </c>
      <c r="Y95" s="444">
        <f t="shared" si="9"/>
        <v>0</v>
      </c>
      <c r="Z95" s="445">
        <f t="shared" si="10"/>
        <v>0</v>
      </c>
      <c r="AA95" s="445">
        <f t="shared" si="11"/>
        <v>0</v>
      </c>
      <c r="AB95" s="446">
        <f t="shared" si="12"/>
        <v>0</v>
      </c>
      <c r="AC95" s="449"/>
    </row>
    <row r="96">
      <c r="A96" s="119"/>
      <c r="B96" s="120"/>
      <c r="C96" s="94">
        <f>'COMMON ROOM'!C96+'COMMON ROOM'!O96+'COMMON ROOM'!AA96+'COMMON ROOM'!AM96+'COMMON ROOM'!AY96</f>
        <v>0</v>
      </c>
      <c r="D96" s="94">
        <f>'COMMON ROOM'!D96+'COMMON ROOM'!P96+'COMMON ROOM'!AB96+'COMMON ROOM'!AN96+'COMMON ROOM'!AZ96</f>
        <v>0</v>
      </c>
      <c r="E96" s="94">
        <f>'COMMON ROOM'!E96+'COMMON ROOM'!Q96+'COMMON ROOM'!AC96+'COMMON ROOM'!AO96+'COMMON ROOM'!BA96</f>
        <v>0</v>
      </c>
      <c r="F96" s="94">
        <f>'COMMON ROOM'!F96+'COMMON ROOM'!R96+'COMMON ROOM'!AD96+'COMMON ROOM'!AP96+'COMMON ROOM'!BB96</f>
        <v>0</v>
      </c>
      <c r="G96" s="97"/>
      <c r="H96" s="97"/>
      <c r="I96" s="97"/>
      <c r="J96" s="97"/>
      <c r="K96" s="97"/>
      <c r="L96" s="97"/>
      <c r="M96" s="97"/>
      <c r="N96" s="97"/>
      <c r="O96" s="91"/>
      <c r="Q96" s="121">
        <f t="shared" si="1"/>
        <v>0</v>
      </c>
      <c r="R96" s="443">
        <f t="shared" si="2"/>
        <v>0</v>
      </c>
      <c r="S96" s="443">
        <f t="shared" si="3"/>
        <v>0</v>
      </c>
      <c r="T96" s="444">
        <f t="shared" si="4"/>
        <v>0</v>
      </c>
      <c r="U96" s="444">
        <f t="shared" si="5"/>
        <v>0</v>
      </c>
      <c r="V96" s="444">
        <f t="shared" si="6"/>
        <v>0</v>
      </c>
      <c r="W96" s="449"/>
      <c r="X96" s="449"/>
      <c r="Y96" s="449"/>
      <c r="Z96" s="449"/>
      <c r="AA96" s="445">
        <f t="shared" si="11"/>
        <v>0</v>
      </c>
      <c r="AB96" s="446">
        <f t="shared" si="12"/>
        <v>0</v>
      </c>
      <c r="AC96" s="449"/>
    </row>
    <row r="97">
      <c r="A97" s="121" t="s">
        <v>134</v>
      </c>
      <c r="B97" s="118">
        <v>1054.0</v>
      </c>
      <c r="C97" s="94">
        <f>'COMMON ROOM'!C97+'COMMON ROOM'!O97+'COMMON ROOM'!AA97+'COMMON ROOM'!AM97+'COMMON ROOM'!AY97</f>
        <v>0</v>
      </c>
      <c r="D97" s="94">
        <f>'COMMON ROOM'!D97+'COMMON ROOM'!P97+'COMMON ROOM'!AB97+'COMMON ROOM'!AN97+'COMMON ROOM'!AZ97</f>
        <v>0</v>
      </c>
      <c r="E97" s="94">
        <f>'COMMON ROOM'!E97+'COMMON ROOM'!Q97+'COMMON ROOM'!AC97+'COMMON ROOM'!AO97+'COMMON ROOM'!BA97</f>
        <v>0</v>
      </c>
      <c r="F97" s="94">
        <f>'COMMON ROOM'!F97+'COMMON ROOM'!R97+'COMMON ROOM'!AD97+'COMMON ROOM'!AP97+'COMMON ROOM'!BB97</f>
        <v>0</v>
      </c>
      <c r="G97" s="122"/>
      <c r="H97" s="97"/>
      <c r="I97" s="97"/>
      <c r="J97" s="97"/>
      <c r="K97" s="97"/>
      <c r="L97" s="97"/>
      <c r="M97" s="97"/>
      <c r="N97" s="97"/>
      <c r="O97" s="91"/>
      <c r="Q97" s="121">
        <f t="shared" si="1"/>
        <v>0</v>
      </c>
      <c r="R97" s="121">
        <f t="shared" ref="R97:AB97" si="13">C97*D97</f>
        <v>0</v>
      </c>
      <c r="S97" s="121">
        <f t="shared" si="13"/>
        <v>0</v>
      </c>
      <c r="T97" s="121">
        <f t="shared" si="13"/>
        <v>0</v>
      </c>
      <c r="U97" s="121">
        <f t="shared" si="13"/>
        <v>0</v>
      </c>
      <c r="V97" s="121">
        <f t="shared" si="13"/>
        <v>0</v>
      </c>
      <c r="W97" s="121">
        <f t="shared" si="13"/>
        <v>0</v>
      </c>
      <c r="X97" s="121">
        <f t="shared" si="13"/>
        <v>0</v>
      </c>
      <c r="Y97" s="121">
        <f t="shared" si="13"/>
        <v>0</v>
      </c>
      <c r="Z97" s="121">
        <f t="shared" si="13"/>
        <v>0</v>
      </c>
      <c r="AA97" s="121">
        <f t="shared" si="13"/>
        <v>0</v>
      </c>
      <c r="AB97" s="121">
        <f t="shared" si="13"/>
        <v>0</v>
      </c>
      <c r="AC97" s="449"/>
    </row>
    <row r="98">
      <c r="A98" s="249" t="s">
        <v>266</v>
      </c>
      <c r="B98" s="344">
        <v>349.0</v>
      </c>
      <c r="C98" s="94">
        <f>'COMMON ROOM'!C98+'COMMON ROOM'!O98+'COMMON ROOM'!AA98+'COMMON ROOM'!AM98+'COMMON ROOM'!AY98</f>
        <v>0</v>
      </c>
      <c r="D98" s="94">
        <f>'COMMON ROOM'!D98+'COMMON ROOM'!P98+'COMMON ROOM'!AB98+'COMMON ROOM'!AN98+'COMMON ROOM'!AZ98</f>
        <v>0</v>
      </c>
      <c r="E98" s="94">
        <f>'COMMON ROOM'!E98+'COMMON ROOM'!Q98+'COMMON ROOM'!AC98+'COMMON ROOM'!AO98+'COMMON ROOM'!BA98</f>
        <v>15</v>
      </c>
      <c r="F98" s="94">
        <f>'COMMON ROOM'!F98+'COMMON ROOM'!R98+'COMMON ROOM'!AD98+'COMMON ROOM'!AP98+'COMMON ROOM'!BB98</f>
        <v>20</v>
      </c>
      <c r="G98" s="120"/>
      <c r="H98" s="450"/>
      <c r="I98" s="450"/>
      <c r="J98" s="449"/>
      <c r="K98" s="449"/>
      <c r="L98" s="449"/>
      <c r="M98" s="449"/>
      <c r="N98" s="449"/>
      <c r="O98" s="83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449"/>
    </row>
    <row r="99">
      <c r="A99" s="249" t="s">
        <v>267</v>
      </c>
      <c r="B99" s="344">
        <v>459.0</v>
      </c>
      <c r="C99" s="94">
        <f>'COMMON ROOM'!C99+'COMMON ROOM'!O99+'COMMON ROOM'!AA99+'COMMON ROOM'!AM99+'COMMON ROOM'!AY99</f>
        <v>0</v>
      </c>
      <c r="D99" s="94">
        <f>'COMMON ROOM'!D99+'COMMON ROOM'!P99+'COMMON ROOM'!AB99+'COMMON ROOM'!AN99+'COMMON ROOM'!AZ99</f>
        <v>0</v>
      </c>
      <c r="E99" s="94">
        <f>'COMMON ROOM'!E99+'COMMON ROOM'!Q99+'COMMON ROOM'!AC99+'COMMON ROOM'!AO99+'COMMON ROOM'!BA99</f>
        <v>4</v>
      </c>
      <c r="F99" s="94">
        <f>'COMMON ROOM'!F99+'COMMON ROOM'!R99+'COMMON ROOM'!AD99+'COMMON ROOM'!AP99+'COMMON ROOM'!BB99</f>
        <v>5</v>
      </c>
      <c r="G99" s="120"/>
      <c r="H99" s="450"/>
      <c r="I99" s="450"/>
      <c r="J99" s="449"/>
      <c r="K99" s="449"/>
      <c r="L99" s="449"/>
      <c r="M99" s="449"/>
      <c r="N99" s="449"/>
      <c r="O99" s="83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449"/>
    </row>
    <row r="100">
      <c r="A100" s="249" t="s">
        <v>268</v>
      </c>
      <c r="B100" s="344">
        <v>799.0</v>
      </c>
      <c r="C100" s="94">
        <f>'COMMON ROOM'!C100+'COMMON ROOM'!O100+'COMMON ROOM'!AA100+'COMMON ROOM'!AM100+'COMMON ROOM'!AY100</f>
        <v>0</v>
      </c>
      <c r="D100" s="94">
        <f>'COMMON ROOM'!D100+'COMMON ROOM'!P100+'COMMON ROOM'!AB100+'COMMON ROOM'!AN100+'COMMON ROOM'!AZ100</f>
        <v>0</v>
      </c>
      <c r="E100" s="94">
        <f>'COMMON ROOM'!E100+'COMMON ROOM'!Q100+'COMMON ROOM'!AC100+'COMMON ROOM'!AO100+'COMMON ROOM'!BA100</f>
        <v>0</v>
      </c>
      <c r="F100" s="94">
        <f>'COMMON ROOM'!F100+'COMMON ROOM'!R100+'COMMON ROOM'!AD100+'COMMON ROOM'!AP100+'COMMON ROOM'!BB100</f>
        <v>0</v>
      </c>
      <c r="G100" s="120"/>
      <c r="H100" s="450"/>
      <c r="I100" s="450"/>
      <c r="J100" s="449"/>
      <c r="K100" s="449"/>
      <c r="L100" s="449"/>
      <c r="M100" s="449"/>
      <c r="N100" s="449"/>
      <c r="O100" s="83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449"/>
    </row>
    <row r="101">
      <c r="A101" s="123" t="s">
        <v>135</v>
      </c>
      <c r="B101" s="124"/>
      <c r="C101" s="125"/>
      <c r="D101" s="125"/>
      <c r="E101" s="125"/>
      <c r="F101" s="126"/>
      <c r="G101" s="124"/>
      <c r="H101" s="127"/>
      <c r="I101" s="127"/>
      <c r="J101" s="125"/>
      <c r="K101" s="125"/>
      <c r="L101" s="125"/>
      <c r="M101" s="125"/>
      <c r="N101" s="125"/>
      <c r="O101" s="128"/>
      <c r="Q101" s="123">
        <f t="shared" ref="Q101:AB101" si="14">B101*C101</f>
        <v>0</v>
      </c>
      <c r="R101" s="123">
        <f t="shared" si="14"/>
        <v>0</v>
      </c>
      <c r="S101" s="123">
        <f t="shared" si="14"/>
        <v>0</v>
      </c>
      <c r="T101" s="123">
        <f t="shared" si="14"/>
        <v>0</v>
      </c>
      <c r="U101" s="123">
        <f t="shared" si="14"/>
        <v>0</v>
      </c>
      <c r="V101" s="123">
        <f t="shared" si="14"/>
        <v>0</v>
      </c>
      <c r="W101" s="123">
        <f t="shared" si="14"/>
        <v>0</v>
      </c>
      <c r="X101" s="123">
        <f t="shared" si="14"/>
        <v>0</v>
      </c>
      <c r="Y101" s="123">
        <f t="shared" si="14"/>
        <v>0</v>
      </c>
      <c r="Z101" s="123">
        <f t="shared" si="14"/>
        <v>0</v>
      </c>
      <c r="AA101" s="123">
        <f t="shared" si="14"/>
        <v>0</v>
      </c>
      <c r="AB101" s="123">
        <f t="shared" si="14"/>
        <v>0</v>
      </c>
      <c r="AC101" s="125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Q102" s="451">
        <f>'COMMON ROOM'!C102+'COMMON ROOM'!O102+'COMMON ROOM'!AA102+'COMMON ROOM'!AM102+'COMMON ROOM'!AY102</f>
        <v>146221</v>
      </c>
      <c r="R102" s="451">
        <f>'COMMON ROOM'!D102+'COMMON ROOM'!P102+'COMMON ROOM'!AB102+'COMMON ROOM'!AN102+'COMMON ROOM'!AZ102</f>
        <v>95644</v>
      </c>
      <c r="S102" s="451">
        <f>'COMMON ROOM'!E102+'COMMON ROOM'!Q102+'COMMON ROOM'!AC102+'COMMON ROOM'!AO102+'COMMON ROOM'!BA102</f>
        <v>81630</v>
      </c>
      <c r="T102" s="451">
        <f>'COMMON ROOM'!F102+'COMMON ROOM'!R102+'COMMON ROOM'!AD102+'COMMON ROOM'!AP102+'COMMON ROOM'!BB102</f>
        <v>96378</v>
      </c>
      <c r="U102" s="451">
        <f>'COMMON ROOM'!G102+'COMMON ROOM'!S102+'COMMON ROOM'!AE102+'COMMON ROOM'!AQ102+'COMMON ROOM'!BC102</f>
        <v>0</v>
      </c>
      <c r="V102" s="451">
        <f>'COMMON ROOM'!H102+'COMMON ROOM'!T102+'COMMON ROOM'!AF102+'COMMON ROOM'!AR102+'COMMON ROOM'!BD102</f>
        <v>0</v>
      </c>
      <c r="W102" s="451">
        <f>'COMMON ROOM'!I102+'COMMON ROOM'!U102+'COMMON ROOM'!AG102+'COMMON ROOM'!AS102+'COMMON ROOM'!BE102</f>
        <v>0</v>
      </c>
      <c r="X102" s="451">
        <f>'COMMON ROOM'!J102+'COMMON ROOM'!V102+'COMMON ROOM'!AH102+'COMMON ROOM'!AT102+'COMMON ROOM'!BF102</f>
        <v>0</v>
      </c>
      <c r="Y102" s="451">
        <f>'COMMON ROOM'!K102+'COMMON ROOM'!W102+'COMMON ROOM'!AI102+'COMMON ROOM'!AU102+'COMMON ROOM'!BG102</f>
        <v>0</v>
      </c>
      <c r="Z102" s="451">
        <f>'COMMON ROOM'!L102+'COMMON ROOM'!X102+'COMMON ROOM'!AJ102+'COMMON ROOM'!AV102+'COMMON ROOM'!BH102</f>
        <v>0</v>
      </c>
      <c r="AA102" s="451">
        <f>'COMMON ROOM'!M102+'COMMON ROOM'!Y102+'COMMON ROOM'!AK102+'COMMON ROOM'!AW102+'COMMON ROOM'!BI102</f>
        <v>0</v>
      </c>
      <c r="AB102" s="451">
        <f>'COMMON ROOM'!N102+'COMMON ROOM'!Z102+'COMMON ROOM'!AL102+'COMMON ROOM'!AX102+'COMMON ROOM'!BJ102</f>
        <v>0</v>
      </c>
      <c r="AC102" s="451">
        <f>'COMMON ROOM'!O102+'COMMON ROOM'!AA102+'COMMON ROOM'!AM102+'COMMON ROOM'!AY102+'COMMON ROOM'!BK102</f>
        <v>119220</v>
      </c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Q103" s="452">
        <v>147139.0</v>
      </c>
      <c r="R103" s="72"/>
      <c r="S103" s="72"/>
      <c r="T103" s="72"/>
      <c r="U103" s="72"/>
      <c r="V103" s="72"/>
      <c r="W103" s="72"/>
      <c r="X103" s="72"/>
      <c r="Y103" s="72"/>
      <c r="Z103" s="72"/>
      <c r="AA103" s="453"/>
      <c r="AB103" s="72"/>
      <c r="AC103" s="72"/>
    </row>
    <row r="104">
      <c r="Q104" s="454">
        <f>Q102-Q103</f>
        <v>-918</v>
      </c>
      <c r="R104" s="455"/>
      <c r="AA104" s="456"/>
    </row>
    <row r="105">
      <c r="AA105" s="456"/>
    </row>
    <row r="106">
      <c r="AA106" s="456"/>
    </row>
    <row r="107">
      <c r="AA107" s="456"/>
    </row>
    <row r="108">
      <c r="AA108" s="456"/>
    </row>
    <row r="109">
      <c r="AA109" s="456"/>
    </row>
    <row r="110">
      <c r="AA110" s="456"/>
    </row>
    <row r="111">
      <c r="AA111" s="456"/>
    </row>
    <row r="112">
      <c r="AA112" s="456"/>
    </row>
    <row r="113">
      <c r="AA113" s="456"/>
    </row>
    <row r="114">
      <c r="AA114" s="456"/>
    </row>
    <row r="115">
      <c r="AA115" s="456"/>
    </row>
    <row r="116">
      <c r="AA116" s="456"/>
    </row>
    <row r="117">
      <c r="AA117" s="456"/>
    </row>
    <row r="118">
      <c r="AA118" s="456"/>
    </row>
    <row r="119">
      <c r="AA119" s="456"/>
    </row>
    <row r="120">
      <c r="AA120" s="456"/>
    </row>
    <row r="121">
      <c r="AA121" s="456"/>
    </row>
    <row r="122">
      <c r="AA122" s="456"/>
    </row>
    <row r="123">
      <c r="AA123" s="456"/>
    </row>
    <row r="124">
      <c r="AA124" s="456"/>
    </row>
    <row r="125">
      <c r="AA125" s="456"/>
    </row>
    <row r="126">
      <c r="AA126" s="456"/>
    </row>
    <row r="127">
      <c r="AA127" s="456"/>
    </row>
    <row r="128">
      <c r="AA128" s="456"/>
    </row>
    <row r="129">
      <c r="AA129" s="456"/>
    </row>
    <row r="130">
      <c r="AA130" s="456"/>
    </row>
    <row r="131">
      <c r="AA131" s="456"/>
    </row>
    <row r="132">
      <c r="AA132" s="456"/>
    </row>
    <row r="133">
      <c r="AA133" s="456"/>
    </row>
    <row r="134">
      <c r="AA134" s="456"/>
    </row>
    <row r="135">
      <c r="AA135" s="456"/>
    </row>
    <row r="136">
      <c r="AA136" s="456"/>
    </row>
    <row r="137">
      <c r="AA137" s="456"/>
    </row>
    <row r="138">
      <c r="AA138" s="456"/>
    </row>
    <row r="139">
      <c r="AA139" s="456"/>
    </row>
    <row r="140">
      <c r="AA140" s="456"/>
    </row>
    <row r="141">
      <c r="AA141" s="456"/>
    </row>
    <row r="142">
      <c r="AA142" s="456"/>
    </row>
    <row r="143">
      <c r="AA143" s="456"/>
    </row>
    <row r="144">
      <c r="AA144" s="456"/>
    </row>
    <row r="145">
      <c r="AA145" s="456"/>
    </row>
    <row r="146">
      <c r="AA146" s="456"/>
    </row>
    <row r="147">
      <c r="AA147" s="456"/>
    </row>
    <row r="148">
      <c r="AA148" s="456"/>
    </row>
    <row r="149">
      <c r="AA149" s="456"/>
    </row>
    <row r="150">
      <c r="AA150" s="456"/>
    </row>
    <row r="151">
      <c r="AA151" s="456"/>
    </row>
    <row r="152">
      <c r="AA152" s="456"/>
    </row>
    <row r="153">
      <c r="AA153" s="456"/>
    </row>
    <row r="154">
      <c r="AA154" s="456"/>
    </row>
    <row r="155">
      <c r="AA155" s="456"/>
    </row>
    <row r="156">
      <c r="AA156" s="456"/>
    </row>
    <row r="157">
      <c r="AA157" s="456"/>
    </row>
    <row r="158">
      <c r="AA158" s="456"/>
    </row>
    <row r="159">
      <c r="AA159" s="456"/>
    </row>
    <row r="160">
      <c r="AA160" s="456"/>
    </row>
    <row r="161">
      <c r="AA161" s="456"/>
    </row>
    <row r="162">
      <c r="AA162" s="456"/>
    </row>
    <row r="163">
      <c r="AA163" s="456"/>
    </row>
    <row r="164">
      <c r="AA164" s="456"/>
    </row>
    <row r="165">
      <c r="AA165" s="456"/>
    </row>
    <row r="166">
      <c r="AA166" s="456"/>
    </row>
    <row r="167">
      <c r="AA167" s="456"/>
    </row>
    <row r="168">
      <c r="AA168" s="456"/>
    </row>
    <row r="169">
      <c r="AA169" s="456"/>
    </row>
    <row r="170">
      <c r="AA170" s="456"/>
    </row>
    <row r="171">
      <c r="AA171" s="456"/>
    </row>
    <row r="172">
      <c r="AA172" s="456"/>
    </row>
    <row r="173">
      <c r="AA173" s="456"/>
    </row>
    <row r="174">
      <c r="AA174" s="456"/>
    </row>
    <row r="175">
      <c r="AA175" s="456"/>
    </row>
    <row r="176">
      <c r="AA176" s="456"/>
    </row>
    <row r="177">
      <c r="AA177" s="456"/>
    </row>
    <row r="178">
      <c r="AA178" s="456"/>
    </row>
    <row r="179">
      <c r="AA179" s="456"/>
    </row>
    <row r="180">
      <c r="AA180" s="456"/>
    </row>
    <row r="181">
      <c r="AA181" s="456"/>
    </row>
    <row r="182">
      <c r="AA182" s="456"/>
    </row>
    <row r="183">
      <c r="AA183" s="456"/>
    </row>
    <row r="184">
      <c r="AA184" s="456"/>
    </row>
    <row r="185">
      <c r="AA185" s="456"/>
    </row>
    <row r="186">
      <c r="AA186" s="456"/>
    </row>
    <row r="187">
      <c r="AA187" s="456"/>
    </row>
    <row r="188">
      <c r="AA188" s="456"/>
    </row>
    <row r="189">
      <c r="AA189" s="456"/>
    </row>
    <row r="190">
      <c r="AA190" s="456"/>
    </row>
    <row r="191">
      <c r="AA191" s="456"/>
    </row>
    <row r="192">
      <c r="AA192" s="456"/>
    </row>
    <row r="193">
      <c r="AA193" s="456"/>
    </row>
    <row r="194">
      <c r="AA194" s="456"/>
    </row>
    <row r="195">
      <c r="AA195" s="456"/>
    </row>
    <row r="196">
      <c r="AA196" s="456"/>
    </row>
    <row r="197">
      <c r="AA197" s="456"/>
    </row>
    <row r="198">
      <c r="AA198" s="456"/>
    </row>
    <row r="199">
      <c r="AA199" s="456"/>
    </row>
    <row r="200">
      <c r="AA200" s="456"/>
    </row>
    <row r="201">
      <c r="AA201" s="456"/>
    </row>
    <row r="202">
      <c r="AA202" s="456"/>
    </row>
    <row r="203">
      <c r="AA203" s="456"/>
    </row>
    <row r="204">
      <c r="AA204" s="456"/>
    </row>
    <row r="205">
      <c r="AA205" s="456"/>
    </row>
    <row r="206">
      <c r="AA206" s="456"/>
    </row>
    <row r="207">
      <c r="AA207" s="456"/>
    </row>
    <row r="208">
      <c r="AA208" s="456"/>
    </row>
    <row r="209">
      <c r="AA209" s="456"/>
    </row>
    <row r="210">
      <c r="AA210" s="456"/>
    </row>
    <row r="211">
      <c r="AA211" s="456"/>
    </row>
    <row r="212">
      <c r="AA212" s="456"/>
    </row>
    <row r="213">
      <c r="AA213" s="456"/>
    </row>
    <row r="214">
      <c r="AA214" s="456"/>
    </row>
    <row r="215">
      <c r="AA215" s="456"/>
    </row>
    <row r="216">
      <c r="AA216" s="456"/>
    </row>
    <row r="217">
      <c r="AA217" s="456"/>
    </row>
    <row r="218">
      <c r="AA218" s="456"/>
    </row>
    <row r="219">
      <c r="AA219" s="456"/>
    </row>
    <row r="220">
      <c r="AA220" s="456"/>
    </row>
    <row r="221">
      <c r="AA221" s="456"/>
    </row>
    <row r="222">
      <c r="AA222" s="456"/>
    </row>
    <row r="223">
      <c r="AA223" s="456"/>
    </row>
    <row r="224">
      <c r="AA224" s="456"/>
    </row>
    <row r="225">
      <c r="AA225" s="456"/>
    </row>
    <row r="226">
      <c r="AA226" s="456"/>
    </row>
    <row r="227">
      <c r="AA227" s="456"/>
    </row>
    <row r="228">
      <c r="AA228" s="456"/>
    </row>
    <row r="229">
      <c r="AA229" s="456"/>
    </row>
    <row r="230">
      <c r="AA230" s="456"/>
    </row>
    <row r="231">
      <c r="AA231" s="456"/>
    </row>
    <row r="232">
      <c r="AA232" s="456"/>
    </row>
    <row r="233">
      <c r="AA233" s="456"/>
    </row>
    <row r="234">
      <c r="AA234" s="456"/>
    </row>
    <row r="235">
      <c r="AA235" s="456"/>
    </row>
    <row r="236">
      <c r="AA236" s="456"/>
    </row>
    <row r="237">
      <c r="AA237" s="456"/>
    </row>
    <row r="238">
      <c r="AA238" s="456"/>
    </row>
    <row r="239">
      <c r="AA239" s="456"/>
    </row>
    <row r="240">
      <c r="AA240" s="456"/>
    </row>
    <row r="241">
      <c r="AA241" s="456"/>
    </row>
    <row r="242">
      <c r="AA242" s="456"/>
    </row>
    <row r="243">
      <c r="AA243" s="456"/>
    </row>
    <row r="244">
      <c r="AA244" s="456"/>
    </row>
    <row r="245">
      <c r="AA245" s="456"/>
    </row>
    <row r="246">
      <c r="AA246" s="456"/>
    </row>
    <row r="247">
      <c r="AA247" s="456"/>
    </row>
    <row r="248">
      <c r="AA248" s="456"/>
    </row>
    <row r="249">
      <c r="AA249" s="456"/>
    </row>
    <row r="250">
      <c r="AA250" s="456"/>
    </row>
    <row r="251">
      <c r="AA251" s="456"/>
    </row>
    <row r="252">
      <c r="AA252" s="456"/>
    </row>
    <row r="253">
      <c r="AA253" s="456"/>
    </row>
    <row r="254">
      <c r="AA254" s="456"/>
    </row>
    <row r="255">
      <c r="AA255" s="456"/>
    </row>
    <row r="256">
      <c r="AA256" s="456"/>
    </row>
    <row r="257">
      <c r="AA257" s="456"/>
    </row>
    <row r="258">
      <c r="AA258" s="456"/>
    </row>
    <row r="259">
      <c r="AA259" s="456"/>
    </row>
    <row r="260">
      <c r="AA260" s="456"/>
    </row>
    <row r="261">
      <c r="AA261" s="456"/>
    </row>
    <row r="262">
      <c r="AA262" s="456"/>
    </row>
    <row r="263">
      <c r="AA263" s="456"/>
    </row>
    <row r="264">
      <c r="AA264" s="456"/>
    </row>
    <row r="265">
      <c r="AA265" s="456"/>
    </row>
    <row r="266">
      <c r="AA266" s="456"/>
    </row>
    <row r="267">
      <c r="AA267" s="456"/>
    </row>
    <row r="268">
      <c r="AA268" s="456"/>
    </row>
    <row r="269">
      <c r="AA269" s="456"/>
    </row>
    <row r="270">
      <c r="AA270" s="456"/>
    </row>
    <row r="271">
      <c r="AA271" s="456"/>
    </row>
    <row r="272">
      <c r="AA272" s="456"/>
    </row>
    <row r="273">
      <c r="AA273" s="456"/>
    </row>
    <row r="274">
      <c r="AA274" s="456"/>
    </row>
    <row r="275">
      <c r="AA275" s="456"/>
    </row>
    <row r="276">
      <c r="AA276" s="456"/>
    </row>
    <row r="277">
      <c r="AA277" s="456"/>
    </row>
    <row r="278">
      <c r="AA278" s="456"/>
    </row>
    <row r="279">
      <c r="AA279" s="456"/>
    </row>
    <row r="280">
      <c r="AA280" s="456"/>
    </row>
    <row r="281">
      <c r="AA281" s="456"/>
    </row>
    <row r="282">
      <c r="AA282" s="456"/>
    </row>
    <row r="283">
      <c r="AA283" s="456"/>
    </row>
    <row r="284">
      <c r="AA284" s="456"/>
    </row>
    <row r="285">
      <c r="AA285" s="456"/>
    </row>
    <row r="286">
      <c r="AA286" s="456"/>
    </row>
    <row r="287">
      <c r="AA287" s="456"/>
    </row>
    <row r="288">
      <c r="AA288" s="456"/>
    </row>
    <row r="289">
      <c r="AA289" s="456"/>
    </row>
    <row r="290">
      <c r="AA290" s="456"/>
    </row>
    <row r="291">
      <c r="AA291" s="456"/>
    </row>
    <row r="292">
      <c r="AA292" s="456"/>
    </row>
    <row r="293">
      <c r="AA293" s="456"/>
    </row>
    <row r="294">
      <c r="AA294" s="456"/>
    </row>
    <row r="295">
      <c r="AA295" s="456"/>
    </row>
    <row r="296">
      <c r="AA296" s="456"/>
    </row>
    <row r="297">
      <c r="AA297" s="456"/>
    </row>
    <row r="298">
      <c r="AA298" s="456"/>
    </row>
    <row r="299">
      <c r="AA299" s="456"/>
    </row>
    <row r="300">
      <c r="AA300" s="456"/>
    </row>
    <row r="301">
      <c r="AA301" s="456"/>
    </row>
    <row r="302">
      <c r="AA302" s="456"/>
    </row>
    <row r="303">
      <c r="AA303" s="456"/>
    </row>
    <row r="304">
      <c r="AA304" s="456"/>
    </row>
    <row r="305">
      <c r="AA305" s="456"/>
    </row>
    <row r="306">
      <c r="AA306" s="456"/>
    </row>
    <row r="307">
      <c r="AA307" s="456"/>
    </row>
    <row r="308">
      <c r="AA308" s="456"/>
    </row>
    <row r="309">
      <c r="AA309" s="456"/>
    </row>
    <row r="310">
      <c r="AA310" s="456"/>
    </row>
    <row r="311">
      <c r="AA311" s="456"/>
    </row>
    <row r="312">
      <c r="AA312" s="456"/>
    </row>
    <row r="313">
      <c r="AA313" s="456"/>
    </row>
    <row r="314">
      <c r="AA314" s="456"/>
    </row>
    <row r="315">
      <c r="AA315" s="456"/>
    </row>
    <row r="316">
      <c r="AA316" s="456"/>
    </row>
    <row r="317">
      <c r="AA317" s="456"/>
    </row>
    <row r="318">
      <c r="AA318" s="456"/>
    </row>
    <row r="319">
      <c r="AA319" s="456"/>
    </row>
    <row r="320">
      <c r="AA320" s="456"/>
    </row>
    <row r="321">
      <c r="AA321" s="456"/>
    </row>
    <row r="322">
      <c r="AA322" s="456"/>
    </row>
    <row r="323">
      <c r="AA323" s="456"/>
    </row>
    <row r="324">
      <c r="AA324" s="456"/>
    </row>
    <row r="325">
      <c r="AA325" s="456"/>
    </row>
    <row r="326">
      <c r="AA326" s="456"/>
    </row>
    <row r="327">
      <c r="AA327" s="456"/>
    </row>
    <row r="328">
      <c r="AA328" s="456"/>
    </row>
    <row r="329">
      <c r="AA329" s="456"/>
    </row>
    <row r="330">
      <c r="AA330" s="456"/>
    </row>
    <row r="331">
      <c r="AA331" s="456"/>
    </row>
    <row r="332">
      <c r="AA332" s="456"/>
    </row>
    <row r="333">
      <c r="AA333" s="456"/>
    </row>
    <row r="334">
      <c r="AA334" s="456"/>
    </row>
    <row r="335">
      <c r="AA335" s="456"/>
    </row>
    <row r="336">
      <c r="AA336" s="456"/>
    </row>
    <row r="337">
      <c r="AA337" s="456"/>
    </row>
    <row r="338">
      <c r="AA338" s="456"/>
    </row>
    <row r="339">
      <c r="AA339" s="456"/>
    </row>
    <row r="340">
      <c r="AA340" s="456"/>
    </row>
    <row r="341">
      <c r="AA341" s="456"/>
    </row>
    <row r="342">
      <c r="AA342" s="456"/>
    </row>
    <row r="343">
      <c r="AA343" s="456"/>
    </row>
    <row r="344">
      <c r="AA344" s="456"/>
    </row>
    <row r="345">
      <c r="AA345" s="456"/>
    </row>
    <row r="346">
      <c r="AA346" s="456"/>
    </row>
    <row r="347">
      <c r="AA347" s="456"/>
    </row>
    <row r="348">
      <c r="AA348" s="456"/>
    </row>
    <row r="349">
      <c r="AA349" s="456"/>
    </row>
    <row r="350">
      <c r="AA350" s="456"/>
    </row>
    <row r="351">
      <c r="AA351" s="456"/>
    </row>
    <row r="352">
      <c r="AA352" s="456"/>
    </row>
    <row r="353">
      <c r="AA353" s="456"/>
    </row>
    <row r="354">
      <c r="AA354" s="456"/>
    </row>
    <row r="355">
      <c r="AA355" s="456"/>
    </row>
    <row r="356">
      <c r="AA356" s="456"/>
    </row>
    <row r="357">
      <c r="AA357" s="456"/>
    </row>
    <row r="358">
      <c r="AA358" s="456"/>
    </row>
    <row r="359">
      <c r="AA359" s="456"/>
    </row>
    <row r="360">
      <c r="AA360" s="456"/>
    </row>
    <row r="361">
      <c r="AA361" s="456"/>
    </row>
    <row r="362">
      <c r="AA362" s="456"/>
    </row>
    <row r="363">
      <c r="AA363" s="456"/>
    </row>
    <row r="364">
      <c r="AA364" s="456"/>
    </row>
    <row r="365">
      <c r="AA365" s="456"/>
    </row>
    <row r="366">
      <c r="AA366" s="456"/>
    </row>
    <row r="367">
      <c r="AA367" s="456"/>
    </row>
    <row r="368">
      <c r="AA368" s="456"/>
    </row>
    <row r="369">
      <c r="AA369" s="456"/>
    </row>
    <row r="370">
      <c r="AA370" s="456"/>
    </row>
    <row r="371">
      <c r="AA371" s="456"/>
    </row>
    <row r="372">
      <c r="AA372" s="456"/>
    </row>
    <row r="373">
      <c r="AA373" s="456"/>
    </row>
    <row r="374">
      <c r="AA374" s="456"/>
    </row>
    <row r="375">
      <c r="AA375" s="456"/>
    </row>
    <row r="376">
      <c r="AA376" s="456"/>
    </row>
    <row r="377">
      <c r="AA377" s="456"/>
    </row>
    <row r="378">
      <c r="AA378" s="456"/>
    </row>
    <row r="379">
      <c r="AA379" s="456"/>
    </row>
    <row r="380">
      <c r="AA380" s="456"/>
    </row>
    <row r="381">
      <c r="AA381" s="456"/>
    </row>
    <row r="382">
      <c r="AA382" s="456"/>
    </row>
    <row r="383">
      <c r="AA383" s="456"/>
    </row>
    <row r="384">
      <c r="AA384" s="456"/>
    </row>
    <row r="385">
      <c r="AA385" s="456"/>
    </row>
    <row r="386">
      <c r="AA386" s="456"/>
    </row>
    <row r="387">
      <c r="AA387" s="456"/>
    </row>
    <row r="388">
      <c r="AA388" s="456"/>
    </row>
    <row r="389">
      <c r="AA389" s="456"/>
    </row>
    <row r="390">
      <c r="AA390" s="456"/>
    </row>
    <row r="391">
      <c r="AA391" s="456"/>
    </row>
    <row r="392">
      <c r="AA392" s="456"/>
    </row>
    <row r="393">
      <c r="AA393" s="456"/>
    </row>
    <row r="394">
      <c r="AA394" s="456"/>
    </row>
    <row r="395">
      <c r="AA395" s="456"/>
    </row>
    <row r="396">
      <c r="AA396" s="456"/>
    </row>
    <row r="397">
      <c r="AA397" s="456"/>
    </row>
    <row r="398">
      <c r="AA398" s="456"/>
    </row>
    <row r="399">
      <c r="AA399" s="456"/>
    </row>
    <row r="400">
      <c r="AA400" s="456"/>
    </row>
    <row r="401">
      <c r="AA401" s="456"/>
    </row>
    <row r="402">
      <c r="AA402" s="456"/>
    </row>
    <row r="403">
      <c r="AA403" s="456"/>
    </row>
    <row r="404">
      <c r="AA404" s="456"/>
    </row>
    <row r="405">
      <c r="AA405" s="456"/>
    </row>
    <row r="406">
      <c r="AA406" s="456"/>
    </row>
    <row r="407">
      <c r="AA407" s="456"/>
    </row>
    <row r="408">
      <c r="AA408" s="456"/>
    </row>
    <row r="409">
      <c r="AA409" s="456"/>
    </row>
    <row r="410">
      <c r="AA410" s="456"/>
    </row>
    <row r="411">
      <c r="AA411" s="456"/>
    </row>
    <row r="412">
      <c r="AA412" s="456"/>
    </row>
    <row r="413">
      <c r="AA413" s="456"/>
    </row>
    <row r="414">
      <c r="AA414" s="456"/>
    </row>
    <row r="415">
      <c r="AA415" s="456"/>
    </row>
    <row r="416">
      <c r="AA416" s="456"/>
    </row>
    <row r="417">
      <c r="AA417" s="456"/>
    </row>
    <row r="418">
      <c r="AA418" s="456"/>
    </row>
    <row r="419">
      <c r="AA419" s="456"/>
    </row>
    <row r="420">
      <c r="AA420" s="456"/>
    </row>
    <row r="421">
      <c r="AA421" s="456"/>
    </row>
    <row r="422">
      <c r="AA422" s="456"/>
    </row>
    <row r="423">
      <c r="AA423" s="456"/>
    </row>
    <row r="424">
      <c r="AA424" s="456"/>
    </row>
    <row r="425">
      <c r="AA425" s="456"/>
    </row>
    <row r="426">
      <c r="AA426" s="456"/>
    </row>
    <row r="427">
      <c r="AA427" s="456"/>
    </row>
    <row r="428">
      <c r="AA428" s="456"/>
    </row>
    <row r="429">
      <c r="AA429" s="456"/>
    </row>
    <row r="430">
      <c r="AA430" s="456"/>
    </row>
    <row r="431">
      <c r="AA431" s="456"/>
    </row>
    <row r="432">
      <c r="AA432" s="456"/>
    </row>
    <row r="433">
      <c r="AA433" s="456"/>
    </row>
    <row r="434">
      <c r="AA434" s="456"/>
    </row>
    <row r="435">
      <c r="AA435" s="456"/>
    </row>
    <row r="436">
      <c r="AA436" s="456"/>
    </row>
    <row r="437">
      <c r="AA437" s="456"/>
    </row>
    <row r="438">
      <c r="AA438" s="456"/>
    </row>
    <row r="439">
      <c r="AA439" s="456"/>
    </row>
    <row r="440">
      <c r="AA440" s="456"/>
    </row>
    <row r="441">
      <c r="AA441" s="456"/>
    </row>
    <row r="442">
      <c r="AA442" s="456"/>
    </row>
    <row r="443">
      <c r="AA443" s="456"/>
    </row>
    <row r="444">
      <c r="AA444" s="456"/>
    </row>
    <row r="445">
      <c r="AA445" s="456"/>
    </row>
    <row r="446">
      <c r="AA446" s="456"/>
    </row>
    <row r="447">
      <c r="AA447" s="456"/>
    </row>
    <row r="448">
      <c r="AA448" s="456"/>
    </row>
    <row r="449">
      <c r="AA449" s="456"/>
    </row>
    <row r="450">
      <c r="AA450" s="456"/>
    </row>
    <row r="451">
      <c r="AA451" s="456"/>
    </row>
    <row r="452">
      <c r="AA452" s="456"/>
    </row>
    <row r="453">
      <c r="AA453" s="456"/>
    </row>
    <row r="454">
      <c r="AA454" s="456"/>
    </row>
    <row r="455">
      <c r="AA455" s="456"/>
    </row>
    <row r="456">
      <c r="AA456" s="456"/>
    </row>
    <row r="457">
      <c r="AA457" s="456"/>
    </row>
    <row r="458">
      <c r="AA458" s="456"/>
    </row>
    <row r="459">
      <c r="AA459" s="456"/>
    </row>
    <row r="460">
      <c r="AA460" s="456"/>
    </row>
    <row r="461">
      <c r="AA461" s="456"/>
    </row>
    <row r="462">
      <c r="AA462" s="456"/>
    </row>
    <row r="463">
      <c r="AA463" s="456"/>
    </row>
    <row r="464">
      <c r="AA464" s="456"/>
    </row>
    <row r="465">
      <c r="AA465" s="456"/>
    </row>
    <row r="466">
      <c r="AA466" s="456"/>
    </row>
    <row r="467">
      <c r="AA467" s="456"/>
    </row>
    <row r="468">
      <c r="AA468" s="456"/>
    </row>
    <row r="469">
      <c r="AA469" s="456"/>
    </row>
    <row r="470">
      <c r="AA470" s="456"/>
    </row>
    <row r="471">
      <c r="AA471" s="456"/>
    </row>
    <row r="472">
      <c r="AA472" s="456"/>
    </row>
    <row r="473">
      <c r="AA473" s="456"/>
    </row>
    <row r="474">
      <c r="AA474" s="456"/>
    </row>
    <row r="475">
      <c r="AA475" s="456"/>
    </row>
    <row r="476">
      <c r="AA476" s="456"/>
    </row>
    <row r="477">
      <c r="AA477" s="456"/>
    </row>
    <row r="478">
      <c r="AA478" s="456"/>
    </row>
    <row r="479">
      <c r="AA479" s="456"/>
    </row>
    <row r="480">
      <c r="AA480" s="456"/>
    </row>
    <row r="481">
      <c r="AA481" s="456"/>
    </row>
    <row r="482">
      <c r="AA482" s="456"/>
    </row>
    <row r="483">
      <c r="AA483" s="456"/>
    </row>
    <row r="484">
      <c r="AA484" s="456"/>
    </row>
    <row r="485">
      <c r="AA485" s="456"/>
    </row>
    <row r="486">
      <c r="AA486" s="456"/>
    </row>
    <row r="487">
      <c r="AA487" s="456"/>
    </row>
    <row r="488">
      <c r="AA488" s="456"/>
    </row>
    <row r="489">
      <c r="AA489" s="456"/>
    </row>
    <row r="490">
      <c r="AA490" s="456"/>
    </row>
    <row r="491">
      <c r="AA491" s="456"/>
    </row>
    <row r="492">
      <c r="AA492" s="456"/>
    </row>
    <row r="493">
      <c r="AA493" s="456"/>
    </row>
    <row r="494">
      <c r="AA494" s="456"/>
    </row>
    <row r="495">
      <c r="AA495" s="456"/>
    </row>
    <row r="496">
      <c r="AA496" s="456"/>
    </row>
    <row r="497">
      <c r="AA497" s="456"/>
    </row>
    <row r="498">
      <c r="AA498" s="456"/>
    </row>
    <row r="499">
      <c r="AA499" s="456"/>
    </row>
    <row r="500">
      <c r="AA500" s="456"/>
    </row>
    <row r="501">
      <c r="AA501" s="456"/>
    </row>
    <row r="502">
      <c r="AA502" s="456"/>
    </row>
    <row r="503">
      <c r="AA503" s="456"/>
    </row>
    <row r="504">
      <c r="AA504" s="456"/>
    </row>
    <row r="505">
      <c r="AA505" s="456"/>
    </row>
    <row r="506">
      <c r="AA506" s="456"/>
    </row>
    <row r="507">
      <c r="AA507" s="456"/>
    </row>
    <row r="508">
      <c r="AA508" s="456"/>
    </row>
    <row r="509">
      <c r="AA509" s="456"/>
    </row>
    <row r="510">
      <c r="AA510" s="456"/>
    </row>
    <row r="511">
      <c r="AA511" s="456"/>
    </row>
    <row r="512">
      <c r="AA512" s="456"/>
    </row>
    <row r="513">
      <c r="AA513" s="456"/>
    </row>
    <row r="514">
      <c r="AA514" s="456"/>
    </row>
    <row r="515">
      <c r="AA515" s="456"/>
    </row>
    <row r="516">
      <c r="AA516" s="456"/>
    </row>
    <row r="517">
      <c r="AA517" s="456"/>
    </row>
    <row r="518">
      <c r="AA518" s="456"/>
    </row>
    <row r="519">
      <c r="AA519" s="456"/>
    </row>
    <row r="520">
      <c r="AA520" s="456"/>
    </row>
    <row r="521">
      <c r="AA521" s="456"/>
    </row>
    <row r="522">
      <c r="AA522" s="456"/>
    </row>
    <row r="523">
      <c r="AA523" s="456"/>
    </row>
    <row r="524">
      <c r="AA524" s="456"/>
    </row>
    <row r="525">
      <c r="AA525" s="456"/>
    </row>
    <row r="526">
      <c r="AA526" s="456"/>
    </row>
    <row r="527">
      <c r="AA527" s="456"/>
    </row>
    <row r="528">
      <c r="AA528" s="456"/>
    </row>
    <row r="529">
      <c r="AA529" s="456"/>
    </row>
    <row r="530">
      <c r="AA530" s="456"/>
    </row>
    <row r="531">
      <c r="AA531" s="456"/>
    </row>
    <row r="532">
      <c r="AA532" s="456"/>
    </row>
    <row r="533">
      <c r="AA533" s="456"/>
    </row>
    <row r="534">
      <c r="AA534" s="456"/>
    </row>
    <row r="535">
      <c r="AA535" s="456"/>
    </row>
    <row r="536">
      <c r="AA536" s="456"/>
    </row>
    <row r="537">
      <c r="AA537" s="456"/>
    </row>
    <row r="538">
      <c r="AA538" s="456"/>
    </row>
    <row r="539">
      <c r="AA539" s="456"/>
    </row>
    <row r="540">
      <c r="AA540" s="456"/>
    </row>
    <row r="541">
      <c r="AA541" s="456"/>
    </row>
    <row r="542">
      <c r="AA542" s="456"/>
    </row>
    <row r="543">
      <c r="AA543" s="456"/>
    </row>
    <row r="544">
      <c r="AA544" s="456"/>
    </row>
    <row r="545">
      <c r="AA545" s="456"/>
    </row>
    <row r="546">
      <c r="AA546" s="456"/>
    </row>
    <row r="547">
      <c r="AA547" s="456"/>
    </row>
    <row r="548">
      <c r="AA548" s="456"/>
    </row>
    <row r="549">
      <c r="AA549" s="456"/>
    </row>
    <row r="550">
      <c r="AA550" s="456"/>
    </row>
    <row r="551">
      <c r="AA551" s="456"/>
    </row>
    <row r="552">
      <c r="AA552" s="456"/>
    </row>
    <row r="553">
      <c r="AA553" s="456"/>
    </row>
    <row r="554">
      <c r="AA554" s="456"/>
    </row>
    <row r="555">
      <c r="AA555" s="456"/>
    </row>
    <row r="556">
      <c r="AA556" s="456"/>
    </row>
    <row r="557">
      <c r="AA557" s="456"/>
    </row>
    <row r="558">
      <c r="AA558" s="456"/>
    </row>
    <row r="559">
      <c r="AA559" s="456"/>
    </row>
    <row r="560">
      <c r="AA560" s="456"/>
    </row>
    <row r="561">
      <c r="AA561" s="456"/>
    </row>
    <row r="562">
      <c r="AA562" s="456"/>
    </row>
    <row r="563">
      <c r="AA563" s="456"/>
    </row>
    <row r="564">
      <c r="AA564" s="456"/>
    </row>
    <row r="565">
      <c r="AA565" s="456"/>
    </row>
    <row r="566">
      <c r="AA566" s="456"/>
    </row>
    <row r="567">
      <c r="AA567" s="456"/>
    </row>
    <row r="568">
      <c r="AA568" s="456"/>
    </row>
    <row r="569">
      <c r="AA569" s="456"/>
    </row>
    <row r="570">
      <c r="AA570" s="456"/>
    </row>
    <row r="571">
      <c r="AA571" s="456"/>
    </row>
    <row r="572">
      <c r="AA572" s="456"/>
    </row>
    <row r="573">
      <c r="AA573" s="456"/>
    </row>
    <row r="574">
      <c r="AA574" s="456"/>
    </row>
    <row r="575">
      <c r="AA575" s="456"/>
    </row>
    <row r="576">
      <c r="AA576" s="456"/>
    </row>
    <row r="577">
      <c r="AA577" s="456"/>
    </row>
    <row r="578">
      <c r="AA578" s="456"/>
    </row>
    <row r="579">
      <c r="AA579" s="456"/>
    </row>
    <row r="580">
      <c r="AA580" s="456"/>
    </row>
    <row r="581">
      <c r="AA581" s="456"/>
    </row>
    <row r="582">
      <c r="AA582" s="456"/>
    </row>
    <row r="583">
      <c r="AA583" s="456"/>
    </row>
    <row r="584">
      <c r="AA584" s="456"/>
    </row>
    <row r="585">
      <c r="AA585" s="456"/>
    </row>
    <row r="586">
      <c r="AA586" s="456"/>
    </row>
    <row r="587">
      <c r="AA587" s="456"/>
    </row>
    <row r="588">
      <c r="AA588" s="456"/>
    </row>
    <row r="589">
      <c r="AA589" s="456"/>
    </row>
    <row r="590">
      <c r="AA590" s="456"/>
    </row>
    <row r="591">
      <c r="AA591" s="456"/>
    </row>
    <row r="592">
      <c r="AA592" s="456"/>
    </row>
    <row r="593">
      <c r="AA593" s="456"/>
    </row>
    <row r="594">
      <c r="AA594" s="456"/>
    </row>
    <row r="595">
      <c r="AA595" s="456"/>
    </row>
    <row r="596">
      <c r="AA596" s="456"/>
    </row>
    <row r="597">
      <c r="AA597" s="456"/>
    </row>
    <row r="598">
      <c r="AA598" s="456"/>
    </row>
    <row r="599">
      <c r="AA599" s="456"/>
    </row>
    <row r="600">
      <c r="AA600" s="456"/>
    </row>
    <row r="601">
      <c r="AA601" s="456"/>
    </row>
    <row r="602">
      <c r="AA602" s="456"/>
    </row>
    <row r="603">
      <c r="AA603" s="456"/>
    </row>
    <row r="604">
      <c r="AA604" s="456"/>
    </row>
    <row r="605">
      <c r="AA605" s="456"/>
    </row>
    <row r="606">
      <c r="AA606" s="456"/>
    </row>
    <row r="607">
      <c r="AA607" s="456"/>
    </row>
    <row r="608">
      <c r="AA608" s="456"/>
    </row>
    <row r="609">
      <c r="AA609" s="456"/>
    </row>
    <row r="610">
      <c r="AA610" s="456"/>
    </row>
    <row r="611">
      <c r="AA611" s="456"/>
    </row>
    <row r="612">
      <c r="AA612" s="456"/>
    </row>
    <row r="613">
      <c r="AA613" s="456"/>
    </row>
    <row r="614">
      <c r="AA614" s="456"/>
    </row>
    <row r="615">
      <c r="AA615" s="456"/>
    </row>
    <row r="616">
      <c r="AA616" s="456"/>
    </row>
    <row r="617">
      <c r="AA617" s="456"/>
    </row>
    <row r="618">
      <c r="AA618" s="456"/>
    </row>
    <row r="619">
      <c r="AA619" s="456"/>
    </row>
    <row r="620">
      <c r="AA620" s="456"/>
    </row>
    <row r="621">
      <c r="AA621" s="456"/>
    </row>
    <row r="622">
      <c r="AA622" s="456"/>
    </row>
    <row r="623">
      <c r="AA623" s="456"/>
    </row>
    <row r="624">
      <c r="AA624" s="456"/>
    </row>
    <row r="625">
      <c r="AA625" s="456"/>
    </row>
    <row r="626">
      <c r="AA626" s="456"/>
    </row>
    <row r="627">
      <c r="AA627" s="456"/>
    </row>
    <row r="628">
      <c r="AA628" s="456"/>
    </row>
    <row r="629">
      <c r="AA629" s="456"/>
    </row>
    <row r="630">
      <c r="AA630" s="456"/>
    </row>
    <row r="631">
      <c r="AA631" s="456"/>
    </row>
    <row r="632">
      <c r="AA632" s="456"/>
    </row>
    <row r="633">
      <c r="AA633" s="456"/>
    </row>
    <row r="634">
      <c r="AA634" s="456"/>
    </row>
    <row r="635">
      <c r="AA635" s="456"/>
    </row>
    <row r="636">
      <c r="AA636" s="456"/>
    </row>
    <row r="637">
      <c r="AA637" s="456"/>
    </row>
    <row r="638">
      <c r="AA638" s="456"/>
    </row>
    <row r="639">
      <c r="AA639" s="456"/>
    </row>
    <row r="640">
      <c r="AA640" s="456"/>
    </row>
    <row r="641">
      <c r="AA641" s="456"/>
    </row>
    <row r="642">
      <c r="AA642" s="456"/>
    </row>
    <row r="643">
      <c r="AA643" s="456"/>
    </row>
    <row r="644">
      <c r="AA644" s="456"/>
    </row>
    <row r="645">
      <c r="AA645" s="456"/>
    </row>
    <row r="646">
      <c r="AA646" s="456"/>
    </row>
    <row r="647">
      <c r="AA647" s="456"/>
    </row>
    <row r="648">
      <c r="AA648" s="456"/>
    </row>
    <row r="649">
      <c r="AA649" s="456"/>
    </row>
    <row r="650">
      <c r="AA650" s="456"/>
    </row>
    <row r="651">
      <c r="AA651" s="456"/>
    </row>
    <row r="652">
      <c r="AA652" s="456"/>
    </row>
    <row r="653">
      <c r="AA653" s="456"/>
    </row>
    <row r="654">
      <c r="AA654" s="456"/>
    </row>
    <row r="655">
      <c r="AA655" s="456"/>
    </row>
    <row r="656">
      <c r="AA656" s="456"/>
    </row>
    <row r="657">
      <c r="AA657" s="456"/>
    </row>
    <row r="658">
      <c r="AA658" s="456"/>
    </row>
    <row r="659">
      <c r="AA659" s="456"/>
    </row>
    <row r="660">
      <c r="AA660" s="456"/>
    </row>
    <row r="661">
      <c r="AA661" s="456"/>
    </row>
    <row r="662">
      <c r="AA662" s="456"/>
    </row>
    <row r="663">
      <c r="AA663" s="456"/>
    </row>
    <row r="664">
      <c r="AA664" s="456"/>
    </row>
    <row r="665">
      <c r="AA665" s="456"/>
    </row>
    <row r="666">
      <c r="AA666" s="456"/>
    </row>
    <row r="667">
      <c r="AA667" s="456"/>
    </row>
    <row r="668">
      <c r="AA668" s="456"/>
    </row>
    <row r="669">
      <c r="AA669" s="456"/>
    </row>
    <row r="670">
      <c r="AA670" s="456"/>
    </row>
    <row r="671">
      <c r="AA671" s="456"/>
    </row>
    <row r="672">
      <c r="AA672" s="456"/>
    </row>
    <row r="673">
      <c r="AA673" s="456"/>
    </row>
    <row r="674">
      <c r="AA674" s="456"/>
    </row>
    <row r="675">
      <c r="AA675" s="456"/>
    </row>
    <row r="676">
      <c r="AA676" s="456"/>
    </row>
    <row r="677">
      <c r="AA677" s="456"/>
    </row>
    <row r="678">
      <c r="AA678" s="456"/>
    </row>
    <row r="679">
      <c r="AA679" s="456"/>
    </row>
    <row r="680">
      <c r="AA680" s="456"/>
    </row>
    <row r="681">
      <c r="AA681" s="456"/>
    </row>
    <row r="682">
      <c r="AA682" s="456"/>
    </row>
    <row r="683">
      <c r="AA683" s="456"/>
    </row>
    <row r="684">
      <c r="AA684" s="456"/>
    </row>
    <row r="685">
      <c r="AA685" s="456"/>
    </row>
    <row r="686">
      <c r="AA686" s="456"/>
    </row>
    <row r="687">
      <c r="AA687" s="456"/>
    </row>
    <row r="688">
      <c r="AA688" s="456"/>
    </row>
    <row r="689">
      <c r="AA689" s="456"/>
    </row>
    <row r="690">
      <c r="AA690" s="456"/>
    </row>
    <row r="691">
      <c r="AA691" s="456"/>
    </row>
    <row r="692">
      <c r="AA692" s="456"/>
    </row>
    <row r="693">
      <c r="AA693" s="456"/>
    </row>
    <row r="694">
      <c r="AA694" s="456"/>
    </row>
    <row r="695">
      <c r="AA695" s="456"/>
    </row>
    <row r="696">
      <c r="AA696" s="456"/>
    </row>
    <row r="697">
      <c r="AA697" s="456"/>
    </row>
    <row r="698">
      <c r="AA698" s="456"/>
    </row>
    <row r="699">
      <c r="AA699" s="456"/>
    </row>
    <row r="700">
      <c r="AA700" s="456"/>
    </row>
    <row r="701">
      <c r="AA701" s="456"/>
    </row>
    <row r="702">
      <c r="AA702" s="456"/>
    </row>
    <row r="703">
      <c r="AA703" s="456"/>
    </row>
    <row r="704">
      <c r="AA704" s="456"/>
    </row>
    <row r="705">
      <c r="AA705" s="456"/>
    </row>
    <row r="706">
      <c r="AA706" s="456"/>
    </row>
    <row r="707">
      <c r="AA707" s="456"/>
    </row>
    <row r="708">
      <c r="AA708" s="456"/>
    </row>
    <row r="709">
      <c r="AA709" s="456"/>
    </row>
    <row r="710">
      <c r="AA710" s="456"/>
    </row>
    <row r="711">
      <c r="AA711" s="456"/>
    </row>
    <row r="712">
      <c r="AA712" s="456"/>
    </row>
    <row r="713">
      <c r="AA713" s="456"/>
    </row>
    <row r="714">
      <c r="AA714" s="456"/>
    </row>
    <row r="715">
      <c r="AA715" s="456"/>
    </row>
    <row r="716">
      <c r="AA716" s="456"/>
    </row>
    <row r="717">
      <c r="AA717" s="456"/>
    </row>
    <row r="718">
      <c r="AA718" s="456"/>
    </row>
    <row r="719">
      <c r="AA719" s="456"/>
    </row>
    <row r="720">
      <c r="AA720" s="456"/>
    </row>
    <row r="721">
      <c r="AA721" s="456"/>
    </row>
    <row r="722">
      <c r="AA722" s="456"/>
    </row>
    <row r="723">
      <c r="AA723" s="456"/>
    </row>
    <row r="724">
      <c r="AA724" s="456"/>
    </row>
    <row r="725">
      <c r="AA725" s="456"/>
    </row>
    <row r="726">
      <c r="AA726" s="456"/>
    </row>
    <row r="727">
      <c r="AA727" s="456"/>
    </row>
    <row r="728">
      <c r="AA728" s="456"/>
    </row>
    <row r="729">
      <c r="AA729" s="456"/>
    </row>
    <row r="730">
      <c r="AA730" s="456"/>
    </row>
    <row r="731">
      <c r="AA731" s="456"/>
    </row>
    <row r="732">
      <c r="AA732" s="456"/>
    </row>
    <row r="733">
      <c r="AA733" s="456"/>
    </row>
    <row r="734">
      <c r="AA734" s="456"/>
    </row>
    <row r="735">
      <c r="AA735" s="456"/>
    </row>
    <row r="736">
      <c r="AA736" s="456"/>
    </row>
    <row r="737">
      <c r="AA737" s="456"/>
    </row>
    <row r="738">
      <c r="AA738" s="456"/>
    </row>
    <row r="739">
      <c r="AA739" s="456"/>
    </row>
    <row r="740">
      <c r="AA740" s="456"/>
    </row>
    <row r="741">
      <c r="AA741" s="456"/>
    </row>
    <row r="742">
      <c r="AA742" s="456"/>
    </row>
    <row r="743">
      <c r="AA743" s="456"/>
    </row>
    <row r="744">
      <c r="AA744" s="456"/>
    </row>
    <row r="745">
      <c r="AA745" s="456"/>
    </row>
    <row r="746">
      <c r="AA746" s="456"/>
    </row>
    <row r="747">
      <c r="AA747" s="456"/>
    </row>
    <row r="748">
      <c r="AA748" s="456"/>
    </row>
    <row r="749">
      <c r="AA749" s="456"/>
    </row>
    <row r="750">
      <c r="AA750" s="456"/>
    </row>
    <row r="751">
      <c r="AA751" s="456"/>
    </row>
    <row r="752">
      <c r="AA752" s="456"/>
    </row>
    <row r="753">
      <c r="AA753" s="456"/>
    </row>
    <row r="754">
      <c r="AA754" s="456"/>
    </row>
    <row r="755">
      <c r="AA755" s="456"/>
    </row>
    <row r="756">
      <c r="AA756" s="456"/>
    </row>
    <row r="757">
      <c r="AA757" s="456"/>
    </row>
    <row r="758">
      <c r="AA758" s="456"/>
    </row>
    <row r="759">
      <c r="AA759" s="456"/>
    </row>
    <row r="760">
      <c r="AA760" s="456"/>
    </row>
    <row r="761">
      <c r="AA761" s="456"/>
    </row>
    <row r="762">
      <c r="AA762" s="456"/>
    </row>
    <row r="763">
      <c r="AA763" s="456"/>
    </row>
    <row r="764">
      <c r="AA764" s="456"/>
    </row>
    <row r="765">
      <c r="AA765" s="456"/>
    </row>
    <row r="766">
      <c r="AA766" s="456"/>
    </row>
    <row r="767">
      <c r="AA767" s="456"/>
    </row>
    <row r="768">
      <c r="AA768" s="456"/>
    </row>
    <row r="769">
      <c r="AA769" s="456"/>
    </row>
    <row r="770">
      <c r="AA770" s="456"/>
    </row>
    <row r="771">
      <c r="AA771" s="456"/>
    </row>
    <row r="772">
      <c r="AA772" s="456"/>
    </row>
    <row r="773">
      <c r="AA773" s="456"/>
    </row>
    <row r="774">
      <c r="AA774" s="456"/>
    </row>
    <row r="775">
      <c r="AA775" s="456"/>
    </row>
    <row r="776">
      <c r="AA776" s="456"/>
    </row>
    <row r="777">
      <c r="AA777" s="456"/>
    </row>
    <row r="778">
      <c r="AA778" s="456"/>
    </row>
    <row r="779">
      <c r="AA779" s="456"/>
    </row>
    <row r="780">
      <c r="AA780" s="456"/>
    </row>
    <row r="781">
      <c r="AA781" s="456"/>
    </row>
    <row r="782">
      <c r="AA782" s="456"/>
    </row>
    <row r="783">
      <c r="AA783" s="456"/>
    </row>
    <row r="784">
      <c r="AA784" s="456"/>
    </row>
    <row r="785">
      <c r="AA785" s="456"/>
    </row>
    <row r="786">
      <c r="AA786" s="456"/>
    </row>
    <row r="787">
      <c r="AA787" s="456"/>
    </row>
    <row r="788">
      <c r="AA788" s="456"/>
    </row>
    <row r="789">
      <c r="AA789" s="456"/>
    </row>
    <row r="790">
      <c r="AA790" s="456"/>
    </row>
    <row r="791">
      <c r="AA791" s="456"/>
    </row>
    <row r="792">
      <c r="AA792" s="456"/>
    </row>
    <row r="793">
      <c r="AA793" s="456"/>
    </row>
    <row r="794">
      <c r="AA794" s="456"/>
    </row>
    <row r="795">
      <c r="AA795" s="456"/>
    </row>
    <row r="796">
      <c r="AA796" s="456"/>
    </row>
    <row r="797">
      <c r="AA797" s="456"/>
    </row>
    <row r="798">
      <c r="AA798" s="456"/>
    </row>
    <row r="799">
      <c r="AA799" s="456"/>
    </row>
    <row r="800">
      <c r="AA800" s="456"/>
    </row>
    <row r="801">
      <c r="AA801" s="456"/>
    </row>
    <row r="802">
      <c r="AA802" s="456"/>
    </row>
    <row r="803">
      <c r="AA803" s="456"/>
    </row>
    <row r="804">
      <c r="AA804" s="456"/>
    </row>
    <row r="805">
      <c r="AA805" s="456"/>
    </row>
    <row r="806">
      <c r="AA806" s="456"/>
    </row>
    <row r="807">
      <c r="AA807" s="456"/>
    </row>
    <row r="808">
      <c r="AA808" s="456"/>
    </row>
    <row r="809">
      <c r="AA809" s="456"/>
    </row>
    <row r="810">
      <c r="AA810" s="456"/>
    </row>
    <row r="811">
      <c r="AA811" s="456"/>
    </row>
    <row r="812">
      <c r="AA812" s="456"/>
    </row>
    <row r="813">
      <c r="AA813" s="456"/>
    </row>
    <row r="814">
      <c r="AA814" s="456"/>
    </row>
    <row r="815">
      <c r="AA815" s="456"/>
    </row>
    <row r="816">
      <c r="AA816" s="456"/>
    </row>
    <row r="817">
      <c r="AA817" s="456"/>
    </row>
    <row r="818">
      <c r="AA818" s="456"/>
    </row>
    <row r="819">
      <c r="AA819" s="456"/>
    </row>
    <row r="820">
      <c r="AA820" s="456"/>
    </row>
    <row r="821">
      <c r="AA821" s="456"/>
    </row>
    <row r="822">
      <c r="AA822" s="456"/>
    </row>
    <row r="823">
      <c r="AA823" s="456"/>
    </row>
    <row r="824">
      <c r="AA824" s="456"/>
    </row>
    <row r="825">
      <c r="AA825" s="456"/>
    </row>
    <row r="826">
      <c r="AA826" s="456"/>
    </row>
    <row r="827">
      <c r="AA827" s="456"/>
    </row>
    <row r="828">
      <c r="AA828" s="456"/>
    </row>
    <row r="829">
      <c r="AA829" s="456"/>
    </row>
    <row r="830">
      <c r="AA830" s="456"/>
    </row>
    <row r="831">
      <c r="AA831" s="456"/>
    </row>
    <row r="832">
      <c r="AA832" s="456"/>
    </row>
    <row r="833">
      <c r="AA833" s="456"/>
    </row>
    <row r="834">
      <c r="AA834" s="456"/>
    </row>
    <row r="835">
      <c r="AA835" s="456"/>
    </row>
    <row r="836">
      <c r="AA836" s="456"/>
    </row>
    <row r="837">
      <c r="AA837" s="456"/>
    </row>
    <row r="838">
      <c r="AA838" s="456"/>
    </row>
    <row r="839">
      <c r="AA839" s="456"/>
    </row>
    <row r="840">
      <c r="AA840" s="456"/>
    </row>
    <row r="841">
      <c r="AA841" s="456"/>
    </row>
    <row r="842">
      <c r="AA842" s="456"/>
    </row>
    <row r="843">
      <c r="AA843" s="456"/>
    </row>
    <row r="844">
      <c r="AA844" s="456"/>
    </row>
    <row r="845">
      <c r="AA845" s="456"/>
    </row>
    <row r="846">
      <c r="AA846" s="456"/>
    </row>
    <row r="847">
      <c r="AA847" s="456"/>
    </row>
    <row r="848">
      <c r="AA848" s="456"/>
    </row>
    <row r="849">
      <c r="AA849" s="456"/>
    </row>
    <row r="850">
      <c r="AA850" s="456"/>
    </row>
    <row r="851">
      <c r="AA851" s="456"/>
    </row>
    <row r="852">
      <c r="AA852" s="456"/>
    </row>
    <row r="853">
      <c r="AA853" s="456"/>
    </row>
    <row r="854">
      <c r="AA854" s="456"/>
    </row>
    <row r="855">
      <c r="AA855" s="456"/>
    </row>
    <row r="856">
      <c r="AA856" s="456"/>
    </row>
    <row r="857">
      <c r="AA857" s="456"/>
    </row>
    <row r="858">
      <c r="AA858" s="456"/>
    </row>
    <row r="859">
      <c r="AA859" s="456"/>
    </row>
    <row r="860">
      <c r="AA860" s="456"/>
    </row>
    <row r="861">
      <c r="AA861" s="456"/>
    </row>
    <row r="862">
      <c r="AA862" s="456"/>
    </row>
    <row r="863">
      <c r="AA863" s="456"/>
    </row>
    <row r="864">
      <c r="AA864" s="456"/>
    </row>
    <row r="865">
      <c r="AA865" s="456"/>
    </row>
    <row r="866">
      <c r="AA866" s="456"/>
    </row>
    <row r="867">
      <c r="AA867" s="456"/>
    </row>
    <row r="868">
      <c r="AA868" s="456"/>
    </row>
    <row r="869">
      <c r="AA869" s="456"/>
    </row>
    <row r="870">
      <c r="AA870" s="456"/>
    </row>
    <row r="871">
      <c r="AA871" s="456"/>
    </row>
    <row r="872">
      <c r="AA872" s="456"/>
    </row>
    <row r="873">
      <c r="AA873" s="456"/>
    </row>
    <row r="874">
      <c r="AA874" s="456"/>
    </row>
    <row r="875">
      <c r="AA875" s="456"/>
    </row>
    <row r="876">
      <c r="AA876" s="456"/>
    </row>
    <row r="877">
      <c r="AA877" s="456"/>
    </row>
    <row r="878">
      <c r="AA878" s="456"/>
    </row>
    <row r="879">
      <c r="AA879" s="456"/>
    </row>
    <row r="880">
      <c r="AA880" s="456"/>
    </row>
    <row r="881">
      <c r="AA881" s="456"/>
    </row>
    <row r="882">
      <c r="AA882" s="456"/>
    </row>
    <row r="883">
      <c r="AA883" s="456"/>
    </row>
    <row r="884">
      <c r="AA884" s="456"/>
    </row>
    <row r="885">
      <c r="AA885" s="456"/>
    </row>
    <row r="886">
      <c r="AA886" s="456"/>
    </row>
    <row r="887">
      <c r="AA887" s="456"/>
    </row>
    <row r="888">
      <c r="AA888" s="456"/>
    </row>
    <row r="889">
      <c r="AA889" s="456"/>
    </row>
    <row r="890">
      <c r="AA890" s="456"/>
    </row>
    <row r="891">
      <c r="AA891" s="456"/>
    </row>
    <row r="892">
      <c r="AA892" s="456"/>
    </row>
    <row r="893">
      <c r="AA893" s="456"/>
    </row>
    <row r="894">
      <c r="AA894" s="456"/>
    </row>
    <row r="895">
      <c r="AA895" s="456"/>
    </row>
    <row r="896">
      <c r="AA896" s="456"/>
    </row>
    <row r="897">
      <c r="AA897" s="456"/>
    </row>
    <row r="898">
      <c r="AA898" s="456"/>
    </row>
    <row r="899">
      <c r="AA899" s="456"/>
    </row>
    <row r="900">
      <c r="AA900" s="456"/>
    </row>
    <row r="901">
      <c r="AA901" s="456"/>
    </row>
    <row r="902">
      <c r="AA902" s="456"/>
    </row>
    <row r="903">
      <c r="AA903" s="456"/>
    </row>
    <row r="904">
      <c r="AA904" s="456"/>
    </row>
    <row r="905">
      <c r="AA905" s="456"/>
    </row>
    <row r="906">
      <c r="AA906" s="456"/>
    </row>
    <row r="907">
      <c r="AA907" s="456"/>
    </row>
    <row r="908">
      <c r="AA908" s="456"/>
    </row>
    <row r="909">
      <c r="AA909" s="456"/>
    </row>
    <row r="910">
      <c r="AA910" s="456"/>
    </row>
    <row r="911">
      <c r="AA911" s="456"/>
    </row>
    <row r="912">
      <c r="AA912" s="456"/>
    </row>
    <row r="913">
      <c r="AA913" s="456"/>
    </row>
    <row r="914">
      <c r="AA914" s="456"/>
    </row>
    <row r="915">
      <c r="AA915" s="456"/>
    </row>
    <row r="916">
      <c r="AA916" s="456"/>
    </row>
    <row r="917">
      <c r="AA917" s="456"/>
    </row>
    <row r="918">
      <c r="AA918" s="456"/>
    </row>
    <row r="919">
      <c r="AA919" s="456"/>
    </row>
    <row r="920">
      <c r="AA920" s="456"/>
    </row>
    <row r="921">
      <c r="AA921" s="456"/>
    </row>
    <row r="922">
      <c r="AA922" s="456"/>
    </row>
    <row r="923">
      <c r="AA923" s="456"/>
    </row>
    <row r="924">
      <c r="AA924" s="456"/>
    </row>
    <row r="925">
      <c r="AA925" s="456"/>
    </row>
    <row r="926">
      <c r="AA926" s="456"/>
    </row>
    <row r="927">
      <c r="AA927" s="456"/>
    </row>
    <row r="928">
      <c r="AA928" s="456"/>
    </row>
    <row r="929">
      <c r="AA929" s="456"/>
    </row>
    <row r="930">
      <c r="AA930" s="456"/>
    </row>
    <row r="931">
      <c r="AA931" s="456"/>
    </row>
    <row r="932">
      <c r="AA932" s="456"/>
    </row>
    <row r="933">
      <c r="AA933" s="456"/>
    </row>
    <row r="934">
      <c r="AA934" s="456"/>
    </row>
    <row r="935">
      <c r="AA935" s="456"/>
    </row>
    <row r="936">
      <c r="AA936" s="456"/>
    </row>
    <row r="937">
      <c r="AA937" s="456"/>
    </row>
    <row r="938">
      <c r="AA938" s="456"/>
    </row>
    <row r="939">
      <c r="AA939" s="456"/>
    </row>
    <row r="940">
      <c r="AA940" s="456"/>
    </row>
    <row r="941">
      <c r="AA941" s="456"/>
    </row>
    <row r="942">
      <c r="AA942" s="456"/>
    </row>
    <row r="943">
      <c r="AA943" s="456"/>
    </row>
    <row r="944">
      <c r="AA944" s="456"/>
    </row>
    <row r="945">
      <c r="AA945" s="456"/>
    </row>
    <row r="946">
      <c r="AA946" s="456"/>
    </row>
    <row r="947">
      <c r="AA947" s="456"/>
    </row>
    <row r="948">
      <c r="AA948" s="456"/>
    </row>
    <row r="949">
      <c r="AA949" s="456"/>
    </row>
    <row r="950">
      <c r="AA950" s="456"/>
    </row>
    <row r="951">
      <c r="AA951" s="456"/>
    </row>
    <row r="952">
      <c r="AA952" s="456"/>
    </row>
    <row r="953">
      <c r="AA953" s="456"/>
    </row>
    <row r="954">
      <c r="AA954" s="456"/>
    </row>
    <row r="955">
      <c r="AA955" s="456"/>
    </row>
    <row r="956">
      <c r="AA956" s="456"/>
    </row>
    <row r="957">
      <c r="AA957" s="456"/>
    </row>
    <row r="958">
      <c r="AA958" s="456"/>
    </row>
    <row r="959">
      <c r="AA959" s="456"/>
    </row>
    <row r="960">
      <c r="AA960" s="456"/>
    </row>
    <row r="961">
      <c r="AA961" s="456"/>
    </row>
    <row r="962">
      <c r="AA962" s="456"/>
    </row>
    <row r="963">
      <c r="AA963" s="456"/>
    </row>
    <row r="964">
      <c r="AA964" s="456"/>
    </row>
    <row r="965">
      <c r="AA965" s="456"/>
    </row>
    <row r="966">
      <c r="AA966" s="456"/>
    </row>
    <row r="967">
      <c r="AA967" s="456"/>
    </row>
    <row r="968">
      <c r="AA968" s="456"/>
    </row>
    <row r="969">
      <c r="AA969" s="456"/>
    </row>
    <row r="970">
      <c r="AA970" s="456"/>
    </row>
    <row r="971">
      <c r="AA971" s="456"/>
    </row>
    <row r="972">
      <c r="AA972" s="456"/>
    </row>
    <row r="973">
      <c r="AA973" s="456"/>
    </row>
    <row r="974">
      <c r="AA974" s="456"/>
    </row>
    <row r="975">
      <c r="AA975" s="456"/>
    </row>
    <row r="976">
      <c r="AA976" s="456"/>
    </row>
    <row r="977">
      <c r="AA977" s="456"/>
    </row>
    <row r="978">
      <c r="AA978" s="456"/>
    </row>
    <row r="979">
      <c r="AA979" s="456"/>
    </row>
    <row r="980">
      <c r="AA980" s="456"/>
    </row>
    <row r="981">
      <c r="AA981" s="456"/>
    </row>
    <row r="982">
      <c r="AA982" s="456"/>
    </row>
    <row r="983">
      <c r="AA983" s="456"/>
    </row>
    <row r="984">
      <c r="AA984" s="456"/>
    </row>
    <row r="985">
      <c r="AA985" s="456"/>
    </row>
    <row r="986">
      <c r="AA986" s="456"/>
    </row>
    <row r="987">
      <c r="AA987" s="456"/>
    </row>
    <row r="988">
      <c r="AA988" s="456"/>
    </row>
    <row r="989">
      <c r="AA989" s="456"/>
    </row>
    <row r="990">
      <c r="AA990" s="456"/>
    </row>
    <row r="991">
      <c r="AA991" s="456"/>
    </row>
    <row r="992">
      <c r="AA992" s="456"/>
    </row>
    <row r="993">
      <c r="AA993" s="456"/>
    </row>
    <row r="994">
      <c r="AA994" s="456"/>
    </row>
    <row r="995">
      <c r="AA995" s="456"/>
    </row>
    <row r="996">
      <c r="AA996" s="456"/>
    </row>
    <row r="997">
      <c r="AA997" s="456"/>
    </row>
    <row r="998">
      <c r="AA998" s="456"/>
    </row>
    <row r="999">
      <c r="AA999" s="456"/>
    </row>
    <row r="1000">
      <c r="AA1000" s="456"/>
    </row>
    <row r="1001">
      <c r="AA1001" s="456"/>
    </row>
    <row r="1002">
      <c r="AA1002" s="456"/>
    </row>
    <row r="1003">
      <c r="AA1003" s="456"/>
    </row>
  </sheetData>
  <mergeCells count="30">
    <mergeCell ref="U3:U4"/>
    <mergeCell ref="V3:V4"/>
    <mergeCell ref="W3:W4"/>
    <mergeCell ref="X3:X4"/>
    <mergeCell ref="Y3:Y4"/>
    <mergeCell ref="Z3:Z4"/>
    <mergeCell ref="AA3:AA4"/>
    <mergeCell ref="AB3:AB4"/>
    <mergeCell ref="C1:O1"/>
    <mergeCell ref="Q1:AC1"/>
    <mergeCell ref="C2:O2"/>
    <mergeCell ref="Q2:AC2"/>
    <mergeCell ref="C3:C4"/>
    <mergeCell ref="D3:D4"/>
    <mergeCell ref="E3:E4"/>
    <mergeCell ref="AC3:A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S3:S4"/>
    <mergeCell ref="T3:T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13"/>
    <col customWidth="1" min="3" max="8" width="13.0"/>
    <col customWidth="1" min="9" max="13" width="10.25"/>
    <col customWidth="1" min="14" max="14" width="11.25"/>
    <col customWidth="1" min="15" max="62" width="7.5"/>
  </cols>
  <sheetData>
    <row r="1">
      <c r="C1" s="70"/>
      <c r="E1" s="70"/>
      <c r="O1" s="70"/>
      <c r="Q1" s="70"/>
      <c r="X1" s="70"/>
      <c r="AA1" s="70"/>
      <c r="AC1" s="70"/>
      <c r="AD1" s="381"/>
      <c r="AM1" s="70"/>
      <c r="AN1" s="70"/>
      <c r="AO1" s="70"/>
      <c r="AY1" s="457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</row>
    <row r="2">
      <c r="A2" s="458"/>
      <c r="B2" s="459"/>
      <c r="C2" s="460" t="s">
        <v>595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4"/>
      <c r="O2" s="461" t="s">
        <v>596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4"/>
      <c r="AA2" s="461" t="s">
        <v>597</v>
      </c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4"/>
      <c r="AM2" s="461" t="s">
        <v>598</v>
      </c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4"/>
      <c r="AY2" s="461" t="s">
        <v>599</v>
      </c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4"/>
    </row>
    <row r="3">
      <c r="A3" s="462" t="s">
        <v>47</v>
      </c>
      <c r="B3" s="67" t="s">
        <v>48</v>
      </c>
      <c r="C3" s="463" t="s">
        <v>600</v>
      </c>
      <c r="D3" s="464" t="s">
        <v>601</v>
      </c>
      <c r="E3" s="464" t="s">
        <v>602</v>
      </c>
      <c r="F3" s="464" t="s">
        <v>603</v>
      </c>
      <c r="G3" s="82" t="s">
        <v>604</v>
      </c>
      <c r="H3" s="464" t="s">
        <v>605</v>
      </c>
      <c r="I3" s="464" t="s">
        <v>606</v>
      </c>
      <c r="J3" s="464" t="s">
        <v>607</v>
      </c>
      <c r="K3" s="464" t="s">
        <v>608</v>
      </c>
      <c r="L3" s="464" t="s">
        <v>609</v>
      </c>
      <c r="M3" s="464" t="s">
        <v>610</v>
      </c>
      <c r="N3" s="464" t="s">
        <v>611</v>
      </c>
      <c r="O3" s="463" t="s">
        <v>600</v>
      </c>
      <c r="P3" s="464" t="s">
        <v>601</v>
      </c>
      <c r="Q3" s="464" t="s">
        <v>602</v>
      </c>
      <c r="R3" s="464" t="s">
        <v>603</v>
      </c>
      <c r="S3" s="82" t="s">
        <v>604</v>
      </c>
      <c r="T3" s="464" t="s">
        <v>605</v>
      </c>
      <c r="U3" s="464" t="s">
        <v>606</v>
      </c>
      <c r="V3" s="464" t="s">
        <v>607</v>
      </c>
      <c r="W3" s="464" t="s">
        <v>608</v>
      </c>
      <c r="X3" s="464" t="s">
        <v>609</v>
      </c>
      <c r="Y3" s="464" t="s">
        <v>610</v>
      </c>
      <c r="Z3" s="465" t="s">
        <v>611</v>
      </c>
      <c r="AA3" s="463" t="s">
        <v>600</v>
      </c>
      <c r="AB3" s="464" t="s">
        <v>601</v>
      </c>
      <c r="AC3" s="464" t="s">
        <v>602</v>
      </c>
      <c r="AD3" s="466" t="s">
        <v>603</v>
      </c>
      <c r="AE3" s="82" t="s">
        <v>604</v>
      </c>
      <c r="AF3" s="464" t="s">
        <v>605</v>
      </c>
      <c r="AG3" s="464" t="s">
        <v>606</v>
      </c>
      <c r="AH3" s="464" t="s">
        <v>607</v>
      </c>
      <c r="AI3" s="464" t="s">
        <v>608</v>
      </c>
      <c r="AJ3" s="464" t="s">
        <v>609</v>
      </c>
      <c r="AK3" s="464" t="s">
        <v>610</v>
      </c>
      <c r="AL3" s="465" t="s">
        <v>611</v>
      </c>
      <c r="AM3" s="463" t="s">
        <v>600</v>
      </c>
      <c r="AN3" s="464" t="s">
        <v>601</v>
      </c>
      <c r="AO3" s="464" t="s">
        <v>602</v>
      </c>
      <c r="AP3" s="464" t="s">
        <v>603</v>
      </c>
      <c r="AQ3" s="464" t="s">
        <v>604</v>
      </c>
      <c r="AR3" s="464" t="s">
        <v>605</v>
      </c>
      <c r="AS3" s="464" t="s">
        <v>606</v>
      </c>
      <c r="AT3" s="464" t="s">
        <v>607</v>
      </c>
      <c r="AU3" s="464" t="s">
        <v>608</v>
      </c>
      <c r="AV3" s="464" t="s">
        <v>609</v>
      </c>
      <c r="AW3" s="464" t="s">
        <v>610</v>
      </c>
      <c r="AX3" s="464" t="s">
        <v>611</v>
      </c>
      <c r="AY3" s="463" t="s">
        <v>600</v>
      </c>
      <c r="AZ3" s="464" t="s">
        <v>601</v>
      </c>
      <c r="BA3" s="464" t="s">
        <v>602</v>
      </c>
      <c r="BB3" s="464" t="s">
        <v>603</v>
      </c>
      <c r="BC3" s="82" t="s">
        <v>604</v>
      </c>
      <c r="BD3" s="464" t="s">
        <v>605</v>
      </c>
      <c r="BE3" s="464" t="s">
        <v>606</v>
      </c>
      <c r="BF3" s="464" t="s">
        <v>607</v>
      </c>
      <c r="BG3" s="464" t="s">
        <v>608</v>
      </c>
      <c r="BH3" s="464" t="s">
        <v>609</v>
      </c>
      <c r="BI3" s="464" t="s">
        <v>610</v>
      </c>
      <c r="BJ3" s="464" t="s">
        <v>611</v>
      </c>
    </row>
    <row r="4">
      <c r="A4" s="467"/>
      <c r="B4" s="468"/>
      <c r="C4" s="469"/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  <c r="O4" s="469"/>
      <c r="P4" s="470"/>
      <c r="Q4" s="470"/>
      <c r="R4" s="470"/>
      <c r="S4" s="470"/>
      <c r="T4" s="470"/>
      <c r="U4" s="470"/>
      <c r="V4" s="470"/>
      <c r="W4" s="470"/>
      <c r="X4" s="470"/>
      <c r="Y4" s="470"/>
      <c r="Z4" s="471"/>
      <c r="AA4" s="469"/>
      <c r="AB4" s="470"/>
      <c r="AC4" s="470"/>
      <c r="AD4" s="470"/>
      <c r="AE4" s="470"/>
      <c r="AF4" s="470"/>
      <c r="AG4" s="470"/>
      <c r="AH4" s="470"/>
      <c r="AI4" s="470"/>
      <c r="AJ4" s="470"/>
      <c r="AK4" s="470"/>
      <c r="AL4" s="471"/>
      <c r="AM4" s="469"/>
      <c r="AN4" s="470"/>
      <c r="AO4" s="470"/>
      <c r="AP4" s="470"/>
      <c r="AQ4" s="470"/>
      <c r="AR4" s="470"/>
      <c r="AS4" s="470"/>
      <c r="AT4" s="470"/>
      <c r="AU4" s="470"/>
      <c r="AV4" s="470"/>
      <c r="AW4" s="470"/>
      <c r="AX4" s="470"/>
      <c r="AY4" s="469"/>
      <c r="AZ4" s="470"/>
      <c r="BA4" s="470"/>
      <c r="BB4" s="470"/>
      <c r="BC4" s="470"/>
      <c r="BD4" s="470"/>
      <c r="BE4" s="470"/>
      <c r="BF4" s="470"/>
      <c r="BG4" s="470"/>
      <c r="BH4" s="470"/>
      <c r="BI4" s="470"/>
      <c r="BJ4" s="470"/>
    </row>
    <row r="5" hidden="1">
      <c r="A5" s="87" t="s">
        <v>49</v>
      </c>
      <c r="B5" s="88">
        <v>349.0</v>
      </c>
      <c r="C5" s="472"/>
      <c r="D5" s="473"/>
      <c r="E5" s="474"/>
      <c r="F5" s="473"/>
      <c r="G5" s="473"/>
      <c r="H5" s="473"/>
      <c r="I5" s="473"/>
      <c r="J5" s="473"/>
      <c r="K5" s="473"/>
      <c r="L5" s="473"/>
      <c r="M5" s="473"/>
      <c r="N5" s="475"/>
      <c r="O5" s="472"/>
      <c r="P5" s="473"/>
      <c r="Q5" s="474"/>
      <c r="R5" s="473"/>
      <c r="S5" s="473"/>
      <c r="T5" s="473"/>
      <c r="U5" s="473"/>
      <c r="V5" s="473"/>
      <c r="W5" s="473"/>
      <c r="X5" s="474"/>
      <c r="Y5" s="473"/>
      <c r="Z5" s="475"/>
      <c r="AA5" s="472"/>
      <c r="AB5" s="473"/>
      <c r="AC5" s="474"/>
      <c r="AD5" s="476"/>
      <c r="AE5" s="473"/>
      <c r="AF5" s="473"/>
      <c r="AG5" s="473"/>
      <c r="AH5" s="473"/>
      <c r="AI5" s="473"/>
      <c r="AJ5" s="473"/>
      <c r="AK5" s="473"/>
      <c r="AL5" s="475"/>
      <c r="AM5" s="472"/>
      <c r="AN5" s="474"/>
      <c r="AO5" s="474"/>
      <c r="AP5" s="473"/>
      <c r="AQ5" s="473"/>
      <c r="AR5" s="473"/>
      <c r="AS5" s="473"/>
      <c r="AT5" s="473"/>
      <c r="AU5" s="473"/>
      <c r="AV5" s="473"/>
      <c r="AW5" s="473"/>
      <c r="AX5" s="475"/>
      <c r="AY5" s="477"/>
      <c r="AZ5" s="478"/>
      <c r="BA5" s="478"/>
      <c r="BB5" s="478"/>
      <c r="BC5" s="478"/>
      <c r="BD5" s="478"/>
      <c r="BE5" s="478"/>
      <c r="BF5" s="478"/>
      <c r="BG5" s="478"/>
      <c r="BH5" s="478"/>
      <c r="BI5" s="478"/>
      <c r="BJ5" s="475"/>
    </row>
    <row r="6" hidden="1">
      <c r="A6" s="87" t="s">
        <v>50</v>
      </c>
      <c r="B6" s="88">
        <v>349.0</v>
      </c>
      <c r="C6" s="317"/>
      <c r="D6" s="90"/>
      <c r="E6" s="203"/>
      <c r="F6" s="90"/>
      <c r="G6" s="90"/>
      <c r="H6" s="90"/>
      <c r="I6" s="90"/>
      <c r="J6" s="90"/>
      <c r="K6" s="90"/>
      <c r="L6" s="90"/>
      <c r="M6" s="90"/>
      <c r="N6" s="186"/>
      <c r="O6" s="317"/>
      <c r="P6" s="90"/>
      <c r="Q6" s="203"/>
      <c r="R6" s="90"/>
      <c r="S6" s="90"/>
      <c r="T6" s="90"/>
      <c r="U6" s="90"/>
      <c r="V6" s="90"/>
      <c r="W6" s="90"/>
      <c r="X6" s="203"/>
      <c r="Y6" s="90"/>
      <c r="Z6" s="186"/>
      <c r="AA6" s="317"/>
      <c r="AB6" s="90"/>
      <c r="AC6" s="203"/>
      <c r="AD6" s="218"/>
      <c r="AE6" s="90"/>
      <c r="AF6" s="90"/>
      <c r="AG6" s="90"/>
      <c r="AH6" s="90"/>
      <c r="AI6" s="90"/>
      <c r="AJ6" s="90"/>
      <c r="AK6" s="90"/>
      <c r="AL6" s="186"/>
      <c r="AM6" s="317"/>
      <c r="AN6" s="203"/>
      <c r="AO6" s="203"/>
      <c r="AP6" s="90"/>
      <c r="AQ6" s="90"/>
      <c r="AR6" s="90"/>
      <c r="AS6" s="90"/>
      <c r="AT6" s="90"/>
      <c r="AU6" s="90"/>
      <c r="AV6" s="90"/>
      <c r="AW6" s="90"/>
      <c r="AX6" s="186"/>
      <c r="AY6" s="329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86"/>
    </row>
    <row r="7" hidden="1">
      <c r="A7" s="87" t="s">
        <v>51</v>
      </c>
      <c r="B7" s="88">
        <v>349.0</v>
      </c>
      <c r="C7" s="317"/>
      <c r="D7" s="90"/>
      <c r="E7" s="203"/>
      <c r="F7" s="90"/>
      <c r="G7" s="90"/>
      <c r="H7" s="90"/>
      <c r="I7" s="90"/>
      <c r="J7" s="90"/>
      <c r="K7" s="90"/>
      <c r="L7" s="90"/>
      <c r="M7" s="90"/>
      <c r="N7" s="186"/>
      <c r="O7" s="317"/>
      <c r="P7" s="90"/>
      <c r="Q7" s="203"/>
      <c r="R7" s="90"/>
      <c r="S7" s="90"/>
      <c r="T7" s="90"/>
      <c r="U7" s="90"/>
      <c r="V7" s="90"/>
      <c r="W7" s="90"/>
      <c r="X7" s="203"/>
      <c r="Y7" s="90"/>
      <c r="Z7" s="186"/>
      <c r="AA7" s="317"/>
      <c r="AB7" s="90"/>
      <c r="AC7" s="203"/>
      <c r="AD7" s="218"/>
      <c r="AE7" s="90"/>
      <c r="AF7" s="90"/>
      <c r="AG7" s="90"/>
      <c r="AH7" s="90"/>
      <c r="AI7" s="90"/>
      <c r="AJ7" s="90"/>
      <c r="AK7" s="90"/>
      <c r="AL7" s="186"/>
      <c r="AM7" s="317"/>
      <c r="AN7" s="203"/>
      <c r="AO7" s="203"/>
      <c r="AP7" s="90"/>
      <c r="AQ7" s="90"/>
      <c r="AR7" s="90"/>
      <c r="AS7" s="90"/>
      <c r="AT7" s="90"/>
      <c r="AU7" s="90"/>
      <c r="AV7" s="90"/>
      <c r="AW7" s="90"/>
      <c r="AX7" s="186"/>
      <c r="AY7" s="329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86"/>
    </row>
    <row r="8">
      <c r="A8" s="92" t="s">
        <v>52</v>
      </c>
      <c r="B8" s="88">
        <v>349.0</v>
      </c>
      <c r="C8" s="479">
        <v>13.0</v>
      </c>
      <c r="D8" s="480">
        <v>5.0</v>
      </c>
      <c r="E8" s="480">
        <v>5.0</v>
      </c>
      <c r="F8" s="481">
        <v>4.0</v>
      </c>
      <c r="G8" s="90"/>
      <c r="H8" s="482"/>
      <c r="I8" s="482"/>
      <c r="J8" s="483"/>
      <c r="K8" s="483"/>
      <c r="L8" s="90"/>
      <c r="M8" s="90"/>
      <c r="N8" s="257"/>
      <c r="O8" s="479">
        <v>15.0</v>
      </c>
      <c r="P8" s="480">
        <v>2.0</v>
      </c>
      <c r="Q8" s="480">
        <v>2.0</v>
      </c>
      <c r="R8" s="481">
        <v>6.0</v>
      </c>
      <c r="S8" s="90"/>
      <c r="T8" s="482"/>
      <c r="U8" s="482"/>
      <c r="V8" s="483"/>
      <c r="W8" s="483"/>
      <c r="X8" s="211"/>
      <c r="Y8" s="90"/>
      <c r="Z8" s="257"/>
      <c r="AA8" s="484">
        <v>4.0</v>
      </c>
      <c r="AB8" s="480">
        <v>4.0</v>
      </c>
      <c r="AC8" s="480">
        <v>2.0</v>
      </c>
      <c r="AD8" s="485">
        <v>2.0</v>
      </c>
      <c r="AE8" s="90"/>
      <c r="AF8" s="482"/>
      <c r="AG8" s="482"/>
      <c r="AH8" s="483"/>
      <c r="AI8" s="483"/>
      <c r="AJ8" s="90"/>
      <c r="AK8" s="90"/>
      <c r="AL8" s="257"/>
      <c r="AM8" s="479">
        <v>5.0</v>
      </c>
      <c r="AN8" s="480">
        <v>3.0</v>
      </c>
      <c r="AO8" s="480">
        <v>3.0</v>
      </c>
      <c r="AP8" s="481">
        <v>3.0</v>
      </c>
      <c r="AQ8" s="90"/>
      <c r="AR8" s="482"/>
      <c r="AS8" s="482"/>
      <c r="AT8" s="483"/>
      <c r="AU8" s="483"/>
      <c r="AV8" s="90"/>
      <c r="AW8" s="90"/>
      <c r="AX8" s="257"/>
      <c r="AY8" s="212">
        <v>1.0</v>
      </c>
      <c r="AZ8" s="220">
        <v>3.0</v>
      </c>
      <c r="BA8" s="220">
        <v>1.0</v>
      </c>
      <c r="BB8" s="116"/>
      <c r="BC8" s="116"/>
      <c r="BD8" s="478"/>
      <c r="BE8" s="478"/>
      <c r="BF8" s="116"/>
      <c r="BG8" s="116"/>
      <c r="BH8" s="116"/>
      <c r="BI8" s="116"/>
      <c r="BJ8" s="186"/>
    </row>
    <row r="9" hidden="1">
      <c r="A9" s="98" t="s">
        <v>53</v>
      </c>
      <c r="B9" s="88">
        <v>349.0</v>
      </c>
      <c r="C9" s="317"/>
      <c r="D9" s="90"/>
      <c r="E9" s="203"/>
      <c r="F9" s="90"/>
      <c r="G9" s="90"/>
      <c r="H9" s="473"/>
      <c r="I9" s="473"/>
      <c r="J9" s="90"/>
      <c r="K9" s="90"/>
      <c r="L9" s="90"/>
      <c r="M9" s="90"/>
      <c r="N9" s="186"/>
      <c r="O9" s="317"/>
      <c r="P9" s="203"/>
      <c r="Q9" s="203"/>
      <c r="R9" s="90"/>
      <c r="S9" s="90"/>
      <c r="T9" s="473"/>
      <c r="U9" s="473"/>
      <c r="V9" s="90"/>
      <c r="W9" s="90"/>
      <c r="X9" s="203"/>
      <c r="Y9" s="90"/>
      <c r="Z9" s="186"/>
      <c r="AA9" s="203"/>
      <c r="AB9" s="90"/>
      <c r="AC9" s="203"/>
      <c r="AD9" s="218"/>
      <c r="AE9" s="90"/>
      <c r="AF9" s="473"/>
      <c r="AG9" s="473"/>
      <c r="AH9" s="90"/>
      <c r="AI9" s="90"/>
      <c r="AJ9" s="90"/>
      <c r="AK9" s="90"/>
      <c r="AL9" s="186"/>
      <c r="AM9" s="317"/>
      <c r="AN9" s="203"/>
      <c r="AO9" s="203"/>
      <c r="AP9" s="90"/>
      <c r="AQ9" s="90"/>
      <c r="AR9" s="473"/>
      <c r="AS9" s="473"/>
      <c r="AT9" s="90"/>
      <c r="AU9" s="90"/>
      <c r="AV9" s="90"/>
      <c r="AW9" s="90"/>
      <c r="AX9" s="186"/>
      <c r="AY9" s="329"/>
      <c r="AZ9" s="116"/>
      <c r="BA9" s="116"/>
      <c r="BB9" s="116"/>
      <c r="BC9" s="116"/>
      <c r="BD9" s="478"/>
      <c r="BE9" s="478"/>
      <c r="BF9" s="116"/>
      <c r="BG9" s="116"/>
      <c r="BH9" s="116"/>
      <c r="BI9" s="116"/>
      <c r="BJ9" s="186"/>
    </row>
    <row r="10">
      <c r="A10" s="98" t="s">
        <v>54</v>
      </c>
      <c r="B10" s="88">
        <v>349.0</v>
      </c>
      <c r="C10" s="479">
        <v>6.0</v>
      </c>
      <c r="D10" s="486"/>
      <c r="E10" s="487">
        <v>3.0</v>
      </c>
      <c r="F10" s="481">
        <v>11.0</v>
      </c>
      <c r="G10" s="483"/>
      <c r="H10" s="482"/>
      <c r="I10" s="482"/>
      <c r="J10" s="483"/>
      <c r="K10" s="483"/>
      <c r="L10" s="483"/>
      <c r="M10" s="483"/>
      <c r="N10" s="257"/>
      <c r="O10" s="479">
        <v>8.0</v>
      </c>
      <c r="P10" s="486"/>
      <c r="Q10" s="487">
        <v>5.0</v>
      </c>
      <c r="R10" s="481">
        <v>11.0</v>
      </c>
      <c r="S10" s="483"/>
      <c r="T10" s="482"/>
      <c r="U10" s="482"/>
      <c r="V10" s="483"/>
      <c r="W10" s="483"/>
      <c r="X10" s="480"/>
      <c r="Y10" s="483"/>
      <c r="Z10" s="257"/>
      <c r="AA10" s="488">
        <v>1.0</v>
      </c>
      <c r="AB10" s="487">
        <v>1.0</v>
      </c>
      <c r="AC10" s="487">
        <v>1.0</v>
      </c>
      <c r="AD10" s="485">
        <v>7.0</v>
      </c>
      <c r="AE10" s="483"/>
      <c r="AF10" s="482"/>
      <c r="AG10" s="482"/>
      <c r="AH10" s="483"/>
      <c r="AI10" s="483"/>
      <c r="AJ10" s="483"/>
      <c r="AK10" s="483"/>
      <c r="AL10" s="257"/>
      <c r="AM10" s="479">
        <v>5.0</v>
      </c>
      <c r="AN10" s="486"/>
      <c r="AO10" s="486"/>
      <c r="AP10" s="481">
        <v>2.0</v>
      </c>
      <c r="AQ10" s="483"/>
      <c r="AR10" s="482"/>
      <c r="AS10" s="482"/>
      <c r="AT10" s="483"/>
      <c r="AU10" s="483"/>
      <c r="AV10" s="483"/>
      <c r="AW10" s="483"/>
      <c r="AX10" s="257"/>
      <c r="AY10" s="212">
        <v>3.0</v>
      </c>
      <c r="AZ10" s="220">
        <v>2.0</v>
      </c>
      <c r="BA10" s="116"/>
      <c r="BB10" s="97">
        <v>3.0</v>
      </c>
      <c r="BC10" s="116"/>
      <c r="BD10" s="478"/>
      <c r="BE10" s="478"/>
      <c r="BF10" s="116"/>
      <c r="BG10" s="116"/>
      <c r="BH10" s="116"/>
      <c r="BI10" s="116"/>
      <c r="BJ10" s="186"/>
    </row>
    <row r="11">
      <c r="A11" s="98" t="s">
        <v>55</v>
      </c>
      <c r="B11" s="88">
        <v>349.0</v>
      </c>
      <c r="C11" s="479">
        <v>8.0</v>
      </c>
      <c r="D11" s="483"/>
      <c r="E11" s="480">
        <v>2.0</v>
      </c>
      <c r="F11" s="481">
        <v>2.0</v>
      </c>
      <c r="G11" s="483"/>
      <c r="H11" s="482"/>
      <c r="I11" s="482"/>
      <c r="J11" s="90"/>
      <c r="K11" s="90"/>
      <c r="L11" s="483"/>
      <c r="M11" s="483"/>
      <c r="N11" s="257"/>
      <c r="O11" s="479">
        <v>8.0</v>
      </c>
      <c r="P11" s="483"/>
      <c r="Q11" s="489">
        <v>3.0</v>
      </c>
      <c r="R11" s="481">
        <v>7.0</v>
      </c>
      <c r="S11" s="483"/>
      <c r="T11" s="482"/>
      <c r="U11" s="482"/>
      <c r="V11" s="90"/>
      <c r="W11" s="90"/>
      <c r="X11" s="480"/>
      <c r="Y11" s="483"/>
      <c r="Z11" s="257"/>
      <c r="AA11" s="488">
        <v>3.0</v>
      </c>
      <c r="AB11" s="480">
        <v>2.0</v>
      </c>
      <c r="AC11" s="483"/>
      <c r="AD11" s="485">
        <v>7.0</v>
      </c>
      <c r="AE11" s="483"/>
      <c r="AF11" s="482"/>
      <c r="AG11" s="482"/>
      <c r="AH11" s="90"/>
      <c r="AI11" s="90"/>
      <c r="AJ11" s="483"/>
      <c r="AK11" s="483"/>
      <c r="AL11" s="257"/>
      <c r="AM11" s="479">
        <v>5.0</v>
      </c>
      <c r="AN11" s="483"/>
      <c r="AO11" s="480">
        <v>6.0</v>
      </c>
      <c r="AP11" s="481">
        <v>2.0</v>
      </c>
      <c r="AQ11" s="483"/>
      <c r="AR11" s="482"/>
      <c r="AS11" s="482"/>
      <c r="AT11" s="90"/>
      <c r="AU11" s="90"/>
      <c r="AV11" s="483"/>
      <c r="AW11" s="483"/>
      <c r="AX11" s="257"/>
      <c r="AY11" s="329"/>
      <c r="AZ11" s="116"/>
      <c r="BA11" s="116"/>
      <c r="BB11" s="97">
        <v>3.0</v>
      </c>
      <c r="BC11" s="116"/>
      <c r="BD11" s="478"/>
      <c r="BE11" s="478"/>
      <c r="BF11" s="116"/>
      <c r="BG11" s="116"/>
      <c r="BH11" s="116"/>
      <c r="BI11" s="116"/>
      <c r="BJ11" s="186"/>
    </row>
    <row r="12">
      <c r="A12" s="98" t="s">
        <v>56</v>
      </c>
      <c r="B12" s="88">
        <v>349.0</v>
      </c>
      <c r="C12" s="490"/>
      <c r="D12" s="483"/>
      <c r="E12" s="480">
        <v>3.0</v>
      </c>
      <c r="F12" s="481">
        <v>5.0</v>
      </c>
      <c r="G12" s="483"/>
      <c r="H12" s="482"/>
      <c r="I12" s="482"/>
      <c r="J12" s="483"/>
      <c r="K12" s="90"/>
      <c r="L12" s="483"/>
      <c r="M12" s="483"/>
      <c r="N12" s="257"/>
      <c r="O12" s="479">
        <v>9.0</v>
      </c>
      <c r="P12" s="480">
        <v>2.0</v>
      </c>
      <c r="Q12" s="480">
        <v>3.0</v>
      </c>
      <c r="R12" s="481">
        <v>11.0</v>
      </c>
      <c r="S12" s="483"/>
      <c r="T12" s="482"/>
      <c r="U12" s="482"/>
      <c r="V12" s="483"/>
      <c r="W12" s="90"/>
      <c r="X12" s="483"/>
      <c r="Y12" s="483"/>
      <c r="Z12" s="257"/>
      <c r="AA12" s="211">
        <v>4.0</v>
      </c>
      <c r="AB12" s="483"/>
      <c r="AC12" s="480">
        <v>2.0</v>
      </c>
      <c r="AD12" s="485">
        <v>3.0</v>
      </c>
      <c r="AE12" s="483"/>
      <c r="AF12" s="482"/>
      <c r="AG12" s="482"/>
      <c r="AH12" s="483"/>
      <c r="AI12" s="90"/>
      <c r="AJ12" s="483"/>
      <c r="AK12" s="483"/>
      <c r="AL12" s="257"/>
      <c r="AM12" s="490"/>
      <c r="AN12" s="480">
        <v>4.0</v>
      </c>
      <c r="AO12" s="483"/>
      <c r="AP12" s="481">
        <v>3.0</v>
      </c>
      <c r="AQ12" s="483"/>
      <c r="AR12" s="482"/>
      <c r="AS12" s="482"/>
      <c r="AT12" s="483"/>
      <c r="AU12" s="90"/>
      <c r="AV12" s="483"/>
      <c r="AW12" s="483"/>
      <c r="AX12" s="257"/>
      <c r="AY12" s="212">
        <v>3.0</v>
      </c>
      <c r="AZ12" s="220">
        <v>2.0</v>
      </c>
      <c r="BA12" s="116"/>
      <c r="BB12" s="116"/>
      <c r="BC12" s="116"/>
      <c r="BD12" s="478"/>
      <c r="BE12" s="478"/>
      <c r="BF12" s="116"/>
      <c r="BG12" s="116"/>
      <c r="BH12" s="116"/>
      <c r="BI12" s="116"/>
      <c r="BJ12" s="186"/>
    </row>
    <row r="13">
      <c r="A13" s="98" t="s">
        <v>57</v>
      </c>
      <c r="B13" s="88">
        <v>349.0</v>
      </c>
      <c r="C13" s="490"/>
      <c r="D13" s="90"/>
      <c r="E13" s="483"/>
      <c r="F13" s="95"/>
      <c r="G13" s="90"/>
      <c r="H13" s="473"/>
      <c r="I13" s="473"/>
      <c r="J13" s="90"/>
      <c r="K13" s="90"/>
      <c r="L13" s="90"/>
      <c r="M13" s="90"/>
      <c r="N13" s="186"/>
      <c r="O13" s="490"/>
      <c r="P13" s="203"/>
      <c r="Q13" s="483"/>
      <c r="R13" s="95"/>
      <c r="S13" s="90"/>
      <c r="T13" s="473"/>
      <c r="U13" s="473"/>
      <c r="V13" s="90"/>
      <c r="W13" s="90"/>
      <c r="X13" s="203"/>
      <c r="Y13" s="90"/>
      <c r="Z13" s="186"/>
      <c r="AA13" s="203"/>
      <c r="AB13" s="90"/>
      <c r="AC13" s="480">
        <v>1.0</v>
      </c>
      <c r="AD13" s="448">
        <v>2.0</v>
      </c>
      <c r="AE13" s="90"/>
      <c r="AF13" s="473"/>
      <c r="AG13" s="473"/>
      <c r="AH13" s="90"/>
      <c r="AI13" s="90"/>
      <c r="AJ13" s="90"/>
      <c r="AK13" s="90"/>
      <c r="AL13" s="186"/>
      <c r="AM13" s="490"/>
      <c r="AN13" s="211">
        <v>2.0</v>
      </c>
      <c r="AO13" s="483"/>
      <c r="AP13" s="95"/>
      <c r="AQ13" s="90"/>
      <c r="AR13" s="473"/>
      <c r="AS13" s="473"/>
      <c r="AT13" s="90"/>
      <c r="AU13" s="90"/>
      <c r="AV13" s="90"/>
      <c r="AW13" s="90"/>
      <c r="AX13" s="186"/>
      <c r="AY13" s="329"/>
      <c r="AZ13" s="116"/>
      <c r="BA13" s="220">
        <v>2.0</v>
      </c>
      <c r="BB13" s="116"/>
      <c r="BC13" s="116"/>
      <c r="BD13" s="478"/>
      <c r="BE13" s="478"/>
      <c r="BF13" s="116"/>
      <c r="BG13" s="116"/>
      <c r="BH13" s="116"/>
      <c r="BI13" s="116"/>
      <c r="BJ13" s="186"/>
    </row>
    <row r="14">
      <c r="A14" s="98" t="s">
        <v>58</v>
      </c>
      <c r="B14" s="88">
        <v>349.0</v>
      </c>
      <c r="C14" s="317"/>
      <c r="D14" s="483"/>
      <c r="E14" s="486"/>
      <c r="F14" s="95"/>
      <c r="G14" s="90"/>
      <c r="H14" s="473"/>
      <c r="I14" s="473"/>
      <c r="J14" s="90"/>
      <c r="K14" s="90"/>
      <c r="L14" s="90"/>
      <c r="M14" s="486"/>
      <c r="N14" s="257"/>
      <c r="O14" s="323">
        <v>4.0</v>
      </c>
      <c r="P14" s="483"/>
      <c r="Q14" s="486"/>
      <c r="R14" s="95"/>
      <c r="S14" s="90"/>
      <c r="T14" s="473"/>
      <c r="U14" s="473"/>
      <c r="V14" s="90"/>
      <c r="W14" s="90"/>
      <c r="X14" s="211"/>
      <c r="Y14" s="486"/>
      <c r="Z14" s="257"/>
      <c r="AA14" s="203">
        <v>4.0</v>
      </c>
      <c r="AB14" s="483"/>
      <c r="AC14" s="486"/>
      <c r="AD14" s="96"/>
      <c r="AE14" s="90"/>
      <c r="AF14" s="473"/>
      <c r="AG14" s="473"/>
      <c r="AH14" s="90"/>
      <c r="AI14" s="90"/>
      <c r="AJ14" s="90"/>
      <c r="AK14" s="486"/>
      <c r="AL14" s="257"/>
      <c r="AM14" s="317"/>
      <c r="AN14" s="483"/>
      <c r="AO14" s="486"/>
      <c r="AP14" s="95"/>
      <c r="AQ14" s="90"/>
      <c r="AR14" s="473"/>
      <c r="AS14" s="473"/>
      <c r="AT14" s="90"/>
      <c r="AU14" s="90"/>
      <c r="AV14" s="90"/>
      <c r="AW14" s="486"/>
      <c r="AX14" s="257"/>
      <c r="AY14" s="329"/>
      <c r="AZ14" s="116"/>
      <c r="BA14" s="220">
        <v>3.0</v>
      </c>
      <c r="BB14" s="116"/>
      <c r="BC14" s="116"/>
      <c r="BD14" s="478"/>
      <c r="BE14" s="478"/>
      <c r="BF14" s="116"/>
      <c r="BG14" s="116"/>
      <c r="BH14" s="116"/>
      <c r="BI14" s="116"/>
      <c r="BJ14" s="186"/>
    </row>
    <row r="15">
      <c r="A15" s="98" t="s">
        <v>59</v>
      </c>
      <c r="B15" s="88">
        <v>239.0</v>
      </c>
      <c r="C15" s="317"/>
      <c r="D15" s="483"/>
      <c r="E15" s="483"/>
      <c r="F15" s="481">
        <v>3.0</v>
      </c>
      <c r="G15" s="90"/>
      <c r="H15" s="482"/>
      <c r="I15" s="482"/>
      <c r="J15" s="483"/>
      <c r="K15" s="483"/>
      <c r="L15" s="483"/>
      <c r="M15" s="483"/>
      <c r="N15" s="257"/>
      <c r="O15" s="317"/>
      <c r="P15" s="483"/>
      <c r="Q15" s="483"/>
      <c r="R15" s="57"/>
      <c r="S15" s="90"/>
      <c r="T15" s="482"/>
      <c r="U15" s="482"/>
      <c r="V15" s="483"/>
      <c r="W15" s="483"/>
      <c r="X15" s="480"/>
      <c r="Y15" s="483"/>
      <c r="Z15" s="257"/>
      <c r="AA15" s="488">
        <v>1.0</v>
      </c>
      <c r="AB15" s="480">
        <v>3.0</v>
      </c>
      <c r="AC15" s="483"/>
      <c r="AD15" s="97"/>
      <c r="AE15" s="90"/>
      <c r="AF15" s="482"/>
      <c r="AG15" s="482"/>
      <c r="AH15" s="483"/>
      <c r="AI15" s="483"/>
      <c r="AJ15" s="483"/>
      <c r="AK15" s="483"/>
      <c r="AL15" s="257"/>
      <c r="AM15" s="323">
        <v>1.0</v>
      </c>
      <c r="AN15" s="480">
        <v>1.0</v>
      </c>
      <c r="AO15" s="480">
        <v>4.0</v>
      </c>
      <c r="AP15" s="481">
        <v>1.0</v>
      </c>
      <c r="AQ15" s="90"/>
      <c r="AR15" s="482"/>
      <c r="AS15" s="482"/>
      <c r="AT15" s="483"/>
      <c r="AU15" s="483"/>
      <c r="AV15" s="483"/>
      <c r="AW15" s="483"/>
      <c r="AX15" s="257"/>
      <c r="AY15" s="329"/>
      <c r="AZ15" s="116"/>
      <c r="BA15" s="116"/>
      <c r="BB15" s="116"/>
      <c r="BC15" s="116"/>
      <c r="BD15" s="478"/>
      <c r="BE15" s="478"/>
      <c r="BF15" s="116"/>
      <c r="BG15" s="116"/>
      <c r="BH15" s="116"/>
      <c r="BI15" s="116"/>
      <c r="BJ15" s="186"/>
    </row>
    <row r="16" hidden="1">
      <c r="A16" s="98" t="s">
        <v>60</v>
      </c>
      <c r="B16" s="192"/>
      <c r="C16" s="317"/>
      <c r="D16" s="90"/>
      <c r="E16" s="203"/>
      <c r="F16" s="90"/>
      <c r="G16" s="90"/>
      <c r="H16" s="473"/>
      <c r="I16" s="473"/>
      <c r="J16" s="90"/>
      <c r="K16" s="90"/>
      <c r="L16" s="90"/>
      <c r="M16" s="90"/>
      <c r="N16" s="186"/>
      <c r="O16" s="317"/>
      <c r="P16" s="203"/>
      <c r="Q16" s="203"/>
      <c r="R16" s="90"/>
      <c r="S16" s="90"/>
      <c r="T16" s="473"/>
      <c r="U16" s="473"/>
      <c r="V16" s="90"/>
      <c r="W16" s="90"/>
      <c r="X16" s="203"/>
      <c r="Y16" s="90"/>
      <c r="Z16" s="186"/>
      <c r="AA16" s="203"/>
      <c r="AB16" s="90"/>
      <c r="AC16" s="203"/>
      <c r="AD16" s="218"/>
      <c r="AE16" s="90"/>
      <c r="AF16" s="473"/>
      <c r="AG16" s="473"/>
      <c r="AH16" s="90"/>
      <c r="AI16" s="90"/>
      <c r="AJ16" s="90"/>
      <c r="AK16" s="90"/>
      <c r="AL16" s="186"/>
      <c r="AM16" s="317"/>
      <c r="AN16" s="203"/>
      <c r="AO16" s="203"/>
      <c r="AP16" s="90"/>
      <c r="AQ16" s="90"/>
      <c r="AR16" s="473"/>
      <c r="AS16" s="473"/>
      <c r="AT16" s="90"/>
      <c r="AU16" s="90"/>
      <c r="AV16" s="90"/>
      <c r="AW16" s="90"/>
      <c r="AX16" s="186"/>
      <c r="AY16" s="329"/>
      <c r="AZ16" s="116"/>
      <c r="BA16" s="116"/>
      <c r="BB16" s="116"/>
      <c r="BC16" s="116"/>
      <c r="BD16" s="478"/>
      <c r="BE16" s="478"/>
      <c r="BF16" s="116"/>
      <c r="BG16" s="116"/>
      <c r="BH16" s="116"/>
      <c r="BI16" s="116"/>
      <c r="BJ16" s="186"/>
    </row>
    <row r="17" hidden="1">
      <c r="A17" s="98" t="s">
        <v>61</v>
      </c>
      <c r="B17" s="192"/>
      <c r="C17" s="317"/>
      <c r="D17" s="90"/>
      <c r="E17" s="203"/>
      <c r="F17" s="90"/>
      <c r="G17" s="90"/>
      <c r="H17" s="473"/>
      <c r="I17" s="473"/>
      <c r="J17" s="90"/>
      <c r="K17" s="90"/>
      <c r="L17" s="90"/>
      <c r="M17" s="90"/>
      <c r="N17" s="186"/>
      <c r="O17" s="317"/>
      <c r="P17" s="203"/>
      <c r="Q17" s="203"/>
      <c r="R17" s="90"/>
      <c r="S17" s="90"/>
      <c r="T17" s="473"/>
      <c r="U17" s="473"/>
      <c r="V17" s="90"/>
      <c r="W17" s="90"/>
      <c r="X17" s="203"/>
      <c r="Y17" s="90"/>
      <c r="Z17" s="186"/>
      <c r="AA17" s="203"/>
      <c r="AB17" s="90"/>
      <c r="AC17" s="203"/>
      <c r="AD17" s="218"/>
      <c r="AE17" s="90"/>
      <c r="AF17" s="473"/>
      <c r="AG17" s="473"/>
      <c r="AH17" s="90"/>
      <c r="AI17" s="90"/>
      <c r="AJ17" s="90"/>
      <c r="AK17" s="90"/>
      <c r="AL17" s="186"/>
      <c r="AM17" s="317"/>
      <c r="AN17" s="203"/>
      <c r="AO17" s="203"/>
      <c r="AP17" s="90"/>
      <c r="AQ17" s="90"/>
      <c r="AR17" s="473"/>
      <c r="AS17" s="473"/>
      <c r="AT17" s="90"/>
      <c r="AU17" s="90"/>
      <c r="AV17" s="90"/>
      <c r="AW17" s="90"/>
      <c r="AX17" s="186"/>
      <c r="AY17" s="329"/>
      <c r="AZ17" s="116"/>
      <c r="BA17" s="116"/>
      <c r="BB17" s="116"/>
      <c r="BC17" s="116"/>
      <c r="BD17" s="478"/>
      <c r="BE17" s="478"/>
      <c r="BF17" s="116"/>
      <c r="BG17" s="116"/>
      <c r="BH17" s="116"/>
      <c r="BI17" s="116"/>
      <c r="BJ17" s="186"/>
    </row>
    <row r="18">
      <c r="A18" s="100"/>
      <c r="B18" s="192"/>
      <c r="C18" s="317"/>
      <c r="D18" s="90"/>
      <c r="E18" s="203"/>
      <c r="F18" s="90"/>
      <c r="G18" s="90"/>
      <c r="H18" s="473"/>
      <c r="I18" s="473"/>
      <c r="J18" s="90"/>
      <c r="K18" s="90"/>
      <c r="L18" s="90"/>
      <c r="M18" s="90"/>
      <c r="N18" s="186"/>
      <c r="O18" s="317"/>
      <c r="P18" s="203"/>
      <c r="Q18" s="203"/>
      <c r="R18" s="90"/>
      <c r="S18" s="90"/>
      <c r="T18" s="473"/>
      <c r="U18" s="473"/>
      <c r="V18" s="90"/>
      <c r="W18" s="90"/>
      <c r="X18" s="203"/>
      <c r="Y18" s="90"/>
      <c r="Z18" s="186"/>
      <c r="AA18" s="203"/>
      <c r="AB18" s="90"/>
      <c r="AC18" s="203"/>
      <c r="AD18" s="218"/>
      <c r="AE18" s="90"/>
      <c r="AF18" s="473"/>
      <c r="AG18" s="473"/>
      <c r="AH18" s="90"/>
      <c r="AI18" s="90"/>
      <c r="AJ18" s="90"/>
      <c r="AK18" s="90"/>
      <c r="AL18" s="186"/>
      <c r="AM18" s="317"/>
      <c r="AN18" s="203"/>
      <c r="AO18" s="203"/>
      <c r="AP18" s="90"/>
      <c r="AQ18" s="90"/>
      <c r="AR18" s="473"/>
      <c r="AS18" s="473"/>
      <c r="AT18" s="90"/>
      <c r="AU18" s="90"/>
      <c r="AV18" s="90"/>
      <c r="AW18" s="90"/>
      <c r="AX18" s="186"/>
      <c r="AY18" s="329"/>
      <c r="AZ18" s="116"/>
      <c r="BA18" s="116"/>
      <c r="BB18" s="116"/>
      <c r="BC18" s="116"/>
      <c r="BD18" s="478"/>
      <c r="BE18" s="478"/>
      <c r="BF18" s="116"/>
      <c r="BG18" s="116"/>
      <c r="BH18" s="116"/>
      <c r="BI18" s="116"/>
      <c r="BJ18" s="186"/>
    </row>
    <row r="19">
      <c r="A19" s="98" t="s">
        <v>62</v>
      </c>
      <c r="B19" s="88">
        <v>259.0</v>
      </c>
      <c r="C19" s="490"/>
      <c r="D19" s="90"/>
      <c r="E19" s="483"/>
      <c r="F19" s="57"/>
      <c r="G19" s="483"/>
      <c r="H19" s="491"/>
      <c r="I19" s="482"/>
      <c r="J19" s="483"/>
      <c r="K19" s="90"/>
      <c r="L19" s="483"/>
      <c r="M19" s="90"/>
      <c r="N19" s="186"/>
      <c r="O19" s="479">
        <v>5.0</v>
      </c>
      <c r="P19" s="203"/>
      <c r="Q19" s="480">
        <v>8.0</v>
      </c>
      <c r="R19" s="57"/>
      <c r="S19" s="483"/>
      <c r="T19" s="491"/>
      <c r="U19" s="482"/>
      <c r="V19" s="483"/>
      <c r="W19" s="90"/>
      <c r="X19" s="480"/>
      <c r="Y19" s="90"/>
      <c r="Z19" s="186"/>
      <c r="AA19" s="488">
        <v>1.0</v>
      </c>
      <c r="AB19" s="205">
        <v>7.0</v>
      </c>
      <c r="AC19" s="480">
        <v>1.0</v>
      </c>
      <c r="AD19" s="97"/>
      <c r="AE19" s="483"/>
      <c r="AF19" s="491"/>
      <c r="AG19" s="482"/>
      <c r="AH19" s="483"/>
      <c r="AI19" s="90"/>
      <c r="AJ19" s="483"/>
      <c r="AK19" s="90"/>
      <c r="AL19" s="186"/>
      <c r="AM19" s="479">
        <v>2.0</v>
      </c>
      <c r="AN19" s="211">
        <v>2.0</v>
      </c>
      <c r="AO19" s="480">
        <v>1.0</v>
      </c>
      <c r="AP19" s="481">
        <v>3.0</v>
      </c>
      <c r="AQ19" s="483"/>
      <c r="AR19" s="491"/>
      <c r="AS19" s="482"/>
      <c r="AT19" s="483"/>
      <c r="AU19" s="90"/>
      <c r="AV19" s="483"/>
      <c r="AW19" s="90"/>
      <c r="AX19" s="186"/>
      <c r="AY19" s="212">
        <v>3.0</v>
      </c>
      <c r="AZ19" s="220">
        <v>1.0</v>
      </c>
      <c r="BA19" s="116"/>
      <c r="BB19" s="116"/>
      <c r="BC19" s="116"/>
      <c r="BD19" s="478"/>
      <c r="BE19" s="478"/>
      <c r="BF19" s="116"/>
      <c r="BG19" s="116"/>
      <c r="BH19" s="116"/>
      <c r="BI19" s="116"/>
      <c r="BJ19" s="186"/>
    </row>
    <row r="20">
      <c r="A20" s="98" t="s">
        <v>63</v>
      </c>
      <c r="B20" s="88">
        <v>259.0</v>
      </c>
      <c r="C20" s="323">
        <v>2.0</v>
      </c>
      <c r="D20" s="480">
        <v>1.0</v>
      </c>
      <c r="E20" s="480">
        <v>1.0</v>
      </c>
      <c r="F20" s="90"/>
      <c r="G20" s="483"/>
      <c r="H20" s="482"/>
      <c r="I20" s="482"/>
      <c r="J20" s="483"/>
      <c r="K20" s="483"/>
      <c r="L20" s="483"/>
      <c r="M20" s="483"/>
      <c r="N20" s="257"/>
      <c r="O20" s="323">
        <v>4.0</v>
      </c>
      <c r="P20" s="483"/>
      <c r="Q20" s="480">
        <v>1.0</v>
      </c>
      <c r="R20" s="205">
        <v>5.0</v>
      </c>
      <c r="S20" s="483"/>
      <c r="T20" s="482"/>
      <c r="U20" s="482"/>
      <c r="V20" s="483"/>
      <c r="W20" s="483"/>
      <c r="X20" s="480"/>
      <c r="Y20" s="483"/>
      <c r="Z20" s="257"/>
      <c r="AA20" s="488">
        <v>1.0</v>
      </c>
      <c r="AB20" s="480">
        <v>4.0</v>
      </c>
      <c r="AC20" s="480">
        <v>3.0</v>
      </c>
      <c r="AD20" s="492">
        <v>1.0</v>
      </c>
      <c r="AE20" s="483"/>
      <c r="AF20" s="482"/>
      <c r="AG20" s="482"/>
      <c r="AH20" s="483"/>
      <c r="AI20" s="483"/>
      <c r="AJ20" s="483"/>
      <c r="AK20" s="483"/>
      <c r="AL20" s="257"/>
      <c r="AM20" s="323">
        <v>2.0</v>
      </c>
      <c r="AN20" s="480">
        <v>1.0</v>
      </c>
      <c r="AO20" s="480">
        <v>2.0</v>
      </c>
      <c r="AP20" s="90"/>
      <c r="AQ20" s="483"/>
      <c r="AR20" s="482"/>
      <c r="AS20" s="482"/>
      <c r="AT20" s="483"/>
      <c r="AU20" s="483"/>
      <c r="AV20" s="483"/>
      <c r="AW20" s="483"/>
      <c r="AX20" s="257"/>
      <c r="AY20" s="329"/>
      <c r="AZ20" s="220">
        <v>1.0</v>
      </c>
      <c r="BA20" s="220">
        <v>2.0</v>
      </c>
      <c r="BB20" s="116"/>
      <c r="BC20" s="116"/>
      <c r="BD20" s="478"/>
      <c r="BE20" s="478"/>
      <c r="BF20" s="116"/>
      <c r="BG20" s="116"/>
      <c r="BH20" s="116"/>
      <c r="BI20" s="116"/>
      <c r="BJ20" s="186"/>
    </row>
    <row r="21">
      <c r="A21" s="98" t="s">
        <v>64</v>
      </c>
      <c r="B21" s="88">
        <v>259.0</v>
      </c>
      <c r="C21" s="479">
        <v>5.0</v>
      </c>
      <c r="D21" s="90"/>
      <c r="E21" s="480">
        <v>1.0</v>
      </c>
      <c r="F21" s="481">
        <v>1.0</v>
      </c>
      <c r="G21" s="483"/>
      <c r="H21" s="482"/>
      <c r="I21" s="482"/>
      <c r="J21" s="483"/>
      <c r="K21" s="483"/>
      <c r="L21" s="483"/>
      <c r="M21" s="483"/>
      <c r="N21" s="257"/>
      <c r="O21" s="479">
        <v>3.0</v>
      </c>
      <c r="P21" s="203"/>
      <c r="Q21" s="480">
        <v>6.0</v>
      </c>
      <c r="R21" s="481">
        <v>1.0</v>
      </c>
      <c r="S21" s="483"/>
      <c r="T21" s="482"/>
      <c r="U21" s="482"/>
      <c r="V21" s="483"/>
      <c r="W21" s="483"/>
      <c r="X21" s="480"/>
      <c r="Y21" s="483"/>
      <c r="Z21" s="257"/>
      <c r="AA21" s="483">
        <v>3.0</v>
      </c>
      <c r="AB21" s="90"/>
      <c r="AC21" s="480">
        <v>2.0</v>
      </c>
      <c r="AD21" s="97"/>
      <c r="AE21" s="483"/>
      <c r="AF21" s="482"/>
      <c r="AG21" s="482"/>
      <c r="AH21" s="483"/>
      <c r="AI21" s="483"/>
      <c r="AJ21" s="483"/>
      <c r="AK21" s="483"/>
      <c r="AL21" s="257"/>
      <c r="AM21" s="490"/>
      <c r="AN21" s="211">
        <v>1.0</v>
      </c>
      <c r="AO21" s="483"/>
      <c r="AP21" s="57"/>
      <c r="AQ21" s="483"/>
      <c r="AR21" s="482"/>
      <c r="AS21" s="482"/>
      <c r="AT21" s="483"/>
      <c r="AU21" s="483"/>
      <c r="AV21" s="483"/>
      <c r="AW21" s="483"/>
      <c r="AX21" s="257"/>
      <c r="AY21" s="212">
        <v>2.0</v>
      </c>
      <c r="AZ21" s="116"/>
      <c r="BA21" s="116"/>
      <c r="BB21" s="116"/>
      <c r="BC21" s="116"/>
      <c r="BD21" s="478"/>
      <c r="BE21" s="478"/>
      <c r="BF21" s="116"/>
      <c r="BG21" s="116"/>
      <c r="BH21" s="116"/>
      <c r="BI21" s="116"/>
      <c r="BJ21" s="186"/>
    </row>
    <row r="22">
      <c r="A22" s="98" t="s">
        <v>65</v>
      </c>
      <c r="B22" s="88">
        <v>239.0</v>
      </c>
      <c r="C22" s="479">
        <v>4.0</v>
      </c>
      <c r="D22" s="480">
        <v>5.0</v>
      </c>
      <c r="E22" s="480">
        <v>1.0</v>
      </c>
      <c r="F22" s="325">
        <v>3.0</v>
      </c>
      <c r="G22" s="483"/>
      <c r="H22" s="482"/>
      <c r="I22" s="482"/>
      <c r="J22" s="483"/>
      <c r="K22" s="90"/>
      <c r="L22" s="483"/>
      <c r="M22" s="483"/>
      <c r="N22" s="257"/>
      <c r="O22" s="479">
        <v>1.0</v>
      </c>
      <c r="P22" s="480">
        <v>5.0</v>
      </c>
      <c r="Q22" s="489">
        <v>2.0</v>
      </c>
      <c r="R22" s="95"/>
      <c r="S22" s="483"/>
      <c r="T22" s="482"/>
      <c r="U22" s="482"/>
      <c r="V22" s="483"/>
      <c r="W22" s="90"/>
      <c r="X22" s="480"/>
      <c r="Y22" s="483"/>
      <c r="Z22" s="257"/>
      <c r="AA22" s="488">
        <v>3.0</v>
      </c>
      <c r="AB22" s="480">
        <v>6.0</v>
      </c>
      <c r="AC22" s="480">
        <v>2.0</v>
      </c>
      <c r="AD22" s="96"/>
      <c r="AE22" s="483"/>
      <c r="AF22" s="482"/>
      <c r="AG22" s="482"/>
      <c r="AH22" s="483"/>
      <c r="AI22" s="90"/>
      <c r="AJ22" s="483"/>
      <c r="AK22" s="483"/>
      <c r="AL22" s="257"/>
      <c r="AM22" s="479">
        <v>1.0</v>
      </c>
      <c r="AN22" s="480">
        <v>4.0</v>
      </c>
      <c r="AO22" s="480">
        <v>2.0</v>
      </c>
      <c r="AP22" s="325">
        <v>3.0</v>
      </c>
      <c r="AQ22" s="483"/>
      <c r="AR22" s="482"/>
      <c r="AS22" s="482"/>
      <c r="AT22" s="483"/>
      <c r="AU22" s="90"/>
      <c r="AV22" s="483"/>
      <c r="AW22" s="483"/>
      <c r="AX22" s="257"/>
      <c r="AY22" s="329"/>
      <c r="AZ22" s="220">
        <v>2.0</v>
      </c>
      <c r="BA22" s="116"/>
      <c r="BB22" s="116"/>
      <c r="BC22" s="116"/>
      <c r="BD22" s="478"/>
      <c r="BE22" s="478"/>
      <c r="BF22" s="116"/>
      <c r="BG22" s="116"/>
      <c r="BH22" s="116"/>
      <c r="BI22" s="116"/>
      <c r="BJ22" s="186"/>
    </row>
    <row r="23">
      <c r="A23" s="98" t="s">
        <v>66</v>
      </c>
      <c r="B23" s="88">
        <v>239.0</v>
      </c>
      <c r="C23" s="479">
        <v>2.0</v>
      </c>
      <c r="D23" s="486"/>
      <c r="E23" s="211">
        <v>3.0</v>
      </c>
      <c r="F23" s="325">
        <v>1.0</v>
      </c>
      <c r="G23" s="486"/>
      <c r="H23" s="473"/>
      <c r="I23" s="473"/>
      <c r="J23" s="486"/>
      <c r="K23" s="483"/>
      <c r="L23" s="483"/>
      <c r="M23" s="90"/>
      <c r="N23" s="257"/>
      <c r="O23" s="490"/>
      <c r="P23" s="487">
        <v>3.0</v>
      </c>
      <c r="Q23" s="489">
        <v>1.0</v>
      </c>
      <c r="R23" s="325">
        <v>3.0</v>
      </c>
      <c r="S23" s="486"/>
      <c r="T23" s="473"/>
      <c r="U23" s="473"/>
      <c r="V23" s="486"/>
      <c r="W23" s="483"/>
      <c r="X23" s="480"/>
      <c r="Y23" s="90"/>
      <c r="Z23" s="257"/>
      <c r="AA23" s="488">
        <v>1.0</v>
      </c>
      <c r="AB23" s="487">
        <v>2.0</v>
      </c>
      <c r="AC23" s="480">
        <v>1.0</v>
      </c>
      <c r="AD23" s="96"/>
      <c r="AE23" s="486"/>
      <c r="AF23" s="473"/>
      <c r="AG23" s="473"/>
      <c r="AH23" s="486"/>
      <c r="AI23" s="483"/>
      <c r="AJ23" s="483"/>
      <c r="AK23" s="90"/>
      <c r="AL23" s="257"/>
      <c r="AM23" s="479">
        <v>2.0</v>
      </c>
      <c r="AN23" s="487">
        <v>1.0</v>
      </c>
      <c r="AO23" s="211">
        <v>2.0</v>
      </c>
      <c r="AP23" s="325">
        <v>2.0</v>
      </c>
      <c r="AQ23" s="486"/>
      <c r="AR23" s="473"/>
      <c r="AS23" s="473"/>
      <c r="AT23" s="486"/>
      <c r="AU23" s="483"/>
      <c r="AV23" s="483"/>
      <c r="AW23" s="90"/>
      <c r="AX23" s="257"/>
      <c r="AY23" s="212">
        <v>1.0</v>
      </c>
      <c r="AZ23" s="116"/>
      <c r="BA23" s="116"/>
      <c r="BB23" s="96">
        <v>1.0</v>
      </c>
      <c r="BC23" s="116"/>
      <c r="BD23" s="478"/>
      <c r="BE23" s="478"/>
      <c r="BF23" s="116"/>
      <c r="BG23" s="116"/>
      <c r="BH23" s="116"/>
      <c r="BI23" s="116"/>
      <c r="BJ23" s="186"/>
    </row>
    <row r="24">
      <c r="A24" s="98" t="s">
        <v>67</v>
      </c>
      <c r="B24" s="88">
        <v>239.0</v>
      </c>
      <c r="C24" s="317"/>
      <c r="D24" s="90"/>
      <c r="E24" s="483"/>
      <c r="F24" s="57"/>
      <c r="G24" s="483"/>
      <c r="H24" s="473"/>
      <c r="I24" s="482"/>
      <c r="J24" s="486"/>
      <c r="K24" s="90"/>
      <c r="L24" s="483"/>
      <c r="M24" s="90"/>
      <c r="N24" s="186"/>
      <c r="O24" s="317"/>
      <c r="P24" s="211">
        <v>2.0</v>
      </c>
      <c r="Q24" s="480">
        <v>1.0</v>
      </c>
      <c r="R24" s="481">
        <v>3.0</v>
      </c>
      <c r="S24" s="483"/>
      <c r="T24" s="473"/>
      <c r="U24" s="482"/>
      <c r="V24" s="486"/>
      <c r="W24" s="90"/>
      <c r="X24" s="480"/>
      <c r="Y24" s="90"/>
      <c r="Z24" s="186"/>
      <c r="AA24" s="483">
        <v>3.0</v>
      </c>
      <c r="AB24" s="90"/>
      <c r="AC24" s="483"/>
      <c r="AD24" s="97"/>
      <c r="AE24" s="483"/>
      <c r="AF24" s="473"/>
      <c r="AG24" s="482"/>
      <c r="AH24" s="486"/>
      <c r="AI24" s="90"/>
      <c r="AJ24" s="483"/>
      <c r="AK24" s="90"/>
      <c r="AL24" s="186"/>
      <c r="AM24" s="317"/>
      <c r="AN24" s="211">
        <v>1.0</v>
      </c>
      <c r="AO24" s="483"/>
      <c r="AP24" s="57"/>
      <c r="AQ24" s="483"/>
      <c r="AR24" s="473"/>
      <c r="AS24" s="482"/>
      <c r="AT24" s="486"/>
      <c r="AU24" s="90"/>
      <c r="AV24" s="483"/>
      <c r="AW24" s="90"/>
      <c r="AX24" s="186"/>
      <c r="AY24" s="329"/>
      <c r="AZ24" s="116"/>
      <c r="BA24" s="116"/>
      <c r="BB24" s="116"/>
      <c r="BC24" s="116"/>
      <c r="BD24" s="478"/>
      <c r="BE24" s="478"/>
      <c r="BF24" s="116"/>
      <c r="BG24" s="116"/>
      <c r="BH24" s="116"/>
      <c r="BI24" s="116"/>
      <c r="BJ24" s="186"/>
    </row>
    <row r="25" hidden="1">
      <c r="A25" s="98" t="s">
        <v>68</v>
      </c>
      <c r="B25" s="192"/>
      <c r="C25" s="317"/>
      <c r="D25" s="90"/>
      <c r="E25" s="203"/>
      <c r="F25" s="90"/>
      <c r="G25" s="90"/>
      <c r="H25" s="473"/>
      <c r="I25" s="473"/>
      <c r="J25" s="90"/>
      <c r="K25" s="90"/>
      <c r="L25" s="90"/>
      <c r="M25" s="90"/>
      <c r="N25" s="186"/>
      <c r="O25" s="317"/>
      <c r="P25" s="203"/>
      <c r="Q25" s="203"/>
      <c r="R25" s="90"/>
      <c r="S25" s="90"/>
      <c r="T25" s="473"/>
      <c r="U25" s="473"/>
      <c r="V25" s="90"/>
      <c r="W25" s="90"/>
      <c r="X25" s="203"/>
      <c r="Y25" s="90"/>
      <c r="Z25" s="186"/>
      <c r="AA25" s="203"/>
      <c r="AB25" s="90"/>
      <c r="AC25" s="203"/>
      <c r="AD25" s="218"/>
      <c r="AE25" s="90"/>
      <c r="AF25" s="473"/>
      <c r="AG25" s="473"/>
      <c r="AH25" s="90"/>
      <c r="AI25" s="90"/>
      <c r="AJ25" s="90"/>
      <c r="AK25" s="90"/>
      <c r="AL25" s="186"/>
      <c r="AM25" s="317"/>
      <c r="AN25" s="203"/>
      <c r="AO25" s="203"/>
      <c r="AP25" s="90"/>
      <c r="AQ25" s="90"/>
      <c r="AR25" s="473"/>
      <c r="AS25" s="473"/>
      <c r="AT25" s="90"/>
      <c r="AU25" s="90"/>
      <c r="AV25" s="90"/>
      <c r="AW25" s="90"/>
      <c r="AX25" s="186"/>
      <c r="AY25" s="329"/>
      <c r="AZ25" s="116"/>
      <c r="BA25" s="116"/>
      <c r="BB25" s="116"/>
      <c r="BC25" s="116"/>
      <c r="BD25" s="478"/>
      <c r="BE25" s="478"/>
      <c r="BF25" s="116"/>
      <c r="BG25" s="116"/>
      <c r="BH25" s="116"/>
      <c r="BI25" s="116"/>
      <c r="BJ25" s="186"/>
    </row>
    <row r="26" hidden="1">
      <c r="A26" s="98" t="s">
        <v>69</v>
      </c>
      <c r="B26" s="192"/>
      <c r="C26" s="317"/>
      <c r="D26" s="90"/>
      <c r="E26" s="203"/>
      <c r="F26" s="90"/>
      <c r="G26" s="90"/>
      <c r="H26" s="473"/>
      <c r="I26" s="473"/>
      <c r="J26" s="90"/>
      <c r="K26" s="90"/>
      <c r="L26" s="90"/>
      <c r="M26" s="90"/>
      <c r="N26" s="186"/>
      <c r="O26" s="317"/>
      <c r="P26" s="203"/>
      <c r="Q26" s="203"/>
      <c r="R26" s="90"/>
      <c r="S26" s="90"/>
      <c r="T26" s="473"/>
      <c r="U26" s="473"/>
      <c r="V26" s="90"/>
      <c r="W26" s="90"/>
      <c r="X26" s="203"/>
      <c r="Y26" s="90"/>
      <c r="Z26" s="186"/>
      <c r="AA26" s="203"/>
      <c r="AB26" s="90"/>
      <c r="AC26" s="203"/>
      <c r="AD26" s="218"/>
      <c r="AE26" s="90"/>
      <c r="AF26" s="473"/>
      <c r="AG26" s="473"/>
      <c r="AH26" s="90"/>
      <c r="AI26" s="90"/>
      <c r="AJ26" s="90"/>
      <c r="AK26" s="90"/>
      <c r="AL26" s="186"/>
      <c r="AM26" s="317"/>
      <c r="AN26" s="203"/>
      <c r="AO26" s="203"/>
      <c r="AP26" s="90"/>
      <c r="AQ26" s="90"/>
      <c r="AR26" s="473"/>
      <c r="AS26" s="473"/>
      <c r="AT26" s="90"/>
      <c r="AU26" s="90"/>
      <c r="AV26" s="90"/>
      <c r="AW26" s="90"/>
      <c r="AX26" s="186"/>
      <c r="AY26" s="329"/>
      <c r="AZ26" s="116"/>
      <c r="BA26" s="116"/>
      <c r="BB26" s="116"/>
      <c r="BC26" s="116"/>
      <c r="BD26" s="478"/>
      <c r="BE26" s="478"/>
      <c r="BF26" s="116"/>
      <c r="BG26" s="116"/>
      <c r="BH26" s="116"/>
      <c r="BI26" s="116"/>
      <c r="BJ26" s="186"/>
    </row>
    <row r="27">
      <c r="A27" s="101" t="s">
        <v>70</v>
      </c>
      <c r="B27" s="93">
        <v>819.0</v>
      </c>
      <c r="C27" s="317"/>
      <c r="D27" s="90"/>
      <c r="E27" s="203"/>
      <c r="F27" s="90"/>
      <c r="G27" s="90"/>
      <c r="H27" s="473"/>
      <c r="I27" s="473"/>
      <c r="J27" s="90"/>
      <c r="K27" s="90"/>
      <c r="L27" s="90"/>
      <c r="M27" s="90"/>
      <c r="N27" s="186"/>
      <c r="O27" s="317"/>
      <c r="P27" s="203"/>
      <c r="Q27" s="203"/>
      <c r="R27" s="90"/>
      <c r="S27" s="90"/>
      <c r="T27" s="473"/>
      <c r="U27" s="473"/>
      <c r="V27" s="90"/>
      <c r="W27" s="90"/>
      <c r="X27" s="203"/>
      <c r="Y27" s="90"/>
      <c r="Z27" s="186"/>
      <c r="AA27" s="203"/>
      <c r="AB27" s="90"/>
      <c r="AC27" s="203"/>
      <c r="AD27" s="218"/>
      <c r="AE27" s="90"/>
      <c r="AF27" s="473"/>
      <c r="AG27" s="473"/>
      <c r="AH27" s="90"/>
      <c r="AI27" s="90"/>
      <c r="AJ27" s="90"/>
      <c r="AK27" s="90"/>
      <c r="AL27" s="186"/>
      <c r="AM27" s="317"/>
      <c r="AN27" s="203"/>
      <c r="AO27" s="203"/>
      <c r="AP27" s="90"/>
      <c r="AQ27" s="90"/>
      <c r="AR27" s="473"/>
      <c r="AS27" s="473"/>
      <c r="AT27" s="90"/>
      <c r="AU27" s="90"/>
      <c r="AV27" s="90"/>
      <c r="AW27" s="90"/>
      <c r="AX27" s="186"/>
      <c r="AY27" s="329"/>
      <c r="AZ27" s="116"/>
      <c r="BA27" s="116"/>
      <c r="BB27" s="116"/>
      <c r="BC27" s="116"/>
      <c r="BD27" s="478"/>
      <c r="BE27" s="478"/>
      <c r="BF27" s="116"/>
      <c r="BG27" s="116"/>
      <c r="BH27" s="116"/>
      <c r="BI27" s="116"/>
      <c r="BJ27" s="186"/>
    </row>
    <row r="28">
      <c r="A28" s="102" t="s">
        <v>71</v>
      </c>
      <c r="B28" s="93">
        <v>629.0</v>
      </c>
      <c r="C28" s="479">
        <v>1.0</v>
      </c>
      <c r="D28" s="480">
        <v>1.0</v>
      </c>
      <c r="E28" s="483"/>
      <c r="F28" s="205">
        <v>1.0</v>
      </c>
      <c r="G28" s="483"/>
      <c r="H28" s="482"/>
      <c r="I28" s="473"/>
      <c r="J28" s="90"/>
      <c r="K28" s="90"/>
      <c r="L28" s="90"/>
      <c r="M28" s="90"/>
      <c r="N28" s="257"/>
      <c r="O28" s="490"/>
      <c r="P28" s="203"/>
      <c r="Q28" s="480">
        <v>2.0</v>
      </c>
      <c r="R28" s="205">
        <v>1.0</v>
      </c>
      <c r="S28" s="483"/>
      <c r="T28" s="482"/>
      <c r="U28" s="473"/>
      <c r="V28" s="90"/>
      <c r="W28" s="90"/>
      <c r="X28" s="211"/>
      <c r="Y28" s="90"/>
      <c r="Z28" s="257"/>
      <c r="AA28" s="484">
        <v>1.0</v>
      </c>
      <c r="AB28" s="205">
        <v>1.0</v>
      </c>
      <c r="AC28" s="480">
        <v>1.0</v>
      </c>
      <c r="AD28" s="492">
        <v>2.0</v>
      </c>
      <c r="AE28" s="483"/>
      <c r="AF28" s="482"/>
      <c r="AG28" s="473"/>
      <c r="AH28" s="90"/>
      <c r="AI28" s="90"/>
      <c r="AJ28" s="90"/>
      <c r="AK28" s="90"/>
      <c r="AL28" s="257"/>
      <c r="AM28" s="479">
        <v>1.0</v>
      </c>
      <c r="AN28" s="211">
        <v>1.0</v>
      </c>
      <c r="AO28" s="483"/>
      <c r="AP28" s="90"/>
      <c r="AQ28" s="483"/>
      <c r="AR28" s="482"/>
      <c r="AS28" s="473"/>
      <c r="AT28" s="90"/>
      <c r="AU28" s="90"/>
      <c r="AV28" s="90"/>
      <c r="AW28" s="90"/>
      <c r="AX28" s="257"/>
      <c r="AY28" s="329"/>
      <c r="AZ28" s="116"/>
      <c r="BA28" s="212">
        <v>1.0</v>
      </c>
      <c r="BB28" s="116"/>
      <c r="BC28" s="116"/>
      <c r="BD28" s="478"/>
      <c r="BE28" s="478"/>
      <c r="BF28" s="116"/>
      <c r="BG28" s="116"/>
      <c r="BH28" s="116"/>
      <c r="BI28" s="116"/>
      <c r="BJ28" s="186"/>
    </row>
    <row r="29">
      <c r="A29" s="101" t="s">
        <v>72</v>
      </c>
      <c r="B29" s="93">
        <v>349.0</v>
      </c>
      <c r="C29" s="479">
        <v>3.0</v>
      </c>
      <c r="D29" s="480">
        <v>5.0</v>
      </c>
      <c r="E29" s="483"/>
      <c r="F29" s="57"/>
      <c r="G29" s="483"/>
      <c r="H29" s="482"/>
      <c r="I29" s="482"/>
      <c r="J29" s="483"/>
      <c r="K29" s="483"/>
      <c r="L29" s="483"/>
      <c r="M29" s="483"/>
      <c r="N29" s="257"/>
      <c r="O29" s="490"/>
      <c r="P29" s="483"/>
      <c r="Q29" s="483"/>
      <c r="R29" s="481">
        <v>5.0</v>
      </c>
      <c r="S29" s="483"/>
      <c r="T29" s="482"/>
      <c r="U29" s="482"/>
      <c r="V29" s="483"/>
      <c r="W29" s="483"/>
      <c r="X29" s="480"/>
      <c r="Y29" s="483"/>
      <c r="Z29" s="257"/>
      <c r="AA29" s="488">
        <v>3.0</v>
      </c>
      <c r="AB29" s="483"/>
      <c r="AC29" s="480">
        <v>1.0</v>
      </c>
      <c r="AD29" s="485">
        <v>1.0</v>
      </c>
      <c r="AE29" s="483"/>
      <c r="AF29" s="482"/>
      <c r="AG29" s="482"/>
      <c r="AH29" s="483"/>
      <c r="AI29" s="483"/>
      <c r="AJ29" s="483"/>
      <c r="AK29" s="483"/>
      <c r="AL29" s="257"/>
      <c r="AM29" s="479">
        <v>6.0</v>
      </c>
      <c r="AN29" s="480">
        <v>2.0</v>
      </c>
      <c r="AO29" s="483"/>
      <c r="AP29" s="481"/>
      <c r="AQ29" s="483"/>
      <c r="AR29" s="482"/>
      <c r="AS29" s="482"/>
      <c r="AT29" s="483"/>
      <c r="AU29" s="483"/>
      <c r="AV29" s="483"/>
      <c r="AW29" s="483"/>
      <c r="AX29" s="257"/>
      <c r="AY29" s="212">
        <v>1.0</v>
      </c>
      <c r="AZ29" s="116"/>
      <c r="BA29" s="116"/>
      <c r="BB29" s="97">
        <v>2.0</v>
      </c>
      <c r="BC29" s="116"/>
      <c r="BD29" s="478"/>
      <c r="BE29" s="478"/>
      <c r="BF29" s="116"/>
      <c r="BG29" s="116"/>
      <c r="BH29" s="116"/>
      <c r="BI29" s="116"/>
      <c r="BJ29" s="186"/>
    </row>
    <row r="30">
      <c r="A30" s="101" t="s">
        <v>73</v>
      </c>
      <c r="B30" s="93">
        <v>349.0</v>
      </c>
      <c r="C30" s="317"/>
      <c r="D30" s="90"/>
      <c r="E30" s="203"/>
      <c r="F30" s="90"/>
      <c r="G30" s="90"/>
      <c r="H30" s="473"/>
      <c r="I30" s="473"/>
      <c r="J30" s="90"/>
      <c r="K30" s="90"/>
      <c r="L30" s="90"/>
      <c r="M30" s="90"/>
      <c r="N30" s="186"/>
      <c r="O30" s="317"/>
      <c r="P30" s="203"/>
      <c r="Q30" s="203"/>
      <c r="R30" s="90"/>
      <c r="S30" s="90"/>
      <c r="T30" s="473"/>
      <c r="U30" s="473"/>
      <c r="V30" s="90"/>
      <c r="W30" s="90"/>
      <c r="X30" s="203"/>
      <c r="Y30" s="90"/>
      <c r="Z30" s="186"/>
      <c r="AA30" s="203"/>
      <c r="AB30" s="90"/>
      <c r="AC30" s="203"/>
      <c r="AD30" s="218"/>
      <c r="AE30" s="90"/>
      <c r="AF30" s="473"/>
      <c r="AG30" s="473"/>
      <c r="AH30" s="90"/>
      <c r="AI30" s="90"/>
      <c r="AJ30" s="90"/>
      <c r="AK30" s="90"/>
      <c r="AL30" s="186"/>
      <c r="AM30" s="317"/>
      <c r="AN30" s="203"/>
      <c r="AO30" s="203"/>
      <c r="AP30" s="90"/>
      <c r="AQ30" s="90"/>
      <c r="AR30" s="473"/>
      <c r="AS30" s="473"/>
      <c r="AT30" s="90"/>
      <c r="AU30" s="90"/>
      <c r="AV30" s="90"/>
      <c r="AW30" s="90"/>
      <c r="AX30" s="186"/>
      <c r="AY30" s="329"/>
      <c r="AZ30" s="116"/>
      <c r="BA30" s="116"/>
      <c r="BB30" s="116"/>
      <c r="BC30" s="116"/>
      <c r="BD30" s="478"/>
      <c r="BE30" s="478"/>
      <c r="BF30" s="116"/>
      <c r="BG30" s="116"/>
      <c r="BH30" s="116"/>
      <c r="BI30" s="116"/>
      <c r="BJ30" s="186"/>
    </row>
    <row r="31">
      <c r="A31" s="101" t="s">
        <v>74</v>
      </c>
      <c r="B31" s="93">
        <v>239.0</v>
      </c>
      <c r="C31" s="323">
        <v>1.0</v>
      </c>
      <c r="D31" s="90"/>
      <c r="E31" s="211">
        <v>2.0</v>
      </c>
      <c r="F31" s="325">
        <v>2.0</v>
      </c>
      <c r="G31" s="90"/>
      <c r="H31" s="491"/>
      <c r="I31" s="482"/>
      <c r="J31" s="90"/>
      <c r="K31" s="483"/>
      <c r="L31" s="90"/>
      <c r="M31" s="483"/>
      <c r="N31" s="257"/>
      <c r="O31" s="317"/>
      <c r="P31" s="211">
        <v>1.0</v>
      </c>
      <c r="Q31" s="489">
        <v>1.0</v>
      </c>
      <c r="R31" s="325">
        <v>4.0</v>
      </c>
      <c r="S31" s="90"/>
      <c r="T31" s="491"/>
      <c r="U31" s="482"/>
      <c r="V31" s="90"/>
      <c r="W31" s="483"/>
      <c r="X31" s="211"/>
      <c r="Y31" s="483"/>
      <c r="Z31" s="257"/>
      <c r="AA31" s="203">
        <v>1.0</v>
      </c>
      <c r="AB31" s="205">
        <v>2.0</v>
      </c>
      <c r="AC31" s="480">
        <v>1.0</v>
      </c>
      <c r="AD31" s="448">
        <v>3.0</v>
      </c>
      <c r="AE31" s="90"/>
      <c r="AF31" s="491"/>
      <c r="AG31" s="482"/>
      <c r="AH31" s="90"/>
      <c r="AI31" s="483"/>
      <c r="AJ31" s="90"/>
      <c r="AK31" s="483"/>
      <c r="AL31" s="257"/>
      <c r="AM31" s="317"/>
      <c r="AN31" s="211">
        <v>1.0</v>
      </c>
      <c r="AO31" s="211">
        <v>2.0</v>
      </c>
      <c r="AP31" s="325">
        <v>1.0</v>
      </c>
      <c r="AQ31" s="90"/>
      <c r="AR31" s="491"/>
      <c r="AS31" s="482"/>
      <c r="AT31" s="90"/>
      <c r="AU31" s="483"/>
      <c r="AV31" s="90"/>
      <c r="AW31" s="483"/>
      <c r="AX31" s="257"/>
      <c r="AY31" s="212">
        <v>1.0</v>
      </c>
      <c r="AZ31" s="116"/>
      <c r="BA31" s="212">
        <v>1.0</v>
      </c>
      <c r="BB31" s="116"/>
      <c r="BC31" s="116"/>
      <c r="BD31" s="478"/>
      <c r="BE31" s="478"/>
      <c r="BF31" s="116"/>
      <c r="BG31" s="116"/>
      <c r="BH31" s="116"/>
      <c r="BI31" s="116"/>
      <c r="BJ31" s="186"/>
    </row>
    <row r="32">
      <c r="A32" s="101" t="s">
        <v>75</v>
      </c>
      <c r="B32" s="93">
        <v>239.0</v>
      </c>
      <c r="C32" s="317"/>
      <c r="D32" s="90"/>
      <c r="E32" s="203"/>
      <c r="F32" s="90"/>
      <c r="G32" s="90"/>
      <c r="H32" s="473"/>
      <c r="I32" s="473"/>
      <c r="J32" s="90"/>
      <c r="K32" s="90"/>
      <c r="L32" s="90"/>
      <c r="M32" s="90"/>
      <c r="N32" s="186"/>
      <c r="O32" s="317"/>
      <c r="P32" s="203"/>
      <c r="Q32" s="203"/>
      <c r="R32" s="90"/>
      <c r="S32" s="90"/>
      <c r="T32" s="473"/>
      <c r="U32" s="473"/>
      <c r="V32" s="90"/>
      <c r="W32" s="90"/>
      <c r="X32" s="203"/>
      <c r="Y32" s="90"/>
      <c r="Z32" s="186"/>
      <c r="AA32" s="203"/>
      <c r="AB32" s="90"/>
      <c r="AC32" s="203"/>
      <c r="AD32" s="218"/>
      <c r="AE32" s="90"/>
      <c r="AF32" s="473"/>
      <c r="AG32" s="473"/>
      <c r="AH32" s="90"/>
      <c r="AI32" s="90"/>
      <c r="AJ32" s="90"/>
      <c r="AK32" s="90"/>
      <c r="AL32" s="186"/>
      <c r="AM32" s="317"/>
      <c r="AN32" s="203"/>
      <c r="AO32" s="203"/>
      <c r="AP32" s="90"/>
      <c r="AQ32" s="90"/>
      <c r="AR32" s="473"/>
      <c r="AS32" s="473"/>
      <c r="AT32" s="90"/>
      <c r="AU32" s="90"/>
      <c r="AV32" s="90"/>
      <c r="AW32" s="90"/>
      <c r="AX32" s="186"/>
      <c r="AY32" s="329"/>
      <c r="AZ32" s="116"/>
      <c r="BA32" s="116"/>
      <c r="BB32" s="116"/>
      <c r="BC32" s="116"/>
      <c r="BD32" s="478"/>
      <c r="BE32" s="478"/>
      <c r="BF32" s="116"/>
      <c r="BG32" s="116"/>
      <c r="BH32" s="116"/>
      <c r="BI32" s="116"/>
      <c r="BJ32" s="186"/>
    </row>
    <row r="33">
      <c r="A33" s="101" t="s">
        <v>76</v>
      </c>
      <c r="B33" s="93">
        <v>459.0</v>
      </c>
      <c r="C33" s="479">
        <v>1.0</v>
      </c>
      <c r="D33" s="205">
        <v>4.0</v>
      </c>
      <c r="E33" s="480">
        <v>4.0</v>
      </c>
      <c r="F33" s="95"/>
      <c r="G33" s="486"/>
      <c r="H33" s="482"/>
      <c r="I33" s="491"/>
      <c r="J33" s="483"/>
      <c r="K33" s="90"/>
      <c r="L33" s="483"/>
      <c r="M33" s="483"/>
      <c r="N33" s="257"/>
      <c r="O33" s="479">
        <v>1.0</v>
      </c>
      <c r="P33" s="203"/>
      <c r="Q33" s="483"/>
      <c r="R33" s="325">
        <v>1.0</v>
      </c>
      <c r="S33" s="486"/>
      <c r="T33" s="482"/>
      <c r="U33" s="491"/>
      <c r="V33" s="483"/>
      <c r="W33" s="90"/>
      <c r="X33" s="480"/>
      <c r="Y33" s="483"/>
      <c r="Z33" s="257"/>
      <c r="AA33" s="488">
        <v>1.0</v>
      </c>
      <c r="AB33" s="205">
        <v>2.0</v>
      </c>
      <c r="AC33" s="480">
        <v>1.0</v>
      </c>
      <c r="AD33" s="448">
        <v>1.0</v>
      </c>
      <c r="AE33" s="486"/>
      <c r="AF33" s="482"/>
      <c r="AG33" s="491"/>
      <c r="AH33" s="483"/>
      <c r="AI33" s="90"/>
      <c r="AJ33" s="483"/>
      <c r="AK33" s="483"/>
      <c r="AL33" s="257"/>
      <c r="AM33" s="479">
        <v>1.0</v>
      </c>
      <c r="AN33" s="203"/>
      <c r="AO33" s="480">
        <v>1.0</v>
      </c>
      <c r="AP33" s="325">
        <v>1.0</v>
      </c>
      <c r="AQ33" s="486"/>
      <c r="AR33" s="482"/>
      <c r="AS33" s="491"/>
      <c r="AT33" s="483"/>
      <c r="AU33" s="90"/>
      <c r="AV33" s="483"/>
      <c r="AW33" s="483"/>
      <c r="AX33" s="257"/>
      <c r="AY33" s="329"/>
      <c r="AZ33" s="116"/>
      <c r="BA33" s="116"/>
      <c r="BB33" s="116"/>
      <c r="BC33" s="116"/>
      <c r="BD33" s="478"/>
      <c r="BE33" s="478"/>
      <c r="BF33" s="116"/>
      <c r="BG33" s="116"/>
      <c r="BH33" s="116"/>
      <c r="BI33" s="116"/>
      <c r="BJ33" s="186"/>
    </row>
    <row r="34">
      <c r="A34" s="101" t="s">
        <v>77</v>
      </c>
      <c r="B34" s="93">
        <v>899.0</v>
      </c>
      <c r="C34" s="317"/>
      <c r="D34" s="90"/>
      <c r="E34" s="203"/>
      <c r="F34" s="90"/>
      <c r="G34" s="90"/>
      <c r="H34" s="473"/>
      <c r="I34" s="473"/>
      <c r="J34" s="90"/>
      <c r="K34" s="90"/>
      <c r="L34" s="90"/>
      <c r="M34" s="90"/>
      <c r="N34" s="186"/>
      <c r="O34" s="317"/>
      <c r="P34" s="203"/>
      <c r="Q34" s="203"/>
      <c r="R34" s="90"/>
      <c r="S34" s="90"/>
      <c r="T34" s="473"/>
      <c r="U34" s="473"/>
      <c r="V34" s="90"/>
      <c r="W34" s="90"/>
      <c r="X34" s="203"/>
      <c r="Y34" s="90"/>
      <c r="Z34" s="186"/>
      <c r="AA34" s="203"/>
      <c r="AB34" s="90"/>
      <c r="AC34" s="203"/>
      <c r="AD34" s="218"/>
      <c r="AE34" s="90"/>
      <c r="AF34" s="473"/>
      <c r="AG34" s="473"/>
      <c r="AH34" s="90"/>
      <c r="AI34" s="90"/>
      <c r="AJ34" s="90"/>
      <c r="AK34" s="90"/>
      <c r="AL34" s="186"/>
      <c r="AM34" s="317"/>
      <c r="AN34" s="203"/>
      <c r="AO34" s="203"/>
      <c r="AP34" s="90"/>
      <c r="AQ34" s="90"/>
      <c r="AR34" s="473"/>
      <c r="AS34" s="473"/>
      <c r="AT34" s="90"/>
      <c r="AU34" s="90"/>
      <c r="AV34" s="90"/>
      <c r="AW34" s="90"/>
      <c r="AX34" s="186"/>
      <c r="AY34" s="329"/>
      <c r="AZ34" s="116"/>
      <c r="BA34" s="116"/>
      <c r="BB34" s="116"/>
      <c r="BC34" s="116"/>
      <c r="BD34" s="478"/>
      <c r="BE34" s="478"/>
      <c r="BF34" s="116"/>
      <c r="BG34" s="116"/>
      <c r="BH34" s="116"/>
      <c r="BI34" s="116"/>
      <c r="BJ34" s="186"/>
    </row>
    <row r="35">
      <c r="A35" s="101" t="s">
        <v>78</v>
      </c>
      <c r="B35" s="93">
        <v>569.0</v>
      </c>
      <c r="C35" s="406">
        <v>1.0</v>
      </c>
      <c r="D35" s="205">
        <v>2.0</v>
      </c>
      <c r="E35" s="211">
        <v>1.0</v>
      </c>
      <c r="F35" s="95"/>
      <c r="G35" s="486"/>
      <c r="H35" s="482"/>
      <c r="I35" s="482"/>
      <c r="J35" s="90"/>
      <c r="K35" s="90"/>
      <c r="L35" s="483"/>
      <c r="M35" s="483"/>
      <c r="N35" s="257"/>
      <c r="O35" s="406">
        <v>1.0</v>
      </c>
      <c r="P35" s="203"/>
      <c r="Q35" s="211">
        <v>1.0</v>
      </c>
      <c r="R35" s="95"/>
      <c r="S35" s="486"/>
      <c r="T35" s="482"/>
      <c r="U35" s="482"/>
      <c r="V35" s="90"/>
      <c r="W35" s="90"/>
      <c r="X35" s="480"/>
      <c r="Y35" s="483"/>
      <c r="Z35" s="257"/>
      <c r="AA35" s="488">
        <v>4.0</v>
      </c>
      <c r="AB35" s="90"/>
      <c r="AC35" s="203"/>
      <c r="AD35" s="96"/>
      <c r="AE35" s="486"/>
      <c r="AF35" s="482"/>
      <c r="AG35" s="482"/>
      <c r="AH35" s="90"/>
      <c r="AI35" s="90"/>
      <c r="AJ35" s="483"/>
      <c r="AK35" s="483"/>
      <c r="AL35" s="257"/>
      <c r="AM35" s="406">
        <v>4.0</v>
      </c>
      <c r="AN35" s="203"/>
      <c r="AO35" s="203"/>
      <c r="AP35" s="95"/>
      <c r="AQ35" s="486"/>
      <c r="AR35" s="482"/>
      <c r="AS35" s="482"/>
      <c r="AT35" s="90"/>
      <c r="AU35" s="90"/>
      <c r="AV35" s="483"/>
      <c r="AW35" s="483"/>
      <c r="AX35" s="257"/>
      <c r="AY35" s="329"/>
      <c r="AZ35" s="116"/>
      <c r="BA35" s="116"/>
      <c r="BB35" s="116"/>
      <c r="BC35" s="116"/>
      <c r="BD35" s="478"/>
      <c r="BE35" s="478"/>
      <c r="BF35" s="116"/>
      <c r="BG35" s="116"/>
      <c r="BH35" s="116"/>
      <c r="BI35" s="116"/>
      <c r="BJ35" s="186"/>
    </row>
    <row r="36">
      <c r="A36" s="101" t="s">
        <v>79</v>
      </c>
      <c r="B36" s="93">
        <v>569.0</v>
      </c>
      <c r="C36" s="323">
        <v>2.0</v>
      </c>
      <c r="D36" s="483"/>
      <c r="E36" s="211">
        <v>1.0</v>
      </c>
      <c r="F36" s="90"/>
      <c r="G36" s="90"/>
      <c r="H36" s="482"/>
      <c r="I36" s="482"/>
      <c r="J36" s="90"/>
      <c r="K36" s="483"/>
      <c r="L36" s="486"/>
      <c r="M36" s="90"/>
      <c r="N36" s="257"/>
      <c r="O36" s="323">
        <v>3.0</v>
      </c>
      <c r="P36" s="483"/>
      <c r="Q36" s="211">
        <v>1.0</v>
      </c>
      <c r="R36" s="90"/>
      <c r="S36" s="90"/>
      <c r="T36" s="482"/>
      <c r="U36" s="482"/>
      <c r="V36" s="90"/>
      <c r="W36" s="483"/>
      <c r="X36" s="487"/>
      <c r="Y36" s="90"/>
      <c r="Z36" s="257"/>
      <c r="AA36" s="486">
        <v>1.0</v>
      </c>
      <c r="AB36" s="480">
        <v>2.0</v>
      </c>
      <c r="AC36" s="211">
        <v>3.0</v>
      </c>
      <c r="AD36" s="492">
        <v>1.0</v>
      </c>
      <c r="AE36" s="90"/>
      <c r="AF36" s="482"/>
      <c r="AG36" s="482"/>
      <c r="AH36" s="90"/>
      <c r="AI36" s="483"/>
      <c r="AJ36" s="486"/>
      <c r="AK36" s="90"/>
      <c r="AL36" s="257"/>
      <c r="AM36" s="317"/>
      <c r="AN36" s="483"/>
      <c r="AO36" s="203"/>
      <c r="AP36" s="90"/>
      <c r="AQ36" s="90"/>
      <c r="AR36" s="482"/>
      <c r="AS36" s="482"/>
      <c r="AT36" s="90"/>
      <c r="AU36" s="483"/>
      <c r="AV36" s="486"/>
      <c r="AW36" s="90"/>
      <c r="AX36" s="257"/>
      <c r="AY36" s="329"/>
      <c r="AZ36" s="116"/>
      <c r="BA36" s="116"/>
      <c r="BB36" s="116"/>
      <c r="BC36" s="116"/>
      <c r="BD36" s="478"/>
      <c r="BE36" s="478"/>
      <c r="BF36" s="116"/>
      <c r="BG36" s="116"/>
      <c r="BH36" s="116"/>
      <c r="BI36" s="116"/>
      <c r="BJ36" s="186"/>
    </row>
    <row r="37">
      <c r="A37" s="101" t="s">
        <v>80</v>
      </c>
      <c r="B37" s="93">
        <v>569.0</v>
      </c>
      <c r="C37" s="490"/>
      <c r="D37" s="90"/>
      <c r="E37" s="486"/>
      <c r="F37" s="90"/>
      <c r="G37" s="483"/>
      <c r="H37" s="473"/>
      <c r="I37" s="482"/>
      <c r="J37" s="483"/>
      <c r="K37" s="483"/>
      <c r="L37" s="486"/>
      <c r="M37" s="90"/>
      <c r="N37" s="186"/>
      <c r="O37" s="479">
        <v>1.0</v>
      </c>
      <c r="P37" s="211">
        <v>3.0</v>
      </c>
      <c r="Q37" s="486"/>
      <c r="R37" s="90"/>
      <c r="S37" s="483"/>
      <c r="T37" s="473"/>
      <c r="U37" s="482"/>
      <c r="V37" s="483"/>
      <c r="W37" s="483"/>
      <c r="X37" s="487"/>
      <c r="Y37" s="90"/>
      <c r="Z37" s="186"/>
      <c r="AA37" s="486">
        <v>1.0</v>
      </c>
      <c r="AB37" s="90"/>
      <c r="AC37" s="486"/>
      <c r="AD37" s="218"/>
      <c r="AE37" s="483"/>
      <c r="AF37" s="473"/>
      <c r="AG37" s="482"/>
      <c r="AH37" s="483"/>
      <c r="AI37" s="483"/>
      <c r="AJ37" s="486"/>
      <c r="AK37" s="90"/>
      <c r="AL37" s="186"/>
      <c r="AM37" s="490"/>
      <c r="AN37" s="211">
        <v>1.0</v>
      </c>
      <c r="AO37" s="486"/>
      <c r="AP37" s="90"/>
      <c r="AQ37" s="483"/>
      <c r="AR37" s="473"/>
      <c r="AS37" s="482"/>
      <c r="AT37" s="483"/>
      <c r="AU37" s="483"/>
      <c r="AV37" s="486"/>
      <c r="AW37" s="90"/>
      <c r="AX37" s="186"/>
      <c r="AY37" s="329"/>
      <c r="AZ37" s="116"/>
      <c r="BA37" s="116"/>
      <c r="BB37" s="116"/>
      <c r="BC37" s="116"/>
      <c r="BD37" s="478"/>
      <c r="BE37" s="478"/>
      <c r="BF37" s="116"/>
      <c r="BG37" s="116"/>
      <c r="BH37" s="116"/>
      <c r="BI37" s="116"/>
      <c r="BJ37" s="186"/>
    </row>
    <row r="38">
      <c r="A38" s="102" t="s">
        <v>81</v>
      </c>
      <c r="B38" s="93">
        <v>819.0</v>
      </c>
      <c r="C38" s="317"/>
      <c r="D38" s="90"/>
      <c r="E38" s="203"/>
      <c r="F38" s="90"/>
      <c r="G38" s="90"/>
      <c r="H38" s="473"/>
      <c r="I38" s="473"/>
      <c r="J38" s="90"/>
      <c r="K38" s="90"/>
      <c r="L38" s="90"/>
      <c r="M38" s="90"/>
      <c r="N38" s="186"/>
      <c r="O38" s="317"/>
      <c r="P38" s="203"/>
      <c r="Q38" s="203"/>
      <c r="R38" s="90"/>
      <c r="S38" s="90"/>
      <c r="T38" s="473"/>
      <c r="U38" s="473"/>
      <c r="V38" s="90"/>
      <c r="W38" s="90"/>
      <c r="X38" s="203"/>
      <c r="Y38" s="90"/>
      <c r="Z38" s="186"/>
      <c r="AA38" s="203"/>
      <c r="AB38" s="90"/>
      <c r="AC38" s="203"/>
      <c r="AD38" s="218"/>
      <c r="AE38" s="90"/>
      <c r="AF38" s="473"/>
      <c r="AG38" s="473"/>
      <c r="AH38" s="90"/>
      <c r="AI38" s="90"/>
      <c r="AJ38" s="90"/>
      <c r="AK38" s="90"/>
      <c r="AL38" s="186"/>
      <c r="AM38" s="317"/>
      <c r="AN38" s="203"/>
      <c r="AO38" s="203"/>
      <c r="AP38" s="90"/>
      <c r="AQ38" s="90"/>
      <c r="AR38" s="473"/>
      <c r="AS38" s="473"/>
      <c r="AT38" s="90"/>
      <c r="AU38" s="90"/>
      <c r="AV38" s="90"/>
      <c r="AW38" s="90"/>
      <c r="AX38" s="186"/>
      <c r="AY38" s="329"/>
      <c r="AZ38" s="116"/>
      <c r="BA38" s="116"/>
      <c r="BB38" s="116"/>
      <c r="BC38" s="116"/>
      <c r="BD38" s="478"/>
      <c r="BE38" s="478"/>
      <c r="BF38" s="116"/>
      <c r="BG38" s="116"/>
      <c r="BH38" s="116"/>
      <c r="BI38" s="116"/>
      <c r="BJ38" s="186"/>
    </row>
    <row r="39">
      <c r="A39" s="102" t="s">
        <v>82</v>
      </c>
      <c r="B39" s="93">
        <v>819.0</v>
      </c>
      <c r="C39" s="317"/>
      <c r="D39" s="90"/>
      <c r="E39" s="203"/>
      <c r="F39" s="90"/>
      <c r="G39" s="90"/>
      <c r="H39" s="473"/>
      <c r="I39" s="473"/>
      <c r="J39" s="90"/>
      <c r="K39" s="90"/>
      <c r="L39" s="90"/>
      <c r="M39" s="90"/>
      <c r="N39" s="186"/>
      <c r="O39" s="317"/>
      <c r="P39" s="203"/>
      <c r="Q39" s="203"/>
      <c r="R39" s="90"/>
      <c r="S39" s="90"/>
      <c r="T39" s="473"/>
      <c r="U39" s="473"/>
      <c r="V39" s="90"/>
      <c r="W39" s="90"/>
      <c r="X39" s="203"/>
      <c r="Y39" s="90"/>
      <c r="Z39" s="186"/>
      <c r="AA39" s="203"/>
      <c r="AB39" s="90"/>
      <c r="AC39" s="203"/>
      <c r="AD39" s="218"/>
      <c r="AE39" s="90"/>
      <c r="AF39" s="473"/>
      <c r="AG39" s="473"/>
      <c r="AH39" s="90"/>
      <c r="AI39" s="90"/>
      <c r="AJ39" s="90"/>
      <c r="AK39" s="90"/>
      <c r="AL39" s="186"/>
      <c r="AM39" s="317"/>
      <c r="AN39" s="203"/>
      <c r="AO39" s="203"/>
      <c r="AP39" s="90"/>
      <c r="AQ39" s="90"/>
      <c r="AR39" s="473"/>
      <c r="AS39" s="473"/>
      <c r="AT39" s="90"/>
      <c r="AU39" s="90"/>
      <c r="AV39" s="90"/>
      <c r="AW39" s="90"/>
      <c r="AX39" s="186"/>
      <c r="AY39" s="329"/>
      <c r="AZ39" s="116"/>
      <c r="BA39" s="116"/>
      <c r="BB39" s="116"/>
      <c r="BC39" s="116"/>
      <c r="BD39" s="478"/>
      <c r="BE39" s="478"/>
      <c r="BF39" s="116"/>
      <c r="BG39" s="116"/>
      <c r="BH39" s="116"/>
      <c r="BI39" s="116"/>
      <c r="BJ39" s="186"/>
    </row>
    <row r="40">
      <c r="A40" s="101" t="s">
        <v>83</v>
      </c>
      <c r="B40" s="93">
        <v>459.0</v>
      </c>
      <c r="C40" s="479">
        <v>1.0</v>
      </c>
      <c r="D40" s="486"/>
      <c r="E40" s="211">
        <v>1.0</v>
      </c>
      <c r="F40" s="57"/>
      <c r="G40" s="486"/>
      <c r="H40" s="473"/>
      <c r="I40" s="473"/>
      <c r="J40" s="90"/>
      <c r="K40" s="90"/>
      <c r="L40" s="486"/>
      <c r="M40" s="90"/>
      <c r="N40" s="186"/>
      <c r="O40" s="479">
        <v>3.0</v>
      </c>
      <c r="P40" s="487">
        <v>1.0</v>
      </c>
      <c r="Q40" s="203"/>
      <c r="R40" s="481">
        <v>1.0</v>
      </c>
      <c r="S40" s="486"/>
      <c r="T40" s="473"/>
      <c r="U40" s="473"/>
      <c r="V40" s="90"/>
      <c r="W40" s="90"/>
      <c r="X40" s="487"/>
      <c r="Y40" s="90"/>
      <c r="Z40" s="186"/>
      <c r="AA40" s="486">
        <v>2.0</v>
      </c>
      <c r="AB40" s="486"/>
      <c r="AC40" s="211">
        <v>3.0</v>
      </c>
      <c r="AD40" s="97"/>
      <c r="AE40" s="486"/>
      <c r="AF40" s="473"/>
      <c r="AG40" s="473"/>
      <c r="AH40" s="90"/>
      <c r="AI40" s="90"/>
      <c r="AJ40" s="486"/>
      <c r="AK40" s="90"/>
      <c r="AL40" s="186"/>
      <c r="AM40" s="490"/>
      <c r="AN40" s="486"/>
      <c r="AO40" s="211">
        <v>1.0</v>
      </c>
      <c r="AP40" s="481">
        <v>1.0</v>
      </c>
      <c r="AQ40" s="486"/>
      <c r="AR40" s="473"/>
      <c r="AS40" s="473"/>
      <c r="AT40" s="90"/>
      <c r="AU40" s="90"/>
      <c r="AV40" s="486"/>
      <c r="AW40" s="90"/>
      <c r="AX40" s="186"/>
      <c r="AY40" s="329"/>
      <c r="AZ40" s="116"/>
      <c r="BA40" s="116"/>
      <c r="BB40" s="116"/>
      <c r="BC40" s="116"/>
      <c r="BD40" s="478"/>
      <c r="BE40" s="478"/>
      <c r="BF40" s="116"/>
      <c r="BG40" s="116"/>
      <c r="BH40" s="116"/>
      <c r="BI40" s="116"/>
      <c r="BJ40" s="186"/>
    </row>
    <row r="41">
      <c r="A41" s="101" t="s">
        <v>84</v>
      </c>
      <c r="B41" s="93">
        <v>459.0</v>
      </c>
      <c r="C41" s="406">
        <v>1.0</v>
      </c>
      <c r="D41" s="486"/>
      <c r="E41" s="486"/>
      <c r="F41" s="90"/>
      <c r="G41" s="486"/>
      <c r="H41" s="473"/>
      <c r="I41" s="473"/>
      <c r="J41" s="483"/>
      <c r="K41" s="90"/>
      <c r="L41" s="90"/>
      <c r="M41" s="90"/>
      <c r="N41" s="257"/>
      <c r="O41" s="399"/>
      <c r="P41" s="486"/>
      <c r="Q41" s="486"/>
      <c r="R41" s="205">
        <v>2.0</v>
      </c>
      <c r="S41" s="486"/>
      <c r="T41" s="473"/>
      <c r="U41" s="473"/>
      <c r="V41" s="483"/>
      <c r="W41" s="90"/>
      <c r="X41" s="203"/>
      <c r="Y41" s="90"/>
      <c r="Z41" s="257"/>
      <c r="AA41" s="484"/>
      <c r="AB41" s="486"/>
      <c r="AC41" s="480">
        <v>1.0</v>
      </c>
      <c r="AD41" s="218"/>
      <c r="AE41" s="486"/>
      <c r="AF41" s="473"/>
      <c r="AG41" s="473"/>
      <c r="AH41" s="483"/>
      <c r="AI41" s="90"/>
      <c r="AJ41" s="90"/>
      <c r="AK41" s="90"/>
      <c r="AL41" s="257"/>
      <c r="AM41" s="406">
        <v>2.0</v>
      </c>
      <c r="AN41" s="486"/>
      <c r="AO41" s="486"/>
      <c r="AP41" s="90"/>
      <c r="AQ41" s="486"/>
      <c r="AR41" s="473"/>
      <c r="AS41" s="473"/>
      <c r="AT41" s="483"/>
      <c r="AU41" s="90"/>
      <c r="AV41" s="90"/>
      <c r="AW41" s="90"/>
      <c r="AX41" s="257"/>
      <c r="AY41" s="329"/>
      <c r="AZ41" s="116"/>
      <c r="BA41" s="116"/>
      <c r="BB41" s="116"/>
      <c r="BC41" s="116"/>
      <c r="BD41" s="478"/>
      <c r="BE41" s="478"/>
      <c r="BF41" s="116"/>
      <c r="BG41" s="116"/>
      <c r="BH41" s="116"/>
      <c r="BI41" s="116"/>
      <c r="BJ41" s="186"/>
    </row>
    <row r="42">
      <c r="A42" s="101" t="s">
        <v>85</v>
      </c>
      <c r="B42" s="93">
        <v>60.0</v>
      </c>
      <c r="C42" s="317"/>
      <c r="D42" s="90"/>
      <c r="E42" s="203"/>
      <c r="F42" s="90"/>
      <c r="G42" s="90"/>
      <c r="H42" s="473"/>
      <c r="I42" s="473"/>
      <c r="J42" s="90"/>
      <c r="K42" s="90"/>
      <c r="L42" s="90"/>
      <c r="M42" s="90"/>
      <c r="N42" s="186"/>
      <c r="O42" s="317"/>
      <c r="P42" s="203"/>
      <c r="Q42" s="203"/>
      <c r="R42" s="90"/>
      <c r="S42" s="90"/>
      <c r="T42" s="473"/>
      <c r="U42" s="473"/>
      <c r="V42" s="90"/>
      <c r="W42" s="90"/>
      <c r="X42" s="203"/>
      <c r="Y42" s="90"/>
      <c r="Z42" s="186"/>
      <c r="AA42" s="203"/>
      <c r="AB42" s="90"/>
      <c r="AC42" s="203"/>
      <c r="AD42" s="218"/>
      <c r="AE42" s="90"/>
      <c r="AF42" s="473"/>
      <c r="AG42" s="473"/>
      <c r="AH42" s="90"/>
      <c r="AI42" s="90"/>
      <c r="AJ42" s="90"/>
      <c r="AK42" s="90"/>
      <c r="AL42" s="186"/>
      <c r="AM42" s="317"/>
      <c r="AN42" s="203"/>
      <c r="AO42" s="203"/>
      <c r="AP42" s="90"/>
      <c r="AQ42" s="90"/>
      <c r="AR42" s="473"/>
      <c r="AS42" s="473"/>
      <c r="AT42" s="90"/>
      <c r="AU42" s="90"/>
      <c r="AV42" s="90"/>
      <c r="AW42" s="90"/>
      <c r="AX42" s="186"/>
      <c r="AY42" s="329"/>
      <c r="AZ42" s="116"/>
      <c r="BA42" s="116"/>
      <c r="BB42" s="116"/>
      <c r="BC42" s="116"/>
      <c r="BD42" s="478"/>
      <c r="BE42" s="478"/>
      <c r="BF42" s="116"/>
      <c r="BG42" s="116"/>
      <c r="BH42" s="116"/>
      <c r="BI42" s="116"/>
      <c r="BJ42" s="186"/>
    </row>
    <row r="43">
      <c r="A43" s="101" t="s">
        <v>86</v>
      </c>
      <c r="B43" s="93">
        <v>629.0</v>
      </c>
      <c r="C43" s="479">
        <v>5.0</v>
      </c>
      <c r="D43" s="480">
        <v>1.0</v>
      </c>
      <c r="E43" s="483"/>
      <c r="F43" s="481">
        <v>5.0</v>
      </c>
      <c r="G43" s="90"/>
      <c r="H43" s="482"/>
      <c r="I43" s="482"/>
      <c r="J43" s="483"/>
      <c r="K43" s="90"/>
      <c r="L43" s="483"/>
      <c r="M43" s="483"/>
      <c r="N43" s="257"/>
      <c r="O43" s="479">
        <v>4.0</v>
      </c>
      <c r="P43" s="480">
        <v>3.0</v>
      </c>
      <c r="Q43" s="480">
        <v>6.0</v>
      </c>
      <c r="R43" s="481">
        <v>1.0</v>
      </c>
      <c r="S43" s="90"/>
      <c r="T43" s="482"/>
      <c r="U43" s="482"/>
      <c r="V43" s="483"/>
      <c r="W43" s="90"/>
      <c r="X43" s="480"/>
      <c r="Y43" s="483"/>
      <c r="Z43" s="257"/>
      <c r="AA43" s="483">
        <v>2.0</v>
      </c>
      <c r="AB43" s="480">
        <v>1.0</v>
      </c>
      <c r="AC43" s="483"/>
      <c r="AD43" s="485">
        <v>1.0</v>
      </c>
      <c r="AE43" s="90"/>
      <c r="AF43" s="482"/>
      <c r="AG43" s="482"/>
      <c r="AH43" s="483"/>
      <c r="AI43" s="90"/>
      <c r="AJ43" s="483"/>
      <c r="AK43" s="483"/>
      <c r="AL43" s="257"/>
      <c r="AM43" s="490"/>
      <c r="AN43" s="480">
        <v>3.0</v>
      </c>
      <c r="AO43" s="480">
        <v>3.0</v>
      </c>
      <c r="AP43" s="481">
        <v>3.0</v>
      </c>
      <c r="AQ43" s="90"/>
      <c r="AR43" s="482"/>
      <c r="AS43" s="482"/>
      <c r="AT43" s="483"/>
      <c r="AU43" s="90"/>
      <c r="AV43" s="483"/>
      <c r="AW43" s="483"/>
      <c r="AX43" s="257"/>
      <c r="AY43" s="212">
        <v>1.0</v>
      </c>
      <c r="AZ43" s="220">
        <v>1.0</v>
      </c>
      <c r="BA43" s="116"/>
      <c r="BB43" s="116"/>
      <c r="BC43" s="116"/>
      <c r="BD43" s="478"/>
      <c r="BE43" s="478"/>
      <c r="BF43" s="116"/>
      <c r="BG43" s="116"/>
      <c r="BH43" s="116"/>
      <c r="BI43" s="116"/>
      <c r="BJ43" s="186"/>
    </row>
    <row r="44">
      <c r="A44" s="101" t="s">
        <v>87</v>
      </c>
      <c r="B44" s="93">
        <v>399.0</v>
      </c>
      <c r="C44" s="317"/>
      <c r="D44" s="90"/>
      <c r="E44" s="203"/>
      <c r="F44" s="90"/>
      <c r="G44" s="90"/>
      <c r="H44" s="473"/>
      <c r="I44" s="473"/>
      <c r="J44" s="90"/>
      <c r="K44" s="90"/>
      <c r="L44" s="90"/>
      <c r="M44" s="90"/>
      <c r="N44" s="186"/>
      <c r="O44" s="323">
        <v>1.0</v>
      </c>
      <c r="P44" s="203"/>
      <c r="Q44" s="211">
        <v>2.0</v>
      </c>
      <c r="R44" s="205">
        <v>1.0</v>
      </c>
      <c r="S44" s="90"/>
      <c r="T44" s="473"/>
      <c r="U44" s="473"/>
      <c r="V44" s="90"/>
      <c r="W44" s="90"/>
      <c r="X44" s="203"/>
      <c r="Y44" s="90"/>
      <c r="Z44" s="186"/>
      <c r="AA44" s="203"/>
      <c r="AB44" s="90"/>
      <c r="AC44" s="203"/>
      <c r="AD44" s="492">
        <v>1.0</v>
      </c>
      <c r="AE44" s="90"/>
      <c r="AF44" s="473"/>
      <c r="AG44" s="473"/>
      <c r="AH44" s="90"/>
      <c r="AI44" s="90"/>
      <c r="AJ44" s="90"/>
      <c r="AK44" s="90"/>
      <c r="AL44" s="186"/>
      <c r="AM44" s="317"/>
      <c r="AN44" s="203"/>
      <c r="AO44" s="203"/>
      <c r="AP44" s="90"/>
      <c r="AQ44" s="90"/>
      <c r="AR44" s="473"/>
      <c r="AS44" s="473"/>
      <c r="AT44" s="90"/>
      <c r="AU44" s="90"/>
      <c r="AV44" s="90"/>
      <c r="AW44" s="90"/>
      <c r="AX44" s="186"/>
      <c r="AY44" s="329"/>
      <c r="AZ44" s="116"/>
      <c r="BA44" s="116"/>
      <c r="BB44" s="116"/>
      <c r="BC44" s="116"/>
      <c r="BD44" s="478"/>
      <c r="BE44" s="478"/>
      <c r="BF44" s="116"/>
      <c r="BG44" s="116"/>
      <c r="BH44" s="116"/>
      <c r="BI44" s="116"/>
      <c r="BJ44" s="186"/>
    </row>
    <row r="45">
      <c r="A45" s="101" t="s">
        <v>88</v>
      </c>
      <c r="B45" s="93">
        <v>399.0</v>
      </c>
      <c r="C45" s="317"/>
      <c r="D45" s="90"/>
      <c r="E45" s="203"/>
      <c r="F45" s="90"/>
      <c r="G45" s="90"/>
      <c r="H45" s="473"/>
      <c r="I45" s="473"/>
      <c r="J45" s="90"/>
      <c r="K45" s="90"/>
      <c r="L45" s="90"/>
      <c r="M45" s="90"/>
      <c r="N45" s="186"/>
      <c r="O45" s="323">
        <v>1.0</v>
      </c>
      <c r="P45" s="203"/>
      <c r="Q45" s="203"/>
      <c r="R45" s="90"/>
      <c r="S45" s="90"/>
      <c r="T45" s="473"/>
      <c r="U45" s="473"/>
      <c r="V45" s="90"/>
      <c r="W45" s="90"/>
      <c r="X45" s="203"/>
      <c r="Y45" s="90"/>
      <c r="Z45" s="186"/>
      <c r="AA45" s="203"/>
      <c r="AB45" s="205">
        <v>1.0</v>
      </c>
      <c r="AC45" s="203"/>
      <c r="AD45" s="218"/>
      <c r="AE45" s="90"/>
      <c r="AF45" s="473"/>
      <c r="AG45" s="473"/>
      <c r="AH45" s="90"/>
      <c r="AI45" s="90"/>
      <c r="AJ45" s="90"/>
      <c r="AK45" s="90"/>
      <c r="AL45" s="186"/>
      <c r="AM45" s="317"/>
      <c r="AN45" s="203"/>
      <c r="AO45" s="203"/>
      <c r="AP45" s="90"/>
      <c r="AQ45" s="90"/>
      <c r="AR45" s="473"/>
      <c r="AS45" s="473"/>
      <c r="AT45" s="90"/>
      <c r="AU45" s="90"/>
      <c r="AV45" s="90"/>
      <c r="AW45" s="90"/>
      <c r="AX45" s="186"/>
      <c r="AY45" s="329"/>
      <c r="AZ45" s="116"/>
      <c r="BA45" s="116"/>
      <c r="BB45" s="116"/>
      <c r="BC45" s="116"/>
      <c r="BD45" s="478"/>
      <c r="BE45" s="478"/>
      <c r="BF45" s="116"/>
      <c r="BG45" s="116"/>
      <c r="BH45" s="116"/>
      <c r="BI45" s="116"/>
      <c r="BJ45" s="186"/>
    </row>
    <row r="46" hidden="1">
      <c r="A46" s="101" t="s">
        <v>89</v>
      </c>
      <c r="B46" s="93">
        <v>1299.0</v>
      </c>
      <c r="C46" s="317"/>
      <c r="D46" s="90"/>
      <c r="E46" s="203"/>
      <c r="F46" s="90"/>
      <c r="G46" s="90"/>
      <c r="H46" s="473"/>
      <c r="I46" s="473"/>
      <c r="J46" s="90"/>
      <c r="K46" s="90"/>
      <c r="L46" s="90"/>
      <c r="M46" s="90"/>
      <c r="N46" s="186"/>
      <c r="O46" s="317"/>
      <c r="P46" s="203"/>
      <c r="Q46" s="203"/>
      <c r="R46" s="90"/>
      <c r="S46" s="90"/>
      <c r="T46" s="473"/>
      <c r="U46" s="473"/>
      <c r="V46" s="90"/>
      <c r="W46" s="90"/>
      <c r="X46" s="203"/>
      <c r="Y46" s="90"/>
      <c r="Z46" s="186"/>
      <c r="AA46" s="203"/>
      <c r="AB46" s="90"/>
      <c r="AC46" s="203"/>
      <c r="AD46" s="218"/>
      <c r="AE46" s="90"/>
      <c r="AF46" s="473"/>
      <c r="AG46" s="473"/>
      <c r="AH46" s="90"/>
      <c r="AI46" s="90"/>
      <c r="AJ46" s="90"/>
      <c r="AK46" s="90"/>
      <c r="AL46" s="186"/>
      <c r="AM46" s="317"/>
      <c r="AN46" s="203"/>
      <c r="AO46" s="203"/>
      <c r="AP46" s="90"/>
      <c r="AQ46" s="90"/>
      <c r="AR46" s="473"/>
      <c r="AS46" s="473"/>
      <c r="AT46" s="90"/>
      <c r="AU46" s="90"/>
      <c r="AV46" s="90"/>
      <c r="AW46" s="90"/>
      <c r="AX46" s="186"/>
      <c r="AY46" s="329"/>
      <c r="AZ46" s="116"/>
      <c r="BA46" s="116"/>
      <c r="BB46" s="116"/>
      <c r="BC46" s="116"/>
      <c r="BD46" s="478"/>
      <c r="BE46" s="478"/>
      <c r="BF46" s="116"/>
      <c r="BG46" s="116"/>
      <c r="BH46" s="116"/>
      <c r="BI46" s="116"/>
      <c r="BJ46" s="186"/>
    </row>
    <row r="47" hidden="1">
      <c r="A47" s="67" t="s">
        <v>90</v>
      </c>
      <c r="B47" s="93">
        <v>1299.0</v>
      </c>
      <c r="C47" s="317"/>
      <c r="D47" s="90"/>
      <c r="E47" s="203"/>
      <c r="F47" s="90"/>
      <c r="G47" s="90"/>
      <c r="H47" s="473"/>
      <c r="I47" s="473"/>
      <c r="J47" s="90"/>
      <c r="K47" s="90"/>
      <c r="L47" s="90"/>
      <c r="M47" s="90"/>
      <c r="N47" s="186"/>
      <c r="O47" s="317"/>
      <c r="P47" s="203"/>
      <c r="Q47" s="203"/>
      <c r="R47" s="90"/>
      <c r="S47" s="90"/>
      <c r="T47" s="473"/>
      <c r="U47" s="473"/>
      <c r="V47" s="90"/>
      <c r="W47" s="90"/>
      <c r="X47" s="203"/>
      <c r="Y47" s="90"/>
      <c r="Z47" s="186"/>
      <c r="AA47" s="203"/>
      <c r="AB47" s="90"/>
      <c r="AC47" s="203"/>
      <c r="AD47" s="218"/>
      <c r="AE47" s="90"/>
      <c r="AF47" s="473"/>
      <c r="AG47" s="473"/>
      <c r="AH47" s="90"/>
      <c r="AI47" s="90"/>
      <c r="AJ47" s="90"/>
      <c r="AK47" s="90"/>
      <c r="AL47" s="186"/>
      <c r="AM47" s="317"/>
      <c r="AN47" s="203"/>
      <c r="AO47" s="203"/>
      <c r="AP47" s="90"/>
      <c r="AQ47" s="90"/>
      <c r="AR47" s="473"/>
      <c r="AS47" s="473"/>
      <c r="AT47" s="90"/>
      <c r="AU47" s="90"/>
      <c r="AV47" s="90"/>
      <c r="AW47" s="90"/>
      <c r="AX47" s="186"/>
      <c r="AY47" s="329"/>
      <c r="AZ47" s="116"/>
      <c r="BA47" s="116"/>
      <c r="BB47" s="116"/>
      <c r="BC47" s="116"/>
      <c r="BD47" s="478"/>
      <c r="BE47" s="478"/>
      <c r="BF47" s="116"/>
      <c r="BG47" s="116"/>
      <c r="BH47" s="116"/>
      <c r="BI47" s="116"/>
      <c r="BJ47" s="186"/>
    </row>
    <row r="48" hidden="1">
      <c r="A48" s="101" t="s">
        <v>91</v>
      </c>
      <c r="B48" s="103">
        <v>0.0</v>
      </c>
      <c r="C48" s="317"/>
      <c r="D48" s="90"/>
      <c r="E48" s="203"/>
      <c r="F48" s="90"/>
      <c r="G48" s="90"/>
      <c r="H48" s="473"/>
      <c r="I48" s="473"/>
      <c r="J48" s="90"/>
      <c r="K48" s="90"/>
      <c r="L48" s="90"/>
      <c r="M48" s="90"/>
      <c r="N48" s="186"/>
      <c r="O48" s="317"/>
      <c r="P48" s="203"/>
      <c r="Q48" s="203"/>
      <c r="R48" s="90"/>
      <c r="S48" s="90"/>
      <c r="T48" s="473"/>
      <c r="U48" s="473"/>
      <c r="V48" s="90"/>
      <c r="W48" s="90"/>
      <c r="X48" s="203"/>
      <c r="Y48" s="90"/>
      <c r="Z48" s="186"/>
      <c r="AA48" s="203"/>
      <c r="AB48" s="90"/>
      <c r="AC48" s="203"/>
      <c r="AD48" s="218"/>
      <c r="AE48" s="90"/>
      <c r="AF48" s="473"/>
      <c r="AG48" s="473"/>
      <c r="AH48" s="90"/>
      <c r="AI48" s="90"/>
      <c r="AJ48" s="90"/>
      <c r="AK48" s="90"/>
      <c r="AL48" s="186"/>
      <c r="AM48" s="317"/>
      <c r="AN48" s="203"/>
      <c r="AO48" s="203"/>
      <c r="AP48" s="90"/>
      <c r="AQ48" s="90"/>
      <c r="AR48" s="473"/>
      <c r="AS48" s="473"/>
      <c r="AT48" s="90"/>
      <c r="AU48" s="90"/>
      <c r="AV48" s="90"/>
      <c r="AW48" s="90"/>
      <c r="AX48" s="186"/>
      <c r="AY48" s="329"/>
      <c r="AZ48" s="116"/>
      <c r="BA48" s="116"/>
      <c r="BB48" s="116"/>
      <c r="BC48" s="116"/>
      <c r="BD48" s="478"/>
      <c r="BE48" s="478"/>
      <c r="BF48" s="116"/>
      <c r="BG48" s="116"/>
      <c r="BH48" s="116"/>
      <c r="BI48" s="116"/>
      <c r="BJ48" s="186"/>
    </row>
    <row r="49">
      <c r="A49" s="104"/>
      <c r="B49" s="105"/>
      <c r="C49" s="317"/>
      <c r="D49" s="90"/>
      <c r="E49" s="203"/>
      <c r="F49" s="90"/>
      <c r="G49" s="90"/>
      <c r="H49" s="473"/>
      <c r="I49" s="473"/>
      <c r="J49" s="90"/>
      <c r="K49" s="90"/>
      <c r="L49" s="90"/>
      <c r="M49" s="90"/>
      <c r="N49" s="186"/>
      <c r="O49" s="317"/>
      <c r="P49" s="203"/>
      <c r="Q49" s="203"/>
      <c r="R49" s="90"/>
      <c r="S49" s="90"/>
      <c r="T49" s="473"/>
      <c r="U49" s="473"/>
      <c r="V49" s="90"/>
      <c r="W49" s="90"/>
      <c r="X49" s="203"/>
      <c r="Y49" s="90"/>
      <c r="Z49" s="186"/>
      <c r="AA49" s="203"/>
      <c r="AB49" s="90"/>
      <c r="AC49" s="203"/>
      <c r="AD49" s="218"/>
      <c r="AE49" s="90"/>
      <c r="AF49" s="473"/>
      <c r="AG49" s="473"/>
      <c r="AH49" s="90"/>
      <c r="AI49" s="90"/>
      <c r="AJ49" s="90"/>
      <c r="AK49" s="90"/>
      <c r="AL49" s="186"/>
      <c r="AM49" s="317"/>
      <c r="AN49" s="203"/>
      <c r="AO49" s="203"/>
      <c r="AP49" s="90"/>
      <c r="AQ49" s="90"/>
      <c r="AR49" s="473"/>
      <c r="AS49" s="473"/>
      <c r="AT49" s="90"/>
      <c r="AU49" s="90"/>
      <c r="AV49" s="90"/>
      <c r="AW49" s="90"/>
      <c r="AX49" s="186"/>
      <c r="AY49" s="329"/>
      <c r="AZ49" s="116"/>
      <c r="BA49" s="116"/>
      <c r="BB49" s="116"/>
      <c r="BC49" s="116"/>
      <c r="BD49" s="478"/>
      <c r="BE49" s="478"/>
      <c r="BF49" s="116"/>
      <c r="BG49" s="116"/>
      <c r="BH49" s="116"/>
      <c r="BI49" s="116"/>
      <c r="BJ49" s="186"/>
    </row>
    <row r="50">
      <c r="A50" s="102" t="s">
        <v>92</v>
      </c>
      <c r="B50" s="106">
        <v>629.0</v>
      </c>
      <c r="C50" s="479">
        <v>3.0</v>
      </c>
      <c r="D50" s="480">
        <v>5.0</v>
      </c>
      <c r="E50" s="480">
        <v>1.0</v>
      </c>
      <c r="F50" s="481">
        <v>6.0</v>
      </c>
      <c r="G50" s="483"/>
      <c r="H50" s="482"/>
      <c r="I50" s="482"/>
      <c r="J50" s="483"/>
      <c r="K50" s="483"/>
      <c r="L50" s="483"/>
      <c r="M50" s="483"/>
      <c r="N50" s="257"/>
      <c r="O50" s="479">
        <v>9.0</v>
      </c>
      <c r="P50" s="480">
        <v>2.0</v>
      </c>
      <c r="Q50" s="489">
        <v>2.0</v>
      </c>
      <c r="R50" s="57"/>
      <c r="S50" s="483"/>
      <c r="T50" s="482"/>
      <c r="U50" s="482"/>
      <c r="V50" s="483"/>
      <c r="W50" s="483"/>
      <c r="X50" s="480"/>
      <c r="Y50" s="483"/>
      <c r="Z50" s="257"/>
      <c r="AA50" s="488">
        <v>5.0</v>
      </c>
      <c r="AB50" s="480">
        <v>4.0</v>
      </c>
      <c r="AC50" s="480">
        <v>1.0</v>
      </c>
      <c r="AD50" s="485">
        <v>2.0</v>
      </c>
      <c r="AE50" s="483"/>
      <c r="AF50" s="482"/>
      <c r="AG50" s="482"/>
      <c r="AH50" s="483"/>
      <c r="AI50" s="483"/>
      <c r="AJ50" s="483"/>
      <c r="AK50" s="483"/>
      <c r="AL50" s="257"/>
      <c r="AM50" s="479">
        <v>6.0</v>
      </c>
      <c r="AN50" s="480">
        <v>9.0</v>
      </c>
      <c r="AO50" s="480">
        <v>2.0</v>
      </c>
      <c r="AP50" s="481">
        <v>9.0</v>
      </c>
      <c r="AQ50" s="483"/>
      <c r="AR50" s="482"/>
      <c r="AS50" s="482"/>
      <c r="AT50" s="483"/>
      <c r="AU50" s="483"/>
      <c r="AV50" s="483"/>
      <c r="AW50" s="483"/>
      <c r="AX50" s="257"/>
      <c r="AY50" s="212">
        <v>1.0</v>
      </c>
      <c r="AZ50" s="220">
        <v>2.0</v>
      </c>
      <c r="BA50" s="116"/>
      <c r="BB50" s="97">
        <v>1.0</v>
      </c>
      <c r="BC50" s="116"/>
      <c r="BD50" s="478"/>
      <c r="BE50" s="478"/>
      <c r="BF50" s="116"/>
      <c r="BG50" s="116"/>
      <c r="BH50" s="116"/>
      <c r="BI50" s="116"/>
      <c r="BJ50" s="186"/>
    </row>
    <row r="51">
      <c r="A51" s="102" t="s">
        <v>93</v>
      </c>
      <c r="B51" s="106">
        <v>629.0</v>
      </c>
      <c r="C51" s="479">
        <v>2.0</v>
      </c>
      <c r="D51" s="480">
        <v>1.0</v>
      </c>
      <c r="E51" s="480">
        <v>2.0</v>
      </c>
      <c r="F51" s="481">
        <v>5.0</v>
      </c>
      <c r="G51" s="90"/>
      <c r="H51" s="482"/>
      <c r="I51" s="482"/>
      <c r="J51" s="90"/>
      <c r="K51" s="483"/>
      <c r="L51" s="486"/>
      <c r="M51" s="483"/>
      <c r="N51" s="257"/>
      <c r="O51" s="479">
        <v>8.0</v>
      </c>
      <c r="P51" s="480">
        <v>9.0</v>
      </c>
      <c r="Q51" s="480">
        <v>1.0</v>
      </c>
      <c r="R51" s="57"/>
      <c r="S51" s="90"/>
      <c r="T51" s="482"/>
      <c r="U51" s="482"/>
      <c r="V51" s="90"/>
      <c r="W51" s="483"/>
      <c r="X51" s="487"/>
      <c r="Y51" s="483"/>
      <c r="Z51" s="257"/>
      <c r="AA51" s="487">
        <v>1.0</v>
      </c>
      <c r="AB51" s="480">
        <v>4.0</v>
      </c>
      <c r="AC51" s="480">
        <v>3.0</v>
      </c>
      <c r="AD51" s="97"/>
      <c r="AE51" s="90"/>
      <c r="AF51" s="482"/>
      <c r="AG51" s="482"/>
      <c r="AH51" s="90"/>
      <c r="AI51" s="483"/>
      <c r="AJ51" s="486"/>
      <c r="AK51" s="483"/>
      <c r="AL51" s="257"/>
      <c r="AM51" s="479">
        <v>1.0</v>
      </c>
      <c r="AN51" s="480">
        <v>4.0</v>
      </c>
      <c r="AO51" s="480">
        <v>2.0</v>
      </c>
      <c r="AP51" s="481">
        <v>4.0</v>
      </c>
      <c r="AQ51" s="90"/>
      <c r="AR51" s="482"/>
      <c r="AS51" s="482"/>
      <c r="AT51" s="90"/>
      <c r="AU51" s="483"/>
      <c r="AV51" s="486"/>
      <c r="AW51" s="483"/>
      <c r="AX51" s="257"/>
      <c r="AY51" s="329"/>
      <c r="AZ51" s="116"/>
      <c r="BA51" s="116"/>
      <c r="BB51" s="116"/>
      <c r="BC51" s="116"/>
      <c r="BD51" s="478"/>
      <c r="BE51" s="478"/>
      <c r="BF51" s="116"/>
      <c r="BG51" s="116"/>
      <c r="BH51" s="116"/>
      <c r="BI51" s="116"/>
      <c r="BJ51" s="186"/>
    </row>
    <row r="52">
      <c r="A52" s="102" t="s">
        <v>94</v>
      </c>
      <c r="B52" s="93">
        <v>349.0</v>
      </c>
      <c r="C52" s="490"/>
      <c r="D52" s="90"/>
      <c r="E52" s="203"/>
      <c r="F52" s="57"/>
      <c r="G52" s="486"/>
      <c r="H52" s="473"/>
      <c r="I52" s="473"/>
      <c r="J52" s="90"/>
      <c r="K52" s="90"/>
      <c r="L52" s="90"/>
      <c r="M52" s="90"/>
      <c r="N52" s="186"/>
      <c r="O52" s="490"/>
      <c r="P52" s="203"/>
      <c r="Q52" s="203"/>
      <c r="R52" s="57"/>
      <c r="S52" s="486"/>
      <c r="T52" s="473"/>
      <c r="U52" s="473"/>
      <c r="V52" s="90"/>
      <c r="W52" s="90"/>
      <c r="X52" s="203"/>
      <c r="Y52" s="90"/>
      <c r="Z52" s="186"/>
      <c r="AA52" s="484"/>
      <c r="AB52" s="205">
        <v>1.0</v>
      </c>
      <c r="AC52" s="203"/>
      <c r="AD52" s="97"/>
      <c r="AE52" s="486"/>
      <c r="AF52" s="473"/>
      <c r="AG52" s="473"/>
      <c r="AH52" s="90"/>
      <c r="AI52" s="90"/>
      <c r="AJ52" s="90"/>
      <c r="AK52" s="90"/>
      <c r="AL52" s="186"/>
      <c r="AM52" s="479">
        <v>2.0</v>
      </c>
      <c r="AN52" s="203"/>
      <c r="AO52" s="203"/>
      <c r="AP52" s="57"/>
      <c r="AQ52" s="486"/>
      <c r="AR52" s="473"/>
      <c r="AS52" s="473"/>
      <c r="AT52" s="90"/>
      <c r="AU52" s="90"/>
      <c r="AV52" s="90"/>
      <c r="AW52" s="90"/>
      <c r="AX52" s="186"/>
      <c r="AY52" s="329"/>
      <c r="AZ52" s="116"/>
      <c r="BA52" s="116"/>
      <c r="BB52" s="116"/>
      <c r="BC52" s="116"/>
      <c r="BD52" s="478"/>
      <c r="BE52" s="478"/>
      <c r="BF52" s="116"/>
      <c r="BG52" s="116"/>
      <c r="BH52" s="116"/>
      <c r="BI52" s="116"/>
      <c r="BJ52" s="186"/>
    </row>
    <row r="53" hidden="1">
      <c r="A53" s="102" t="s">
        <v>95</v>
      </c>
      <c r="B53" s="93">
        <v>199.0</v>
      </c>
      <c r="C53" s="317"/>
      <c r="D53" s="90"/>
      <c r="E53" s="203"/>
      <c r="F53" s="90"/>
      <c r="G53" s="90"/>
      <c r="H53" s="473"/>
      <c r="I53" s="473"/>
      <c r="J53" s="90"/>
      <c r="K53" s="90"/>
      <c r="L53" s="90"/>
      <c r="M53" s="90"/>
      <c r="N53" s="186"/>
      <c r="O53" s="317"/>
      <c r="P53" s="203"/>
      <c r="Q53" s="203"/>
      <c r="R53" s="90"/>
      <c r="S53" s="90"/>
      <c r="T53" s="473"/>
      <c r="U53" s="473"/>
      <c r="V53" s="90"/>
      <c r="W53" s="90"/>
      <c r="X53" s="203"/>
      <c r="Y53" s="90"/>
      <c r="Z53" s="186"/>
      <c r="AA53" s="203"/>
      <c r="AB53" s="90"/>
      <c r="AC53" s="203"/>
      <c r="AD53" s="218"/>
      <c r="AE53" s="90"/>
      <c r="AF53" s="473"/>
      <c r="AG53" s="473"/>
      <c r="AH53" s="90"/>
      <c r="AI53" s="90"/>
      <c r="AJ53" s="90"/>
      <c r="AK53" s="90"/>
      <c r="AL53" s="186"/>
      <c r="AM53" s="317"/>
      <c r="AN53" s="203"/>
      <c r="AO53" s="203"/>
      <c r="AP53" s="90"/>
      <c r="AQ53" s="90"/>
      <c r="AR53" s="473"/>
      <c r="AS53" s="473"/>
      <c r="AT53" s="90"/>
      <c r="AU53" s="90"/>
      <c r="AV53" s="90"/>
      <c r="AW53" s="90"/>
      <c r="AX53" s="186"/>
      <c r="AY53" s="329"/>
      <c r="AZ53" s="116"/>
      <c r="BA53" s="116"/>
      <c r="BB53" s="116"/>
      <c r="BC53" s="116"/>
      <c r="BD53" s="478"/>
      <c r="BE53" s="478"/>
      <c r="BF53" s="116"/>
      <c r="BG53" s="116"/>
      <c r="BH53" s="116"/>
      <c r="BI53" s="116"/>
      <c r="BJ53" s="186"/>
    </row>
    <row r="54" hidden="1">
      <c r="A54" s="102" t="s">
        <v>96</v>
      </c>
      <c r="B54" s="93">
        <v>199.0</v>
      </c>
      <c r="C54" s="317"/>
      <c r="D54" s="90"/>
      <c r="E54" s="203"/>
      <c r="F54" s="90"/>
      <c r="G54" s="90"/>
      <c r="H54" s="473"/>
      <c r="I54" s="473"/>
      <c r="J54" s="90"/>
      <c r="K54" s="90"/>
      <c r="L54" s="90"/>
      <c r="M54" s="90"/>
      <c r="N54" s="186"/>
      <c r="O54" s="317"/>
      <c r="P54" s="203"/>
      <c r="Q54" s="203"/>
      <c r="R54" s="90"/>
      <c r="S54" s="90"/>
      <c r="T54" s="473"/>
      <c r="U54" s="473"/>
      <c r="V54" s="90"/>
      <c r="W54" s="90"/>
      <c r="X54" s="203"/>
      <c r="Y54" s="90"/>
      <c r="Z54" s="186"/>
      <c r="AA54" s="203"/>
      <c r="AB54" s="90"/>
      <c r="AC54" s="203"/>
      <c r="AD54" s="218"/>
      <c r="AE54" s="90"/>
      <c r="AF54" s="473"/>
      <c r="AG54" s="473"/>
      <c r="AH54" s="90"/>
      <c r="AI54" s="90"/>
      <c r="AJ54" s="90"/>
      <c r="AK54" s="90"/>
      <c r="AL54" s="186"/>
      <c r="AM54" s="317"/>
      <c r="AN54" s="203"/>
      <c r="AO54" s="203"/>
      <c r="AP54" s="90"/>
      <c r="AQ54" s="90"/>
      <c r="AR54" s="473"/>
      <c r="AS54" s="473"/>
      <c r="AT54" s="90"/>
      <c r="AU54" s="90"/>
      <c r="AV54" s="90"/>
      <c r="AW54" s="90"/>
      <c r="AX54" s="186"/>
      <c r="AY54" s="329"/>
      <c r="AZ54" s="116"/>
      <c r="BA54" s="116"/>
      <c r="BB54" s="116"/>
      <c r="BC54" s="116"/>
      <c r="BD54" s="478"/>
      <c r="BE54" s="478"/>
      <c r="BF54" s="116"/>
      <c r="BG54" s="116"/>
      <c r="BH54" s="116"/>
      <c r="BI54" s="116"/>
      <c r="BJ54" s="186"/>
    </row>
    <row r="55" hidden="1">
      <c r="A55" s="67" t="s">
        <v>97</v>
      </c>
      <c r="B55" s="93">
        <v>599.0</v>
      </c>
      <c r="C55" s="317"/>
      <c r="D55" s="90"/>
      <c r="E55" s="203"/>
      <c r="F55" s="90"/>
      <c r="G55" s="90"/>
      <c r="H55" s="473"/>
      <c r="I55" s="473"/>
      <c r="J55" s="90"/>
      <c r="K55" s="90"/>
      <c r="L55" s="90"/>
      <c r="M55" s="90"/>
      <c r="N55" s="186"/>
      <c r="O55" s="317"/>
      <c r="P55" s="203"/>
      <c r="Q55" s="203"/>
      <c r="R55" s="90"/>
      <c r="S55" s="90"/>
      <c r="T55" s="473"/>
      <c r="U55" s="473"/>
      <c r="V55" s="90"/>
      <c r="W55" s="90"/>
      <c r="X55" s="203"/>
      <c r="Y55" s="90"/>
      <c r="Z55" s="186"/>
      <c r="AA55" s="203"/>
      <c r="AB55" s="90"/>
      <c r="AC55" s="203"/>
      <c r="AD55" s="218"/>
      <c r="AE55" s="90"/>
      <c r="AF55" s="473"/>
      <c r="AG55" s="473"/>
      <c r="AH55" s="90"/>
      <c r="AI55" s="90"/>
      <c r="AJ55" s="90"/>
      <c r="AK55" s="90"/>
      <c r="AL55" s="186"/>
      <c r="AM55" s="317"/>
      <c r="AN55" s="203"/>
      <c r="AO55" s="203"/>
      <c r="AP55" s="90"/>
      <c r="AQ55" s="90"/>
      <c r="AR55" s="473"/>
      <c r="AS55" s="473"/>
      <c r="AT55" s="90"/>
      <c r="AU55" s="90"/>
      <c r="AV55" s="90"/>
      <c r="AW55" s="90"/>
      <c r="AX55" s="186"/>
      <c r="AY55" s="329"/>
      <c r="AZ55" s="116"/>
      <c r="BA55" s="116"/>
      <c r="BB55" s="116"/>
      <c r="BC55" s="116"/>
      <c r="BD55" s="478"/>
      <c r="BE55" s="478"/>
      <c r="BF55" s="116"/>
      <c r="BG55" s="116"/>
      <c r="BH55" s="116"/>
      <c r="BI55" s="116"/>
      <c r="BJ55" s="186"/>
    </row>
    <row r="56" hidden="1">
      <c r="A56" s="102" t="s">
        <v>98</v>
      </c>
      <c r="B56" s="93">
        <v>1499.0</v>
      </c>
      <c r="C56" s="317"/>
      <c r="D56" s="90"/>
      <c r="E56" s="203"/>
      <c r="F56" s="90"/>
      <c r="G56" s="90"/>
      <c r="H56" s="473"/>
      <c r="I56" s="473"/>
      <c r="J56" s="90"/>
      <c r="K56" s="90"/>
      <c r="L56" s="90"/>
      <c r="M56" s="90"/>
      <c r="N56" s="186"/>
      <c r="O56" s="317"/>
      <c r="P56" s="203"/>
      <c r="Q56" s="203"/>
      <c r="R56" s="90"/>
      <c r="S56" s="90"/>
      <c r="T56" s="473"/>
      <c r="U56" s="473"/>
      <c r="V56" s="90"/>
      <c r="W56" s="90"/>
      <c r="X56" s="203"/>
      <c r="Y56" s="90"/>
      <c r="Z56" s="186"/>
      <c r="AA56" s="203"/>
      <c r="AB56" s="90"/>
      <c r="AC56" s="203"/>
      <c r="AD56" s="218"/>
      <c r="AE56" s="90"/>
      <c r="AF56" s="473"/>
      <c r="AG56" s="473"/>
      <c r="AH56" s="90"/>
      <c r="AI56" s="90"/>
      <c r="AJ56" s="90"/>
      <c r="AK56" s="90"/>
      <c r="AL56" s="186"/>
      <c r="AM56" s="317"/>
      <c r="AN56" s="203"/>
      <c r="AO56" s="203"/>
      <c r="AP56" s="90"/>
      <c r="AQ56" s="90"/>
      <c r="AR56" s="473"/>
      <c r="AS56" s="473"/>
      <c r="AT56" s="90"/>
      <c r="AU56" s="90"/>
      <c r="AV56" s="90"/>
      <c r="AW56" s="90"/>
      <c r="AX56" s="186"/>
      <c r="AY56" s="329"/>
      <c r="AZ56" s="116"/>
      <c r="BA56" s="116"/>
      <c r="BB56" s="116"/>
      <c r="BC56" s="116"/>
      <c r="BD56" s="478"/>
      <c r="BE56" s="478"/>
      <c r="BF56" s="116"/>
      <c r="BG56" s="116"/>
      <c r="BH56" s="116"/>
      <c r="BI56" s="116"/>
      <c r="BJ56" s="186"/>
    </row>
    <row r="57">
      <c r="A57" s="104"/>
      <c r="B57" s="99"/>
      <c r="C57" s="317"/>
      <c r="D57" s="90"/>
      <c r="E57" s="203"/>
      <c r="F57" s="90"/>
      <c r="G57" s="90"/>
      <c r="H57" s="473"/>
      <c r="I57" s="473"/>
      <c r="J57" s="90"/>
      <c r="K57" s="90"/>
      <c r="L57" s="90"/>
      <c r="M57" s="90"/>
      <c r="N57" s="186"/>
      <c r="O57" s="317"/>
      <c r="P57" s="203"/>
      <c r="Q57" s="203"/>
      <c r="R57" s="90"/>
      <c r="S57" s="90"/>
      <c r="T57" s="473"/>
      <c r="U57" s="473"/>
      <c r="V57" s="90"/>
      <c r="W57" s="90"/>
      <c r="X57" s="203"/>
      <c r="Y57" s="90"/>
      <c r="Z57" s="186"/>
      <c r="AA57" s="203"/>
      <c r="AB57" s="90"/>
      <c r="AC57" s="203"/>
      <c r="AD57" s="218"/>
      <c r="AE57" s="90"/>
      <c r="AF57" s="473"/>
      <c r="AG57" s="473"/>
      <c r="AH57" s="90"/>
      <c r="AI57" s="90"/>
      <c r="AJ57" s="90"/>
      <c r="AK57" s="90"/>
      <c r="AL57" s="186"/>
      <c r="AM57" s="317"/>
      <c r="AN57" s="203"/>
      <c r="AO57" s="203"/>
      <c r="AP57" s="90"/>
      <c r="AQ57" s="90"/>
      <c r="AR57" s="473"/>
      <c r="AS57" s="473"/>
      <c r="AT57" s="90"/>
      <c r="AU57" s="90"/>
      <c r="AV57" s="90"/>
      <c r="AW57" s="90"/>
      <c r="AX57" s="186"/>
      <c r="AY57" s="329"/>
      <c r="AZ57" s="116"/>
      <c r="BA57" s="116"/>
      <c r="BB57" s="116"/>
      <c r="BC57" s="116"/>
      <c r="BD57" s="478"/>
      <c r="BE57" s="478"/>
      <c r="BF57" s="116"/>
      <c r="BG57" s="116"/>
      <c r="BH57" s="116"/>
      <c r="BI57" s="116"/>
      <c r="BJ57" s="186"/>
    </row>
    <row r="58">
      <c r="A58" s="102" t="s">
        <v>99</v>
      </c>
      <c r="B58" s="93">
        <v>349.0</v>
      </c>
      <c r="C58" s="490"/>
      <c r="D58" s="487">
        <v>4.0</v>
      </c>
      <c r="E58" s="487">
        <v>1.0</v>
      </c>
      <c r="F58" s="95"/>
      <c r="G58" s="483"/>
      <c r="H58" s="482"/>
      <c r="I58" s="482"/>
      <c r="J58" s="483"/>
      <c r="K58" s="483"/>
      <c r="L58" s="483"/>
      <c r="M58" s="483"/>
      <c r="N58" s="257"/>
      <c r="O58" s="479">
        <v>5.0</v>
      </c>
      <c r="P58" s="487">
        <v>3.0</v>
      </c>
      <c r="Q58" s="486"/>
      <c r="R58" s="95"/>
      <c r="S58" s="483"/>
      <c r="T58" s="482"/>
      <c r="U58" s="482"/>
      <c r="V58" s="483"/>
      <c r="W58" s="483"/>
      <c r="X58" s="480"/>
      <c r="Y58" s="483"/>
      <c r="Z58" s="257"/>
      <c r="AA58" s="488">
        <v>1.0</v>
      </c>
      <c r="AB58" s="486"/>
      <c r="AC58" s="487">
        <v>4.0</v>
      </c>
      <c r="AD58" s="448">
        <v>1.0</v>
      </c>
      <c r="AE58" s="483"/>
      <c r="AF58" s="482"/>
      <c r="AG58" s="482"/>
      <c r="AH58" s="483"/>
      <c r="AI58" s="483"/>
      <c r="AJ58" s="483"/>
      <c r="AK58" s="483"/>
      <c r="AL58" s="257"/>
      <c r="AM58" s="479">
        <v>1.0</v>
      </c>
      <c r="AN58" s="487">
        <v>2.0</v>
      </c>
      <c r="AO58" s="486"/>
      <c r="AP58" s="95"/>
      <c r="AQ58" s="483"/>
      <c r="AR58" s="482"/>
      <c r="AS58" s="482"/>
      <c r="AT58" s="483"/>
      <c r="AU58" s="483"/>
      <c r="AV58" s="483"/>
      <c r="AW58" s="483"/>
      <c r="AX58" s="257"/>
      <c r="AY58" s="329"/>
      <c r="AZ58" s="116"/>
      <c r="BA58" s="116"/>
      <c r="BB58" s="116"/>
      <c r="BC58" s="116"/>
      <c r="BD58" s="478"/>
      <c r="BE58" s="478"/>
      <c r="BF58" s="116"/>
      <c r="BG58" s="116"/>
      <c r="BH58" s="116"/>
      <c r="BI58" s="116"/>
      <c r="BJ58" s="186"/>
    </row>
    <row r="59">
      <c r="A59" s="102" t="s">
        <v>100</v>
      </c>
      <c r="B59" s="93">
        <v>349.0</v>
      </c>
      <c r="C59" s="490"/>
      <c r="D59" s="483"/>
      <c r="E59" s="483"/>
      <c r="F59" s="95"/>
      <c r="G59" s="483"/>
      <c r="H59" s="482"/>
      <c r="I59" s="482"/>
      <c r="J59" s="483"/>
      <c r="K59" s="483"/>
      <c r="L59" s="483"/>
      <c r="M59" s="483"/>
      <c r="N59" s="257"/>
      <c r="O59" s="479">
        <v>8.0</v>
      </c>
      <c r="P59" s="483"/>
      <c r="Q59" s="483"/>
      <c r="R59" s="95"/>
      <c r="S59" s="483"/>
      <c r="T59" s="482"/>
      <c r="U59" s="482"/>
      <c r="V59" s="483"/>
      <c r="W59" s="483"/>
      <c r="X59" s="480"/>
      <c r="Y59" s="483"/>
      <c r="Z59" s="257"/>
      <c r="AA59" s="483">
        <v>3.0</v>
      </c>
      <c r="AB59" s="483"/>
      <c r="AC59" s="480">
        <v>5.0</v>
      </c>
      <c r="AD59" s="448">
        <v>3.0</v>
      </c>
      <c r="AE59" s="483"/>
      <c r="AF59" s="482"/>
      <c r="AG59" s="482"/>
      <c r="AH59" s="483"/>
      <c r="AI59" s="483"/>
      <c r="AJ59" s="483"/>
      <c r="AK59" s="483"/>
      <c r="AL59" s="257"/>
      <c r="AM59" s="490"/>
      <c r="AN59" s="480">
        <v>7.0</v>
      </c>
      <c r="AO59" s="483"/>
      <c r="AP59" s="325"/>
      <c r="AQ59" s="483"/>
      <c r="AR59" s="482"/>
      <c r="AS59" s="482"/>
      <c r="AT59" s="483"/>
      <c r="AU59" s="483"/>
      <c r="AV59" s="483"/>
      <c r="AW59" s="483"/>
      <c r="AX59" s="257"/>
      <c r="AY59" s="212">
        <v>1.0</v>
      </c>
      <c r="AZ59" s="220">
        <v>3.0</v>
      </c>
      <c r="BA59" s="220">
        <v>2.0</v>
      </c>
      <c r="BB59" s="96">
        <v>1.0</v>
      </c>
      <c r="BC59" s="116"/>
      <c r="BD59" s="478"/>
      <c r="BE59" s="478"/>
      <c r="BF59" s="116"/>
      <c r="BG59" s="116"/>
      <c r="BH59" s="116"/>
      <c r="BI59" s="116"/>
      <c r="BJ59" s="186"/>
    </row>
    <row r="60">
      <c r="A60" s="102" t="s">
        <v>101</v>
      </c>
      <c r="B60" s="93">
        <v>349.0</v>
      </c>
      <c r="C60" s="479">
        <v>4.0</v>
      </c>
      <c r="D60" s="480">
        <v>3.0</v>
      </c>
      <c r="E60" s="483"/>
      <c r="F60" s="57"/>
      <c r="G60" s="90"/>
      <c r="H60" s="482"/>
      <c r="I60" s="482"/>
      <c r="J60" s="90"/>
      <c r="K60" s="483"/>
      <c r="L60" s="486"/>
      <c r="M60" s="483"/>
      <c r="N60" s="257"/>
      <c r="O60" s="479">
        <v>5.0</v>
      </c>
      <c r="P60" s="480">
        <v>9.0</v>
      </c>
      <c r="Q60" s="489">
        <v>2.0</v>
      </c>
      <c r="R60" s="57"/>
      <c r="S60" s="90"/>
      <c r="T60" s="482"/>
      <c r="U60" s="482"/>
      <c r="V60" s="90"/>
      <c r="W60" s="483"/>
      <c r="X60" s="487"/>
      <c r="Y60" s="483"/>
      <c r="Z60" s="257"/>
      <c r="AA60" s="493">
        <v>6.0</v>
      </c>
      <c r="AB60" s="480">
        <v>5.0</v>
      </c>
      <c r="AC60" s="480">
        <v>5.0</v>
      </c>
      <c r="AD60" s="97"/>
      <c r="AE60" s="90"/>
      <c r="AF60" s="482"/>
      <c r="AG60" s="482"/>
      <c r="AH60" s="90"/>
      <c r="AI60" s="483"/>
      <c r="AJ60" s="486"/>
      <c r="AK60" s="483"/>
      <c r="AL60" s="257"/>
      <c r="AM60" s="479">
        <v>3.0</v>
      </c>
      <c r="AN60" s="480">
        <v>4.0</v>
      </c>
      <c r="AO60" s="480">
        <v>4.0</v>
      </c>
      <c r="AP60" s="481"/>
      <c r="AQ60" s="90"/>
      <c r="AR60" s="482"/>
      <c r="AS60" s="482"/>
      <c r="AT60" s="90"/>
      <c r="AU60" s="483"/>
      <c r="AV60" s="486"/>
      <c r="AW60" s="483"/>
      <c r="AX60" s="257"/>
      <c r="AY60" s="212">
        <v>2.0</v>
      </c>
      <c r="AZ60" s="116"/>
      <c r="BA60" s="116"/>
      <c r="BB60" s="97">
        <v>4.0</v>
      </c>
      <c r="BC60" s="116"/>
      <c r="BD60" s="478"/>
      <c r="BE60" s="478"/>
      <c r="BF60" s="116"/>
      <c r="BG60" s="116"/>
      <c r="BH60" s="116"/>
      <c r="BI60" s="116"/>
      <c r="BJ60" s="186"/>
    </row>
    <row r="61">
      <c r="A61" s="102" t="s">
        <v>102</v>
      </c>
      <c r="B61" s="93">
        <v>269.0</v>
      </c>
      <c r="C61" s="479">
        <v>1.0</v>
      </c>
      <c r="D61" s="483"/>
      <c r="E61" s="211">
        <v>2.0</v>
      </c>
      <c r="F61" s="95"/>
      <c r="G61" s="483"/>
      <c r="H61" s="482"/>
      <c r="I61" s="482"/>
      <c r="J61" s="483"/>
      <c r="K61" s="483"/>
      <c r="L61" s="483"/>
      <c r="M61" s="486"/>
      <c r="N61" s="257"/>
      <c r="O61" s="490"/>
      <c r="P61" s="480">
        <v>4.0</v>
      </c>
      <c r="Q61" s="211">
        <v>2.0</v>
      </c>
      <c r="R61" s="95"/>
      <c r="S61" s="483"/>
      <c r="T61" s="482"/>
      <c r="U61" s="482"/>
      <c r="V61" s="483"/>
      <c r="W61" s="483"/>
      <c r="X61" s="483"/>
      <c r="Y61" s="486"/>
      <c r="Z61" s="257"/>
      <c r="AA61" s="211">
        <v>1.0</v>
      </c>
      <c r="AB61" s="483"/>
      <c r="AC61" s="203"/>
      <c r="AD61" s="96"/>
      <c r="AE61" s="483"/>
      <c r="AF61" s="482"/>
      <c r="AG61" s="482"/>
      <c r="AH61" s="483"/>
      <c r="AI61" s="483"/>
      <c r="AJ61" s="483"/>
      <c r="AK61" s="486"/>
      <c r="AL61" s="257"/>
      <c r="AM61" s="490"/>
      <c r="AN61" s="483"/>
      <c r="AO61" s="203"/>
      <c r="AP61" s="95"/>
      <c r="AQ61" s="483"/>
      <c r="AR61" s="482"/>
      <c r="AS61" s="482"/>
      <c r="AT61" s="483"/>
      <c r="AU61" s="483"/>
      <c r="AV61" s="483"/>
      <c r="AW61" s="486"/>
      <c r="AX61" s="257"/>
      <c r="AY61" s="329"/>
      <c r="AZ61" s="116"/>
      <c r="BA61" s="116"/>
      <c r="BB61" s="116"/>
      <c r="BC61" s="116"/>
      <c r="BD61" s="478"/>
      <c r="BE61" s="478"/>
      <c r="BF61" s="116"/>
      <c r="BG61" s="116"/>
      <c r="BH61" s="116"/>
      <c r="BI61" s="116"/>
      <c r="BJ61" s="186"/>
    </row>
    <row r="62">
      <c r="A62" s="102" t="s">
        <v>103</v>
      </c>
      <c r="B62" s="93">
        <v>459.0</v>
      </c>
      <c r="C62" s="317"/>
      <c r="D62" s="90"/>
      <c r="E62" s="203"/>
      <c r="F62" s="90"/>
      <c r="G62" s="90"/>
      <c r="H62" s="473"/>
      <c r="I62" s="491"/>
      <c r="J62" s="90"/>
      <c r="K62" s="90"/>
      <c r="L62" s="90"/>
      <c r="M62" s="90"/>
      <c r="N62" s="257"/>
      <c r="O62" s="323">
        <v>1.0</v>
      </c>
      <c r="P62" s="203"/>
      <c r="Q62" s="489">
        <v>1.0</v>
      </c>
      <c r="R62" s="90"/>
      <c r="S62" s="90"/>
      <c r="T62" s="473"/>
      <c r="U62" s="491"/>
      <c r="V62" s="90"/>
      <c r="W62" s="90"/>
      <c r="X62" s="211"/>
      <c r="Y62" s="90"/>
      <c r="Z62" s="257"/>
      <c r="AA62" s="203">
        <v>1.0</v>
      </c>
      <c r="AB62" s="90"/>
      <c r="AC62" s="203"/>
      <c r="AD62" s="218"/>
      <c r="AE62" s="90"/>
      <c r="AF62" s="473"/>
      <c r="AG62" s="491"/>
      <c r="AH62" s="90"/>
      <c r="AI62" s="90"/>
      <c r="AJ62" s="90"/>
      <c r="AK62" s="90"/>
      <c r="AL62" s="257"/>
      <c r="AM62" s="317"/>
      <c r="AN62" s="203"/>
      <c r="AO62" s="203"/>
      <c r="AP62" s="90"/>
      <c r="AQ62" s="90"/>
      <c r="AR62" s="473"/>
      <c r="AS62" s="491"/>
      <c r="AT62" s="90"/>
      <c r="AU62" s="90"/>
      <c r="AV62" s="90"/>
      <c r="AW62" s="90"/>
      <c r="AX62" s="257"/>
      <c r="AY62" s="329"/>
      <c r="AZ62" s="116"/>
      <c r="BA62" s="116"/>
      <c r="BB62" s="116"/>
      <c r="BC62" s="116"/>
      <c r="BD62" s="478"/>
      <c r="BE62" s="478"/>
      <c r="BF62" s="116"/>
      <c r="BG62" s="116"/>
      <c r="BH62" s="116"/>
      <c r="BI62" s="116"/>
      <c r="BJ62" s="186"/>
    </row>
    <row r="63">
      <c r="A63" s="102" t="s">
        <v>104</v>
      </c>
      <c r="B63" s="93">
        <v>459.0</v>
      </c>
      <c r="C63" s="406">
        <v>3.0</v>
      </c>
      <c r="D63" s="90"/>
      <c r="E63" s="211">
        <v>1.0</v>
      </c>
      <c r="F63" s="95"/>
      <c r="G63" s="90"/>
      <c r="H63" s="491"/>
      <c r="I63" s="473"/>
      <c r="J63" s="90"/>
      <c r="K63" s="483"/>
      <c r="L63" s="90"/>
      <c r="M63" s="90"/>
      <c r="N63" s="257"/>
      <c r="O63" s="406">
        <v>1.0</v>
      </c>
      <c r="P63" s="211">
        <v>1.0</v>
      </c>
      <c r="Q63" s="203"/>
      <c r="R63" s="325">
        <v>1.0</v>
      </c>
      <c r="S63" s="90"/>
      <c r="T63" s="491"/>
      <c r="U63" s="473"/>
      <c r="V63" s="90"/>
      <c r="W63" s="483"/>
      <c r="X63" s="211"/>
      <c r="Y63" s="90"/>
      <c r="Z63" s="257"/>
      <c r="AA63" s="203">
        <v>1.0</v>
      </c>
      <c r="AB63" s="90"/>
      <c r="AC63" s="480">
        <v>1.0</v>
      </c>
      <c r="AD63" s="448">
        <v>1.0</v>
      </c>
      <c r="AE63" s="90"/>
      <c r="AF63" s="491"/>
      <c r="AG63" s="473"/>
      <c r="AH63" s="90"/>
      <c r="AI63" s="483"/>
      <c r="AJ63" s="90"/>
      <c r="AK63" s="90"/>
      <c r="AL63" s="257"/>
      <c r="AM63" s="399"/>
      <c r="AN63" s="203"/>
      <c r="AO63" s="211">
        <v>1.0</v>
      </c>
      <c r="AP63" s="95"/>
      <c r="AQ63" s="90"/>
      <c r="AR63" s="491"/>
      <c r="AS63" s="473"/>
      <c r="AT63" s="90"/>
      <c r="AU63" s="483"/>
      <c r="AV63" s="90"/>
      <c r="AW63" s="90"/>
      <c r="AX63" s="257"/>
      <c r="AY63" s="329"/>
      <c r="AZ63" s="116"/>
      <c r="BA63" s="116"/>
      <c r="BB63" s="116"/>
      <c r="BC63" s="116"/>
      <c r="BD63" s="478"/>
      <c r="BE63" s="478"/>
      <c r="BF63" s="116"/>
      <c r="BG63" s="116"/>
      <c r="BH63" s="116"/>
      <c r="BI63" s="116"/>
      <c r="BJ63" s="186"/>
    </row>
    <row r="64">
      <c r="A64" s="102" t="s">
        <v>105</v>
      </c>
      <c r="B64" s="93">
        <v>459.0</v>
      </c>
      <c r="C64" s="399"/>
      <c r="D64" s="487">
        <v>1.0</v>
      </c>
      <c r="E64" s="203"/>
      <c r="F64" s="90"/>
      <c r="G64" s="90"/>
      <c r="H64" s="473"/>
      <c r="I64" s="473"/>
      <c r="J64" s="486"/>
      <c r="K64" s="90"/>
      <c r="L64" s="90"/>
      <c r="M64" s="90"/>
      <c r="N64" s="186"/>
      <c r="O64" s="406">
        <v>1.0</v>
      </c>
      <c r="P64" s="486"/>
      <c r="Q64" s="203"/>
      <c r="R64" s="205">
        <v>1.0</v>
      </c>
      <c r="S64" s="90"/>
      <c r="T64" s="473"/>
      <c r="U64" s="473"/>
      <c r="V64" s="486"/>
      <c r="W64" s="90"/>
      <c r="X64" s="203"/>
      <c r="Y64" s="90"/>
      <c r="Z64" s="186"/>
      <c r="AA64" s="203"/>
      <c r="AB64" s="487">
        <v>2.0</v>
      </c>
      <c r="AC64" s="203"/>
      <c r="AD64" s="218"/>
      <c r="AE64" s="90"/>
      <c r="AF64" s="473"/>
      <c r="AG64" s="473"/>
      <c r="AH64" s="486"/>
      <c r="AI64" s="90"/>
      <c r="AJ64" s="90"/>
      <c r="AK64" s="90"/>
      <c r="AL64" s="186"/>
      <c r="AM64" s="399"/>
      <c r="AN64" s="487">
        <v>1.0</v>
      </c>
      <c r="AO64" s="203"/>
      <c r="AP64" s="90"/>
      <c r="AQ64" s="90"/>
      <c r="AR64" s="473"/>
      <c r="AS64" s="473"/>
      <c r="AT64" s="486"/>
      <c r="AU64" s="90"/>
      <c r="AV64" s="90"/>
      <c r="AW64" s="90"/>
      <c r="AX64" s="186"/>
      <c r="AY64" s="329"/>
      <c r="AZ64" s="116"/>
      <c r="BA64" s="116"/>
      <c r="BB64" s="116"/>
      <c r="BC64" s="116"/>
      <c r="BD64" s="478"/>
      <c r="BE64" s="478"/>
      <c r="BF64" s="116"/>
      <c r="BG64" s="116"/>
      <c r="BH64" s="116"/>
      <c r="BI64" s="116"/>
      <c r="BJ64" s="186"/>
    </row>
    <row r="65" hidden="1">
      <c r="A65" s="102" t="s">
        <v>106</v>
      </c>
      <c r="B65" s="93">
        <v>819.0</v>
      </c>
      <c r="C65" s="317"/>
      <c r="D65" s="90"/>
      <c r="E65" s="203"/>
      <c r="F65" s="90"/>
      <c r="G65" s="90"/>
      <c r="H65" s="473"/>
      <c r="I65" s="473"/>
      <c r="J65" s="90"/>
      <c r="K65" s="90"/>
      <c r="L65" s="90"/>
      <c r="M65" s="90"/>
      <c r="N65" s="186"/>
      <c r="O65" s="317"/>
      <c r="P65" s="203"/>
      <c r="Q65" s="203"/>
      <c r="R65" s="90"/>
      <c r="S65" s="90"/>
      <c r="T65" s="473"/>
      <c r="U65" s="473"/>
      <c r="V65" s="90"/>
      <c r="W65" s="90"/>
      <c r="X65" s="203"/>
      <c r="Y65" s="90"/>
      <c r="Z65" s="186"/>
      <c r="AA65" s="203"/>
      <c r="AB65" s="90"/>
      <c r="AC65" s="203"/>
      <c r="AD65" s="218"/>
      <c r="AE65" s="90"/>
      <c r="AF65" s="473"/>
      <c r="AG65" s="473"/>
      <c r="AH65" s="90"/>
      <c r="AI65" s="90"/>
      <c r="AJ65" s="90"/>
      <c r="AK65" s="90"/>
      <c r="AL65" s="186"/>
      <c r="AM65" s="317"/>
      <c r="AN65" s="203"/>
      <c r="AO65" s="203"/>
      <c r="AP65" s="90"/>
      <c r="AQ65" s="90"/>
      <c r="AR65" s="473"/>
      <c r="AS65" s="473"/>
      <c r="AT65" s="90"/>
      <c r="AU65" s="90"/>
      <c r="AV65" s="90"/>
      <c r="AW65" s="90"/>
      <c r="AX65" s="186"/>
      <c r="AY65" s="329"/>
      <c r="AZ65" s="116"/>
      <c r="BA65" s="116"/>
      <c r="BB65" s="116"/>
      <c r="BC65" s="116"/>
      <c r="BD65" s="478"/>
      <c r="BE65" s="478"/>
      <c r="BF65" s="116"/>
      <c r="BG65" s="116"/>
      <c r="BH65" s="116"/>
      <c r="BI65" s="116"/>
      <c r="BJ65" s="186"/>
    </row>
    <row r="66" hidden="1">
      <c r="A66" s="102" t="s">
        <v>107</v>
      </c>
      <c r="B66" s="93">
        <v>819.0</v>
      </c>
      <c r="C66" s="317"/>
      <c r="D66" s="90"/>
      <c r="E66" s="203"/>
      <c r="F66" s="90"/>
      <c r="G66" s="90"/>
      <c r="H66" s="473"/>
      <c r="I66" s="473"/>
      <c r="J66" s="90"/>
      <c r="K66" s="90"/>
      <c r="L66" s="90"/>
      <c r="M66" s="90"/>
      <c r="N66" s="186"/>
      <c r="O66" s="317"/>
      <c r="P66" s="203"/>
      <c r="Q66" s="203"/>
      <c r="R66" s="90"/>
      <c r="S66" s="90"/>
      <c r="T66" s="473"/>
      <c r="U66" s="473"/>
      <c r="V66" s="90"/>
      <c r="W66" s="90"/>
      <c r="X66" s="203"/>
      <c r="Y66" s="90"/>
      <c r="Z66" s="186"/>
      <c r="AA66" s="203"/>
      <c r="AB66" s="90"/>
      <c r="AC66" s="203"/>
      <c r="AD66" s="218"/>
      <c r="AE66" s="90"/>
      <c r="AF66" s="473"/>
      <c r="AG66" s="473"/>
      <c r="AH66" s="90"/>
      <c r="AI66" s="90"/>
      <c r="AJ66" s="90"/>
      <c r="AK66" s="90"/>
      <c r="AL66" s="186"/>
      <c r="AM66" s="317"/>
      <c r="AN66" s="203"/>
      <c r="AO66" s="203"/>
      <c r="AP66" s="90"/>
      <c r="AQ66" s="90"/>
      <c r="AR66" s="473"/>
      <c r="AS66" s="473"/>
      <c r="AT66" s="90"/>
      <c r="AU66" s="90"/>
      <c r="AV66" s="90"/>
      <c r="AW66" s="90"/>
      <c r="AX66" s="186"/>
      <c r="AY66" s="329"/>
      <c r="AZ66" s="116"/>
      <c r="BA66" s="116"/>
      <c r="BB66" s="116"/>
      <c r="BC66" s="116"/>
      <c r="BD66" s="478"/>
      <c r="BE66" s="478"/>
      <c r="BF66" s="116"/>
      <c r="BG66" s="116"/>
      <c r="BH66" s="116"/>
      <c r="BI66" s="116"/>
      <c r="BJ66" s="186"/>
    </row>
    <row r="67" hidden="1">
      <c r="A67" s="102" t="s">
        <v>108</v>
      </c>
      <c r="B67" s="93">
        <v>819.0</v>
      </c>
      <c r="C67" s="317"/>
      <c r="D67" s="90"/>
      <c r="E67" s="203"/>
      <c r="F67" s="90"/>
      <c r="G67" s="90"/>
      <c r="H67" s="473"/>
      <c r="I67" s="473"/>
      <c r="J67" s="90"/>
      <c r="K67" s="90"/>
      <c r="L67" s="90"/>
      <c r="M67" s="90"/>
      <c r="N67" s="186"/>
      <c r="O67" s="317"/>
      <c r="P67" s="203"/>
      <c r="Q67" s="203"/>
      <c r="R67" s="90"/>
      <c r="S67" s="90"/>
      <c r="T67" s="473"/>
      <c r="U67" s="473"/>
      <c r="V67" s="90"/>
      <c r="W67" s="90"/>
      <c r="X67" s="203"/>
      <c r="Y67" s="90"/>
      <c r="Z67" s="186"/>
      <c r="AA67" s="203"/>
      <c r="AB67" s="90"/>
      <c r="AC67" s="203"/>
      <c r="AD67" s="218"/>
      <c r="AE67" s="90"/>
      <c r="AF67" s="473"/>
      <c r="AG67" s="473"/>
      <c r="AH67" s="90"/>
      <c r="AI67" s="90"/>
      <c r="AJ67" s="90"/>
      <c r="AK67" s="90"/>
      <c r="AL67" s="186"/>
      <c r="AM67" s="317"/>
      <c r="AN67" s="203"/>
      <c r="AO67" s="203"/>
      <c r="AP67" s="90"/>
      <c r="AQ67" s="90"/>
      <c r="AR67" s="473"/>
      <c r="AS67" s="473"/>
      <c r="AT67" s="90"/>
      <c r="AU67" s="90"/>
      <c r="AV67" s="90"/>
      <c r="AW67" s="90"/>
      <c r="AX67" s="186"/>
      <c r="AY67" s="329"/>
      <c r="AZ67" s="116"/>
      <c r="BA67" s="116"/>
      <c r="BB67" s="116"/>
      <c r="BC67" s="116"/>
      <c r="BD67" s="478"/>
      <c r="BE67" s="478"/>
      <c r="BF67" s="116"/>
      <c r="BG67" s="116"/>
      <c r="BH67" s="116"/>
      <c r="BI67" s="116"/>
      <c r="BJ67" s="186"/>
    </row>
    <row r="68" hidden="1">
      <c r="A68" s="102" t="s">
        <v>109</v>
      </c>
      <c r="B68" s="96">
        <v>1299.0</v>
      </c>
      <c r="C68" s="317"/>
      <c r="D68" s="90"/>
      <c r="E68" s="203"/>
      <c r="F68" s="90"/>
      <c r="G68" s="90"/>
      <c r="H68" s="473"/>
      <c r="I68" s="473"/>
      <c r="J68" s="90"/>
      <c r="K68" s="90"/>
      <c r="L68" s="90"/>
      <c r="M68" s="90"/>
      <c r="N68" s="186"/>
      <c r="O68" s="317"/>
      <c r="P68" s="203"/>
      <c r="Q68" s="203"/>
      <c r="R68" s="90"/>
      <c r="S68" s="90"/>
      <c r="T68" s="473"/>
      <c r="U68" s="473"/>
      <c r="V68" s="90"/>
      <c r="W68" s="90"/>
      <c r="X68" s="203"/>
      <c r="Y68" s="90"/>
      <c r="Z68" s="186"/>
      <c r="AA68" s="203"/>
      <c r="AB68" s="90"/>
      <c r="AC68" s="203"/>
      <c r="AD68" s="218"/>
      <c r="AE68" s="90"/>
      <c r="AF68" s="473"/>
      <c r="AG68" s="473"/>
      <c r="AH68" s="90"/>
      <c r="AI68" s="90"/>
      <c r="AJ68" s="90"/>
      <c r="AK68" s="90"/>
      <c r="AL68" s="186"/>
      <c r="AM68" s="317"/>
      <c r="AN68" s="203"/>
      <c r="AO68" s="203"/>
      <c r="AP68" s="90"/>
      <c r="AQ68" s="90"/>
      <c r="AR68" s="473"/>
      <c r="AS68" s="473"/>
      <c r="AT68" s="90"/>
      <c r="AU68" s="90"/>
      <c r="AV68" s="90"/>
      <c r="AW68" s="90"/>
      <c r="AX68" s="186"/>
      <c r="AY68" s="329"/>
      <c r="AZ68" s="116"/>
      <c r="BA68" s="116"/>
      <c r="BB68" s="116"/>
      <c r="BC68" s="116"/>
      <c r="BD68" s="478"/>
      <c r="BE68" s="478"/>
      <c r="BF68" s="116"/>
      <c r="BG68" s="116"/>
      <c r="BH68" s="116"/>
      <c r="BI68" s="116"/>
      <c r="BJ68" s="186"/>
    </row>
    <row r="69" hidden="1">
      <c r="A69" s="102" t="s">
        <v>110</v>
      </c>
      <c r="B69" s="96">
        <v>1299.0</v>
      </c>
      <c r="C69" s="317"/>
      <c r="D69" s="90"/>
      <c r="E69" s="203"/>
      <c r="F69" s="90"/>
      <c r="G69" s="90"/>
      <c r="H69" s="473"/>
      <c r="I69" s="473"/>
      <c r="J69" s="90"/>
      <c r="K69" s="90"/>
      <c r="L69" s="90"/>
      <c r="M69" s="90"/>
      <c r="N69" s="186"/>
      <c r="O69" s="317"/>
      <c r="P69" s="203"/>
      <c r="Q69" s="203"/>
      <c r="R69" s="90"/>
      <c r="S69" s="90"/>
      <c r="T69" s="473"/>
      <c r="U69" s="473"/>
      <c r="V69" s="90"/>
      <c r="W69" s="90"/>
      <c r="X69" s="203"/>
      <c r="Y69" s="90"/>
      <c r="Z69" s="186"/>
      <c r="AA69" s="203"/>
      <c r="AB69" s="90"/>
      <c r="AC69" s="203"/>
      <c r="AD69" s="218"/>
      <c r="AE69" s="90"/>
      <c r="AF69" s="473"/>
      <c r="AG69" s="473"/>
      <c r="AH69" s="90"/>
      <c r="AI69" s="90"/>
      <c r="AJ69" s="90"/>
      <c r="AK69" s="90"/>
      <c r="AL69" s="186"/>
      <c r="AM69" s="317"/>
      <c r="AN69" s="203"/>
      <c r="AO69" s="203"/>
      <c r="AP69" s="90"/>
      <c r="AQ69" s="90"/>
      <c r="AR69" s="473"/>
      <c r="AS69" s="473"/>
      <c r="AT69" s="90"/>
      <c r="AU69" s="90"/>
      <c r="AV69" s="90"/>
      <c r="AW69" s="90"/>
      <c r="AX69" s="186"/>
      <c r="AY69" s="329"/>
      <c r="AZ69" s="116"/>
      <c r="BA69" s="116"/>
      <c r="BB69" s="116"/>
      <c r="BC69" s="116"/>
      <c r="BD69" s="478"/>
      <c r="BE69" s="478"/>
      <c r="BF69" s="116"/>
      <c r="BG69" s="116"/>
      <c r="BH69" s="116"/>
      <c r="BI69" s="116"/>
      <c r="BJ69" s="186"/>
    </row>
    <row r="70" hidden="1">
      <c r="A70" s="101" t="s">
        <v>111</v>
      </c>
      <c r="B70" s="96">
        <v>1299.0</v>
      </c>
      <c r="C70" s="317"/>
      <c r="D70" s="90"/>
      <c r="E70" s="203"/>
      <c r="F70" s="90"/>
      <c r="G70" s="90"/>
      <c r="H70" s="473"/>
      <c r="I70" s="473"/>
      <c r="J70" s="90"/>
      <c r="K70" s="90"/>
      <c r="L70" s="90"/>
      <c r="M70" s="90"/>
      <c r="N70" s="186"/>
      <c r="O70" s="317"/>
      <c r="P70" s="203"/>
      <c r="Q70" s="203"/>
      <c r="R70" s="90"/>
      <c r="S70" s="90"/>
      <c r="T70" s="473"/>
      <c r="U70" s="473"/>
      <c r="V70" s="90"/>
      <c r="W70" s="90"/>
      <c r="X70" s="203"/>
      <c r="Y70" s="90"/>
      <c r="Z70" s="186"/>
      <c r="AA70" s="203"/>
      <c r="AB70" s="90"/>
      <c r="AC70" s="203"/>
      <c r="AD70" s="218"/>
      <c r="AE70" s="90"/>
      <c r="AF70" s="473"/>
      <c r="AG70" s="473"/>
      <c r="AH70" s="90"/>
      <c r="AI70" s="90"/>
      <c r="AJ70" s="90"/>
      <c r="AK70" s="90"/>
      <c r="AL70" s="186"/>
      <c r="AM70" s="317"/>
      <c r="AN70" s="203"/>
      <c r="AO70" s="203"/>
      <c r="AP70" s="90"/>
      <c r="AQ70" s="90"/>
      <c r="AR70" s="473"/>
      <c r="AS70" s="473"/>
      <c r="AT70" s="90"/>
      <c r="AU70" s="90"/>
      <c r="AV70" s="90"/>
      <c r="AW70" s="90"/>
      <c r="AX70" s="186"/>
      <c r="AY70" s="329"/>
      <c r="AZ70" s="116"/>
      <c r="BA70" s="116"/>
      <c r="BB70" s="116"/>
      <c r="BC70" s="116"/>
      <c r="BD70" s="478"/>
      <c r="BE70" s="478"/>
      <c r="BF70" s="116"/>
      <c r="BG70" s="116"/>
      <c r="BH70" s="116"/>
      <c r="BI70" s="116"/>
      <c r="BJ70" s="186"/>
    </row>
    <row r="71">
      <c r="A71" s="101" t="s">
        <v>112</v>
      </c>
      <c r="B71" s="93">
        <v>629.0</v>
      </c>
      <c r="C71" s="399"/>
      <c r="D71" s="480">
        <v>1.0</v>
      </c>
      <c r="E71" s="203"/>
      <c r="F71" s="481">
        <v>3.0</v>
      </c>
      <c r="G71" s="486"/>
      <c r="H71" s="482"/>
      <c r="I71" s="482"/>
      <c r="J71" s="486"/>
      <c r="K71" s="483"/>
      <c r="L71" s="486"/>
      <c r="M71" s="90"/>
      <c r="N71" s="257"/>
      <c r="O71" s="406">
        <v>3.0</v>
      </c>
      <c r="P71" s="480">
        <v>2.0</v>
      </c>
      <c r="Q71" s="489">
        <v>3.0</v>
      </c>
      <c r="R71" s="57"/>
      <c r="S71" s="486"/>
      <c r="T71" s="482"/>
      <c r="U71" s="482"/>
      <c r="V71" s="486"/>
      <c r="W71" s="483"/>
      <c r="X71" s="487"/>
      <c r="Y71" s="90"/>
      <c r="Z71" s="257"/>
      <c r="AA71" s="493">
        <v>2.0</v>
      </c>
      <c r="AB71" s="480">
        <v>1.0</v>
      </c>
      <c r="AC71" s="211">
        <v>2.0</v>
      </c>
      <c r="AD71" s="485">
        <v>1.0</v>
      </c>
      <c r="AE71" s="486"/>
      <c r="AF71" s="482"/>
      <c r="AG71" s="482"/>
      <c r="AH71" s="486"/>
      <c r="AI71" s="483"/>
      <c r="AJ71" s="486"/>
      <c r="AK71" s="90"/>
      <c r="AL71" s="257"/>
      <c r="AM71" s="406">
        <v>2.0</v>
      </c>
      <c r="AN71" s="480">
        <v>2.0</v>
      </c>
      <c r="AO71" s="211">
        <v>1.0</v>
      </c>
      <c r="AP71" s="481">
        <v>2.0</v>
      </c>
      <c r="AQ71" s="486"/>
      <c r="AR71" s="482"/>
      <c r="AS71" s="482"/>
      <c r="AT71" s="486"/>
      <c r="AU71" s="483"/>
      <c r="AV71" s="486"/>
      <c r="AW71" s="90"/>
      <c r="AX71" s="257"/>
      <c r="AY71" s="212">
        <v>1.0</v>
      </c>
      <c r="AZ71" s="116"/>
      <c r="BA71" s="116"/>
      <c r="BB71" s="116"/>
      <c r="BC71" s="116"/>
      <c r="BD71" s="478"/>
      <c r="BE71" s="478"/>
      <c r="BF71" s="116"/>
      <c r="BG71" s="116"/>
      <c r="BH71" s="116"/>
      <c r="BI71" s="116"/>
      <c r="BJ71" s="186"/>
    </row>
    <row r="72">
      <c r="A72" s="101" t="s">
        <v>113</v>
      </c>
      <c r="B72" s="187">
        <f t="shared" ref="B72:B74" si="1">1599+20</f>
        <v>1619</v>
      </c>
      <c r="C72" s="203"/>
      <c r="D72" s="90"/>
      <c r="E72" s="203"/>
      <c r="F72" s="90"/>
      <c r="G72" s="90"/>
      <c r="H72" s="473"/>
      <c r="I72" s="473"/>
      <c r="J72" s="90"/>
      <c r="K72" s="90"/>
      <c r="L72" s="90"/>
      <c r="M72" s="90"/>
      <c r="N72" s="186"/>
      <c r="O72" s="211">
        <v>2.0</v>
      </c>
      <c r="P72" s="203"/>
      <c r="Q72" s="203"/>
      <c r="R72" s="90"/>
      <c r="S72" s="90"/>
      <c r="T72" s="473"/>
      <c r="U72" s="473"/>
      <c r="V72" s="90"/>
      <c r="W72" s="90"/>
      <c r="X72" s="211"/>
      <c r="Y72" s="90"/>
      <c r="Z72" s="186"/>
      <c r="AA72" s="203">
        <v>1.0</v>
      </c>
      <c r="AB72" s="90"/>
      <c r="AC72" s="203"/>
      <c r="AD72" s="492">
        <v>1.0</v>
      </c>
      <c r="AE72" s="90"/>
      <c r="AF72" s="473"/>
      <c r="AG72" s="473"/>
      <c r="AH72" s="90"/>
      <c r="AI72" s="90"/>
      <c r="AJ72" s="90"/>
      <c r="AK72" s="90"/>
      <c r="AL72" s="186"/>
      <c r="AM72" s="203"/>
      <c r="AN72" s="203"/>
      <c r="AO72" s="203"/>
      <c r="AP72" s="90"/>
      <c r="AQ72" s="90"/>
      <c r="AR72" s="473"/>
      <c r="AS72" s="473"/>
      <c r="AT72" s="90"/>
      <c r="AU72" s="90"/>
      <c r="AV72" s="90"/>
      <c r="AW72" s="90"/>
      <c r="AX72" s="186"/>
      <c r="AY72" s="218"/>
      <c r="AZ72" s="116"/>
      <c r="BA72" s="212">
        <v>1.0</v>
      </c>
      <c r="BB72" s="116"/>
      <c r="BC72" s="116"/>
      <c r="BD72" s="478"/>
      <c r="BE72" s="478"/>
      <c r="BF72" s="116"/>
      <c r="BG72" s="116"/>
      <c r="BH72" s="116"/>
      <c r="BI72" s="116"/>
      <c r="BJ72" s="186"/>
    </row>
    <row r="73">
      <c r="A73" s="101" t="s">
        <v>114</v>
      </c>
      <c r="B73" s="187">
        <f t="shared" si="1"/>
        <v>1619</v>
      </c>
      <c r="C73" s="486"/>
      <c r="D73" s="90"/>
      <c r="E73" s="203"/>
      <c r="F73" s="90"/>
      <c r="G73" s="90"/>
      <c r="H73" s="473"/>
      <c r="I73" s="473"/>
      <c r="J73" s="90"/>
      <c r="K73" s="90"/>
      <c r="L73" s="90"/>
      <c r="M73" s="90"/>
      <c r="N73" s="186"/>
      <c r="O73" s="487">
        <v>3.0</v>
      </c>
      <c r="P73" s="203"/>
      <c r="Q73" s="203"/>
      <c r="R73" s="90"/>
      <c r="S73" s="90"/>
      <c r="T73" s="473"/>
      <c r="U73" s="473"/>
      <c r="V73" s="90"/>
      <c r="W73" s="90"/>
      <c r="X73" s="211"/>
      <c r="Y73" s="90"/>
      <c r="Z73" s="186"/>
      <c r="AA73" s="203">
        <v>1.0</v>
      </c>
      <c r="AB73" s="90"/>
      <c r="AC73" s="203"/>
      <c r="AD73" s="218"/>
      <c r="AE73" s="90"/>
      <c r="AF73" s="473"/>
      <c r="AG73" s="473"/>
      <c r="AH73" s="90"/>
      <c r="AI73" s="90"/>
      <c r="AJ73" s="90"/>
      <c r="AK73" s="90"/>
      <c r="AL73" s="186"/>
      <c r="AM73" s="486"/>
      <c r="AN73" s="203"/>
      <c r="AO73" s="203"/>
      <c r="AP73" s="90"/>
      <c r="AQ73" s="90"/>
      <c r="AR73" s="473"/>
      <c r="AS73" s="473"/>
      <c r="AT73" s="90"/>
      <c r="AU73" s="90"/>
      <c r="AV73" s="90"/>
      <c r="AW73" s="90"/>
      <c r="AX73" s="186"/>
      <c r="AY73" s="218"/>
      <c r="AZ73" s="116"/>
      <c r="BA73" s="116"/>
      <c r="BB73" s="116"/>
      <c r="BC73" s="116"/>
      <c r="BD73" s="478"/>
      <c r="BE73" s="478"/>
      <c r="BF73" s="116"/>
      <c r="BG73" s="116"/>
      <c r="BH73" s="116"/>
      <c r="BI73" s="116"/>
      <c r="BJ73" s="186"/>
    </row>
    <row r="74">
      <c r="A74" s="101" t="s">
        <v>115</v>
      </c>
      <c r="B74" s="187">
        <f t="shared" si="1"/>
        <v>1619</v>
      </c>
      <c r="C74" s="203"/>
      <c r="D74" s="90"/>
      <c r="E74" s="203"/>
      <c r="F74" s="90"/>
      <c r="G74" s="90"/>
      <c r="H74" s="473"/>
      <c r="I74" s="90"/>
      <c r="J74" s="90"/>
      <c r="K74" s="90"/>
      <c r="L74" s="90"/>
      <c r="M74" s="90"/>
      <c r="N74" s="186"/>
      <c r="O74" s="211">
        <v>1.0</v>
      </c>
      <c r="P74" s="211">
        <v>3.0</v>
      </c>
      <c r="Q74" s="203"/>
      <c r="R74" s="90"/>
      <c r="S74" s="90"/>
      <c r="T74" s="473"/>
      <c r="U74" s="90"/>
      <c r="V74" s="90"/>
      <c r="W74" s="90"/>
      <c r="X74" s="203"/>
      <c r="Y74" s="90"/>
      <c r="Z74" s="186"/>
      <c r="AA74" s="484"/>
      <c r="AB74" s="90"/>
      <c r="AC74" s="203"/>
      <c r="AD74" s="218"/>
      <c r="AE74" s="90"/>
      <c r="AF74" s="473"/>
      <c r="AG74" s="90"/>
      <c r="AH74" s="90"/>
      <c r="AI74" s="90"/>
      <c r="AJ74" s="90"/>
      <c r="AK74" s="90"/>
      <c r="AL74" s="186"/>
      <c r="AM74" s="211">
        <v>1.0</v>
      </c>
      <c r="AN74" s="203"/>
      <c r="AO74" s="203"/>
      <c r="AP74" s="90"/>
      <c r="AQ74" s="90"/>
      <c r="AR74" s="473"/>
      <c r="AS74" s="90"/>
      <c r="AT74" s="90"/>
      <c r="AU74" s="90"/>
      <c r="AV74" s="90"/>
      <c r="AW74" s="90"/>
      <c r="AX74" s="186"/>
      <c r="AY74" s="218"/>
      <c r="AZ74" s="116"/>
      <c r="BA74" s="116"/>
      <c r="BB74" s="116"/>
      <c r="BC74" s="116"/>
      <c r="BD74" s="478"/>
      <c r="BE74" s="116"/>
      <c r="BF74" s="116"/>
      <c r="BG74" s="116"/>
      <c r="BH74" s="116"/>
      <c r="BI74" s="116"/>
      <c r="BJ74" s="186"/>
    </row>
    <row r="75">
      <c r="A75" s="101" t="s">
        <v>116</v>
      </c>
      <c r="B75" s="108"/>
      <c r="C75" s="494"/>
      <c r="D75" s="495"/>
      <c r="E75" s="494"/>
      <c r="F75" s="495"/>
      <c r="G75" s="495"/>
      <c r="H75" s="496"/>
      <c r="I75" s="495"/>
      <c r="J75" s="495"/>
      <c r="K75" s="90"/>
      <c r="L75" s="495"/>
      <c r="M75" s="495"/>
      <c r="N75" s="186"/>
      <c r="O75" s="494"/>
      <c r="P75" s="494"/>
      <c r="Q75" s="494"/>
      <c r="R75" s="495"/>
      <c r="S75" s="495"/>
      <c r="T75" s="496"/>
      <c r="U75" s="495"/>
      <c r="V75" s="495"/>
      <c r="W75" s="90"/>
      <c r="X75" s="494"/>
      <c r="Y75" s="495"/>
      <c r="Z75" s="186"/>
      <c r="AA75" s="494"/>
      <c r="AB75" s="495"/>
      <c r="AC75" s="494"/>
      <c r="AD75" s="218"/>
      <c r="AE75" s="495"/>
      <c r="AF75" s="496"/>
      <c r="AG75" s="495"/>
      <c r="AH75" s="495"/>
      <c r="AI75" s="90"/>
      <c r="AJ75" s="495"/>
      <c r="AK75" s="495"/>
      <c r="AL75" s="186"/>
      <c r="AM75" s="497">
        <v>2.0</v>
      </c>
      <c r="AN75" s="494"/>
      <c r="AO75" s="494"/>
      <c r="AP75" s="495"/>
      <c r="AQ75" s="495"/>
      <c r="AR75" s="496"/>
      <c r="AS75" s="495"/>
      <c r="AT75" s="495"/>
      <c r="AU75" s="90"/>
      <c r="AV75" s="495"/>
      <c r="AW75" s="495"/>
      <c r="AX75" s="186"/>
      <c r="AY75" s="494"/>
      <c r="AZ75" s="495"/>
      <c r="BA75" s="495"/>
      <c r="BB75" s="495"/>
      <c r="BC75" s="495"/>
      <c r="BD75" s="496"/>
      <c r="BE75" s="495"/>
      <c r="BF75" s="495"/>
      <c r="BG75" s="116"/>
      <c r="BH75" s="495"/>
      <c r="BI75" s="495"/>
      <c r="BJ75" s="186"/>
    </row>
    <row r="76">
      <c r="A76" s="109"/>
      <c r="B76" s="108"/>
      <c r="C76" s="203"/>
      <c r="D76" s="90"/>
      <c r="E76" s="203"/>
      <c r="F76" s="90"/>
      <c r="G76" s="90"/>
      <c r="H76" s="90"/>
      <c r="I76" s="90"/>
      <c r="J76" s="90"/>
      <c r="K76" s="90"/>
      <c r="L76" s="90"/>
      <c r="M76" s="90"/>
      <c r="N76" s="186"/>
      <c r="O76" s="203"/>
      <c r="P76" s="203"/>
      <c r="Q76" s="203"/>
      <c r="R76" s="90"/>
      <c r="S76" s="90"/>
      <c r="T76" s="90"/>
      <c r="U76" s="90"/>
      <c r="V76" s="90"/>
      <c r="W76" s="90"/>
      <c r="X76" s="203"/>
      <c r="Y76" s="90"/>
      <c r="Z76" s="186"/>
      <c r="AA76" s="203"/>
      <c r="AB76" s="90"/>
      <c r="AC76" s="203"/>
      <c r="AD76" s="218"/>
      <c r="AE76" s="90"/>
      <c r="AF76" s="90"/>
      <c r="AG76" s="90"/>
      <c r="AH76" s="90"/>
      <c r="AI76" s="90"/>
      <c r="AJ76" s="90"/>
      <c r="AK76" s="90"/>
      <c r="AL76" s="186"/>
      <c r="AM76" s="203"/>
      <c r="AN76" s="203"/>
      <c r="AO76" s="203"/>
      <c r="AP76" s="90"/>
      <c r="AQ76" s="90"/>
      <c r="AR76" s="90"/>
      <c r="AS76" s="90"/>
      <c r="AT76" s="90"/>
      <c r="AU76" s="90"/>
      <c r="AV76" s="90"/>
      <c r="AW76" s="90"/>
      <c r="AX76" s="186"/>
      <c r="AY76" s="218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86"/>
    </row>
    <row r="77">
      <c r="A77" s="110" t="s">
        <v>117</v>
      </c>
      <c r="B77" s="96">
        <v>399.0</v>
      </c>
      <c r="C77" s="494"/>
      <c r="D77" s="495"/>
      <c r="E77" s="498"/>
      <c r="F77" s="495"/>
      <c r="G77" s="495"/>
      <c r="H77" s="495"/>
      <c r="I77" s="495"/>
      <c r="J77" s="495"/>
      <c r="K77" s="90"/>
      <c r="L77" s="495"/>
      <c r="M77" s="495"/>
      <c r="N77" s="186"/>
      <c r="O77" s="494"/>
      <c r="P77" s="494"/>
      <c r="Q77" s="498"/>
      <c r="R77" s="495"/>
      <c r="S77" s="495"/>
      <c r="T77" s="495"/>
      <c r="U77" s="495"/>
      <c r="V77" s="495"/>
      <c r="W77" s="90"/>
      <c r="X77" s="497"/>
      <c r="Y77" s="495"/>
      <c r="Z77" s="186"/>
      <c r="AA77" s="499">
        <v>1.0</v>
      </c>
      <c r="AB77" s="495"/>
      <c r="AC77" s="498"/>
      <c r="AD77" s="218"/>
      <c r="AE77" s="495"/>
      <c r="AF77" s="495"/>
      <c r="AG77" s="495"/>
      <c r="AH77" s="495"/>
      <c r="AI77" s="90"/>
      <c r="AJ77" s="495"/>
      <c r="AK77" s="495"/>
      <c r="AL77" s="186"/>
      <c r="AM77" s="494"/>
      <c r="AN77" s="500">
        <v>1.0</v>
      </c>
      <c r="AO77" s="498"/>
      <c r="AP77" s="495"/>
      <c r="AQ77" s="495"/>
      <c r="AR77" s="495"/>
      <c r="AS77" s="495"/>
      <c r="AT77" s="495"/>
      <c r="AU77" s="90"/>
      <c r="AV77" s="495"/>
      <c r="AW77" s="495"/>
      <c r="AX77" s="186"/>
      <c r="AY77" s="494"/>
      <c r="AZ77" s="495"/>
      <c r="BA77" s="501"/>
      <c r="BB77" s="495"/>
      <c r="BC77" s="495"/>
      <c r="BD77" s="495"/>
      <c r="BE77" s="495"/>
      <c r="BF77" s="495"/>
      <c r="BG77" s="116"/>
      <c r="BH77" s="495"/>
      <c r="BI77" s="495"/>
      <c r="BJ77" s="186"/>
    </row>
    <row r="78" hidden="1">
      <c r="A78" s="110" t="s">
        <v>118</v>
      </c>
      <c r="B78" s="96">
        <v>819.0</v>
      </c>
      <c r="C78" s="494"/>
      <c r="D78" s="495"/>
      <c r="E78" s="494"/>
      <c r="F78" s="495"/>
      <c r="G78" s="495"/>
      <c r="H78" s="495"/>
      <c r="I78" s="495"/>
      <c r="J78" s="495"/>
      <c r="K78" s="90"/>
      <c r="L78" s="495"/>
      <c r="M78" s="495"/>
      <c r="N78" s="186"/>
      <c r="O78" s="494"/>
      <c r="P78" s="494"/>
      <c r="Q78" s="494"/>
      <c r="R78" s="495"/>
      <c r="S78" s="495"/>
      <c r="T78" s="495"/>
      <c r="U78" s="495"/>
      <c r="V78" s="495"/>
      <c r="W78" s="90"/>
      <c r="X78" s="494"/>
      <c r="Y78" s="495"/>
      <c r="Z78" s="186"/>
      <c r="AA78" s="494"/>
      <c r="AB78" s="495"/>
      <c r="AC78" s="494"/>
      <c r="AD78" s="218"/>
      <c r="AE78" s="495"/>
      <c r="AF78" s="495"/>
      <c r="AG78" s="495"/>
      <c r="AH78" s="495"/>
      <c r="AI78" s="90"/>
      <c r="AJ78" s="495"/>
      <c r="AK78" s="495"/>
      <c r="AL78" s="186"/>
      <c r="AM78" s="494"/>
      <c r="AN78" s="494"/>
      <c r="AO78" s="494"/>
      <c r="AP78" s="495"/>
      <c r="AQ78" s="495"/>
      <c r="AR78" s="495"/>
      <c r="AS78" s="495"/>
      <c r="AT78" s="495"/>
      <c r="AU78" s="90"/>
      <c r="AV78" s="495"/>
      <c r="AW78" s="495"/>
      <c r="AX78" s="186"/>
      <c r="AY78" s="494"/>
      <c r="AZ78" s="495"/>
      <c r="BA78" s="495"/>
      <c r="BB78" s="495"/>
      <c r="BC78" s="495"/>
      <c r="BD78" s="495"/>
      <c r="BE78" s="495"/>
      <c r="BF78" s="495"/>
      <c r="BG78" s="116"/>
      <c r="BH78" s="495"/>
      <c r="BI78" s="495"/>
      <c r="BJ78" s="186"/>
    </row>
    <row r="79">
      <c r="A79" s="110" t="s">
        <v>119</v>
      </c>
      <c r="B79" s="96">
        <v>459.0</v>
      </c>
      <c r="C79" s="494"/>
      <c r="D79" s="495"/>
      <c r="E79" s="494"/>
      <c r="F79" s="495"/>
      <c r="G79" s="501"/>
      <c r="H79" s="495"/>
      <c r="I79" s="495"/>
      <c r="J79" s="495"/>
      <c r="K79" s="90"/>
      <c r="L79" s="495"/>
      <c r="M79" s="502"/>
      <c r="N79" s="186"/>
      <c r="O79" s="494"/>
      <c r="P79" s="494"/>
      <c r="Q79" s="494"/>
      <c r="R79" s="495"/>
      <c r="S79" s="501"/>
      <c r="T79" s="495"/>
      <c r="U79" s="495"/>
      <c r="V79" s="495"/>
      <c r="W79" s="90"/>
      <c r="X79" s="497"/>
      <c r="Y79" s="502"/>
      <c r="Z79" s="186"/>
      <c r="AA79" s="499">
        <v>2.0</v>
      </c>
      <c r="AB79" s="495"/>
      <c r="AC79" s="494"/>
      <c r="AD79" s="492">
        <v>1.0</v>
      </c>
      <c r="AE79" s="501"/>
      <c r="AF79" s="495"/>
      <c r="AG79" s="495"/>
      <c r="AH79" s="495"/>
      <c r="AI79" s="90"/>
      <c r="AJ79" s="495"/>
      <c r="AK79" s="502"/>
      <c r="AL79" s="186"/>
      <c r="AM79" s="494"/>
      <c r="AN79" s="494"/>
      <c r="AO79" s="494"/>
      <c r="AP79" s="495"/>
      <c r="AQ79" s="501"/>
      <c r="AR79" s="495"/>
      <c r="AS79" s="495"/>
      <c r="AT79" s="495"/>
      <c r="AU79" s="90"/>
      <c r="AV79" s="495"/>
      <c r="AW79" s="502"/>
      <c r="AX79" s="186"/>
      <c r="AY79" s="494"/>
      <c r="AZ79" s="495"/>
      <c r="BA79" s="495"/>
      <c r="BB79" s="495"/>
      <c r="BC79" s="501"/>
      <c r="BD79" s="495"/>
      <c r="BE79" s="495"/>
      <c r="BF79" s="495"/>
      <c r="BG79" s="116"/>
      <c r="BH79" s="495"/>
      <c r="BI79" s="495"/>
      <c r="BJ79" s="186"/>
    </row>
    <row r="80" hidden="1">
      <c r="A80" s="110" t="s">
        <v>120</v>
      </c>
      <c r="B80" s="96">
        <v>599.0</v>
      </c>
      <c r="C80" s="494"/>
      <c r="D80" s="495"/>
      <c r="E80" s="494"/>
      <c r="F80" s="495"/>
      <c r="G80" s="501"/>
      <c r="H80" s="495"/>
      <c r="I80" s="495"/>
      <c r="J80" s="495"/>
      <c r="K80" s="90"/>
      <c r="L80" s="495"/>
      <c r="M80" s="495"/>
      <c r="N80" s="186"/>
      <c r="O80" s="494"/>
      <c r="P80" s="494"/>
      <c r="Q80" s="494"/>
      <c r="R80" s="495"/>
      <c r="S80" s="501"/>
      <c r="T80" s="495"/>
      <c r="U80" s="495"/>
      <c r="V80" s="495"/>
      <c r="W80" s="90"/>
      <c r="X80" s="494"/>
      <c r="Y80" s="495"/>
      <c r="Z80" s="186"/>
      <c r="AA80" s="494"/>
      <c r="AB80" s="495"/>
      <c r="AC80" s="494"/>
      <c r="AD80" s="218"/>
      <c r="AE80" s="501"/>
      <c r="AF80" s="495"/>
      <c r="AG80" s="495"/>
      <c r="AH80" s="495"/>
      <c r="AI80" s="90"/>
      <c r="AJ80" s="495"/>
      <c r="AK80" s="495"/>
      <c r="AL80" s="186"/>
      <c r="AM80" s="494"/>
      <c r="AN80" s="494"/>
      <c r="AO80" s="494"/>
      <c r="AP80" s="495"/>
      <c r="AQ80" s="501"/>
      <c r="AR80" s="495"/>
      <c r="AS80" s="495"/>
      <c r="AT80" s="495"/>
      <c r="AU80" s="90"/>
      <c r="AV80" s="495"/>
      <c r="AW80" s="495"/>
      <c r="AX80" s="186"/>
      <c r="AY80" s="494"/>
      <c r="AZ80" s="495"/>
      <c r="BA80" s="495"/>
      <c r="BB80" s="495"/>
      <c r="BC80" s="501"/>
      <c r="BD80" s="495"/>
      <c r="BE80" s="495"/>
      <c r="BF80" s="495"/>
      <c r="BG80" s="116"/>
      <c r="BH80" s="495"/>
      <c r="BI80" s="495"/>
      <c r="BJ80" s="186"/>
    </row>
    <row r="81">
      <c r="A81" s="110" t="s">
        <v>121</v>
      </c>
      <c r="B81" s="96">
        <v>249.0</v>
      </c>
      <c r="C81" s="498"/>
      <c r="D81" s="495"/>
      <c r="E81" s="494"/>
      <c r="F81" s="503">
        <v>2.0</v>
      </c>
      <c r="G81" s="498"/>
      <c r="H81" s="502"/>
      <c r="I81" s="502"/>
      <c r="J81" s="502"/>
      <c r="K81" s="483"/>
      <c r="L81" s="502"/>
      <c r="M81" s="502"/>
      <c r="N81" s="186"/>
      <c r="O81" s="489">
        <v>7.0</v>
      </c>
      <c r="P81" s="497">
        <v>1.0</v>
      </c>
      <c r="Q81" s="489">
        <v>2.0</v>
      </c>
      <c r="R81" s="1">
        <v>1.0</v>
      </c>
      <c r="S81" s="498"/>
      <c r="T81" s="502"/>
      <c r="U81" s="502"/>
      <c r="V81" s="502"/>
      <c r="W81" s="483"/>
      <c r="X81" s="489"/>
      <c r="Y81" s="502"/>
      <c r="Z81" s="186"/>
      <c r="AA81" s="498">
        <v>1.0</v>
      </c>
      <c r="AB81" s="495"/>
      <c r="AC81" s="494"/>
      <c r="AD81" s="218"/>
      <c r="AE81" s="498"/>
      <c r="AF81" s="502"/>
      <c r="AG81" s="502"/>
      <c r="AH81" s="502"/>
      <c r="AI81" s="483"/>
      <c r="AJ81" s="502"/>
      <c r="AK81" s="502"/>
      <c r="AL81" s="186"/>
      <c r="AM81" s="498"/>
      <c r="AN81" s="494"/>
      <c r="AO81" s="494"/>
      <c r="AP81" s="495"/>
      <c r="AQ81" s="498"/>
      <c r="AR81" s="502"/>
      <c r="AS81" s="502"/>
      <c r="AT81" s="502"/>
      <c r="AU81" s="483"/>
      <c r="AV81" s="502"/>
      <c r="AW81" s="502"/>
      <c r="AX81" s="186"/>
      <c r="AY81" s="499"/>
      <c r="AZ81" s="495"/>
      <c r="BA81" s="495"/>
      <c r="BB81" s="495"/>
      <c r="BC81" s="501"/>
      <c r="BD81" s="495"/>
      <c r="BE81" s="495"/>
      <c r="BF81" s="495"/>
      <c r="BG81" s="116"/>
      <c r="BH81" s="495"/>
      <c r="BI81" s="495"/>
      <c r="BJ81" s="186"/>
    </row>
    <row r="82">
      <c r="A82" s="110" t="s">
        <v>122</v>
      </c>
      <c r="B82" s="96">
        <v>239.0</v>
      </c>
      <c r="C82" s="498"/>
      <c r="D82" s="495"/>
      <c r="E82" s="498"/>
      <c r="F82" s="504"/>
      <c r="G82" s="498"/>
      <c r="H82" s="495"/>
      <c r="I82" s="495"/>
      <c r="J82" s="502"/>
      <c r="K82" s="483"/>
      <c r="L82" s="495"/>
      <c r="M82" s="495"/>
      <c r="N82" s="257"/>
      <c r="O82" s="498"/>
      <c r="P82" s="497">
        <v>1.0</v>
      </c>
      <c r="Q82" s="489">
        <v>1.0</v>
      </c>
      <c r="R82" s="503"/>
      <c r="S82" s="498"/>
      <c r="T82" s="495"/>
      <c r="U82" s="495"/>
      <c r="V82" s="502"/>
      <c r="W82" s="483"/>
      <c r="X82" s="494"/>
      <c r="Y82" s="495"/>
      <c r="Z82" s="257"/>
      <c r="AA82" s="494"/>
      <c r="AB82" s="495"/>
      <c r="AC82" s="498"/>
      <c r="AD82" s="96"/>
      <c r="AE82" s="498"/>
      <c r="AF82" s="495"/>
      <c r="AG82" s="495"/>
      <c r="AH82" s="502"/>
      <c r="AI82" s="483"/>
      <c r="AJ82" s="495"/>
      <c r="AK82" s="495"/>
      <c r="AL82" s="257"/>
      <c r="AM82" s="498"/>
      <c r="AN82" s="494"/>
      <c r="AO82" s="498"/>
      <c r="AP82" s="504"/>
      <c r="AQ82" s="498"/>
      <c r="AR82" s="495"/>
      <c r="AS82" s="495"/>
      <c r="AT82" s="502"/>
      <c r="AU82" s="483"/>
      <c r="AV82" s="495"/>
      <c r="AW82" s="495"/>
      <c r="AX82" s="257"/>
      <c r="AY82" s="499"/>
      <c r="AZ82" s="495"/>
      <c r="BA82" s="501"/>
      <c r="BB82" s="501"/>
      <c r="BC82" s="501"/>
      <c r="BD82" s="495"/>
      <c r="BE82" s="495"/>
      <c r="BF82" s="495"/>
      <c r="BG82" s="116"/>
      <c r="BH82" s="495"/>
      <c r="BI82" s="495"/>
      <c r="BJ82" s="186"/>
    </row>
    <row r="83" hidden="1">
      <c r="A83" s="110" t="s">
        <v>123</v>
      </c>
      <c r="B83" s="96">
        <v>1299.0</v>
      </c>
      <c r="C83" s="494"/>
      <c r="D83" s="495"/>
      <c r="E83" s="494"/>
      <c r="F83" s="495"/>
      <c r="G83" s="501"/>
      <c r="H83" s="495"/>
      <c r="I83" s="495"/>
      <c r="J83" s="495"/>
      <c r="K83" s="495"/>
      <c r="L83" s="495"/>
      <c r="M83" s="495"/>
      <c r="N83" s="116"/>
      <c r="O83" s="494"/>
      <c r="P83" s="494"/>
      <c r="Q83" s="494"/>
      <c r="R83" s="495"/>
      <c r="S83" s="501"/>
      <c r="T83" s="495"/>
      <c r="U83" s="495"/>
      <c r="V83" s="495"/>
      <c r="W83" s="495"/>
      <c r="X83" s="494"/>
      <c r="Y83" s="495"/>
      <c r="Z83" s="116"/>
      <c r="AA83" s="494"/>
      <c r="AB83" s="495"/>
      <c r="AC83" s="494"/>
      <c r="AD83" s="218"/>
      <c r="AE83" s="501"/>
      <c r="AF83" s="495"/>
      <c r="AG83" s="495"/>
      <c r="AH83" s="495"/>
      <c r="AI83" s="495"/>
      <c r="AJ83" s="495"/>
      <c r="AK83" s="495"/>
      <c r="AL83" s="116"/>
      <c r="AM83" s="494"/>
      <c r="AN83" s="494"/>
      <c r="AO83" s="494"/>
      <c r="AP83" s="495"/>
      <c r="AQ83" s="501"/>
      <c r="AR83" s="495"/>
      <c r="AS83" s="495"/>
      <c r="AT83" s="495"/>
      <c r="AU83" s="495"/>
      <c r="AV83" s="495"/>
      <c r="AW83" s="495"/>
      <c r="AX83" s="116"/>
      <c r="AY83" s="494"/>
      <c r="AZ83" s="495"/>
      <c r="BA83" s="495"/>
      <c r="BB83" s="495"/>
      <c r="BC83" s="501"/>
      <c r="BD83" s="495"/>
      <c r="BE83" s="495"/>
      <c r="BF83" s="495"/>
      <c r="BG83" s="495"/>
      <c r="BH83" s="495"/>
      <c r="BI83" s="495"/>
      <c r="BJ83" s="116"/>
    </row>
    <row r="84" hidden="1">
      <c r="A84" s="102" t="s">
        <v>124</v>
      </c>
      <c r="B84" s="96">
        <v>1299.0</v>
      </c>
      <c r="C84" s="494"/>
      <c r="D84" s="495"/>
      <c r="E84" s="494"/>
      <c r="F84" s="119"/>
      <c r="G84" s="505"/>
      <c r="H84" s="119"/>
      <c r="I84" s="119"/>
      <c r="J84" s="119"/>
      <c r="K84" s="119"/>
      <c r="L84" s="119"/>
      <c r="M84" s="119"/>
      <c r="N84" s="116"/>
      <c r="O84" s="494"/>
      <c r="P84" s="494"/>
      <c r="Q84" s="494"/>
      <c r="R84" s="119"/>
      <c r="S84" s="505"/>
      <c r="T84" s="119"/>
      <c r="U84" s="119"/>
      <c r="V84" s="119"/>
      <c r="W84" s="119"/>
      <c r="X84" s="506"/>
      <c r="Y84" s="119"/>
      <c r="Z84" s="116"/>
      <c r="AA84" s="494"/>
      <c r="AB84" s="495"/>
      <c r="AC84" s="494"/>
      <c r="AD84" s="507"/>
      <c r="AE84" s="505"/>
      <c r="AF84" s="119"/>
      <c r="AG84" s="119"/>
      <c r="AH84" s="119"/>
      <c r="AI84" s="119"/>
      <c r="AJ84" s="119"/>
      <c r="AK84" s="119"/>
      <c r="AL84" s="116"/>
      <c r="AM84" s="494"/>
      <c r="AN84" s="494"/>
      <c r="AO84" s="494"/>
      <c r="AP84" s="119"/>
      <c r="AQ84" s="505"/>
      <c r="AR84" s="119"/>
      <c r="AS84" s="119"/>
      <c r="AT84" s="119"/>
      <c r="AU84" s="119"/>
      <c r="AV84" s="119"/>
      <c r="AW84" s="119"/>
      <c r="AX84" s="116"/>
      <c r="AY84" s="494"/>
      <c r="AZ84" s="495"/>
      <c r="BA84" s="495"/>
      <c r="BB84" s="119"/>
      <c r="BC84" s="505"/>
      <c r="BD84" s="119"/>
      <c r="BE84" s="119"/>
      <c r="BF84" s="119"/>
      <c r="BG84" s="119"/>
      <c r="BH84" s="119"/>
      <c r="BI84" s="119"/>
      <c r="BJ84" s="116"/>
    </row>
    <row r="85" hidden="1">
      <c r="A85" s="111" t="s">
        <v>125</v>
      </c>
      <c r="B85" s="96">
        <v>1299.0</v>
      </c>
      <c r="C85" s="494"/>
      <c r="D85" s="495"/>
      <c r="E85" s="508"/>
      <c r="F85" s="495"/>
      <c r="G85" s="501"/>
      <c r="H85" s="495"/>
      <c r="I85" s="495"/>
      <c r="J85" s="495"/>
      <c r="K85" s="495"/>
      <c r="L85" s="495"/>
      <c r="M85" s="495"/>
      <c r="N85" s="116"/>
      <c r="O85" s="494"/>
      <c r="P85" s="494"/>
      <c r="Q85" s="508"/>
      <c r="R85" s="495"/>
      <c r="S85" s="501"/>
      <c r="T85" s="495"/>
      <c r="U85" s="495"/>
      <c r="V85" s="495"/>
      <c r="W85" s="495"/>
      <c r="X85" s="494"/>
      <c r="Y85" s="495"/>
      <c r="Z85" s="116"/>
      <c r="AA85" s="494"/>
      <c r="AB85" s="495"/>
      <c r="AC85" s="508"/>
      <c r="AD85" s="218"/>
      <c r="AE85" s="501"/>
      <c r="AF85" s="495"/>
      <c r="AG85" s="495"/>
      <c r="AH85" s="495"/>
      <c r="AI85" s="495"/>
      <c r="AJ85" s="495"/>
      <c r="AK85" s="495"/>
      <c r="AL85" s="116"/>
      <c r="AM85" s="494"/>
      <c r="AN85" s="494"/>
      <c r="AO85" s="508"/>
      <c r="AP85" s="495"/>
      <c r="AQ85" s="501"/>
      <c r="AR85" s="495"/>
      <c r="AS85" s="495"/>
      <c r="AT85" s="495"/>
      <c r="AU85" s="495"/>
      <c r="AV85" s="495"/>
      <c r="AW85" s="495"/>
      <c r="AX85" s="116"/>
      <c r="AY85" s="494"/>
      <c r="AZ85" s="495"/>
      <c r="BA85" s="509"/>
      <c r="BB85" s="495"/>
      <c r="BC85" s="501"/>
      <c r="BD85" s="495"/>
      <c r="BE85" s="495"/>
      <c r="BF85" s="495"/>
      <c r="BG85" s="495"/>
      <c r="BH85" s="495"/>
      <c r="BI85" s="495"/>
      <c r="BJ85" s="116"/>
    </row>
    <row r="86" hidden="1">
      <c r="A86" s="112" t="s">
        <v>126</v>
      </c>
      <c r="B86" s="96">
        <v>1299.0</v>
      </c>
      <c r="C86" s="494"/>
      <c r="D86" s="495"/>
      <c r="E86" s="508"/>
      <c r="F86" s="495"/>
      <c r="G86" s="501"/>
      <c r="H86" s="495"/>
      <c r="I86" s="495"/>
      <c r="J86" s="495"/>
      <c r="K86" s="495"/>
      <c r="L86" s="495"/>
      <c r="M86" s="495"/>
      <c r="N86" s="116"/>
      <c r="O86" s="494"/>
      <c r="P86" s="494"/>
      <c r="Q86" s="508"/>
      <c r="R86" s="495"/>
      <c r="S86" s="501"/>
      <c r="T86" s="495"/>
      <c r="U86" s="495"/>
      <c r="V86" s="495"/>
      <c r="W86" s="495"/>
      <c r="X86" s="494"/>
      <c r="Y86" s="495"/>
      <c r="Z86" s="116"/>
      <c r="AA86" s="494"/>
      <c r="AB86" s="495"/>
      <c r="AC86" s="508"/>
      <c r="AD86" s="218"/>
      <c r="AE86" s="501"/>
      <c r="AF86" s="495"/>
      <c r="AG86" s="495"/>
      <c r="AH86" s="495"/>
      <c r="AI86" s="495"/>
      <c r="AJ86" s="495"/>
      <c r="AK86" s="495"/>
      <c r="AL86" s="116"/>
      <c r="AM86" s="494"/>
      <c r="AN86" s="494"/>
      <c r="AO86" s="508"/>
      <c r="AP86" s="495"/>
      <c r="AQ86" s="501"/>
      <c r="AR86" s="495"/>
      <c r="AS86" s="495"/>
      <c r="AT86" s="495"/>
      <c r="AU86" s="495"/>
      <c r="AV86" s="495"/>
      <c r="AW86" s="495"/>
      <c r="AX86" s="116"/>
      <c r="AY86" s="494"/>
      <c r="AZ86" s="495"/>
      <c r="BA86" s="509"/>
      <c r="BB86" s="495"/>
      <c r="BC86" s="501"/>
      <c r="BD86" s="495"/>
      <c r="BE86" s="495"/>
      <c r="BF86" s="495"/>
      <c r="BG86" s="495"/>
      <c r="BH86" s="495"/>
      <c r="BI86" s="495"/>
      <c r="BJ86" s="116"/>
    </row>
    <row r="87" hidden="1">
      <c r="A87" s="113"/>
      <c r="B87" s="114"/>
      <c r="C87" s="494"/>
      <c r="D87" s="495"/>
      <c r="E87" s="508"/>
      <c r="F87" s="495"/>
      <c r="G87" s="501"/>
      <c r="H87" s="495"/>
      <c r="I87" s="495"/>
      <c r="J87" s="495"/>
      <c r="K87" s="495"/>
      <c r="L87" s="495"/>
      <c r="M87" s="495"/>
      <c r="N87" s="116"/>
      <c r="O87" s="494"/>
      <c r="P87" s="494"/>
      <c r="Q87" s="508"/>
      <c r="R87" s="495"/>
      <c r="S87" s="501"/>
      <c r="T87" s="495"/>
      <c r="U87" s="495"/>
      <c r="V87" s="495"/>
      <c r="W87" s="495"/>
      <c r="X87" s="494"/>
      <c r="Y87" s="495"/>
      <c r="Z87" s="116"/>
      <c r="AA87" s="494"/>
      <c r="AB87" s="495"/>
      <c r="AC87" s="508"/>
      <c r="AD87" s="218"/>
      <c r="AE87" s="501"/>
      <c r="AF87" s="495"/>
      <c r="AG87" s="495"/>
      <c r="AH87" s="495"/>
      <c r="AI87" s="495"/>
      <c r="AJ87" s="495"/>
      <c r="AK87" s="495"/>
      <c r="AL87" s="116"/>
      <c r="AM87" s="494"/>
      <c r="AN87" s="494"/>
      <c r="AO87" s="508"/>
      <c r="AP87" s="495"/>
      <c r="AQ87" s="501"/>
      <c r="AR87" s="495"/>
      <c r="AS87" s="495"/>
      <c r="AT87" s="495"/>
      <c r="AU87" s="495"/>
      <c r="AV87" s="495"/>
      <c r="AW87" s="495"/>
      <c r="AX87" s="116"/>
      <c r="AY87" s="494"/>
      <c r="AZ87" s="495"/>
      <c r="BA87" s="509"/>
      <c r="BB87" s="495"/>
      <c r="BC87" s="501"/>
      <c r="BD87" s="495"/>
      <c r="BE87" s="495"/>
      <c r="BF87" s="495"/>
      <c r="BG87" s="495"/>
      <c r="BH87" s="495"/>
      <c r="BI87" s="495"/>
      <c r="BJ87" s="116"/>
    </row>
    <row r="88" hidden="1">
      <c r="A88" s="94" t="s">
        <v>127</v>
      </c>
      <c r="B88" s="96">
        <v>679.0</v>
      </c>
      <c r="C88" s="494"/>
      <c r="D88" s="495"/>
      <c r="E88" s="508"/>
      <c r="F88" s="495"/>
      <c r="G88" s="495"/>
      <c r="H88" s="495"/>
      <c r="I88" s="495"/>
      <c r="J88" s="495"/>
      <c r="K88" s="495"/>
      <c r="L88" s="495"/>
      <c r="M88" s="495"/>
      <c r="N88" s="116"/>
      <c r="O88" s="494"/>
      <c r="P88" s="494"/>
      <c r="Q88" s="508"/>
      <c r="R88" s="495"/>
      <c r="S88" s="495"/>
      <c r="T88" s="495"/>
      <c r="U88" s="495"/>
      <c r="V88" s="495"/>
      <c r="W88" s="495"/>
      <c r="X88" s="494"/>
      <c r="Y88" s="495"/>
      <c r="Z88" s="116"/>
      <c r="AA88" s="494"/>
      <c r="AB88" s="495"/>
      <c r="AC88" s="508"/>
      <c r="AD88" s="218"/>
      <c r="AE88" s="495"/>
      <c r="AF88" s="495"/>
      <c r="AG88" s="495"/>
      <c r="AH88" s="495"/>
      <c r="AI88" s="495"/>
      <c r="AJ88" s="495"/>
      <c r="AK88" s="495"/>
      <c r="AL88" s="116"/>
      <c r="AM88" s="494"/>
      <c r="AN88" s="494"/>
      <c r="AO88" s="508"/>
      <c r="AP88" s="495"/>
      <c r="AQ88" s="495"/>
      <c r="AR88" s="495"/>
      <c r="AS88" s="495"/>
      <c r="AT88" s="495"/>
      <c r="AU88" s="495"/>
      <c r="AV88" s="495"/>
      <c r="AW88" s="495"/>
      <c r="AX88" s="116"/>
      <c r="AY88" s="494"/>
      <c r="AZ88" s="495"/>
      <c r="BA88" s="509"/>
      <c r="BB88" s="495"/>
      <c r="BC88" s="495"/>
      <c r="BD88" s="495"/>
      <c r="BE88" s="495"/>
      <c r="BF88" s="495"/>
      <c r="BG88" s="495"/>
      <c r="BH88" s="495"/>
      <c r="BI88" s="495"/>
      <c r="BJ88" s="116"/>
    </row>
    <row r="89" hidden="1">
      <c r="A89" s="94" t="s">
        <v>128</v>
      </c>
      <c r="B89" s="96">
        <v>679.0</v>
      </c>
      <c r="C89" s="494"/>
      <c r="D89" s="495"/>
      <c r="E89" s="508"/>
      <c r="F89" s="495"/>
      <c r="G89" s="495"/>
      <c r="H89" s="495"/>
      <c r="I89" s="495"/>
      <c r="J89" s="495"/>
      <c r="K89" s="495"/>
      <c r="L89" s="495"/>
      <c r="M89" s="495"/>
      <c r="N89" s="116"/>
      <c r="O89" s="494"/>
      <c r="P89" s="494"/>
      <c r="Q89" s="508"/>
      <c r="R89" s="495"/>
      <c r="S89" s="495"/>
      <c r="T89" s="495"/>
      <c r="U89" s="495"/>
      <c r="V89" s="495"/>
      <c r="W89" s="495"/>
      <c r="X89" s="494"/>
      <c r="Y89" s="495"/>
      <c r="Z89" s="116"/>
      <c r="AA89" s="494"/>
      <c r="AB89" s="495"/>
      <c r="AC89" s="508"/>
      <c r="AD89" s="218"/>
      <c r="AE89" s="495"/>
      <c r="AF89" s="495"/>
      <c r="AG89" s="495"/>
      <c r="AH89" s="495"/>
      <c r="AI89" s="495"/>
      <c r="AJ89" s="495"/>
      <c r="AK89" s="495"/>
      <c r="AL89" s="116"/>
      <c r="AM89" s="494"/>
      <c r="AN89" s="494"/>
      <c r="AO89" s="508"/>
      <c r="AP89" s="495"/>
      <c r="AQ89" s="495"/>
      <c r="AR89" s="495"/>
      <c r="AS89" s="495"/>
      <c r="AT89" s="495"/>
      <c r="AU89" s="495"/>
      <c r="AV89" s="495"/>
      <c r="AW89" s="495"/>
      <c r="AX89" s="116"/>
      <c r="AY89" s="494"/>
      <c r="AZ89" s="495"/>
      <c r="BA89" s="509"/>
      <c r="BB89" s="495"/>
      <c r="BC89" s="495"/>
      <c r="BD89" s="495"/>
      <c r="BE89" s="495"/>
      <c r="BF89" s="495"/>
      <c r="BG89" s="495"/>
      <c r="BH89" s="495"/>
      <c r="BI89" s="495"/>
      <c r="BJ89" s="116"/>
    </row>
    <row r="90" hidden="1">
      <c r="A90" s="94" t="s">
        <v>129</v>
      </c>
      <c r="B90" s="96">
        <v>679.0</v>
      </c>
      <c r="C90" s="494"/>
      <c r="D90" s="495"/>
      <c r="E90" s="508"/>
      <c r="F90" s="495"/>
      <c r="G90" s="495"/>
      <c r="H90" s="495"/>
      <c r="I90" s="495"/>
      <c r="J90" s="495"/>
      <c r="K90" s="495"/>
      <c r="L90" s="495"/>
      <c r="M90" s="495"/>
      <c r="N90" s="116"/>
      <c r="O90" s="494"/>
      <c r="P90" s="494"/>
      <c r="Q90" s="508"/>
      <c r="R90" s="495"/>
      <c r="S90" s="495"/>
      <c r="T90" s="495"/>
      <c r="U90" s="495"/>
      <c r="V90" s="495"/>
      <c r="W90" s="495"/>
      <c r="X90" s="494"/>
      <c r="Y90" s="495"/>
      <c r="Z90" s="116"/>
      <c r="AA90" s="494"/>
      <c r="AB90" s="495"/>
      <c r="AC90" s="508"/>
      <c r="AD90" s="218"/>
      <c r="AE90" s="495"/>
      <c r="AF90" s="495"/>
      <c r="AG90" s="495"/>
      <c r="AH90" s="495"/>
      <c r="AI90" s="495"/>
      <c r="AJ90" s="495"/>
      <c r="AK90" s="495"/>
      <c r="AL90" s="116"/>
      <c r="AM90" s="494"/>
      <c r="AN90" s="494"/>
      <c r="AO90" s="508"/>
      <c r="AP90" s="495"/>
      <c r="AQ90" s="495"/>
      <c r="AR90" s="495"/>
      <c r="AS90" s="495"/>
      <c r="AT90" s="495"/>
      <c r="AU90" s="495"/>
      <c r="AV90" s="495"/>
      <c r="AW90" s="495"/>
      <c r="AX90" s="116"/>
      <c r="AY90" s="494"/>
      <c r="AZ90" s="495"/>
      <c r="BA90" s="509"/>
      <c r="BB90" s="495"/>
      <c r="BC90" s="495"/>
      <c r="BD90" s="495"/>
      <c r="BE90" s="495"/>
      <c r="BF90" s="495"/>
      <c r="BG90" s="495"/>
      <c r="BH90" s="495"/>
      <c r="BI90" s="495"/>
      <c r="BJ90" s="116"/>
    </row>
    <row r="91" hidden="1">
      <c r="A91" s="115"/>
      <c r="B91" s="116"/>
      <c r="C91" s="494"/>
      <c r="D91" s="495"/>
      <c r="E91" s="508"/>
      <c r="F91" s="495"/>
      <c r="G91" s="495"/>
      <c r="H91" s="495"/>
      <c r="I91" s="495"/>
      <c r="J91" s="495"/>
      <c r="K91" s="495"/>
      <c r="L91" s="495"/>
      <c r="M91" s="495"/>
      <c r="N91" s="116"/>
      <c r="O91" s="494"/>
      <c r="P91" s="494"/>
      <c r="Q91" s="508"/>
      <c r="R91" s="495"/>
      <c r="S91" s="495"/>
      <c r="T91" s="495"/>
      <c r="U91" s="495"/>
      <c r="V91" s="495"/>
      <c r="W91" s="495"/>
      <c r="X91" s="494"/>
      <c r="Y91" s="495"/>
      <c r="Z91" s="116"/>
      <c r="AA91" s="494"/>
      <c r="AB91" s="495"/>
      <c r="AC91" s="508"/>
      <c r="AD91" s="218"/>
      <c r="AE91" s="495"/>
      <c r="AF91" s="495"/>
      <c r="AG91" s="495"/>
      <c r="AH91" s="495"/>
      <c r="AI91" s="495"/>
      <c r="AJ91" s="495"/>
      <c r="AK91" s="495"/>
      <c r="AL91" s="116"/>
      <c r="AM91" s="494"/>
      <c r="AN91" s="494"/>
      <c r="AO91" s="508"/>
      <c r="AP91" s="495"/>
      <c r="AQ91" s="495"/>
      <c r="AR91" s="495"/>
      <c r="AS91" s="495"/>
      <c r="AT91" s="495"/>
      <c r="AU91" s="495"/>
      <c r="AV91" s="495"/>
      <c r="AW91" s="495"/>
      <c r="AX91" s="116"/>
      <c r="AY91" s="494"/>
      <c r="AZ91" s="495"/>
      <c r="BA91" s="509"/>
      <c r="BB91" s="495"/>
      <c r="BC91" s="495"/>
      <c r="BD91" s="495"/>
      <c r="BE91" s="495"/>
      <c r="BF91" s="495"/>
      <c r="BG91" s="495"/>
      <c r="BH91" s="495"/>
      <c r="BI91" s="495"/>
      <c r="BJ91" s="116"/>
    </row>
    <row r="92" hidden="1">
      <c r="A92" s="94" t="s">
        <v>130</v>
      </c>
      <c r="B92" s="96">
        <v>490.0</v>
      </c>
      <c r="C92" s="494"/>
      <c r="D92" s="495"/>
      <c r="E92" s="508"/>
      <c r="F92" s="495"/>
      <c r="G92" s="495"/>
      <c r="H92" s="495"/>
      <c r="I92" s="495"/>
      <c r="J92" s="495"/>
      <c r="K92" s="495"/>
      <c r="L92" s="495"/>
      <c r="M92" s="495"/>
      <c r="N92" s="116"/>
      <c r="O92" s="494"/>
      <c r="P92" s="494"/>
      <c r="Q92" s="508"/>
      <c r="R92" s="495"/>
      <c r="S92" s="495"/>
      <c r="T92" s="495"/>
      <c r="U92" s="495"/>
      <c r="V92" s="495"/>
      <c r="W92" s="495"/>
      <c r="X92" s="494"/>
      <c r="Y92" s="495"/>
      <c r="Z92" s="116"/>
      <c r="AA92" s="494"/>
      <c r="AB92" s="495"/>
      <c r="AC92" s="508"/>
      <c r="AD92" s="218"/>
      <c r="AE92" s="495"/>
      <c r="AF92" s="495"/>
      <c r="AG92" s="495"/>
      <c r="AH92" s="495"/>
      <c r="AI92" s="495"/>
      <c r="AJ92" s="495"/>
      <c r="AK92" s="495"/>
      <c r="AL92" s="116"/>
      <c r="AM92" s="494"/>
      <c r="AN92" s="494"/>
      <c r="AO92" s="508"/>
      <c r="AP92" s="495"/>
      <c r="AQ92" s="495"/>
      <c r="AR92" s="495"/>
      <c r="AS92" s="495"/>
      <c r="AT92" s="495"/>
      <c r="AU92" s="495"/>
      <c r="AV92" s="495"/>
      <c r="AW92" s="495"/>
      <c r="AX92" s="116"/>
      <c r="AY92" s="494"/>
      <c r="AZ92" s="495"/>
      <c r="BA92" s="509"/>
      <c r="BB92" s="495"/>
      <c r="BC92" s="495"/>
      <c r="BD92" s="495"/>
      <c r="BE92" s="495"/>
      <c r="BF92" s="495"/>
      <c r="BG92" s="495"/>
      <c r="BH92" s="495"/>
      <c r="BI92" s="495"/>
      <c r="BJ92" s="116"/>
    </row>
    <row r="93" hidden="1">
      <c r="A93" s="94" t="s">
        <v>131</v>
      </c>
      <c r="B93" s="96">
        <v>490.0</v>
      </c>
      <c r="C93" s="494"/>
      <c r="D93" s="495"/>
      <c r="E93" s="508"/>
      <c r="F93" s="495"/>
      <c r="G93" s="495"/>
      <c r="H93" s="495"/>
      <c r="I93" s="495"/>
      <c r="J93" s="495"/>
      <c r="K93" s="495"/>
      <c r="L93" s="495"/>
      <c r="M93" s="495"/>
      <c r="N93" s="116"/>
      <c r="O93" s="494"/>
      <c r="P93" s="494"/>
      <c r="Q93" s="508"/>
      <c r="R93" s="495"/>
      <c r="S93" s="495"/>
      <c r="T93" s="495"/>
      <c r="U93" s="495"/>
      <c r="V93" s="495"/>
      <c r="W93" s="495"/>
      <c r="X93" s="494"/>
      <c r="Y93" s="495"/>
      <c r="Z93" s="116"/>
      <c r="AA93" s="494"/>
      <c r="AB93" s="495"/>
      <c r="AC93" s="508"/>
      <c r="AD93" s="218"/>
      <c r="AE93" s="495"/>
      <c r="AF93" s="495"/>
      <c r="AG93" s="495"/>
      <c r="AH93" s="495"/>
      <c r="AI93" s="495"/>
      <c r="AJ93" s="495"/>
      <c r="AK93" s="495"/>
      <c r="AL93" s="116"/>
      <c r="AM93" s="494"/>
      <c r="AN93" s="494"/>
      <c r="AO93" s="508"/>
      <c r="AP93" s="495"/>
      <c r="AQ93" s="495"/>
      <c r="AR93" s="495"/>
      <c r="AS93" s="495"/>
      <c r="AT93" s="495"/>
      <c r="AU93" s="495"/>
      <c r="AV93" s="495"/>
      <c r="AW93" s="495"/>
      <c r="AX93" s="116"/>
      <c r="AY93" s="494"/>
      <c r="AZ93" s="495"/>
      <c r="BA93" s="509"/>
      <c r="BB93" s="495"/>
      <c r="BC93" s="495"/>
      <c r="BD93" s="495"/>
      <c r="BE93" s="495"/>
      <c r="BF93" s="495"/>
      <c r="BG93" s="495"/>
      <c r="BH93" s="495"/>
      <c r="BI93" s="495"/>
      <c r="BJ93" s="116"/>
    </row>
    <row r="94" hidden="1">
      <c r="A94" s="94" t="s">
        <v>132</v>
      </c>
      <c r="B94" s="96">
        <v>450.0</v>
      </c>
      <c r="C94" s="494"/>
      <c r="D94" s="495"/>
      <c r="E94" s="508"/>
      <c r="F94" s="495"/>
      <c r="G94" s="495"/>
      <c r="H94" s="495"/>
      <c r="I94" s="495"/>
      <c r="J94" s="495"/>
      <c r="K94" s="495"/>
      <c r="L94" s="495"/>
      <c r="M94" s="495"/>
      <c r="N94" s="116"/>
      <c r="O94" s="494"/>
      <c r="P94" s="494"/>
      <c r="Q94" s="508"/>
      <c r="R94" s="495"/>
      <c r="S94" s="495"/>
      <c r="T94" s="495"/>
      <c r="U94" s="495"/>
      <c r="V94" s="495"/>
      <c r="W94" s="495"/>
      <c r="X94" s="494"/>
      <c r="Y94" s="495"/>
      <c r="Z94" s="116"/>
      <c r="AA94" s="494"/>
      <c r="AB94" s="495"/>
      <c r="AC94" s="508"/>
      <c r="AD94" s="218"/>
      <c r="AE94" s="495"/>
      <c r="AF94" s="495"/>
      <c r="AG94" s="495"/>
      <c r="AH94" s="495"/>
      <c r="AI94" s="495"/>
      <c r="AJ94" s="495"/>
      <c r="AK94" s="495"/>
      <c r="AL94" s="116"/>
      <c r="AM94" s="494"/>
      <c r="AN94" s="494"/>
      <c r="AO94" s="508"/>
      <c r="AP94" s="495"/>
      <c r="AQ94" s="495"/>
      <c r="AR94" s="495"/>
      <c r="AS94" s="495"/>
      <c r="AT94" s="495"/>
      <c r="AU94" s="495"/>
      <c r="AV94" s="495"/>
      <c r="AW94" s="495"/>
      <c r="AX94" s="116"/>
      <c r="AY94" s="494"/>
      <c r="AZ94" s="495"/>
      <c r="BA94" s="509"/>
      <c r="BB94" s="495"/>
      <c r="BC94" s="495"/>
      <c r="BD94" s="495"/>
      <c r="BE94" s="495"/>
      <c r="BF94" s="495"/>
      <c r="BG94" s="495"/>
      <c r="BH94" s="495"/>
      <c r="BI94" s="495"/>
      <c r="BJ94" s="116"/>
    </row>
    <row r="95" hidden="1">
      <c r="A95" s="117" t="s">
        <v>133</v>
      </c>
      <c r="B95" s="118">
        <v>450.0</v>
      </c>
      <c r="C95" s="494"/>
      <c r="D95" s="495"/>
      <c r="E95" s="508"/>
      <c r="F95" s="495"/>
      <c r="G95" s="495"/>
      <c r="H95" s="495"/>
      <c r="I95" s="495"/>
      <c r="J95" s="495"/>
      <c r="K95" s="495"/>
      <c r="L95" s="495"/>
      <c r="M95" s="495"/>
      <c r="N95" s="116"/>
      <c r="O95" s="494"/>
      <c r="P95" s="494"/>
      <c r="Q95" s="508"/>
      <c r="R95" s="495"/>
      <c r="S95" s="495"/>
      <c r="T95" s="495"/>
      <c r="U95" s="495"/>
      <c r="V95" s="495"/>
      <c r="W95" s="495"/>
      <c r="X95" s="494"/>
      <c r="Y95" s="495"/>
      <c r="Z95" s="116"/>
      <c r="AA95" s="494"/>
      <c r="AB95" s="495"/>
      <c r="AC95" s="508"/>
      <c r="AD95" s="218"/>
      <c r="AE95" s="495"/>
      <c r="AF95" s="495"/>
      <c r="AG95" s="495"/>
      <c r="AH95" s="495"/>
      <c r="AI95" s="495"/>
      <c r="AJ95" s="495"/>
      <c r="AK95" s="495"/>
      <c r="AL95" s="116"/>
      <c r="AM95" s="494"/>
      <c r="AN95" s="494"/>
      <c r="AO95" s="508"/>
      <c r="AP95" s="495"/>
      <c r="AQ95" s="495"/>
      <c r="AR95" s="495"/>
      <c r="AS95" s="495"/>
      <c r="AT95" s="495"/>
      <c r="AU95" s="495"/>
      <c r="AV95" s="495"/>
      <c r="AW95" s="495"/>
      <c r="AX95" s="116"/>
      <c r="AY95" s="494"/>
      <c r="AZ95" s="495"/>
      <c r="BA95" s="509"/>
      <c r="BB95" s="495"/>
      <c r="BC95" s="495"/>
      <c r="BD95" s="495"/>
      <c r="BE95" s="495"/>
      <c r="BF95" s="495"/>
      <c r="BG95" s="495"/>
      <c r="BH95" s="495"/>
      <c r="BI95" s="495"/>
      <c r="BJ95" s="116"/>
    </row>
    <row r="96">
      <c r="A96" s="234"/>
      <c r="B96" s="119"/>
      <c r="C96" s="506"/>
      <c r="D96" s="119"/>
      <c r="E96" s="510"/>
      <c r="F96" s="119"/>
      <c r="G96" s="119"/>
      <c r="H96" s="119"/>
      <c r="I96" s="119"/>
      <c r="J96" s="119"/>
      <c r="K96" s="119"/>
      <c r="L96" s="119"/>
      <c r="M96" s="119"/>
      <c r="N96" s="120"/>
      <c r="O96" s="506"/>
      <c r="P96" s="506"/>
      <c r="Q96" s="510"/>
      <c r="R96" s="119"/>
      <c r="S96" s="119"/>
      <c r="T96" s="119"/>
      <c r="U96" s="119"/>
      <c r="V96" s="119"/>
      <c r="W96" s="119"/>
      <c r="X96" s="506"/>
      <c r="Y96" s="119"/>
      <c r="Z96" s="120"/>
      <c r="AA96" s="506"/>
      <c r="AB96" s="119"/>
      <c r="AC96" s="510"/>
      <c r="AD96" s="507"/>
      <c r="AE96" s="119"/>
      <c r="AF96" s="119"/>
      <c r="AG96" s="119"/>
      <c r="AH96" s="119"/>
      <c r="AI96" s="119"/>
      <c r="AJ96" s="119"/>
      <c r="AK96" s="119"/>
      <c r="AL96" s="120"/>
      <c r="AM96" s="506"/>
      <c r="AN96" s="506"/>
      <c r="AO96" s="510"/>
      <c r="AP96" s="119"/>
      <c r="AQ96" s="119"/>
      <c r="AR96" s="119"/>
      <c r="AS96" s="119"/>
      <c r="AT96" s="119"/>
      <c r="AU96" s="119"/>
      <c r="AV96" s="119"/>
      <c r="AW96" s="119"/>
      <c r="AX96" s="120"/>
      <c r="AY96" s="506"/>
      <c r="AZ96" s="119"/>
      <c r="BA96" s="511"/>
      <c r="BB96" s="505"/>
      <c r="BC96" s="119"/>
      <c r="BD96" s="119"/>
      <c r="BE96" s="119"/>
      <c r="BF96" s="119"/>
      <c r="BG96" s="119"/>
      <c r="BH96" s="119"/>
      <c r="BI96" s="119"/>
      <c r="BJ96" s="120"/>
    </row>
    <row r="97">
      <c r="A97" s="372" t="s">
        <v>134</v>
      </c>
      <c r="B97" s="118">
        <v>1054.0</v>
      </c>
      <c r="C97" s="506"/>
      <c r="D97" s="119"/>
      <c r="E97" s="510"/>
      <c r="F97" s="119"/>
      <c r="G97" s="119"/>
      <c r="H97" s="119"/>
      <c r="I97" s="119"/>
      <c r="J97" s="119"/>
      <c r="K97" s="119"/>
      <c r="L97" s="119"/>
      <c r="M97" s="119"/>
      <c r="N97" s="120"/>
      <c r="O97" s="506"/>
      <c r="P97" s="506"/>
      <c r="Q97" s="510"/>
      <c r="R97" s="119"/>
      <c r="S97" s="119"/>
      <c r="T97" s="119"/>
      <c r="U97" s="119"/>
      <c r="V97" s="119"/>
      <c r="W97" s="119"/>
      <c r="X97" s="506"/>
      <c r="Y97" s="119"/>
      <c r="Z97" s="120"/>
      <c r="AA97" s="506"/>
      <c r="AB97" s="119"/>
      <c r="AC97" s="510"/>
      <c r="AD97" s="507"/>
      <c r="AE97" s="119"/>
      <c r="AF97" s="119"/>
      <c r="AG97" s="119"/>
      <c r="AH97" s="119"/>
      <c r="AI97" s="119"/>
      <c r="AJ97" s="119"/>
      <c r="AK97" s="119"/>
      <c r="AL97" s="120"/>
      <c r="AM97" s="506"/>
      <c r="AN97" s="506"/>
      <c r="AO97" s="510"/>
      <c r="AP97" s="119"/>
      <c r="AQ97" s="119"/>
      <c r="AR97" s="119"/>
      <c r="AS97" s="119"/>
      <c r="AT97" s="119"/>
      <c r="AU97" s="119"/>
      <c r="AV97" s="119"/>
      <c r="AW97" s="119"/>
      <c r="AX97" s="120"/>
      <c r="AY97" s="506"/>
      <c r="AZ97" s="119"/>
      <c r="BA97" s="511"/>
      <c r="BB97" s="505"/>
      <c r="BC97" s="119"/>
      <c r="BD97" s="119"/>
      <c r="BE97" s="119"/>
      <c r="BF97" s="119"/>
      <c r="BG97" s="119"/>
      <c r="BH97" s="119"/>
      <c r="BI97" s="119"/>
      <c r="BJ97" s="120"/>
    </row>
    <row r="98">
      <c r="A98" s="249" t="s">
        <v>266</v>
      </c>
      <c r="B98" s="344">
        <v>349.0</v>
      </c>
      <c r="C98" s="506"/>
      <c r="D98" s="119"/>
      <c r="E98" s="512">
        <v>1.0</v>
      </c>
      <c r="F98" s="513">
        <v>6.0</v>
      </c>
      <c r="G98" s="119"/>
      <c r="H98" s="119"/>
      <c r="I98" s="119"/>
      <c r="J98" s="119"/>
      <c r="K98" s="119"/>
      <c r="L98" s="119"/>
      <c r="M98" s="119"/>
      <c r="N98" s="120"/>
      <c r="O98" s="506"/>
      <c r="P98" s="506"/>
      <c r="Q98" s="489">
        <v>8.0</v>
      </c>
      <c r="R98" s="513">
        <v>7.0</v>
      </c>
      <c r="S98" s="119"/>
      <c r="T98" s="119"/>
      <c r="U98" s="119"/>
      <c r="V98" s="119"/>
      <c r="W98" s="119"/>
      <c r="X98" s="506"/>
      <c r="Y98" s="119"/>
      <c r="Z98" s="120"/>
      <c r="AA98" s="506"/>
      <c r="AB98" s="119"/>
      <c r="AC98" s="514">
        <v>2.0</v>
      </c>
      <c r="AD98" s="377">
        <v>1.0</v>
      </c>
      <c r="AE98" s="119"/>
      <c r="AF98" s="119"/>
      <c r="AG98" s="119"/>
      <c r="AH98" s="119"/>
      <c r="AI98" s="119"/>
      <c r="AJ98" s="119"/>
      <c r="AK98" s="119"/>
      <c r="AL98" s="120"/>
      <c r="AM98" s="506"/>
      <c r="AN98" s="506"/>
      <c r="AO98" s="512">
        <v>2.0</v>
      </c>
      <c r="AP98" s="513">
        <v>5.0</v>
      </c>
      <c r="AQ98" s="119"/>
      <c r="AR98" s="119"/>
      <c r="AS98" s="119"/>
      <c r="AT98" s="119"/>
      <c r="AU98" s="119"/>
      <c r="AV98" s="119"/>
      <c r="AW98" s="119"/>
      <c r="AX98" s="120"/>
      <c r="AY98" s="506"/>
      <c r="AZ98" s="119"/>
      <c r="BA98" s="515">
        <v>2.0</v>
      </c>
      <c r="BB98" s="516">
        <v>1.0</v>
      </c>
      <c r="BC98" s="119"/>
      <c r="BD98" s="119"/>
      <c r="BE98" s="119"/>
      <c r="BF98" s="119"/>
      <c r="BG98" s="119"/>
      <c r="BH98" s="119"/>
      <c r="BI98" s="119"/>
      <c r="BJ98" s="120"/>
    </row>
    <row r="99">
      <c r="A99" s="249" t="s">
        <v>267</v>
      </c>
      <c r="B99" s="344">
        <v>459.0</v>
      </c>
      <c r="C99" s="506"/>
      <c r="D99" s="119"/>
      <c r="E99" s="510"/>
      <c r="F99" s="513">
        <v>2.0</v>
      </c>
      <c r="G99" s="119"/>
      <c r="H99" s="119"/>
      <c r="I99" s="119"/>
      <c r="J99" s="119"/>
      <c r="K99" s="119"/>
      <c r="L99" s="119"/>
      <c r="M99" s="119"/>
      <c r="N99" s="120"/>
      <c r="O99" s="506"/>
      <c r="P99" s="506"/>
      <c r="Q99" s="510"/>
      <c r="R99" s="513">
        <v>1.0</v>
      </c>
      <c r="S99" s="119"/>
      <c r="T99" s="119"/>
      <c r="U99" s="119"/>
      <c r="V99" s="119"/>
      <c r="W99" s="119"/>
      <c r="X99" s="506"/>
      <c r="Y99" s="119"/>
      <c r="Z99" s="120"/>
      <c r="AA99" s="506"/>
      <c r="AB99" s="119"/>
      <c r="AC99" s="510"/>
      <c r="AD99" s="377">
        <v>1.0</v>
      </c>
      <c r="AE99" s="119"/>
      <c r="AF99" s="119"/>
      <c r="AG99" s="119"/>
      <c r="AH99" s="119"/>
      <c r="AI99" s="119"/>
      <c r="AJ99" s="119"/>
      <c r="AK99" s="119"/>
      <c r="AL99" s="120"/>
      <c r="AM99" s="506"/>
      <c r="AN99" s="506"/>
      <c r="AO99" s="512">
        <v>3.0</v>
      </c>
      <c r="AP99" s="513"/>
      <c r="AQ99" s="119"/>
      <c r="AR99" s="119"/>
      <c r="AS99" s="119"/>
      <c r="AT99" s="119"/>
      <c r="AU99" s="119"/>
      <c r="AV99" s="119"/>
      <c r="AW99" s="119"/>
      <c r="AX99" s="120"/>
      <c r="AY99" s="506"/>
      <c r="AZ99" s="119"/>
      <c r="BA99" s="515">
        <v>1.0</v>
      </c>
      <c r="BB99" s="516">
        <v>1.0</v>
      </c>
      <c r="BC99" s="119"/>
      <c r="BD99" s="119"/>
      <c r="BE99" s="119"/>
      <c r="BF99" s="119"/>
      <c r="BG99" s="119"/>
      <c r="BH99" s="119"/>
      <c r="BI99" s="119"/>
      <c r="BJ99" s="120"/>
    </row>
    <row r="100">
      <c r="A100" s="249" t="s">
        <v>268</v>
      </c>
      <c r="B100" s="344">
        <v>799.0</v>
      </c>
      <c r="C100" s="506"/>
      <c r="D100" s="119"/>
      <c r="E100" s="510"/>
      <c r="F100" s="119"/>
      <c r="G100" s="119"/>
      <c r="H100" s="119"/>
      <c r="I100" s="119"/>
      <c r="J100" s="119"/>
      <c r="K100" s="119"/>
      <c r="L100" s="119"/>
      <c r="M100" s="119"/>
      <c r="N100" s="120"/>
      <c r="O100" s="506"/>
      <c r="P100" s="506"/>
      <c r="Q100" s="510"/>
      <c r="R100" s="119"/>
      <c r="S100" s="119"/>
      <c r="T100" s="119"/>
      <c r="U100" s="119"/>
      <c r="V100" s="119"/>
      <c r="W100" s="119"/>
      <c r="X100" s="506"/>
      <c r="Y100" s="119"/>
      <c r="Z100" s="120"/>
      <c r="AA100" s="506"/>
      <c r="AB100" s="119"/>
      <c r="AC100" s="510"/>
      <c r="AD100" s="507"/>
      <c r="AE100" s="119"/>
      <c r="AF100" s="119"/>
      <c r="AG100" s="119"/>
      <c r="AH100" s="119"/>
      <c r="AI100" s="119"/>
      <c r="AJ100" s="119"/>
      <c r="AK100" s="119"/>
      <c r="AL100" s="120"/>
      <c r="AM100" s="506"/>
      <c r="AN100" s="506"/>
      <c r="AO100" s="510"/>
      <c r="AP100" s="119"/>
      <c r="AQ100" s="119"/>
      <c r="AR100" s="119"/>
      <c r="AS100" s="119"/>
      <c r="AT100" s="119"/>
      <c r="AU100" s="119"/>
      <c r="AV100" s="119"/>
      <c r="AW100" s="119"/>
      <c r="AX100" s="120"/>
      <c r="AY100" s="506"/>
      <c r="AZ100" s="119"/>
      <c r="BA100" s="511"/>
      <c r="BB100" s="505"/>
      <c r="BC100" s="119"/>
      <c r="BD100" s="119"/>
      <c r="BE100" s="119"/>
      <c r="BF100" s="119"/>
      <c r="BG100" s="119"/>
      <c r="BH100" s="119"/>
      <c r="BI100" s="119"/>
      <c r="BJ100" s="120"/>
    </row>
    <row r="101">
      <c r="A101" s="351" t="s">
        <v>135</v>
      </c>
      <c r="B101" s="124"/>
      <c r="C101" s="517"/>
      <c r="D101" s="518"/>
      <c r="E101" s="517"/>
      <c r="F101" s="518"/>
      <c r="G101" s="518"/>
      <c r="H101" s="518"/>
      <c r="I101" s="518"/>
      <c r="J101" s="518"/>
      <c r="K101" s="518"/>
      <c r="L101" s="518"/>
      <c r="M101" s="518"/>
      <c r="N101" s="124"/>
      <c r="O101" s="517"/>
      <c r="P101" s="517"/>
      <c r="Q101" s="517"/>
      <c r="R101" s="518"/>
      <c r="S101" s="518"/>
      <c r="T101" s="518"/>
      <c r="U101" s="518"/>
      <c r="V101" s="518"/>
      <c r="W101" s="518"/>
      <c r="X101" s="517"/>
      <c r="Y101" s="518"/>
      <c r="Z101" s="124"/>
      <c r="AA101" s="517"/>
      <c r="AB101" s="518"/>
      <c r="AC101" s="517"/>
      <c r="AD101" s="386"/>
      <c r="AE101" s="518"/>
      <c r="AF101" s="518"/>
      <c r="AG101" s="518"/>
      <c r="AH101" s="518"/>
      <c r="AI101" s="518"/>
      <c r="AJ101" s="518"/>
      <c r="AK101" s="518"/>
      <c r="AL101" s="124"/>
      <c r="AM101" s="517"/>
      <c r="AN101" s="517"/>
      <c r="AO101" s="517"/>
      <c r="AP101" s="518"/>
      <c r="AQ101" s="518"/>
      <c r="AR101" s="518"/>
      <c r="AS101" s="518"/>
      <c r="AT101" s="518"/>
      <c r="AU101" s="518"/>
      <c r="AV101" s="518"/>
      <c r="AW101" s="518"/>
      <c r="AX101" s="124"/>
      <c r="AY101" s="517"/>
      <c r="AZ101" s="518"/>
      <c r="BA101" s="518"/>
      <c r="BB101" s="518"/>
      <c r="BC101" s="518"/>
      <c r="BD101" s="518"/>
      <c r="BE101" s="518"/>
      <c r="BF101" s="518"/>
      <c r="BG101" s="518"/>
      <c r="BH101" s="518"/>
      <c r="BI101" s="518"/>
      <c r="BJ101" s="124"/>
    </row>
    <row r="102">
      <c r="A102" s="283"/>
      <c r="B102" s="283"/>
      <c r="C102" s="291">
        <f t="shared" ref="C102:D102" si="2">sum(C8:C14)*349+sum(C15)*239+sum(C19:C21)*259+sum(C22:C24)*239+sum(C27:C28)*629+sum(C29:C30)*349+sum(C31:C32)*239+sum(C33:C34)*459+sum(C35:C37)*569+sum(C38:C41)*459+sum(C43)*629+sum(C44:C45)*399+sum(C50:C51)*629+sum(C52:C60)*349+sum(C61)*269+sum(C62:C64)*459+sum(C71)*629+sum(C72:C74)*1619+sum(C77)*399+sum(C81)*249+sum(C82)*239</f>
        <v>27001</v>
      </c>
      <c r="D102" s="291">
        <f t="shared" si="2"/>
        <v>16481</v>
      </c>
      <c r="E102" s="291">
        <f>sum(E8:E14)*349+sum(E15)*239+sum(E19:E21)*259+sum(E22:E24)*239+sum(E27:E28)*629+sum(E29:E30)*349+sum(E31:E32)*239+sum(E33:E34)*459+sum(E35:E37)*569+sum(E38:E41)*459+sum(E43)*629+sum(E44:E45)*399+sum(E50:E51)*629+sum(E52:E60)*349+sum(E61)*269+sum(E62:E64)*459+sum(E71)*629+sum(E72:E74)*1619+sum(E77)*399+sum(E81)*249+sum(E82)*239+349</f>
        <v>13504</v>
      </c>
      <c r="F102" s="291">
        <f>sum(F8:F14)*349+sum(F15)*239+sum(F19:F21)*259+sum(F22:F24)*239+sum(F27:F28)*629+sum(F29:F30)*349+sum(F31:F32)*239+sum(F33:F34)*459+sum(F35:F37)*569+sum(F38:F41)*459+sum(F43)*629+sum(F44:F45)*399+sum(F50:F51)*629+sum(F52:F60)*349+sum(F61)*269+sum(F62:F64)*459+sum(F71)*629+sum(F72:F74)*1619+sum(F77)*399+sum(F81)*249+sum(F82)*239+sum(F98)*349+sum(F99)*459</f>
        <v>26178</v>
      </c>
      <c r="G102" s="291">
        <f t="shared" ref="G102:L102" si="3">sum(G8:G14)*349+sum(G15)*239+sum(G19:G21)*259+sum(G22:G24)*239+sum(G27:G28)*629+sum(G29:G30)*349+sum(G31:G32)*239+sum(G33:G34)*459+sum(G35:G37)*569+sum(G38:G41)*459+sum(G43)*629+sum(G44:G45)*399+sum(G50:G51)*629+sum(G52:G60)*349+sum(G61)*269+sum(G62:G64)*459+sum(G71)*629+sum(G72:G74)*1619+sum(G77)*399+sum(G81)*249+sum(G82)*239</f>
        <v>0</v>
      </c>
      <c r="H102" s="291">
        <f t="shared" si="3"/>
        <v>0</v>
      </c>
      <c r="I102" s="291">
        <f t="shared" si="3"/>
        <v>0</v>
      </c>
      <c r="J102" s="291">
        <f t="shared" si="3"/>
        <v>0</v>
      </c>
      <c r="K102" s="291">
        <f t="shared" si="3"/>
        <v>0</v>
      </c>
      <c r="L102" s="291">
        <f t="shared" si="3"/>
        <v>0</v>
      </c>
      <c r="M102" s="291">
        <f t="shared" ref="M102:N102" si="4">sum(M8:M14)*349+sum(M15)*239+sum(M19:M21)*259+sum(M22:M24)*239+sum(M27:M28)*629+sum(M29:M30)*349+sum(M31:M32)*239+sum(M33:M34)*459+sum(M35:M37)*569+sum(M38:M41)*459+sum(M43)*629+sum(M44:M45)*399+sum(M50:M51)*629+sum(M52:M60)*349+sum(M61)*269+sum(M62:M64)*459+sum(M71)*629+sum(M72:M74)*1619+sum(M77)*399+sum(M81)*249+sum(M82)*239+sum(M79)*439</f>
        <v>0</v>
      </c>
      <c r="N102" s="291">
        <f t="shared" si="4"/>
        <v>0</v>
      </c>
      <c r="O102" s="291">
        <f t="shared" ref="O102:P102" si="5">sum(O8:O14)*349+sum(O15)*239+sum(O19:O21)*259+sum(O22:O24)*239+sum(O27:O28)*629+sum(O29:O30)*349+sum(O31:O32)*239+sum(O33:O34)*459+sum(O35:O37)*569+sum(O38:O41)*459+sum(O43)*629+sum(O44:O45)*399+sum(O50:O51)*629+sum(O52:O60)*349+sum(O61)*269+sum(O62:O64)*459+sum(O71)*629+sum(O72:O74)*1619+sum(O77)*399+sum(O81)*249+sum(O82)*239</f>
        <v>58394</v>
      </c>
      <c r="P102" s="291">
        <f t="shared" si="5"/>
        <v>27323</v>
      </c>
      <c r="Q102" s="291">
        <f>sum(Q8:Q14)*349+sum(Q15)*239+sum(Q19:Q21)*259+sum(Q22:Q24)*239+sum(Q27:Q28)*629+sum(Q29:Q30)*349+sum(Q31:Q32)*239+sum(Q33:Q34)*459+sum(Q35:Q37)*569+sum(Q38:Q41)*459+sum(Q43)*629+sum(Q44:Q45)*399+sum(Q50:Q51)*629+sum(Q52:Q60)*349+sum(Q61)*269+sum(Q62:Q64)*459+sum(Q71)*629+sum(Q72:Q74)*1619+sum(Q77)*399+sum(Q81)*249+sum(Q82)*239+Q98*349</f>
        <v>25583</v>
      </c>
      <c r="R102" s="291">
        <f>sum(R8:R14)*349+sum(R15)*239+sum(R19:R21)*259+sum(R22:R24)*239+sum(R27:R28)*629+sum(R29:R30)*349+sum(R31:R32)*239+sum(R33:R34)*459+sum(R35:R37)*569+sum(R38:R41)*459+sum(R43)*629+sum(R44:R45)*399+sum(R50:R51)*629+sum(R52:R60)*349+sum(R61)*269+sum(R62:R64)*459+sum(R71)*629+sum(R72:R74)*1619+sum(R77)*399+sum(R81)*249+sum(R82)*239+R98*349+sum(R99)*459</f>
        <v>25466</v>
      </c>
      <c r="S102" s="291">
        <f t="shared" ref="S102:Z102" si="6">sum(S8:S14)*349+sum(S15)*239+sum(S19:S21)*259+sum(S22:S24)*239+sum(S27:S28)*629+sum(S29:S30)*349+sum(S31:S32)*239+sum(S33:S34)*459+sum(S35:S37)*569+sum(S38:S41)*459+sum(S43)*629+sum(S44:S45)*399+sum(S50:S51)*629+sum(S52:S60)*349+sum(S61)*269+sum(S62:S64)*459+sum(S71)*629+sum(S72:S74)*1619+sum(S77)*399+sum(S81)*249+sum(S82)*239+sum(S98)*349+sum(S99)*459</f>
        <v>0</v>
      </c>
      <c r="T102" s="291">
        <f t="shared" si="6"/>
        <v>0</v>
      </c>
      <c r="U102" s="291">
        <f t="shared" si="6"/>
        <v>0</v>
      </c>
      <c r="V102" s="291">
        <f t="shared" si="6"/>
        <v>0</v>
      </c>
      <c r="W102" s="291">
        <f t="shared" si="6"/>
        <v>0</v>
      </c>
      <c r="X102" s="291">
        <f t="shared" si="6"/>
        <v>0</v>
      </c>
      <c r="Y102" s="291">
        <f t="shared" si="6"/>
        <v>0</v>
      </c>
      <c r="Z102" s="291">
        <f t="shared" si="6"/>
        <v>0</v>
      </c>
      <c r="AA102" s="291">
        <f t="shared" ref="AA102:AB102" si="7">sum(AA8:AA14)*349+sum(AA15)*239+sum(AA19:AA21)*259+sum(AA22:AA24)*239+sum(AA27:AA28)*629+sum(AA29:AA30)*349+sum(AA31:AA32)*239+sum(AA33:AA34)*459+sum(AA35:AA37)*569+sum(AA38:AA41)*459+sum(AA43)*629+sum(AA44:AA45)*399+sum(AA50:AA51)*629+sum(AA52:AA60)*349+sum(AA61)*269+sum(AA62:AA64)*459+sum(AA71)*629+sum(AA72:AA74)*1619+sum(AA77)*399+sum(AA81)*249+sum(AA82)*239</f>
        <v>30350</v>
      </c>
      <c r="AB102" s="291">
        <f t="shared" si="7"/>
        <v>20785</v>
      </c>
      <c r="AC102" s="291">
        <f>sum(AC8:AC14)*349+sum(AC15)*239+sum(AC19:AC21)*259+sum(AC22:AC24)*239+sum(AC27:AC28)*629+sum(AC29:AC30)*349+sum(AC31:AC32)*239+sum(AC33:AC34)*459+sum(AC35:AC37)*569+sum(AC38:AC41)*459+sum(AC43)*629+sum(AC44:AC45)*399+sum(AC50:AC51)*629+sum(AC52:AC60)*349+sum(AC61)*269+sum(AC62:AC64)*459+sum(AC71)*629+sum(AC72:AC74)*1619+sum(AC77)*399+sum(AC81)*249+sum(AC82)*239+AC98*349</f>
        <v>19401</v>
      </c>
      <c r="AD102" s="174">
        <f>sum(AD8:AD14)*349+sum(AD15)*239+sum(AD19:AD21)*259+sum(AD22:AD24)*239+sum(AD27:AD28)*629+sum(AD29:AD30)*349+sum(AD31:AD32)*239+sum(AD33:AD34)*459+sum(AD35:AD37)*569+sum(AD38:AD41)*459+sum(AD43)*629+sum(AD44:AD45)*399+sum(AD50:AD51)*629+sum(AD52:AD60)*349+sum(AD61)*269+sum(AD62:AD64)*459+sum(AD71)*629+sum(AD72:AD74)*1619+sum(AD77)*399+sum(AD81)*249+sum(AD82)*239+sum(AD98)*349+sum(AD99)*459+sum(AD79)*459</f>
        <v>18596</v>
      </c>
      <c r="AE102" s="291">
        <f t="shared" ref="AE102:AL102" si="8">sum(AE8:AE14)*349+sum(AE15)*239+sum(AE19:AE21)*259+sum(AE22:AE24)*239+sum(AE27:AE28)*629+sum(AE29:AE30)*349+sum(AE31:AE32)*239+sum(AE33:AE34)*459+sum(AE35:AE37)*569+sum(AE38:AE41)*459+sum(AE43)*629+sum(AE44:AE45)*399+sum(AE50:AE51)*629+sum(AE52:AE60)*349+sum(AE61)*269+sum(AE62:AE64)*459+sum(AE71)*629+sum(AE72:AE74)*1619+sum(AE77)*399+sum(AE81)*249+sum(AE82)*239+sum(AE98)*349+sum(AE99)*459</f>
        <v>0</v>
      </c>
      <c r="AF102" s="291">
        <f t="shared" si="8"/>
        <v>0</v>
      </c>
      <c r="AG102" s="291">
        <f t="shared" si="8"/>
        <v>0</v>
      </c>
      <c r="AH102" s="291">
        <f t="shared" si="8"/>
        <v>0</v>
      </c>
      <c r="AI102" s="291">
        <f t="shared" si="8"/>
        <v>0</v>
      </c>
      <c r="AJ102" s="291">
        <f t="shared" si="8"/>
        <v>0</v>
      </c>
      <c r="AK102" s="291">
        <f t="shared" si="8"/>
        <v>0</v>
      </c>
      <c r="AL102" s="291">
        <f t="shared" si="8"/>
        <v>0</v>
      </c>
      <c r="AM102" s="291">
        <f>sum(AM8:AM14)*349+sum(AM15)*239+sum(AM19:AM21)*259+sum(AM22:AM24)*239+sum(AM27:AM28)*629+sum(AM29:AM30)*349+sum(AM31:AM32)*239+sum(AM33:AM34)*459+sum(AM35:AM37)*569+sum(AM38:AM41)*459+sum(AM43)*629+sum(AM44:AM45)*399+sum(AM50:AM51)*629+sum(AM52:AM60)*349+sum(AM61)*269+sum(AM62:AM64)*459+sum(AM71)*629+sum(AM72:AM74)*1619+sum(AM77)*399+sum(AM81)*249+sum(AM82)*239</f>
        <v>22977</v>
      </c>
      <c r="AN102" s="291">
        <f>sum(AN8:AN14)*349+sum(AN15)*239+sum(AN19:AN21)*259+sum(AN22:AN24)*239+sum(AN27:AN28)*629+sum(AN29:AN30)*349+sum(AN31:AN32)*239+sum(AN33:AN34)*459+sum(AN35:AN37)*569+sum(AN38:AN41)*459+sum(AN43)*629+sum(AN44:AN45)*399+sum(AN50:AN51)*629+sum(AN52:AN60)*349+sum(AN61)*269+sum(AN62:AN64)*459+sum(AN71)*629+sum(AN72:AN74)*1619+sum(AN77)*379+sum(AN81)*249+sum(AN82)*239</f>
        <v>24682</v>
      </c>
      <c r="AO102" s="291">
        <f>sum(AO8:AO14)*349+sum(AO15)*239+sum(AO19:AO21)*259+sum(AO22:AO24)*239+sum(AO27:AO28)*629+sum(AO29:AO30)*349+sum(AO31:AO32)*239+sum(AO33:AO34)*459+sum(AO35:AO37)*569+sum(AO38:AO41)*459+sum(AO43)*629+sum(AO44:AO45)*399+sum(AO50:AO51)*629+sum(AO52:AO60)*349+sum(AO61)*269+sum(AO62:AO64)*459+sum(AO71)*629+sum(AO72:AO74)*1619+sum(AO77)*399+sum(AO81)*249+sum(AO82)*239+AO98*349+AO99*459</f>
        <v>16188</v>
      </c>
      <c r="AP102" s="291">
        <f t="shared" ref="AP102:AX102" si="9">sum(AP8:AP14)*349+sum(AP15)*239+sum(AP19:AP21)*259+sum(AP22:AP24)*239+sum(AP27:AP28)*629+sum(AP29:AP30)*349+sum(AP31:AP32)*239+sum(AP33:AP34)*459+sum(AP35:AP37)*569+sum(AP38:AP41)*459+sum(AP43)*629+sum(AP44:AP45)*399+sum(AP50:AP51)*629+sum(AP52:AP60)*349+sum(AP61)*269+sum(AP62:AP64)*459+sum(AP71)*629+sum(AP72:AP74)*1619+sum(AP77)*399+sum(AP81)*249+sum(AP82)*239+sum(AP98)*349+sum(AP99)*459</f>
        <v>19925</v>
      </c>
      <c r="AQ102" s="291">
        <f t="shared" si="9"/>
        <v>0</v>
      </c>
      <c r="AR102" s="291">
        <f t="shared" si="9"/>
        <v>0</v>
      </c>
      <c r="AS102" s="291">
        <f t="shared" si="9"/>
        <v>0</v>
      </c>
      <c r="AT102" s="291">
        <f t="shared" si="9"/>
        <v>0</v>
      </c>
      <c r="AU102" s="291">
        <f t="shared" si="9"/>
        <v>0</v>
      </c>
      <c r="AV102" s="291">
        <f t="shared" si="9"/>
        <v>0</v>
      </c>
      <c r="AW102" s="291">
        <f t="shared" si="9"/>
        <v>0</v>
      </c>
      <c r="AX102" s="291">
        <f t="shared" si="9"/>
        <v>0</v>
      </c>
      <c r="AY102" s="291">
        <f t="shared" ref="AY102:AZ102" si="10">sum(AY8:AY14)*349+sum(AY15)*239+sum(AY19:AY21)*259+sum(AY22:AY24)*239+sum(AY27:AY28)*629+sum(AY29:AY30)*349+sum(AY31:AY32)*239+sum(AY33:AY34)*459+sum(AY35:AY37)*569+sum(AY38:AY41)*459+sum(AY43)*629+sum(AY44:AY45)*399+sum(AY50:AY51)*629+sum(AY52:AY60)*349+sum(AY61)*269+sum(AY62:AY64)*459+sum(AY71)*629+sum(AY72:AY74)*1619+sum(AY77)*399+sum(AY81)*249+sum(AY82)*239</f>
        <v>7499</v>
      </c>
      <c r="AZ102" s="291">
        <f t="shared" si="10"/>
        <v>6373</v>
      </c>
      <c r="BA102" s="291">
        <f>sum(BA8:BA14)*349+sum(BA15)*239+sum(BA19:BA21)*259+sum(BA22:BA24)*239+sum(BA27:BA28)*629+sum(BA29:BA30)*349+sum(BA31:BA32)*239+sum(BA33:BA34)*459+sum(BA35:BA37)*569+sum(BA38:BA41)*459+sum(BA43)*629+sum(BA44:BA45)*399+sum(BA50:BA51)*629+sum(BA52:BA60)*349+sum(BA61)*269+sum(BA62:BA64)*459+sum(BA71)*629+sum(BA72:BA74)*1619+sum(BA77)*399+sum(BA81)*249+sum(BA82)*239+BA98*349+BA99*459</f>
        <v>6954</v>
      </c>
      <c r="BB102" s="291">
        <f t="shared" ref="BB102:BJ102" si="11">sum(BB8:BB14)*349+sum(BB15)*239+sum(BB19:BB21)*259+sum(BB22:BB24)*239+sum(BB27:BB28)*629+sum(BB29:BB30)*349+sum(BB31:BB32)*239+sum(BB33:BB34)*459+sum(BB35:BB37)*569+sum(BB38:BB41)*459+sum(BB43)*629+sum(BB44:BB45)*399+sum(BB50:BB51)*629+sum(BB52:BB60)*349+sum(BB61)*269+sum(BB62:BB64)*459+sum(BB71)*629+sum(BB72:BB74)*1619+sum(BB77)*399+sum(BB81)*249+sum(BB82)*239+sum(BB98)*349+sum(BB99)*459</f>
        <v>6213</v>
      </c>
      <c r="BC102" s="291">
        <f t="shared" si="11"/>
        <v>0</v>
      </c>
      <c r="BD102" s="291">
        <f t="shared" si="11"/>
        <v>0</v>
      </c>
      <c r="BE102" s="291">
        <f t="shared" si="11"/>
        <v>0</v>
      </c>
      <c r="BF102" s="291">
        <f t="shared" si="11"/>
        <v>0</v>
      </c>
      <c r="BG102" s="291">
        <f t="shared" si="11"/>
        <v>0</v>
      </c>
      <c r="BH102" s="291">
        <f t="shared" si="11"/>
        <v>0</v>
      </c>
      <c r="BI102" s="291">
        <f t="shared" si="11"/>
        <v>0</v>
      </c>
      <c r="BJ102" s="291">
        <f t="shared" si="11"/>
        <v>0</v>
      </c>
    </row>
    <row r="103">
      <c r="A103" s="290"/>
      <c r="B103" s="290"/>
      <c r="C103" s="519">
        <f t="shared" ref="C103:BJ103" si="12">C102*35%</f>
        <v>9450.35</v>
      </c>
      <c r="D103" s="519">
        <f t="shared" si="12"/>
        <v>5768.35</v>
      </c>
      <c r="E103" s="519">
        <f t="shared" si="12"/>
        <v>4726.4</v>
      </c>
      <c r="F103" s="519">
        <f t="shared" si="12"/>
        <v>9162.3</v>
      </c>
      <c r="G103" s="519">
        <f t="shared" si="12"/>
        <v>0</v>
      </c>
      <c r="H103" s="519">
        <f t="shared" si="12"/>
        <v>0</v>
      </c>
      <c r="I103" s="519">
        <f t="shared" si="12"/>
        <v>0</v>
      </c>
      <c r="J103" s="519">
        <f t="shared" si="12"/>
        <v>0</v>
      </c>
      <c r="K103" s="519">
        <f t="shared" si="12"/>
        <v>0</v>
      </c>
      <c r="L103" s="519">
        <f t="shared" si="12"/>
        <v>0</v>
      </c>
      <c r="M103" s="519">
        <f t="shared" si="12"/>
        <v>0</v>
      </c>
      <c r="N103" s="519">
        <f t="shared" si="12"/>
        <v>0</v>
      </c>
      <c r="O103" s="519">
        <f t="shared" si="12"/>
        <v>20437.9</v>
      </c>
      <c r="P103" s="519">
        <f t="shared" si="12"/>
        <v>9563.05</v>
      </c>
      <c r="Q103" s="519">
        <f t="shared" si="12"/>
        <v>8954.05</v>
      </c>
      <c r="R103" s="519">
        <f t="shared" si="12"/>
        <v>8913.1</v>
      </c>
      <c r="S103" s="519">
        <f t="shared" si="12"/>
        <v>0</v>
      </c>
      <c r="T103" s="519">
        <f t="shared" si="12"/>
        <v>0</v>
      </c>
      <c r="U103" s="519">
        <f t="shared" si="12"/>
        <v>0</v>
      </c>
      <c r="V103" s="519">
        <f t="shared" si="12"/>
        <v>0</v>
      </c>
      <c r="W103" s="519">
        <f t="shared" si="12"/>
        <v>0</v>
      </c>
      <c r="X103" s="519">
        <f t="shared" si="12"/>
        <v>0</v>
      </c>
      <c r="Y103" s="519">
        <f t="shared" si="12"/>
        <v>0</v>
      </c>
      <c r="Z103" s="519">
        <f t="shared" si="12"/>
        <v>0</v>
      </c>
      <c r="AA103" s="519">
        <f t="shared" si="12"/>
        <v>10622.5</v>
      </c>
      <c r="AB103" s="519">
        <f t="shared" si="12"/>
        <v>7274.75</v>
      </c>
      <c r="AC103" s="519">
        <f t="shared" si="12"/>
        <v>6790.35</v>
      </c>
      <c r="AD103" s="520">
        <f t="shared" si="12"/>
        <v>6508.6</v>
      </c>
      <c r="AE103" s="519">
        <f t="shared" si="12"/>
        <v>0</v>
      </c>
      <c r="AF103" s="519">
        <f t="shared" si="12"/>
        <v>0</v>
      </c>
      <c r="AG103" s="519">
        <f t="shared" si="12"/>
        <v>0</v>
      </c>
      <c r="AH103" s="519">
        <f t="shared" si="12"/>
        <v>0</v>
      </c>
      <c r="AI103" s="519">
        <f t="shared" si="12"/>
        <v>0</v>
      </c>
      <c r="AJ103" s="519">
        <f t="shared" si="12"/>
        <v>0</v>
      </c>
      <c r="AK103" s="519">
        <f t="shared" si="12"/>
        <v>0</v>
      </c>
      <c r="AL103" s="519">
        <f t="shared" si="12"/>
        <v>0</v>
      </c>
      <c r="AM103" s="519">
        <f t="shared" si="12"/>
        <v>8041.95</v>
      </c>
      <c r="AN103" s="519">
        <f t="shared" si="12"/>
        <v>8638.7</v>
      </c>
      <c r="AO103" s="519">
        <f t="shared" si="12"/>
        <v>5665.8</v>
      </c>
      <c r="AP103" s="519">
        <f t="shared" si="12"/>
        <v>6973.75</v>
      </c>
      <c r="AQ103" s="519">
        <f t="shared" si="12"/>
        <v>0</v>
      </c>
      <c r="AR103" s="519">
        <f t="shared" si="12"/>
        <v>0</v>
      </c>
      <c r="AS103" s="519">
        <f t="shared" si="12"/>
        <v>0</v>
      </c>
      <c r="AT103" s="519">
        <f t="shared" si="12"/>
        <v>0</v>
      </c>
      <c r="AU103" s="519">
        <f t="shared" si="12"/>
        <v>0</v>
      </c>
      <c r="AV103" s="519">
        <f t="shared" si="12"/>
        <v>0</v>
      </c>
      <c r="AW103" s="519">
        <f t="shared" si="12"/>
        <v>0</v>
      </c>
      <c r="AX103" s="519">
        <f t="shared" si="12"/>
        <v>0</v>
      </c>
      <c r="AY103" s="519">
        <f t="shared" si="12"/>
        <v>2624.65</v>
      </c>
      <c r="AZ103" s="519">
        <f t="shared" si="12"/>
        <v>2230.55</v>
      </c>
      <c r="BA103" s="519">
        <f t="shared" si="12"/>
        <v>2433.9</v>
      </c>
      <c r="BB103" s="519">
        <f t="shared" si="12"/>
        <v>2174.55</v>
      </c>
      <c r="BC103" s="519">
        <f t="shared" si="12"/>
        <v>0</v>
      </c>
      <c r="BD103" s="519">
        <f t="shared" si="12"/>
        <v>0</v>
      </c>
      <c r="BE103" s="519">
        <f t="shared" si="12"/>
        <v>0</v>
      </c>
      <c r="BF103" s="519">
        <f t="shared" si="12"/>
        <v>0</v>
      </c>
      <c r="BG103" s="519">
        <f t="shared" si="12"/>
        <v>0</v>
      </c>
      <c r="BH103" s="519">
        <f t="shared" si="12"/>
        <v>0</v>
      </c>
      <c r="BI103" s="519">
        <f t="shared" si="12"/>
        <v>0</v>
      </c>
      <c r="BJ103" s="519">
        <f t="shared" si="12"/>
        <v>0</v>
      </c>
    </row>
    <row r="104">
      <c r="A104" s="521"/>
      <c r="B104" s="521"/>
      <c r="C104" s="522">
        <f t="shared" ref="C104:BJ104" si="13">C102-C103</f>
        <v>17550.65</v>
      </c>
      <c r="D104" s="522">
        <f t="shared" si="13"/>
        <v>10712.65</v>
      </c>
      <c r="E104" s="522">
        <f t="shared" si="13"/>
        <v>8777.6</v>
      </c>
      <c r="F104" s="522">
        <f t="shared" si="13"/>
        <v>17015.7</v>
      </c>
      <c r="G104" s="522">
        <f t="shared" si="13"/>
        <v>0</v>
      </c>
      <c r="H104" s="522">
        <f t="shared" si="13"/>
        <v>0</v>
      </c>
      <c r="I104" s="522">
        <f t="shared" si="13"/>
        <v>0</v>
      </c>
      <c r="J104" s="522">
        <f t="shared" si="13"/>
        <v>0</v>
      </c>
      <c r="K104" s="522">
        <f t="shared" si="13"/>
        <v>0</v>
      </c>
      <c r="L104" s="522">
        <f t="shared" si="13"/>
        <v>0</v>
      </c>
      <c r="M104" s="522">
        <f t="shared" si="13"/>
        <v>0</v>
      </c>
      <c r="N104" s="522">
        <f t="shared" si="13"/>
        <v>0</v>
      </c>
      <c r="O104" s="522">
        <f t="shared" si="13"/>
        <v>37956.1</v>
      </c>
      <c r="P104" s="522">
        <f t="shared" si="13"/>
        <v>17759.95</v>
      </c>
      <c r="Q104" s="522">
        <f t="shared" si="13"/>
        <v>16628.95</v>
      </c>
      <c r="R104" s="522">
        <f t="shared" si="13"/>
        <v>16552.9</v>
      </c>
      <c r="S104" s="522">
        <f t="shared" si="13"/>
        <v>0</v>
      </c>
      <c r="T104" s="522">
        <f t="shared" si="13"/>
        <v>0</v>
      </c>
      <c r="U104" s="522">
        <f t="shared" si="13"/>
        <v>0</v>
      </c>
      <c r="V104" s="522">
        <f t="shared" si="13"/>
        <v>0</v>
      </c>
      <c r="W104" s="522">
        <f t="shared" si="13"/>
        <v>0</v>
      </c>
      <c r="X104" s="522">
        <f t="shared" si="13"/>
        <v>0</v>
      </c>
      <c r="Y104" s="522">
        <f t="shared" si="13"/>
        <v>0</v>
      </c>
      <c r="Z104" s="522">
        <f t="shared" si="13"/>
        <v>0</v>
      </c>
      <c r="AA104" s="522">
        <f t="shared" si="13"/>
        <v>19727.5</v>
      </c>
      <c r="AB104" s="522">
        <f t="shared" si="13"/>
        <v>13510.25</v>
      </c>
      <c r="AC104" s="522">
        <f t="shared" si="13"/>
        <v>12610.65</v>
      </c>
      <c r="AD104" s="523">
        <f t="shared" si="13"/>
        <v>12087.4</v>
      </c>
      <c r="AE104" s="522">
        <f t="shared" si="13"/>
        <v>0</v>
      </c>
      <c r="AF104" s="522">
        <f t="shared" si="13"/>
        <v>0</v>
      </c>
      <c r="AG104" s="522">
        <f t="shared" si="13"/>
        <v>0</v>
      </c>
      <c r="AH104" s="522">
        <f t="shared" si="13"/>
        <v>0</v>
      </c>
      <c r="AI104" s="522">
        <f t="shared" si="13"/>
        <v>0</v>
      </c>
      <c r="AJ104" s="522">
        <f t="shared" si="13"/>
        <v>0</v>
      </c>
      <c r="AK104" s="522">
        <f t="shared" si="13"/>
        <v>0</v>
      </c>
      <c r="AL104" s="522">
        <f t="shared" si="13"/>
        <v>0</v>
      </c>
      <c r="AM104" s="522">
        <f t="shared" si="13"/>
        <v>14935.05</v>
      </c>
      <c r="AN104" s="522">
        <f t="shared" si="13"/>
        <v>16043.3</v>
      </c>
      <c r="AO104" s="522">
        <f t="shared" si="13"/>
        <v>10522.2</v>
      </c>
      <c r="AP104" s="522">
        <f t="shared" si="13"/>
        <v>12951.25</v>
      </c>
      <c r="AQ104" s="522">
        <f t="shared" si="13"/>
        <v>0</v>
      </c>
      <c r="AR104" s="522">
        <f t="shared" si="13"/>
        <v>0</v>
      </c>
      <c r="AS104" s="522">
        <f t="shared" si="13"/>
        <v>0</v>
      </c>
      <c r="AT104" s="522">
        <f t="shared" si="13"/>
        <v>0</v>
      </c>
      <c r="AU104" s="522">
        <f t="shared" si="13"/>
        <v>0</v>
      </c>
      <c r="AV104" s="522">
        <f t="shared" si="13"/>
        <v>0</v>
      </c>
      <c r="AW104" s="522">
        <f t="shared" si="13"/>
        <v>0</v>
      </c>
      <c r="AX104" s="522">
        <f t="shared" si="13"/>
        <v>0</v>
      </c>
      <c r="AY104" s="522">
        <f t="shared" si="13"/>
        <v>4874.35</v>
      </c>
      <c r="AZ104" s="522">
        <f t="shared" si="13"/>
        <v>4142.45</v>
      </c>
      <c r="BA104" s="522">
        <f t="shared" si="13"/>
        <v>4520.1</v>
      </c>
      <c r="BB104" s="522">
        <f t="shared" si="13"/>
        <v>4038.45</v>
      </c>
      <c r="BC104" s="522">
        <f t="shared" si="13"/>
        <v>0</v>
      </c>
      <c r="BD104" s="522">
        <f t="shared" si="13"/>
        <v>0</v>
      </c>
      <c r="BE104" s="522">
        <f t="shared" si="13"/>
        <v>0</v>
      </c>
      <c r="BF104" s="522">
        <f t="shared" si="13"/>
        <v>0</v>
      </c>
      <c r="BG104" s="522">
        <f t="shared" si="13"/>
        <v>0</v>
      </c>
      <c r="BH104" s="522">
        <f t="shared" si="13"/>
        <v>0</v>
      </c>
      <c r="BI104" s="522">
        <f t="shared" si="13"/>
        <v>0</v>
      </c>
      <c r="BJ104" s="522">
        <f t="shared" si="13"/>
        <v>0</v>
      </c>
    </row>
    <row r="105">
      <c r="A105" s="72"/>
      <c r="B105" s="72"/>
      <c r="C105" s="129"/>
      <c r="D105" s="72"/>
      <c r="E105" s="129"/>
      <c r="F105" s="72"/>
      <c r="G105" s="72"/>
      <c r="H105" s="72"/>
      <c r="I105" s="72"/>
      <c r="J105" s="72"/>
      <c r="K105" s="73" t="s">
        <v>269</v>
      </c>
      <c r="L105" s="72"/>
      <c r="M105" s="72"/>
      <c r="N105" s="280"/>
      <c r="O105" s="129"/>
      <c r="P105" s="72"/>
      <c r="Q105" s="129"/>
      <c r="R105" s="72"/>
      <c r="S105" s="72"/>
      <c r="T105" s="72"/>
      <c r="U105" s="72"/>
      <c r="V105" s="72"/>
      <c r="W105" s="73" t="s">
        <v>269</v>
      </c>
      <c r="X105" s="129"/>
      <c r="Y105" s="72"/>
      <c r="Z105" s="280"/>
      <c r="AA105" s="129"/>
      <c r="AB105" s="72"/>
      <c r="AC105" s="129"/>
      <c r="AD105" s="524"/>
      <c r="AE105" s="72"/>
      <c r="AF105" s="72"/>
      <c r="AG105" s="72"/>
      <c r="AH105" s="72"/>
      <c r="AI105" s="73" t="s">
        <v>269</v>
      </c>
      <c r="AJ105" s="72"/>
      <c r="AK105" s="72"/>
      <c r="AL105" s="280"/>
      <c r="AM105" s="129"/>
      <c r="AN105" s="129"/>
      <c r="AO105" s="129"/>
      <c r="AP105" s="72"/>
      <c r="AQ105" s="72"/>
      <c r="AR105" s="72"/>
      <c r="AS105" s="72"/>
      <c r="AT105" s="72"/>
      <c r="AU105" s="73" t="s">
        <v>269</v>
      </c>
      <c r="AV105" s="72"/>
      <c r="AW105" s="72"/>
      <c r="AX105" s="280"/>
      <c r="AY105" s="524"/>
      <c r="AZ105" s="280"/>
      <c r="BA105" s="280"/>
      <c r="BB105" s="280"/>
      <c r="BC105" s="280"/>
      <c r="BD105" s="280"/>
      <c r="BE105" s="280"/>
      <c r="BF105" s="280"/>
      <c r="BG105" s="525" t="s">
        <v>269</v>
      </c>
      <c r="BH105" s="280"/>
      <c r="BI105" s="280"/>
      <c r="BJ105" s="280"/>
    </row>
    <row r="106" hidden="1">
      <c r="A106" s="451">
        <f>AY102+AM102+AA102+O102+C102</f>
        <v>146221</v>
      </c>
      <c r="B106" s="67" t="s">
        <v>0</v>
      </c>
      <c r="C106" s="129"/>
      <c r="D106" s="72"/>
      <c r="E106" s="129"/>
      <c r="F106" s="72"/>
      <c r="G106" s="72"/>
      <c r="H106" s="72"/>
      <c r="I106" s="72"/>
      <c r="J106" s="72"/>
      <c r="K106" s="72"/>
      <c r="L106" s="72"/>
      <c r="M106" s="72"/>
      <c r="N106" s="280"/>
      <c r="O106" s="129"/>
      <c r="P106" s="72"/>
      <c r="Q106" s="129"/>
      <c r="R106" s="72"/>
      <c r="S106" s="72"/>
      <c r="T106" s="72"/>
      <c r="U106" s="72"/>
      <c r="V106" s="72"/>
      <c r="W106" s="72"/>
      <c r="X106" s="129"/>
      <c r="Y106" s="72"/>
      <c r="Z106" s="280"/>
      <c r="AA106" s="129"/>
      <c r="AB106" s="72"/>
      <c r="AC106" s="129"/>
      <c r="AD106" s="524"/>
      <c r="AE106" s="72"/>
      <c r="AF106" s="72"/>
      <c r="AG106" s="72"/>
      <c r="AH106" s="72"/>
      <c r="AI106" s="72"/>
      <c r="AJ106" s="72"/>
      <c r="AK106" s="72"/>
      <c r="AL106" s="280"/>
      <c r="AM106" s="129"/>
      <c r="AN106" s="129"/>
      <c r="AO106" s="129"/>
      <c r="AP106" s="72"/>
      <c r="AQ106" s="72"/>
      <c r="AR106" s="72"/>
      <c r="AS106" s="72"/>
      <c r="AT106" s="72"/>
      <c r="AU106" s="72"/>
      <c r="AV106" s="72"/>
      <c r="AW106" s="72"/>
      <c r="AX106" s="280"/>
      <c r="AY106" s="524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</row>
    <row r="107" hidden="1">
      <c r="A107" s="451">
        <f>AZ102+AN102+AB102+P102+D102</f>
        <v>95644</v>
      </c>
      <c r="B107" s="67" t="s">
        <v>1</v>
      </c>
      <c r="C107" s="129"/>
      <c r="D107" s="72"/>
      <c r="E107" s="129"/>
      <c r="F107" s="72"/>
      <c r="G107" s="72"/>
      <c r="H107" s="72"/>
      <c r="I107" s="72"/>
      <c r="J107" s="72"/>
      <c r="K107" s="72"/>
      <c r="L107" s="72"/>
      <c r="M107" s="72"/>
      <c r="N107" s="280"/>
      <c r="O107" s="129"/>
      <c r="P107" s="72"/>
      <c r="Q107" s="129"/>
      <c r="R107" s="72"/>
      <c r="S107" s="72"/>
      <c r="T107" s="72"/>
      <c r="U107" s="72"/>
      <c r="V107" s="72"/>
      <c r="W107" s="72"/>
      <c r="X107" s="129"/>
      <c r="Y107" s="72"/>
      <c r="Z107" s="280"/>
      <c r="AA107" s="129"/>
      <c r="AB107" s="72"/>
      <c r="AC107" s="129"/>
      <c r="AD107" s="524">
        <f>18596-AD102</f>
        <v>0</v>
      </c>
      <c r="AE107" s="72"/>
      <c r="AF107" s="72"/>
      <c r="AG107" s="72"/>
      <c r="AH107" s="72"/>
      <c r="AI107" s="72"/>
      <c r="AJ107" s="72"/>
      <c r="AK107" s="72"/>
      <c r="AL107" s="280"/>
      <c r="AM107" s="129"/>
      <c r="AN107" s="129"/>
      <c r="AO107" s="129"/>
      <c r="AP107" s="72"/>
      <c r="AQ107" s="72"/>
      <c r="AR107" s="72"/>
      <c r="AS107" s="72"/>
      <c r="AT107" s="72"/>
      <c r="AU107" s="72"/>
      <c r="AV107" s="72"/>
      <c r="AW107" s="72"/>
      <c r="AX107" s="280"/>
      <c r="AY107" s="524"/>
      <c r="AZ107" s="280"/>
      <c r="BA107" s="280"/>
      <c r="BB107" s="280"/>
      <c r="BC107" s="280"/>
      <c r="BD107" s="280"/>
      <c r="BE107" s="280"/>
      <c r="BF107" s="280"/>
      <c r="BG107" s="280"/>
      <c r="BH107" s="280"/>
      <c r="BI107" s="280"/>
      <c r="BJ107" s="280"/>
    </row>
    <row r="108" hidden="1">
      <c r="A108" s="451">
        <f>E102+Q102+BM102+BY102+CK102</f>
        <v>39087</v>
      </c>
      <c r="B108" s="67" t="s">
        <v>2</v>
      </c>
      <c r="C108" s="129"/>
      <c r="D108" s="72"/>
      <c r="E108" s="129"/>
      <c r="F108" s="72"/>
      <c r="G108" s="72"/>
      <c r="H108" s="72"/>
      <c r="I108" s="72"/>
      <c r="J108" s="72"/>
      <c r="K108" s="72"/>
      <c r="L108" s="72"/>
      <c r="M108" s="72"/>
      <c r="N108" s="280"/>
      <c r="O108" s="129"/>
      <c r="P108" s="72"/>
      <c r="Q108" s="285">
        <f>27323-P102</f>
        <v>0</v>
      </c>
      <c r="R108" s="72"/>
      <c r="S108" s="72"/>
      <c r="T108" s="72"/>
      <c r="U108" s="72"/>
      <c r="V108" s="72"/>
      <c r="W108" s="72"/>
      <c r="X108" s="129"/>
      <c r="Y108" s="72"/>
      <c r="Z108" s="280"/>
      <c r="AA108" s="129"/>
      <c r="AB108" s="72"/>
      <c r="AC108" s="129"/>
      <c r="AD108" s="524"/>
      <c r="AE108" s="72"/>
      <c r="AF108" s="72"/>
      <c r="AG108" s="72"/>
      <c r="AH108" s="72"/>
      <c r="AI108" s="72"/>
      <c r="AJ108" s="72"/>
      <c r="AK108" s="72"/>
      <c r="AL108" s="280"/>
      <c r="AM108" s="129"/>
      <c r="AN108" s="129"/>
      <c r="AO108" s="129"/>
      <c r="AP108" s="72"/>
      <c r="AQ108" s="72"/>
      <c r="AR108" s="72"/>
      <c r="AS108" s="72"/>
      <c r="AT108" s="72"/>
      <c r="AU108" s="72"/>
      <c r="AV108" s="72"/>
      <c r="AW108" s="72"/>
      <c r="AX108" s="280"/>
      <c r="AY108" s="524"/>
      <c r="AZ108" s="280"/>
      <c r="BA108" s="280"/>
      <c r="BB108" s="280"/>
      <c r="BC108" s="280"/>
      <c r="BD108" s="280"/>
      <c r="BE108" s="280"/>
      <c r="BF108" s="280"/>
      <c r="BG108" s="280"/>
      <c r="BH108" s="280"/>
      <c r="BI108" s="280"/>
      <c r="BJ108" s="280"/>
    </row>
    <row r="109" hidden="1">
      <c r="A109" s="451">
        <f>CL102+BZ102+BN102+R102+F102</f>
        <v>51644</v>
      </c>
      <c r="B109" s="67" t="s">
        <v>3</v>
      </c>
      <c r="C109" s="129"/>
      <c r="D109" s="72"/>
      <c r="E109" s="129"/>
      <c r="F109" s="72"/>
      <c r="G109" s="72"/>
      <c r="H109" s="72"/>
      <c r="I109" s="72"/>
      <c r="J109" s="72"/>
      <c r="K109" s="72"/>
      <c r="L109" s="72"/>
      <c r="M109" s="72"/>
      <c r="N109" s="280"/>
      <c r="O109" s="129"/>
      <c r="P109" s="72"/>
      <c r="Q109" s="129"/>
      <c r="R109" s="72"/>
      <c r="S109" s="72"/>
      <c r="T109" s="72"/>
      <c r="U109" s="72"/>
      <c r="V109" s="72"/>
      <c r="W109" s="72"/>
      <c r="X109" s="129"/>
      <c r="Y109" s="72"/>
      <c r="Z109" s="280"/>
      <c r="AA109" s="129"/>
      <c r="AB109" s="72"/>
      <c r="AC109" s="129"/>
      <c r="AD109" s="524"/>
      <c r="AE109" s="72"/>
      <c r="AF109" s="72"/>
      <c r="AG109" s="72"/>
      <c r="AH109" s="72"/>
      <c r="AI109" s="72"/>
      <c r="AJ109" s="72"/>
      <c r="AK109" s="72"/>
      <c r="AL109" s="280"/>
      <c r="AM109" s="129"/>
      <c r="AN109" s="129"/>
      <c r="AO109" s="129"/>
      <c r="AP109" s="72"/>
      <c r="AQ109" s="72"/>
      <c r="AR109" s="72"/>
      <c r="AS109" s="72"/>
      <c r="AT109" s="72"/>
      <c r="AU109" s="72"/>
      <c r="AV109" s="72"/>
      <c r="AW109" s="72"/>
      <c r="AX109" s="280"/>
      <c r="AY109" s="524"/>
      <c r="AZ109" s="280"/>
      <c r="BA109" s="280"/>
      <c r="BB109" s="280"/>
      <c r="BC109" s="280"/>
      <c r="BD109" s="280"/>
      <c r="BE109" s="280"/>
      <c r="BF109" s="280"/>
      <c r="BG109" s="280"/>
      <c r="BH109" s="280"/>
      <c r="BI109" s="280"/>
      <c r="BJ109" s="280"/>
    </row>
    <row r="110" hidden="1">
      <c r="A110" s="451">
        <f t="shared" ref="A110:A111" si="14">CP95+CD95+BR95+V95+J95</f>
        <v>0</v>
      </c>
      <c r="B110" s="67" t="s">
        <v>4</v>
      </c>
      <c r="C110" s="129"/>
      <c r="D110" s="72"/>
      <c r="E110" s="129"/>
      <c r="F110" s="72"/>
      <c r="G110" s="72"/>
      <c r="H110" s="72"/>
      <c r="I110" s="72"/>
      <c r="J110" s="72"/>
      <c r="K110" s="72"/>
      <c r="L110" s="72"/>
      <c r="M110" s="72"/>
      <c r="N110" s="280"/>
      <c r="O110" s="129"/>
      <c r="P110" s="72"/>
      <c r="Q110" s="129"/>
      <c r="R110" s="72"/>
      <c r="S110" s="72"/>
      <c r="T110" s="72"/>
      <c r="U110" s="72"/>
      <c r="V110" s="72"/>
      <c r="W110" s="72"/>
      <c r="X110" s="129"/>
      <c r="Y110" s="72"/>
      <c r="Z110" s="280"/>
      <c r="AA110" s="129"/>
      <c r="AB110" s="72"/>
      <c r="AC110" s="129"/>
      <c r="AD110" s="524"/>
      <c r="AE110" s="72"/>
      <c r="AF110" s="72"/>
      <c r="AG110" s="72"/>
      <c r="AH110" s="72"/>
      <c r="AI110" s="72"/>
      <c r="AJ110" s="72"/>
      <c r="AK110" s="72"/>
      <c r="AL110" s="280"/>
      <c r="AM110" s="129"/>
      <c r="AN110" s="129"/>
      <c r="AO110" s="129"/>
      <c r="AP110" s="72"/>
      <c r="AQ110" s="72"/>
      <c r="AR110" s="72"/>
      <c r="AS110" s="72"/>
      <c r="AT110" s="72"/>
      <c r="AU110" s="72"/>
      <c r="AV110" s="72"/>
      <c r="AW110" s="72"/>
      <c r="AX110" s="280"/>
      <c r="AY110" s="524"/>
      <c r="AZ110" s="280"/>
      <c r="BA110" s="280"/>
      <c r="BB110" s="280"/>
      <c r="BC110" s="280"/>
      <c r="BD110" s="280"/>
      <c r="BE110" s="280"/>
      <c r="BF110" s="280"/>
      <c r="BG110" s="280"/>
      <c r="BH110" s="280"/>
      <c r="BI110" s="280"/>
      <c r="BJ110" s="280"/>
    </row>
    <row r="111" hidden="1">
      <c r="A111" s="451">
        <f t="shared" si="14"/>
        <v>0</v>
      </c>
      <c r="B111" s="67" t="s">
        <v>5</v>
      </c>
      <c r="C111" s="129"/>
      <c r="D111" s="72"/>
      <c r="E111" s="129"/>
      <c r="F111" s="72"/>
      <c r="G111" s="72"/>
      <c r="H111" s="72"/>
      <c r="I111" s="72"/>
      <c r="J111" s="72"/>
      <c r="K111" s="72"/>
      <c r="L111" s="72"/>
      <c r="M111" s="72"/>
      <c r="N111" s="280"/>
      <c r="O111" s="129"/>
      <c r="P111" s="72"/>
      <c r="Q111" s="129"/>
      <c r="R111" s="72"/>
      <c r="S111" s="72"/>
      <c r="T111" s="72"/>
      <c r="U111" s="72"/>
      <c r="V111" s="72"/>
      <c r="W111" s="72"/>
      <c r="X111" s="129"/>
      <c r="Y111" s="72"/>
      <c r="Z111" s="280"/>
      <c r="AA111" s="129"/>
      <c r="AB111" s="72"/>
      <c r="AC111" s="129"/>
      <c r="AD111" s="524"/>
      <c r="AE111" s="72"/>
      <c r="AF111" s="72"/>
      <c r="AG111" s="72"/>
      <c r="AH111" s="72"/>
      <c r="AI111" s="72"/>
      <c r="AJ111" s="72"/>
      <c r="AK111" s="72"/>
      <c r="AL111" s="280"/>
      <c r="AM111" s="129"/>
      <c r="AN111" s="129"/>
      <c r="AO111" s="129"/>
      <c r="AP111" s="72"/>
      <c r="AQ111" s="72"/>
      <c r="AR111" s="72"/>
      <c r="AS111" s="72"/>
      <c r="AT111" s="72"/>
      <c r="AU111" s="72"/>
      <c r="AV111" s="72"/>
      <c r="AW111" s="72"/>
      <c r="AX111" s="280"/>
      <c r="AY111" s="524"/>
      <c r="AZ111" s="280"/>
      <c r="BA111" s="280"/>
      <c r="BB111" s="280"/>
      <c r="BC111" s="280"/>
      <c r="BD111" s="280"/>
      <c r="BE111" s="280"/>
      <c r="BF111" s="280"/>
      <c r="BG111" s="280"/>
      <c r="BH111" s="280"/>
      <c r="BI111" s="280"/>
      <c r="BJ111" s="280"/>
    </row>
    <row r="112" hidden="1">
      <c r="A112" s="451">
        <f t="shared" ref="A112:A115" si="15">CP101+CD101+BR101+V101+J101</f>
        <v>0</v>
      </c>
      <c r="B112" s="67" t="s">
        <v>6</v>
      </c>
      <c r="C112" s="129"/>
      <c r="D112" s="72"/>
      <c r="E112" s="129"/>
      <c r="F112" s="72"/>
      <c r="G112" s="72"/>
      <c r="H112" s="72"/>
      <c r="I112" s="72"/>
      <c r="J112" s="72"/>
      <c r="K112" s="72"/>
      <c r="L112" s="72"/>
      <c r="M112" s="72"/>
      <c r="N112" s="280"/>
      <c r="O112" s="129"/>
      <c r="P112" s="72"/>
      <c r="Q112" s="129"/>
      <c r="R112" s="72"/>
      <c r="S112" s="72"/>
      <c r="T112" s="72"/>
      <c r="U112" s="72"/>
      <c r="V112" s="72"/>
      <c r="W112" s="72"/>
      <c r="X112" s="129"/>
      <c r="Y112" s="72"/>
      <c r="Z112" s="280"/>
      <c r="AA112" s="129"/>
      <c r="AB112" s="72"/>
      <c r="AC112" s="129"/>
      <c r="AD112" s="524"/>
      <c r="AE112" s="72"/>
      <c r="AF112" s="72"/>
      <c r="AG112" s="72"/>
      <c r="AH112" s="72"/>
      <c r="AI112" s="72"/>
      <c r="AJ112" s="72"/>
      <c r="AK112" s="72"/>
      <c r="AL112" s="280"/>
      <c r="AM112" s="129"/>
      <c r="AN112" s="129"/>
      <c r="AO112" s="129"/>
      <c r="AP112" s="72"/>
      <c r="AQ112" s="72"/>
      <c r="AR112" s="72"/>
      <c r="AS112" s="72"/>
      <c r="AT112" s="72"/>
      <c r="AU112" s="72"/>
      <c r="AV112" s="72"/>
      <c r="AW112" s="72"/>
      <c r="AX112" s="280"/>
      <c r="AY112" s="524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</row>
    <row r="113" hidden="1">
      <c r="A113" s="451">
        <f t="shared" si="15"/>
        <v>0</v>
      </c>
      <c r="B113" s="67" t="s">
        <v>7</v>
      </c>
      <c r="C113" s="129"/>
      <c r="D113" s="72"/>
      <c r="E113" s="129"/>
      <c r="F113" s="72"/>
      <c r="G113" s="72"/>
      <c r="H113" s="72"/>
      <c r="I113" s="72"/>
      <c r="J113" s="72"/>
      <c r="K113" s="72"/>
      <c r="L113" s="72"/>
      <c r="M113" s="72"/>
      <c r="N113" s="280"/>
      <c r="O113" s="129"/>
      <c r="P113" s="72"/>
      <c r="Q113" s="129"/>
      <c r="R113" s="72"/>
      <c r="S113" s="72"/>
      <c r="T113" s="72"/>
      <c r="U113" s="72"/>
      <c r="V113" s="72"/>
      <c r="W113" s="72"/>
      <c r="X113" s="129"/>
      <c r="Y113" s="72"/>
      <c r="Z113" s="280"/>
      <c r="AA113" s="129"/>
      <c r="AB113" s="72"/>
      <c r="AC113" s="129"/>
      <c r="AD113" s="524"/>
      <c r="AE113" s="72"/>
      <c r="AF113" s="72"/>
      <c r="AG113" s="72"/>
      <c r="AH113" s="72"/>
      <c r="AI113" s="72"/>
      <c r="AJ113" s="72"/>
      <c r="AK113" s="72"/>
      <c r="AL113" s="280"/>
      <c r="AM113" s="129"/>
      <c r="AN113" s="129"/>
      <c r="AO113" s="129"/>
      <c r="AP113" s="72"/>
      <c r="AQ113" s="72"/>
      <c r="AR113" s="72"/>
      <c r="AS113" s="72"/>
      <c r="AT113" s="72"/>
      <c r="AU113" s="72"/>
      <c r="AV113" s="72"/>
      <c r="AW113" s="72"/>
      <c r="AX113" s="280"/>
      <c r="AY113" s="524"/>
      <c r="AZ113" s="280"/>
      <c r="BA113" s="280"/>
      <c r="BB113" s="280"/>
      <c r="BC113" s="280"/>
      <c r="BD113" s="280"/>
      <c r="BE113" s="280"/>
      <c r="BF113" s="280"/>
      <c r="BG113" s="280"/>
      <c r="BH113" s="280"/>
      <c r="BI113" s="280"/>
      <c r="BJ113" s="280"/>
    </row>
    <row r="114" hidden="1">
      <c r="A114" s="451">
        <f t="shared" si="15"/>
        <v>0</v>
      </c>
      <c r="B114" s="67" t="s">
        <v>8</v>
      </c>
      <c r="C114" s="129"/>
      <c r="D114" s="72"/>
      <c r="E114" s="129"/>
      <c r="F114" s="72"/>
      <c r="G114" s="72"/>
      <c r="H114" s="72"/>
      <c r="I114" s="72"/>
      <c r="J114" s="72"/>
      <c r="K114" s="72"/>
      <c r="L114" s="72"/>
      <c r="M114" s="72"/>
      <c r="N114" s="280"/>
      <c r="O114" s="129"/>
      <c r="P114" s="72"/>
      <c r="Q114" s="129"/>
      <c r="R114" s="72"/>
      <c r="S114" s="72"/>
      <c r="T114" s="72"/>
      <c r="U114" s="72"/>
      <c r="V114" s="72"/>
      <c r="W114" s="72"/>
      <c r="X114" s="129"/>
      <c r="Y114" s="72"/>
      <c r="Z114" s="280"/>
      <c r="AA114" s="129"/>
      <c r="AB114" s="72"/>
      <c r="AC114" s="129"/>
      <c r="AD114" s="524"/>
      <c r="AE114" s="72"/>
      <c r="AF114" s="72"/>
      <c r="AG114" s="72"/>
      <c r="AH114" s="72"/>
      <c r="AI114" s="72"/>
      <c r="AJ114" s="72"/>
      <c r="AK114" s="72"/>
      <c r="AL114" s="280"/>
      <c r="AM114" s="129"/>
      <c r="AN114" s="129"/>
      <c r="AO114" s="129"/>
      <c r="AP114" s="72"/>
      <c r="AQ114" s="72"/>
      <c r="AR114" s="72"/>
      <c r="AS114" s="72"/>
      <c r="AT114" s="72"/>
      <c r="AU114" s="72"/>
      <c r="AV114" s="72"/>
      <c r="AW114" s="72"/>
      <c r="AX114" s="280"/>
      <c r="AY114" s="524"/>
      <c r="AZ114" s="280"/>
      <c r="BA114" s="280"/>
      <c r="BB114" s="280"/>
      <c r="BC114" s="280"/>
      <c r="BD114" s="280"/>
      <c r="BE114" s="280"/>
      <c r="BF114" s="280"/>
      <c r="BG114" s="280"/>
      <c r="BH114" s="280"/>
      <c r="BI114" s="280"/>
      <c r="BJ114" s="280"/>
    </row>
    <row r="115" hidden="1">
      <c r="A115" s="451">
        <f t="shared" si="15"/>
        <v>0</v>
      </c>
      <c r="B115" s="67" t="s">
        <v>9</v>
      </c>
      <c r="C115" s="129"/>
      <c r="D115" s="72"/>
      <c r="E115" s="129"/>
      <c r="F115" s="72"/>
      <c r="G115" s="72"/>
      <c r="H115" s="72"/>
      <c r="I115" s="72"/>
      <c r="J115" s="72"/>
      <c r="K115" s="72"/>
      <c r="L115" s="72"/>
      <c r="M115" s="72"/>
      <c r="N115" s="280"/>
      <c r="O115" s="129"/>
      <c r="P115" s="72"/>
      <c r="Q115" s="129"/>
      <c r="R115" s="72"/>
      <c r="S115" s="72"/>
      <c r="T115" s="72"/>
      <c r="U115" s="72"/>
      <c r="V115" s="72"/>
      <c r="W115" s="72"/>
      <c r="X115" s="129"/>
      <c r="Y115" s="72"/>
      <c r="Z115" s="280"/>
      <c r="AA115" s="129"/>
      <c r="AB115" s="72"/>
      <c r="AC115" s="129"/>
      <c r="AD115" s="524"/>
      <c r="AE115" s="72"/>
      <c r="AF115" s="72"/>
      <c r="AG115" s="72"/>
      <c r="AH115" s="72"/>
      <c r="AI115" s="72"/>
      <c r="AJ115" s="72"/>
      <c r="AK115" s="72"/>
      <c r="AL115" s="280"/>
      <c r="AM115" s="129"/>
      <c r="AN115" s="129"/>
      <c r="AO115" s="129"/>
      <c r="AP115" s="72"/>
      <c r="AQ115" s="72"/>
      <c r="AR115" s="72"/>
      <c r="AS115" s="72"/>
      <c r="AT115" s="72"/>
      <c r="AU115" s="72"/>
      <c r="AV115" s="72"/>
      <c r="AW115" s="72"/>
      <c r="AX115" s="280"/>
      <c r="AY115" s="524"/>
      <c r="AZ115" s="280"/>
      <c r="BA115" s="280"/>
      <c r="BB115" s="280"/>
      <c r="BC115" s="280"/>
      <c r="BD115" s="280"/>
      <c r="BE115" s="280"/>
      <c r="BF115" s="280"/>
      <c r="BG115" s="280"/>
      <c r="BH115" s="280"/>
      <c r="BI115" s="280"/>
      <c r="BJ115" s="280"/>
    </row>
    <row r="116" hidden="1">
      <c r="A116" s="451">
        <f>M102+Y102+BU102+CG102+CS102</f>
        <v>0</v>
      </c>
      <c r="B116" s="67" t="s">
        <v>10</v>
      </c>
      <c r="C116" s="129"/>
      <c r="D116" s="72"/>
      <c r="E116" s="129"/>
      <c r="F116" s="72"/>
      <c r="G116" s="72"/>
      <c r="H116" s="72"/>
      <c r="I116" s="72"/>
      <c r="J116" s="72"/>
      <c r="K116" s="72"/>
      <c r="L116" s="72"/>
      <c r="M116" s="72"/>
      <c r="N116" s="280"/>
      <c r="O116" s="129"/>
      <c r="P116" s="72"/>
      <c r="Q116" s="129"/>
      <c r="R116" s="72"/>
      <c r="S116" s="72"/>
      <c r="T116" s="72"/>
      <c r="U116" s="72"/>
      <c r="V116" s="72"/>
      <c r="W116" s="72"/>
      <c r="X116" s="129"/>
      <c r="Y116" s="72"/>
      <c r="Z116" s="280"/>
      <c r="AA116" s="129"/>
      <c r="AB116" s="72"/>
      <c r="AC116" s="129"/>
      <c r="AD116" s="524"/>
      <c r="AE116" s="72"/>
      <c r="AF116" s="72"/>
      <c r="AG116" s="72"/>
      <c r="AH116" s="72"/>
      <c r="AI116" s="72"/>
      <c r="AJ116" s="72"/>
      <c r="AK116" s="72"/>
      <c r="AL116" s="280"/>
      <c r="AM116" s="129"/>
      <c r="AN116" s="129"/>
      <c r="AO116" s="129"/>
      <c r="AP116" s="72"/>
      <c r="AQ116" s="72"/>
      <c r="AR116" s="72"/>
      <c r="AS116" s="72"/>
      <c r="AT116" s="72"/>
      <c r="AU116" s="72"/>
      <c r="AV116" s="72"/>
      <c r="AW116" s="72"/>
      <c r="AX116" s="280"/>
      <c r="AY116" s="524"/>
      <c r="AZ116" s="280"/>
      <c r="BA116" s="280"/>
      <c r="BB116" s="280"/>
      <c r="BC116" s="280"/>
      <c r="BD116" s="280"/>
      <c r="BE116" s="280"/>
      <c r="BF116" s="280"/>
      <c r="BG116" s="280"/>
      <c r="BH116" s="280"/>
      <c r="BI116" s="280"/>
      <c r="BJ116" s="280"/>
    </row>
    <row r="117" hidden="1">
      <c r="A117" s="526">
        <f>CT102+CH102+BV102+Z102+N102</f>
        <v>0</v>
      </c>
      <c r="B117" s="527" t="s">
        <v>11</v>
      </c>
      <c r="C117" s="129"/>
      <c r="D117" s="72"/>
      <c r="E117" s="129"/>
      <c r="F117" s="72"/>
      <c r="G117" s="72"/>
      <c r="H117" s="72"/>
      <c r="I117" s="72"/>
      <c r="J117" s="72"/>
      <c r="K117" s="72"/>
      <c r="L117" s="72"/>
      <c r="M117" s="72"/>
      <c r="N117" s="280"/>
      <c r="O117" s="129"/>
      <c r="P117" s="72"/>
      <c r="Q117" s="129"/>
      <c r="R117" s="72"/>
      <c r="S117" s="72"/>
      <c r="T117" s="72"/>
      <c r="U117" s="72"/>
      <c r="V117" s="72"/>
      <c r="W117" s="72"/>
      <c r="X117" s="129"/>
      <c r="Y117" s="72"/>
      <c r="Z117" s="280"/>
      <c r="AA117" s="129"/>
      <c r="AB117" s="72"/>
      <c r="AC117" s="129"/>
      <c r="AD117" s="524"/>
      <c r="AE117" s="72"/>
      <c r="AF117" s="72"/>
      <c r="AG117" s="72"/>
      <c r="AH117" s="72"/>
      <c r="AI117" s="72"/>
      <c r="AJ117" s="72"/>
      <c r="AK117" s="72"/>
      <c r="AL117" s="280"/>
      <c r="AM117" s="129"/>
      <c r="AN117" s="129"/>
      <c r="AO117" s="129"/>
      <c r="AP117" s="72"/>
      <c r="AQ117" s="72"/>
      <c r="AR117" s="72"/>
      <c r="AS117" s="72"/>
      <c r="AT117" s="72"/>
      <c r="AU117" s="72"/>
      <c r="AV117" s="72"/>
      <c r="AW117" s="72"/>
      <c r="AX117" s="280"/>
      <c r="AY117" s="524"/>
      <c r="AZ117" s="280"/>
      <c r="BA117" s="280"/>
      <c r="BB117" s="280"/>
      <c r="BC117" s="280"/>
      <c r="BD117" s="280"/>
      <c r="BE117" s="280"/>
      <c r="BF117" s="280"/>
      <c r="BG117" s="280"/>
      <c r="BH117" s="280"/>
      <c r="BI117" s="280"/>
      <c r="BJ117" s="280"/>
    </row>
    <row r="118" hidden="1">
      <c r="A118" s="72"/>
      <c r="B118" s="72"/>
      <c r="C118" s="129"/>
      <c r="D118" s="72"/>
      <c r="E118" s="129"/>
      <c r="F118" s="72"/>
      <c r="G118" s="72"/>
      <c r="H118" s="72"/>
      <c r="I118" s="72"/>
      <c r="J118" s="72"/>
      <c r="K118" s="72"/>
      <c r="L118" s="72"/>
      <c r="M118" s="72"/>
      <c r="N118" s="280"/>
      <c r="O118" s="129"/>
      <c r="P118" s="72"/>
      <c r="Q118" s="129"/>
      <c r="R118" s="72"/>
      <c r="S118" s="72"/>
      <c r="T118" s="72"/>
      <c r="U118" s="72"/>
      <c r="V118" s="72"/>
      <c r="W118" s="72"/>
      <c r="X118" s="129"/>
      <c r="Y118" s="72"/>
      <c r="Z118" s="280"/>
      <c r="AA118" s="129"/>
      <c r="AB118" s="72"/>
      <c r="AC118" s="129"/>
      <c r="AD118" s="524"/>
      <c r="AE118" s="72"/>
      <c r="AF118" s="72"/>
      <c r="AG118" s="72"/>
      <c r="AH118" s="72"/>
      <c r="AI118" s="72"/>
      <c r="AJ118" s="72"/>
      <c r="AK118" s="72"/>
      <c r="AL118" s="280"/>
      <c r="AM118" s="129"/>
      <c r="AN118" s="129"/>
      <c r="AO118" s="129"/>
      <c r="AP118" s="72"/>
      <c r="AQ118" s="72"/>
      <c r="AR118" s="72"/>
      <c r="AS118" s="72"/>
      <c r="AT118" s="72"/>
      <c r="AU118" s="72"/>
      <c r="AV118" s="72"/>
      <c r="AW118" s="72"/>
      <c r="AX118" s="280"/>
      <c r="AY118" s="524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</row>
    <row r="119" hidden="1">
      <c r="C119" s="70"/>
      <c r="E119" s="70"/>
      <c r="O119" s="70"/>
      <c r="Q119" s="70"/>
      <c r="X119" s="70"/>
      <c r="AA119" s="70"/>
      <c r="AC119" s="70"/>
      <c r="AD119" s="381"/>
      <c r="AM119" s="70"/>
      <c r="AN119" s="70"/>
      <c r="AO119" s="70"/>
      <c r="AY119" s="129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</row>
    <row r="120" hidden="1">
      <c r="C120" s="70"/>
      <c r="E120" s="70"/>
      <c r="O120" s="70"/>
      <c r="Q120" s="70"/>
      <c r="X120" s="70"/>
      <c r="AA120" s="70"/>
      <c r="AC120" s="70"/>
      <c r="AD120" s="381"/>
      <c r="AM120" s="70"/>
      <c r="AN120" s="70"/>
      <c r="AO120" s="70"/>
      <c r="AY120" s="129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</row>
    <row r="121" hidden="1">
      <c r="C121" s="70"/>
      <c r="E121" s="70"/>
      <c r="O121" s="70"/>
      <c r="Q121" s="70"/>
      <c r="X121" s="70"/>
      <c r="AA121" s="70"/>
      <c r="AC121" s="70"/>
      <c r="AD121" s="381"/>
      <c r="AM121" s="70"/>
      <c r="AN121" s="70"/>
      <c r="AO121" s="70"/>
      <c r="AY121" s="129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</row>
    <row r="122" hidden="1">
      <c r="C122" s="70"/>
      <c r="E122" s="70"/>
      <c r="O122" s="70"/>
      <c r="Q122" s="70"/>
      <c r="X122" s="70"/>
      <c r="AA122" s="70"/>
      <c r="AC122" s="70"/>
      <c r="AD122" s="381"/>
      <c r="AM122" s="70"/>
      <c r="AN122" s="70"/>
      <c r="AO122" s="70"/>
      <c r="AY122" s="129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</row>
    <row r="123" hidden="1">
      <c r="C123" s="70"/>
      <c r="E123" s="70"/>
      <c r="O123" s="70"/>
      <c r="Q123" s="70"/>
      <c r="X123" s="70"/>
      <c r="AA123" s="70"/>
      <c r="AC123" s="70"/>
      <c r="AD123" s="381"/>
      <c r="AM123" s="70"/>
      <c r="AN123" s="70"/>
      <c r="AO123" s="70"/>
      <c r="AY123" s="129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</row>
    <row r="124" hidden="1">
      <c r="C124" s="70"/>
      <c r="E124" s="70"/>
      <c r="O124" s="70"/>
      <c r="Q124" s="70"/>
      <c r="X124" s="70"/>
      <c r="AA124" s="70"/>
      <c r="AC124" s="70"/>
      <c r="AD124" s="381"/>
      <c r="AM124" s="70"/>
      <c r="AN124" s="70"/>
      <c r="AO124" s="70"/>
      <c r="AY124" s="129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</row>
    <row r="125" hidden="1">
      <c r="C125" s="70"/>
      <c r="E125" s="70"/>
      <c r="O125" s="70"/>
      <c r="Q125" s="70"/>
      <c r="X125" s="70"/>
      <c r="AA125" s="70"/>
      <c r="AC125" s="70"/>
      <c r="AD125" s="381"/>
      <c r="AM125" s="70"/>
      <c r="AN125" s="70"/>
      <c r="AO125" s="70"/>
      <c r="AY125" s="129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</row>
    <row r="126" hidden="1">
      <c r="C126" s="70"/>
      <c r="E126" s="70"/>
      <c r="O126" s="70"/>
      <c r="Q126" s="70"/>
      <c r="X126" s="70"/>
      <c r="AA126" s="70"/>
      <c r="AC126" s="70"/>
      <c r="AD126" s="381"/>
      <c r="AM126" s="70"/>
      <c r="AN126" s="70"/>
      <c r="AO126" s="70"/>
      <c r="AY126" s="129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</row>
    <row r="127" hidden="1">
      <c r="C127" s="70"/>
      <c r="E127" s="70"/>
      <c r="O127" s="70"/>
      <c r="Q127" s="70"/>
      <c r="X127" s="70"/>
      <c r="AA127" s="70"/>
      <c r="AC127" s="70"/>
      <c r="AD127" s="381"/>
      <c r="AM127" s="70"/>
      <c r="AN127" s="70"/>
      <c r="AO127" s="70"/>
      <c r="AY127" s="129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</row>
    <row r="128" hidden="1">
      <c r="C128" s="70"/>
      <c r="E128" s="70"/>
      <c r="O128" s="70"/>
      <c r="Q128" s="70"/>
      <c r="X128" s="70"/>
      <c r="AA128" s="70"/>
      <c r="AC128" s="70"/>
      <c r="AD128" s="381"/>
      <c r="AM128" s="70"/>
      <c r="AN128" s="70"/>
      <c r="AO128" s="70"/>
      <c r="AY128" s="129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</row>
    <row r="129" hidden="1">
      <c r="C129" s="70"/>
      <c r="E129" s="70"/>
      <c r="O129" s="70"/>
      <c r="Q129" s="70"/>
      <c r="X129" s="70"/>
      <c r="AA129" s="70"/>
      <c r="AC129" s="70"/>
      <c r="AD129" s="381"/>
      <c r="AM129" s="70"/>
      <c r="AN129" s="70"/>
      <c r="AO129" s="70"/>
      <c r="AY129" s="129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</row>
    <row r="130" hidden="1">
      <c r="C130" s="70"/>
      <c r="E130" s="70"/>
      <c r="O130" s="70"/>
      <c r="Q130" s="70"/>
      <c r="X130" s="70"/>
      <c r="AA130" s="70"/>
      <c r="AC130" s="70"/>
      <c r="AD130" s="381"/>
      <c r="AM130" s="70"/>
      <c r="AN130" s="70"/>
      <c r="AO130" s="70"/>
      <c r="AY130" s="129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</row>
    <row r="131" hidden="1">
      <c r="C131" s="70"/>
      <c r="E131" s="70"/>
      <c r="O131" s="70"/>
      <c r="Q131" s="70"/>
      <c r="X131" s="70"/>
      <c r="AA131" s="70"/>
      <c r="AC131" s="70"/>
      <c r="AD131" s="381"/>
      <c r="AM131" s="70"/>
      <c r="AN131" s="70"/>
      <c r="AO131" s="70"/>
      <c r="AY131" s="129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</row>
    <row r="132" hidden="1">
      <c r="C132" s="70"/>
      <c r="E132" s="70"/>
      <c r="O132" s="70"/>
      <c r="Q132" s="70"/>
      <c r="X132" s="70"/>
      <c r="AA132" s="70"/>
      <c r="AC132" s="70"/>
      <c r="AD132" s="381"/>
      <c r="AM132" s="70"/>
      <c r="AN132" s="70"/>
      <c r="AO132" s="70"/>
      <c r="AY132" s="129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</row>
    <row r="133" hidden="1">
      <c r="C133" s="70"/>
      <c r="E133" s="70"/>
      <c r="O133" s="70"/>
      <c r="Q133" s="70"/>
      <c r="X133" s="70"/>
      <c r="AA133" s="70"/>
      <c r="AC133" s="70"/>
      <c r="AD133" s="381"/>
      <c r="AM133" s="70"/>
      <c r="AN133" s="70"/>
      <c r="AO133" s="70"/>
      <c r="AY133" s="129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</row>
    <row r="134" hidden="1">
      <c r="C134" s="70"/>
      <c r="E134" s="70"/>
      <c r="O134" s="70"/>
      <c r="Q134" s="70"/>
      <c r="X134" s="70"/>
      <c r="AA134" s="70"/>
      <c r="AC134" s="70"/>
      <c r="AD134" s="381"/>
      <c r="AM134" s="70"/>
      <c r="AN134" s="70"/>
      <c r="AO134" s="70"/>
      <c r="AY134" s="129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</row>
    <row r="135" hidden="1">
      <c r="C135" s="70"/>
      <c r="E135" s="70"/>
      <c r="O135" s="70"/>
      <c r="Q135" s="70"/>
      <c r="X135" s="70"/>
      <c r="AA135" s="70"/>
      <c r="AC135" s="70"/>
      <c r="AD135" s="381"/>
      <c r="AM135" s="70"/>
      <c r="AN135" s="70"/>
      <c r="AO135" s="70"/>
      <c r="AY135" s="129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</row>
    <row r="136" hidden="1">
      <c r="C136" s="70"/>
      <c r="E136" s="70"/>
      <c r="O136" s="70"/>
      <c r="Q136" s="70"/>
      <c r="X136" s="70"/>
      <c r="AA136" s="70"/>
      <c r="AC136" s="70"/>
      <c r="AD136" s="381"/>
      <c r="AM136" s="70"/>
      <c r="AN136" s="70"/>
      <c r="AO136" s="70"/>
      <c r="AY136" s="129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</row>
    <row r="137">
      <c r="C137" s="70"/>
      <c r="E137" s="70"/>
      <c r="O137" s="70"/>
      <c r="Q137" s="70"/>
      <c r="X137" s="70"/>
      <c r="AA137" s="70"/>
      <c r="AC137" s="70"/>
      <c r="AD137" s="381"/>
      <c r="AM137" s="70"/>
      <c r="AN137" s="70"/>
      <c r="AO137" s="70"/>
      <c r="AY137" s="129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</row>
    <row r="138">
      <c r="A138" s="1">
        <v>2026.0</v>
      </c>
      <c r="C138" s="528" t="s">
        <v>0</v>
      </c>
      <c r="D138" s="528" t="s">
        <v>1</v>
      </c>
      <c r="E138" s="528" t="s">
        <v>2</v>
      </c>
      <c r="F138" s="528" t="s">
        <v>3</v>
      </c>
      <c r="G138" s="528" t="s">
        <v>4</v>
      </c>
      <c r="H138" s="528" t="s">
        <v>5</v>
      </c>
      <c r="I138" s="528" t="s">
        <v>6</v>
      </c>
      <c r="J138" s="528" t="s">
        <v>7</v>
      </c>
      <c r="K138" s="528" t="s">
        <v>8</v>
      </c>
      <c r="L138" s="528" t="s">
        <v>9</v>
      </c>
      <c r="M138" s="528" t="s">
        <v>10</v>
      </c>
      <c r="N138" s="528" t="s">
        <v>11</v>
      </c>
      <c r="O138" s="70"/>
      <c r="Q138" s="70"/>
      <c r="X138" s="70"/>
      <c r="AA138" s="70"/>
      <c r="AC138" s="70"/>
      <c r="AD138" s="381"/>
      <c r="AM138" s="70"/>
      <c r="AN138" s="70"/>
      <c r="AO138" s="70"/>
      <c r="AY138" s="129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</row>
    <row r="139">
      <c r="A139" s="529" t="s">
        <v>612</v>
      </c>
      <c r="C139" s="530">
        <v>30350.0</v>
      </c>
      <c r="D139" s="2">
        <v>24682.0</v>
      </c>
      <c r="E139" s="530">
        <v>19401.0</v>
      </c>
      <c r="F139" s="2">
        <v>18596.0</v>
      </c>
      <c r="O139" s="70"/>
      <c r="Q139" s="70"/>
      <c r="X139" s="70"/>
      <c r="AA139" s="70"/>
      <c r="AC139" s="70"/>
      <c r="AD139" s="381"/>
      <c r="AM139" s="70"/>
      <c r="AN139" s="70"/>
      <c r="AO139" s="70"/>
      <c r="AY139" s="129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</row>
    <row r="140">
      <c r="A140" s="529" t="s">
        <v>613</v>
      </c>
      <c r="C140" s="530">
        <v>58394.0</v>
      </c>
      <c r="D140" s="2">
        <v>27323.0</v>
      </c>
      <c r="E140" s="530">
        <v>25583.0</v>
      </c>
      <c r="F140" s="2">
        <v>25466.0</v>
      </c>
      <c r="O140" s="70"/>
      <c r="Q140" s="70"/>
      <c r="X140" s="70"/>
      <c r="AA140" s="70"/>
      <c r="AC140" s="70"/>
      <c r="AD140" s="381"/>
      <c r="AM140" s="70"/>
      <c r="AN140" s="70"/>
      <c r="AO140" s="70"/>
      <c r="AY140" s="129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</row>
    <row r="141">
      <c r="A141" s="529" t="s">
        <v>614</v>
      </c>
      <c r="C141" s="530">
        <v>22977.0</v>
      </c>
      <c r="D141" s="2">
        <v>20785.0</v>
      </c>
      <c r="E141" s="530">
        <v>16188.0</v>
      </c>
      <c r="F141" s="2">
        <v>19925.0</v>
      </c>
      <c r="O141" s="70"/>
      <c r="Q141" s="70"/>
      <c r="X141" s="70"/>
      <c r="AA141" s="70"/>
      <c r="AC141" s="70"/>
      <c r="AD141" s="381"/>
      <c r="AM141" s="70"/>
      <c r="AN141" s="70"/>
      <c r="AO141" s="70"/>
      <c r="AY141" s="129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</row>
    <row r="142">
      <c r="A142" s="531" t="s">
        <v>615</v>
      </c>
      <c r="C142" s="530">
        <v>27001.0</v>
      </c>
      <c r="D142" s="2">
        <v>16481.0</v>
      </c>
      <c r="E142" s="530">
        <v>13504.0</v>
      </c>
      <c r="F142" s="2">
        <v>26178.0</v>
      </c>
      <c r="O142" s="70"/>
      <c r="Q142" s="70"/>
      <c r="X142" s="70"/>
      <c r="AA142" s="70"/>
      <c r="AC142" s="70"/>
      <c r="AD142" s="381"/>
      <c r="AM142" s="70"/>
      <c r="AN142" s="70"/>
      <c r="AO142" s="70"/>
      <c r="AY142" s="129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</row>
    <row r="143">
      <c r="A143" s="529" t="s">
        <v>616</v>
      </c>
      <c r="C143" s="532">
        <v>7499.0</v>
      </c>
      <c r="D143" s="2">
        <v>6373.0</v>
      </c>
      <c r="E143" s="530">
        <v>6954.0</v>
      </c>
      <c r="F143" s="2">
        <v>6213.0</v>
      </c>
      <c r="O143" s="70"/>
      <c r="Q143" s="70"/>
      <c r="X143" s="70"/>
      <c r="AA143" s="70"/>
      <c r="AC143" s="70"/>
      <c r="AD143" s="381"/>
      <c r="AM143" s="70"/>
      <c r="AN143" s="70"/>
      <c r="AO143" s="70"/>
      <c r="AY143" s="129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</row>
    <row r="144">
      <c r="C144" s="533">
        <f t="shared" ref="C144:F144" si="16">sum(C139:C143)</f>
        <v>146221</v>
      </c>
      <c r="D144" s="533">
        <f t="shared" si="16"/>
        <v>95644</v>
      </c>
      <c r="E144" s="533">
        <f t="shared" si="16"/>
        <v>81630</v>
      </c>
      <c r="F144" s="533">
        <f t="shared" si="16"/>
        <v>96378</v>
      </c>
      <c r="O144" s="70"/>
      <c r="Q144" s="70"/>
      <c r="X144" s="70"/>
      <c r="AA144" s="70"/>
      <c r="AC144" s="70"/>
      <c r="AD144" s="381"/>
      <c r="AM144" s="70"/>
      <c r="AN144" s="70"/>
      <c r="AO144" s="70"/>
      <c r="AY144" s="129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</row>
    <row r="145">
      <c r="C145" s="70"/>
      <c r="E145" s="70"/>
      <c r="O145" s="70"/>
      <c r="Q145" s="70"/>
      <c r="X145" s="70"/>
      <c r="AA145" s="70"/>
      <c r="AC145" s="70"/>
      <c r="AD145" s="381"/>
      <c r="AM145" s="70"/>
      <c r="AN145" s="70"/>
      <c r="AO145" s="70"/>
      <c r="AY145" s="129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</row>
    <row r="146">
      <c r="A146" s="1">
        <v>2025.0</v>
      </c>
      <c r="C146" s="528" t="s">
        <v>0</v>
      </c>
      <c r="D146" s="528" t="s">
        <v>1</v>
      </c>
      <c r="E146" s="528" t="s">
        <v>2</v>
      </c>
      <c r="F146" s="528" t="s">
        <v>3</v>
      </c>
      <c r="G146" s="528" t="s">
        <v>4</v>
      </c>
      <c r="H146" s="528" t="s">
        <v>5</v>
      </c>
      <c r="I146" s="528" t="s">
        <v>6</v>
      </c>
      <c r="J146" s="528" t="s">
        <v>7</v>
      </c>
      <c r="K146" s="528" t="s">
        <v>8</v>
      </c>
      <c r="L146" s="528" t="s">
        <v>9</v>
      </c>
      <c r="M146" s="528" t="s">
        <v>10</v>
      </c>
      <c r="N146" s="528" t="s">
        <v>11</v>
      </c>
      <c r="O146" s="70"/>
      <c r="Q146" s="70"/>
      <c r="X146" s="70"/>
      <c r="AA146" s="70"/>
      <c r="AC146" s="70"/>
      <c r="AD146" s="381"/>
      <c r="AM146" s="70"/>
      <c r="AN146" s="70"/>
      <c r="AO146" s="70"/>
      <c r="AY146" s="129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</row>
    <row r="147">
      <c r="A147" s="529" t="s">
        <v>612</v>
      </c>
      <c r="C147" s="530">
        <v>32785.0</v>
      </c>
      <c r="D147" s="291">
        <v>15170.0</v>
      </c>
      <c r="E147" s="291">
        <v>22289.0</v>
      </c>
      <c r="F147" s="291">
        <v>16995.0</v>
      </c>
      <c r="G147" s="291">
        <v>25580.0</v>
      </c>
      <c r="H147" s="291">
        <v>30711.0</v>
      </c>
      <c r="I147" s="291">
        <v>22868.0</v>
      </c>
      <c r="J147" s="291">
        <v>20722.0</v>
      </c>
      <c r="K147" s="291">
        <v>26790.0</v>
      </c>
      <c r="L147" s="291">
        <v>16939.0</v>
      </c>
      <c r="M147" s="291">
        <v>15936.0</v>
      </c>
      <c r="N147" s="291">
        <v>63225.0</v>
      </c>
      <c r="O147" s="70"/>
      <c r="Q147" s="70"/>
      <c r="X147" s="70"/>
      <c r="AA147" s="70"/>
      <c r="AC147" s="70"/>
      <c r="AD147" s="381"/>
      <c r="AM147" s="70"/>
      <c r="AN147" s="70"/>
      <c r="AO147" s="70"/>
      <c r="AY147" s="129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</row>
    <row r="148">
      <c r="A148" s="529" t="s">
        <v>613</v>
      </c>
      <c r="C148" s="530">
        <v>45749.0</v>
      </c>
      <c r="D148" s="291">
        <v>35080.0</v>
      </c>
      <c r="E148" s="291">
        <v>39225.0</v>
      </c>
      <c r="F148" s="291">
        <v>28730.0</v>
      </c>
      <c r="G148" s="291">
        <v>35623.0</v>
      </c>
      <c r="H148" s="291">
        <v>31450.0</v>
      </c>
      <c r="I148" s="291">
        <v>50653.0</v>
      </c>
      <c r="J148" s="291">
        <v>42009.0</v>
      </c>
      <c r="K148" s="291">
        <v>32478.0</v>
      </c>
      <c r="L148" s="291">
        <v>23454.0</v>
      </c>
      <c r="M148" s="291">
        <v>47037.0</v>
      </c>
      <c r="N148" s="291">
        <v>119109.0</v>
      </c>
      <c r="O148" s="70"/>
      <c r="Q148" s="70"/>
      <c r="X148" s="70"/>
      <c r="AA148" s="70"/>
      <c r="AC148" s="70"/>
      <c r="AD148" s="381"/>
      <c r="AM148" s="70"/>
      <c r="AN148" s="70"/>
      <c r="AO148" s="70"/>
      <c r="AY148" s="129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</row>
    <row r="149">
      <c r="A149" s="529" t="s">
        <v>614</v>
      </c>
      <c r="C149" s="530">
        <v>31690.0</v>
      </c>
      <c r="D149" s="2">
        <v>22292.0</v>
      </c>
      <c r="E149" s="530">
        <v>17318.0</v>
      </c>
      <c r="F149" s="2">
        <v>18577.0</v>
      </c>
      <c r="G149" s="2">
        <v>25592.0</v>
      </c>
      <c r="H149" s="291">
        <v>25009.0</v>
      </c>
      <c r="I149" s="291">
        <v>19889.0</v>
      </c>
      <c r="J149" s="534">
        <v>18940.0</v>
      </c>
      <c r="K149" s="534">
        <v>32862.0</v>
      </c>
      <c r="L149" s="534">
        <v>25107.0</v>
      </c>
      <c r="M149" s="534">
        <v>34731.0</v>
      </c>
      <c r="N149" s="534">
        <v>109451.0</v>
      </c>
      <c r="O149" s="70"/>
      <c r="Q149" s="70"/>
      <c r="X149" s="70"/>
      <c r="AA149" s="70"/>
      <c r="AC149" s="70"/>
      <c r="AD149" s="381"/>
      <c r="AM149" s="70"/>
      <c r="AN149" s="70"/>
      <c r="AO149" s="70"/>
      <c r="AY149" s="129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</row>
    <row r="150">
      <c r="A150" s="531" t="s">
        <v>615</v>
      </c>
      <c r="C150" s="530">
        <v>33419.0</v>
      </c>
      <c r="D150" s="534">
        <v>24526.0</v>
      </c>
      <c r="E150" s="530">
        <v>27358.0</v>
      </c>
      <c r="F150" s="2">
        <v>25721.0</v>
      </c>
      <c r="G150" s="291">
        <v>30882.0</v>
      </c>
      <c r="H150" s="291">
        <v>36697.0</v>
      </c>
      <c r="I150" s="291">
        <v>26882.0</v>
      </c>
      <c r="J150" s="291">
        <v>27556.0</v>
      </c>
      <c r="K150" s="291">
        <v>14481.0</v>
      </c>
      <c r="L150" s="291">
        <v>29795.0</v>
      </c>
      <c r="M150" s="291">
        <v>31933.0</v>
      </c>
      <c r="N150" s="291">
        <v>86728.0</v>
      </c>
      <c r="O150" s="70"/>
      <c r="Q150" s="70"/>
      <c r="X150" s="70"/>
      <c r="AA150" s="70"/>
      <c r="AC150" s="70"/>
      <c r="AD150" s="381"/>
      <c r="AM150" s="70"/>
      <c r="AN150" s="70"/>
      <c r="AO150" s="70"/>
      <c r="AY150" s="129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</row>
    <row r="151">
      <c r="A151" s="529" t="s">
        <v>616</v>
      </c>
      <c r="C151" s="530">
        <v>6075.0</v>
      </c>
      <c r="D151" s="534">
        <v>3310.0</v>
      </c>
      <c r="E151" s="535">
        <v>4631.0</v>
      </c>
      <c r="F151" s="2">
        <v>6835.0</v>
      </c>
      <c r="G151" s="291">
        <v>2474.0</v>
      </c>
      <c r="H151" s="291">
        <v>8203.0</v>
      </c>
      <c r="I151" s="291">
        <v>4178.0</v>
      </c>
      <c r="J151" s="291">
        <v>7776.0</v>
      </c>
      <c r="K151" s="291">
        <v>6191.0</v>
      </c>
      <c r="L151" s="291">
        <v>6842.0</v>
      </c>
      <c r="M151" s="291">
        <v>6521.0</v>
      </c>
      <c r="N151" s="291">
        <v>12644.0</v>
      </c>
      <c r="O151" s="70"/>
      <c r="Q151" s="70"/>
      <c r="X151" s="70"/>
      <c r="AA151" s="70"/>
      <c r="AC151" s="70"/>
      <c r="AD151" s="381"/>
      <c r="AM151" s="70"/>
      <c r="AN151" s="70"/>
      <c r="AO151" s="70"/>
      <c r="AY151" s="129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</row>
    <row r="152">
      <c r="C152" s="533">
        <f t="shared" ref="C152:N152" si="17">SUM(C147:C151)</f>
        <v>149718</v>
      </c>
      <c r="D152" s="533">
        <f t="shared" si="17"/>
        <v>100378</v>
      </c>
      <c r="E152" s="533">
        <f t="shared" si="17"/>
        <v>110821</v>
      </c>
      <c r="F152" s="533">
        <f t="shared" si="17"/>
        <v>96858</v>
      </c>
      <c r="G152" s="533">
        <f t="shared" si="17"/>
        <v>120151</v>
      </c>
      <c r="H152" s="533">
        <f t="shared" si="17"/>
        <v>132070</v>
      </c>
      <c r="I152" s="533">
        <f t="shared" si="17"/>
        <v>124470</v>
      </c>
      <c r="J152" s="533">
        <f t="shared" si="17"/>
        <v>117003</v>
      </c>
      <c r="K152" s="533">
        <f t="shared" si="17"/>
        <v>112802</v>
      </c>
      <c r="L152" s="533">
        <f t="shared" si="17"/>
        <v>102137</v>
      </c>
      <c r="M152" s="533">
        <f t="shared" si="17"/>
        <v>136158</v>
      </c>
      <c r="N152" s="533">
        <f t="shared" si="17"/>
        <v>391157</v>
      </c>
      <c r="O152" s="70"/>
      <c r="Q152" s="70"/>
      <c r="X152" s="70"/>
      <c r="AA152" s="70"/>
      <c r="AC152" s="70"/>
      <c r="AD152" s="381"/>
      <c r="AM152" s="70"/>
      <c r="AN152" s="70"/>
      <c r="AO152" s="70"/>
      <c r="AY152" s="129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</row>
    <row r="153">
      <c r="C153" s="70"/>
      <c r="E153" s="70"/>
      <c r="O153" s="70"/>
      <c r="Q153" s="70"/>
      <c r="X153" s="70"/>
      <c r="AA153" s="70"/>
      <c r="AC153" s="70"/>
      <c r="AD153" s="381"/>
      <c r="AM153" s="70"/>
      <c r="AN153" s="70"/>
      <c r="AO153" s="70"/>
      <c r="AY153" s="129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</row>
    <row r="154">
      <c r="C154" s="70"/>
      <c r="E154" s="70"/>
      <c r="O154" s="70"/>
      <c r="Q154" s="70"/>
      <c r="X154" s="70"/>
      <c r="AA154" s="70"/>
      <c r="AC154" s="70"/>
      <c r="AD154" s="381"/>
      <c r="AM154" s="70"/>
      <c r="AN154" s="70"/>
      <c r="AO154" s="70"/>
      <c r="AY154" s="129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</row>
    <row r="155">
      <c r="C155" s="70"/>
      <c r="E155" s="70"/>
      <c r="O155" s="70"/>
      <c r="Q155" s="70"/>
      <c r="X155" s="70"/>
      <c r="AA155" s="70"/>
      <c r="AC155" s="70"/>
      <c r="AD155" s="381"/>
      <c r="AM155" s="70"/>
      <c r="AN155" s="70"/>
      <c r="AO155" s="70"/>
      <c r="AY155" s="129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</row>
    <row r="156">
      <c r="C156" s="70"/>
      <c r="E156" s="70"/>
      <c r="O156" s="70"/>
      <c r="Q156" s="70"/>
      <c r="X156" s="70"/>
      <c r="AA156" s="70"/>
      <c r="AC156" s="70"/>
      <c r="AD156" s="381"/>
      <c r="AM156" s="70"/>
      <c r="AN156" s="70"/>
      <c r="AO156" s="70"/>
      <c r="AY156" s="129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</row>
    <row r="157">
      <c r="C157" s="70"/>
      <c r="E157" s="70"/>
      <c r="O157" s="70"/>
      <c r="Q157" s="70"/>
      <c r="X157" s="70"/>
      <c r="AA157" s="70"/>
      <c r="AC157" s="70"/>
      <c r="AD157" s="381"/>
      <c r="AM157" s="70"/>
      <c r="AN157" s="70"/>
      <c r="AO157" s="70"/>
      <c r="AY157" s="129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</row>
    <row r="158">
      <c r="C158" s="70"/>
      <c r="E158" s="70"/>
      <c r="O158" s="70"/>
      <c r="Q158" s="70"/>
      <c r="X158" s="70"/>
      <c r="AA158" s="70"/>
      <c r="AC158" s="70"/>
      <c r="AD158" s="381"/>
      <c r="AM158" s="70"/>
      <c r="AN158" s="70"/>
      <c r="AO158" s="70"/>
      <c r="AY158" s="129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</row>
    <row r="159">
      <c r="C159" s="70"/>
      <c r="E159" s="70"/>
      <c r="O159" s="70"/>
      <c r="Q159" s="70"/>
      <c r="X159" s="70"/>
      <c r="AA159" s="70"/>
      <c r="AC159" s="70"/>
      <c r="AD159" s="381"/>
      <c r="AM159" s="70"/>
      <c r="AN159" s="70"/>
      <c r="AO159" s="70"/>
      <c r="AY159" s="129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</row>
    <row r="160">
      <c r="C160" s="70"/>
      <c r="E160" s="70"/>
      <c r="O160" s="70"/>
      <c r="Q160" s="70"/>
      <c r="X160" s="70"/>
      <c r="AA160" s="70"/>
      <c r="AC160" s="70"/>
      <c r="AD160" s="381"/>
      <c r="AM160" s="70"/>
      <c r="AN160" s="70"/>
      <c r="AO160" s="70"/>
      <c r="AY160" s="129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</row>
    <row r="161">
      <c r="C161" s="70"/>
      <c r="E161" s="70"/>
      <c r="O161" s="70"/>
      <c r="Q161" s="70"/>
      <c r="X161" s="70"/>
      <c r="AA161" s="70"/>
      <c r="AC161" s="70"/>
      <c r="AD161" s="381"/>
      <c r="AM161" s="70"/>
      <c r="AN161" s="70"/>
      <c r="AO161" s="70"/>
      <c r="AY161" s="129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</row>
    <row r="162">
      <c r="C162" s="70"/>
      <c r="E162" s="70"/>
      <c r="O162" s="70"/>
      <c r="Q162" s="70"/>
      <c r="X162" s="70"/>
      <c r="AA162" s="70"/>
      <c r="AC162" s="70"/>
      <c r="AD162" s="381"/>
      <c r="AM162" s="70"/>
      <c r="AN162" s="70"/>
      <c r="AO162" s="70"/>
      <c r="AY162" s="129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</row>
    <row r="163">
      <c r="C163" s="70"/>
      <c r="E163" s="70"/>
      <c r="O163" s="70"/>
      <c r="Q163" s="70"/>
      <c r="X163" s="70"/>
      <c r="AA163" s="70"/>
      <c r="AC163" s="70"/>
      <c r="AD163" s="381"/>
      <c r="AM163" s="70"/>
      <c r="AN163" s="70"/>
      <c r="AO163" s="70"/>
      <c r="AY163" s="129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</row>
    <row r="164">
      <c r="C164" s="70"/>
      <c r="E164" s="70"/>
      <c r="O164" s="70"/>
      <c r="Q164" s="70"/>
      <c r="X164" s="70"/>
      <c r="AA164" s="70"/>
      <c r="AC164" s="70"/>
      <c r="AD164" s="381"/>
      <c r="AM164" s="70"/>
      <c r="AN164" s="70"/>
      <c r="AO164" s="70"/>
      <c r="AY164" s="129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</row>
    <row r="165">
      <c r="C165" s="70"/>
      <c r="E165" s="70"/>
      <c r="O165" s="70"/>
      <c r="Q165" s="70"/>
      <c r="X165" s="70"/>
      <c r="AA165" s="70"/>
      <c r="AC165" s="70"/>
      <c r="AD165" s="381"/>
      <c r="AM165" s="70"/>
      <c r="AN165" s="70"/>
      <c r="AO165" s="70"/>
      <c r="AY165" s="129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</row>
    <row r="166">
      <c r="C166" s="70"/>
      <c r="E166" s="70"/>
      <c r="O166" s="70"/>
      <c r="Q166" s="70"/>
      <c r="X166" s="70"/>
      <c r="AA166" s="70"/>
      <c r="AC166" s="70"/>
      <c r="AD166" s="381"/>
      <c r="AM166" s="70"/>
      <c r="AN166" s="70"/>
      <c r="AO166" s="70"/>
      <c r="AY166" s="129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</row>
    <row r="167">
      <c r="C167" s="70"/>
      <c r="E167" s="70"/>
      <c r="O167" s="70"/>
      <c r="Q167" s="70"/>
      <c r="X167" s="70"/>
      <c r="AA167" s="70"/>
      <c r="AC167" s="70"/>
      <c r="AD167" s="381"/>
      <c r="AM167" s="70"/>
      <c r="AN167" s="70"/>
      <c r="AO167" s="70"/>
      <c r="AY167" s="129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</row>
    <row r="168">
      <c r="C168" s="70"/>
      <c r="E168" s="70"/>
      <c r="O168" s="70"/>
      <c r="Q168" s="70"/>
      <c r="X168" s="70"/>
      <c r="AA168" s="70"/>
      <c r="AC168" s="70"/>
      <c r="AD168" s="381"/>
      <c r="AM168" s="70"/>
      <c r="AN168" s="70"/>
      <c r="AO168" s="70"/>
      <c r="AY168" s="129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</row>
    <row r="169">
      <c r="C169" s="70"/>
      <c r="E169" s="70"/>
      <c r="O169" s="70"/>
      <c r="Q169" s="70"/>
      <c r="X169" s="70"/>
      <c r="AA169" s="70"/>
      <c r="AC169" s="70"/>
      <c r="AD169" s="381"/>
      <c r="AM169" s="70"/>
      <c r="AN169" s="70"/>
      <c r="AO169" s="70"/>
      <c r="AY169" s="129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</row>
    <row r="170">
      <c r="C170" s="70"/>
      <c r="E170" s="70"/>
      <c r="O170" s="70"/>
      <c r="Q170" s="70"/>
      <c r="X170" s="70"/>
      <c r="AA170" s="70"/>
      <c r="AC170" s="70"/>
      <c r="AD170" s="381"/>
      <c r="AM170" s="70"/>
      <c r="AN170" s="70"/>
      <c r="AO170" s="70"/>
      <c r="AY170" s="129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</row>
    <row r="171">
      <c r="C171" s="70"/>
      <c r="E171" s="70"/>
      <c r="O171" s="70"/>
      <c r="Q171" s="70"/>
      <c r="X171" s="70"/>
      <c r="AA171" s="70"/>
      <c r="AC171" s="70"/>
      <c r="AD171" s="381"/>
      <c r="AM171" s="70"/>
      <c r="AN171" s="70"/>
      <c r="AO171" s="70"/>
      <c r="AY171" s="129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</row>
    <row r="172">
      <c r="C172" s="70"/>
      <c r="E172" s="70"/>
      <c r="O172" s="70"/>
      <c r="Q172" s="70"/>
      <c r="X172" s="70"/>
      <c r="AA172" s="70"/>
      <c r="AC172" s="70"/>
      <c r="AD172" s="381"/>
      <c r="AM172" s="70"/>
      <c r="AN172" s="70"/>
      <c r="AO172" s="70"/>
      <c r="AY172" s="129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</row>
    <row r="173">
      <c r="C173" s="70"/>
      <c r="E173" s="70"/>
      <c r="O173" s="70"/>
      <c r="Q173" s="70"/>
      <c r="X173" s="70"/>
      <c r="AA173" s="70"/>
      <c r="AC173" s="70"/>
      <c r="AD173" s="381"/>
      <c r="AM173" s="70"/>
      <c r="AN173" s="70"/>
      <c r="AO173" s="70"/>
      <c r="AY173" s="129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</row>
    <row r="174">
      <c r="C174" s="70"/>
      <c r="E174" s="70"/>
      <c r="O174" s="70"/>
      <c r="Q174" s="70"/>
      <c r="X174" s="70"/>
      <c r="AA174" s="70"/>
      <c r="AC174" s="70"/>
      <c r="AD174" s="381"/>
      <c r="AM174" s="70"/>
      <c r="AN174" s="70"/>
      <c r="AO174" s="70"/>
      <c r="AY174" s="129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</row>
    <row r="175">
      <c r="C175" s="70"/>
      <c r="E175" s="70"/>
      <c r="O175" s="70"/>
      <c r="Q175" s="70"/>
      <c r="X175" s="70"/>
      <c r="AA175" s="70"/>
      <c r="AC175" s="70"/>
      <c r="AD175" s="381"/>
      <c r="AM175" s="70"/>
      <c r="AN175" s="70"/>
      <c r="AO175" s="70"/>
      <c r="AY175" s="129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</row>
    <row r="176">
      <c r="C176" s="70"/>
      <c r="E176" s="70"/>
      <c r="O176" s="70"/>
      <c r="Q176" s="70"/>
      <c r="X176" s="70"/>
      <c r="AA176" s="70"/>
      <c r="AC176" s="70"/>
      <c r="AD176" s="381"/>
      <c r="AM176" s="70"/>
      <c r="AN176" s="70"/>
      <c r="AO176" s="70"/>
      <c r="AY176" s="129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</row>
    <row r="177">
      <c r="C177" s="70"/>
      <c r="E177" s="70"/>
      <c r="O177" s="70"/>
      <c r="Q177" s="70"/>
      <c r="X177" s="70"/>
      <c r="AA177" s="70"/>
      <c r="AC177" s="70"/>
      <c r="AD177" s="381"/>
      <c r="AM177" s="70"/>
      <c r="AN177" s="70"/>
      <c r="AO177" s="70"/>
      <c r="AY177" s="129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</row>
    <row r="178">
      <c r="C178" s="70"/>
      <c r="E178" s="70"/>
      <c r="O178" s="70"/>
      <c r="Q178" s="70"/>
      <c r="X178" s="70"/>
      <c r="AA178" s="70"/>
      <c r="AC178" s="70"/>
      <c r="AD178" s="381"/>
      <c r="AM178" s="70"/>
      <c r="AN178" s="70"/>
      <c r="AO178" s="70"/>
      <c r="AY178" s="129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</row>
    <row r="179">
      <c r="C179" s="70"/>
      <c r="E179" s="70"/>
      <c r="O179" s="70"/>
      <c r="Q179" s="70"/>
      <c r="X179" s="70"/>
      <c r="AA179" s="70"/>
      <c r="AC179" s="70"/>
      <c r="AD179" s="381"/>
      <c r="AM179" s="70"/>
      <c r="AN179" s="70"/>
      <c r="AO179" s="70"/>
      <c r="AY179" s="129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</row>
    <row r="180">
      <c r="C180" s="70"/>
      <c r="E180" s="70"/>
      <c r="O180" s="70"/>
      <c r="Q180" s="70"/>
      <c r="X180" s="70"/>
      <c r="AA180" s="70"/>
      <c r="AC180" s="70"/>
      <c r="AD180" s="381"/>
      <c r="AM180" s="70"/>
      <c r="AN180" s="70"/>
      <c r="AO180" s="70"/>
      <c r="AY180" s="129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</row>
    <row r="181">
      <c r="C181" s="70"/>
      <c r="E181" s="70"/>
      <c r="O181" s="70"/>
      <c r="Q181" s="70"/>
      <c r="X181" s="70"/>
      <c r="AA181" s="70"/>
      <c r="AC181" s="70"/>
      <c r="AD181" s="381"/>
      <c r="AM181" s="70"/>
      <c r="AN181" s="70"/>
      <c r="AO181" s="70"/>
      <c r="AY181" s="129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</row>
    <row r="182">
      <c r="C182" s="70"/>
      <c r="E182" s="70"/>
      <c r="O182" s="70"/>
      <c r="Q182" s="70"/>
      <c r="X182" s="70"/>
      <c r="AA182" s="70"/>
      <c r="AC182" s="70"/>
      <c r="AD182" s="381"/>
      <c r="AM182" s="70"/>
      <c r="AN182" s="70"/>
      <c r="AO182" s="70"/>
      <c r="AY182" s="129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</row>
    <row r="183">
      <c r="C183" s="70"/>
      <c r="E183" s="70"/>
      <c r="O183" s="70"/>
      <c r="Q183" s="70"/>
      <c r="X183" s="70"/>
      <c r="AA183" s="70"/>
      <c r="AC183" s="70"/>
      <c r="AD183" s="381"/>
      <c r="AM183" s="70"/>
      <c r="AN183" s="70"/>
      <c r="AO183" s="70"/>
      <c r="AY183" s="129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</row>
    <row r="184">
      <c r="C184" s="70"/>
      <c r="E184" s="70"/>
      <c r="O184" s="70"/>
      <c r="Q184" s="70"/>
      <c r="X184" s="70"/>
      <c r="AA184" s="70"/>
      <c r="AC184" s="70"/>
      <c r="AD184" s="381"/>
      <c r="AM184" s="70"/>
      <c r="AN184" s="70"/>
      <c r="AO184" s="70"/>
      <c r="AY184" s="129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</row>
    <row r="185">
      <c r="C185" s="70"/>
      <c r="E185" s="70"/>
      <c r="O185" s="70"/>
      <c r="Q185" s="70"/>
      <c r="X185" s="70"/>
      <c r="AA185" s="70"/>
      <c r="AC185" s="70"/>
      <c r="AD185" s="381"/>
      <c r="AM185" s="70"/>
      <c r="AN185" s="70"/>
      <c r="AO185" s="70"/>
      <c r="AY185" s="129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</row>
    <row r="186">
      <c r="C186" s="70"/>
      <c r="E186" s="70"/>
      <c r="O186" s="70"/>
      <c r="Q186" s="70"/>
      <c r="X186" s="70"/>
      <c r="AA186" s="70"/>
      <c r="AC186" s="70"/>
      <c r="AD186" s="381"/>
      <c r="AM186" s="70"/>
      <c r="AN186" s="70"/>
      <c r="AO186" s="70"/>
      <c r="AY186" s="129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</row>
    <row r="187">
      <c r="C187" s="70"/>
      <c r="E187" s="70"/>
      <c r="O187" s="70"/>
      <c r="Q187" s="70"/>
      <c r="X187" s="70"/>
      <c r="AA187" s="70"/>
      <c r="AC187" s="70"/>
      <c r="AD187" s="381"/>
      <c r="AM187" s="70"/>
      <c r="AN187" s="70"/>
      <c r="AO187" s="70"/>
      <c r="AY187" s="129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</row>
    <row r="188">
      <c r="C188" s="70"/>
      <c r="E188" s="70"/>
      <c r="O188" s="70"/>
      <c r="Q188" s="70"/>
      <c r="X188" s="70"/>
      <c r="AA188" s="70"/>
      <c r="AC188" s="70"/>
      <c r="AD188" s="381"/>
      <c r="AM188" s="70"/>
      <c r="AN188" s="70"/>
      <c r="AO188" s="70"/>
      <c r="AY188" s="129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</row>
    <row r="189">
      <c r="C189" s="70"/>
      <c r="E189" s="70"/>
      <c r="O189" s="70"/>
      <c r="Q189" s="70"/>
      <c r="X189" s="70"/>
      <c r="AA189" s="70"/>
      <c r="AC189" s="70"/>
      <c r="AD189" s="381"/>
      <c r="AM189" s="70"/>
      <c r="AN189" s="70"/>
      <c r="AO189" s="70"/>
      <c r="AY189" s="129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</row>
    <row r="190">
      <c r="C190" s="70"/>
      <c r="E190" s="70"/>
      <c r="O190" s="70"/>
      <c r="Q190" s="70"/>
      <c r="X190" s="70"/>
      <c r="AA190" s="70"/>
      <c r="AC190" s="70"/>
      <c r="AD190" s="381"/>
      <c r="AM190" s="70"/>
      <c r="AN190" s="70"/>
      <c r="AO190" s="70"/>
      <c r="AY190" s="129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</row>
    <row r="191">
      <c r="C191" s="70"/>
      <c r="E191" s="70"/>
      <c r="O191" s="70"/>
      <c r="Q191" s="70"/>
      <c r="X191" s="70"/>
      <c r="AA191" s="70"/>
      <c r="AC191" s="70"/>
      <c r="AD191" s="381"/>
      <c r="AM191" s="70"/>
      <c r="AN191" s="70"/>
      <c r="AO191" s="70"/>
      <c r="AY191" s="129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</row>
    <row r="192">
      <c r="C192" s="70"/>
      <c r="E192" s="70"/>
      <c r="O192" s="70"/>
      <c r="Q192" s="70"/>
      <c r="X192" s="70"/>
      <c r="AA192" s="70"/>
      <c r="AC192" s="70"/>
      <c r="AD192" s="381"/>
      <c r="AM192" s="70"/>
      <c r="AN192" s="70"/>
      <c r="AO192" s="70"/>
      <c r="AY192" s="129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</row>
    <row r="193">
      <c r="C193" s="70"/>
      <c r="E193" s="70"/>
      <c r="O193" s="70"/>
      <c r="Q193" s="70"/>
      <c r="X193" s="70"/>
      <c r="AA193" s="70"/>
      <c r="AC193" s="70"/>
      <c r="AD193" s="381"/>
      <c r="AM193" s="70"/>
      <c r="AN193" s="70"/>
      <c r="AO193" s="70"/>
      <c r="AY193" s="129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</row>
    <row r="194">
      <c r="C194" s="70"/>
      <c r="E194" s="70"/>
      <c r="O194" s="70"/>
      <c r="Q194" s="70"/>
      <c r="X194" s="70"/>
      <c r="AA194" s="70"/>
      <c r="AC194" s="70"/>
      <c r="AD194" s="381"/>
      <c r="AM194" s="70"/>
      <c r="AN194" s="70"/>
      <c r="AO194" s="70"/>
      <c r="AY194" s="129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</row>
    <row r="195">
      <c r="C195" s="70"/>
      <c r="E195" s="70"/>
      <c r="O195" s="70"/>
      <c r="Q195" s="70"/>
      <c r="X195" s="70"/>
      <c r="AA195" s="70"/>
      <c r="AC195" s="70"/>
      <c r="AD195" s="381"/>
      <c r="AM195" s="70"/>
      <c r="AN195" s="70"/>
      <c r="AO195" s="70"/>
      <c r="AY195" s="129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</row>
    <row r="196">
      <c r="C196" s="70"/>
      <c r="E196" s="70"/>
      <c r="O196" s="70"/>
      <c r="Q196" s="70"/>
      <c r="X196" s="70"/>
      <c r="AA196" s="70"/>
      <c r="AC196" s="70"/>
      <c r="AD196" s="381"/>
      <c r="AM196" s="70"/>
      <c r="AN196" s="70"/>
      <c r="AO196" s="70"/>
      <c r="AY196" s="129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</row>
    <row r="197">
      <c r="C197" s="70"/>
      <c r="E197" s="70"/>
      <c r="O197" s="70"/>
      <c r="Q197" s="70"/>
      <c r="X197" s="70"/>
      <c r="AA197" s="70"/>
      <c r="AC197" s="70"/>
      <c r="AD197" s="381"/>
      <c r="AM197" s="70"/>
      <c r="AN197" s="70"/>
      <c r="AO197" s="70"/>
      <c r="AY197" s="129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</row>
    <row r="198">
      <c r="C198" s="70"/>
      <c r="E198" s="70"/>
      <c r="O198" s="70"/>
      <c r="Q198" s="70"/>
      <c r="X198" s="70"/>
      <c r="AA198" s="70"/>
      <c r="AC198" s="70"/>
      <c r="AD198" s="381"/>
      <c r="AM198" s="70"/>
      <c r="AN198" s="70"/>
      <c r="AO198" s="70"/>
      <c r="AY198" s="129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</row>
    <row r="199">
      <c r="C199" s="70"/>
      <c r="E199" s="70"/>
      <c r="O199" s="70"/>
      <c r="Q199" s="70"/>
      <c r="X199" s="70"/>
      <c r="AA199" s="70"/>
      <c r="AC199" s="70"/>
      <c r="AD199" s="381"/>
      <c r="AM199" s="70"/>
      <c r="AN199" s="70"/>
      <c r="AO199" s="70"/>
      <c r="AY199" s="129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</row>
    <row r="200">
      <c r="C200" s="70"/>
      <c r="E200" s="70"/>
      <c r="O200" s="70"/>
      <c r="Q200" s="70"/>
      <c r="X200" s="70"/>
      <c r="AA200" s="70"/>
      <c r="AC200" s="70"/>
      <c r="AD200" s="381"/>
      <c r="AM200" s="70"/>
      <c r="AN200" s="70"/>
      <c r="AO200" s="70"/>
      <c r="AY200" s="129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</row>
    <row r="201">
      <c r="C201" s="70"/>
      <c r="E201" s="70"/>
      <c r="O201" s="70"/>
      <c r="Q201" s="70"/>
      <c r="X201" s="70"/>
      <c r="AA201" s="70"/>
      <c r="AC201" s="70"/>
      <c r="AD201" s="381"/>
      <c r="AM201" s="70"/>
      <c r="AN201" s="70"/>
      <c r="AO201" s="70"/>
      <c r="AY201" s="129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</row>
    <row r="202">
      <c r="C202" s="70"/>
      <c r="E202" s="70"/>
      <c r="O202" s="70"/>
      <c r="Q202" s="70"/>
      <c r="X202" s="70"/>
      <c r="AA202" s="70"/>
      <c r="AC202" s="70"/>
      <c r="AD202" s="381"/>
      <c r="AM202" s="70"/>
      <c r="AN202" s="70"/>
      <c r="AO202" s="70"/>
      <c r="AY202" s="129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</row>
    <row r="203">
      <c r="C203" s="70"/>
      <c r="E203" s="70"/>
      <c r="O203" s="70"/>
      <c r="Q203" s="70"/>
      <c r="X203" s="70"/>
      <c r="AA203" s="70"/>
      <c r="AC203" s="70"/>
      <c r="AD203" s="381"/>
      <c r="AM203" s="70"/>
      <c r="AN203" s="70"/>
      <c r="AO203" s="70"/>
      <c r="AY203" s="129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</row>
    <row r="204">
      <c r="C204" s="70"/>
      <c r="E204" s="70"/>
      <c r="O204" s="70"/>
      <c r="Q204" s="70"/>
      <c r="X204" s="70"/>
      <c r="AA204" s="70"/>
      <c r="AC204" s="70"/>
      <c r="AD204" s="381"/>
      <c r="AM204" s="70"/>
      <c r="AN204" s="70"/>
      <c r="AO204" s="70"/>
      <c r="AY204" s="129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</row>
    <row r="205">
      <c r="C205" s="70"/>
      <c r="E205" s="70"/>
      <c r="O205" s="70"/>
      <c r="Q205" s="70"/>
      <c r="X205" s="70"/>
      <c r="AA205" s="70"/>
      <c r="AC205" s="70"/>
      <c r="AD205" s="381"/>
      <c r="AM205" s="70"/>
      <c r="AN205" s="70"/>
      <c r="AO205" s="70"/>
      <c r="AY205" s="129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</row>
    <row r="206">
      <c r="C206" s="70"/>
      <c r="E206" s="70"/>
      <c r="O206" s="70"/>
      <c r="Q206" s="70"/>
      <c r="X206" s="70"/>
      <c r="AA206" s="70"/>
      <c r="AC206" s="70"/>
      <c r="AD206" s="381"/>
      <c r="AM206" s="70"/>
      <c r="AN206" s="70"/>
      <c r="AO206" s="70"/>
      <c r="AY206" s="129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</row>
    <row r="207">
      <c r="C207" s="70"/>
      <c r="E207" s="70"/>
      <c r="O207" s="70"/>
      <c r="Q207" s="70"/>
      <c r="X207" s="70"/>
      <c r="AA207" s="70"/>
      <c r="AC207" s="70"/>
      <c r="AD207" s="381"/>
      <c r="AM207" s="70"/>
      <c r="AN207" s="70"/>
      <c r="AO207" s="70"/>
      <c r="AY207" s="129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</row>
    <row r="208">
      <c r="C208" s="70"/>
      <c r="E208" s="70"/>
      <c r="O208" s="70"/>
      <c r="Q208" s="70"/>
      <c r="X208" s="70"/>
      <c r="AA208" s="70"/>
      <c r="AC208" s="70"/>
      <c r="AD208" s="381"/>
      <c r="AM208" s="70"/>
      <c r="AN208" s="70"/>
      <c r="AO208" s="70"/>
      <c r="AY208" s="129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</row>
    <row r="209">
      <c r="C209" s="70"/>
      <c r="E209" s="70"/>
      <c r="O209" s="70"/>
      <c r="Q209" s="70"/>
      <c r="X209" s="70"/>
      <c r="AA209" s="70"/>
      <c r="AC209" s="70"/>
      <c r="AD209" s="381"/>
      <c r="AM209" s="70"/>
      <c r="AN209" s="70"/>
      <c r="AO209" s="70"/>
      <c r="AY209" s="129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</row>
    <row r="210">
      <c r="C210" s="70"/>
      <c r="E210" s="70"/>
      <c r="O210" s="70"/>
      <c r="Q210" s="70"/>
      <c r="X210" s="70"/>
      <c r="AA210" s="70"/>
      <c r="AC210" s="70"/>
      <c r="AD210" s="381"/>
      <c r="AM210" s="70"/>
      <c r="AN210" s="70"/>
      <c r="AO210" s="70"/>
      <c r="AY210" s="129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</row>
    <row r="211">
      <c r="C211" s="70"/>
      <c r="E211" s="70"/>
      <c r="O211" s="70"/>
      <c r="Q211" s="70"/>
      <c r="X211" s="70"/>
      <c r="AA211" s="70"/>
      <c r="AC211" s="70"/>
      <c r="AD211" s="381"/>
      <c r="AM211" s="70"/>
      <c r="AN211" s="70"/>
      <c r="AO211" s="70"/>
      <c r="AY211" s="129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</row>
    <row r="212">
      <c r="C212" s="70"/>
      <c r="E212" s="70"/>
      <c r="O212" s="70"/>
      <c r="Q212" s="70"/>
      <c r="X212" s="70"/>
      <c r="AA212" s="70"/>
      <c r="AC212" s="70"/>
      <c r="AD212" s="381"/>
      <c r="AM212" s="70"/>
      <c r="AN212" s="70"/>
      <c r="AO212" s="70"/>
      <c r="AY212" s="129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</row>
    <row r="213">
      <c r="C213" s="70"/>
      <c r="E213" s="70"/>
      <c r="O213" s="70"/>
      <c r="Q213" s="70"/>
      <c r="X213" s="70"/>
      <c r="AA213" s="70"/>
      <c r="AC213" s="70"/>
      <c r="AD213" s="381"/>
      <c r="AM213" s="70"/>
      <c r="AN213" s="70"/>
      <c r="AO213" s="70"/>
      <c r="AY213" s="129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</row>
    <row r="214">
      <c r="C214" s="70"/>
      <c r="E214" s="70"/>
      <c r="O214" s="70"/>
      <c r="Q214" s="70"/>
      <c r="X214" s="70"/>
      <c r="AA214" s="70"/>
      <c r="AC214" s="70"/>
      <c r="AD214" s="381"/>
      <c r="AM214" s="70"/>
      <c r="AN214" s="70"/>
      <c r="AO214" s="70"/>
      <c r="AY214" s="129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</row>
    <row r="215">
      <c r="C215" s="70"/>
      <c r="E215" s="70"/>
      <c r="O215" s="70"/>
      <c r="Q215" s="70"/>
      <c r="X215" s="70"/>
      <c r="AA215" s="70"/>
      <c r="AC215" s="70"/>
      <c r="AD215" s="381"/>
      <c r="AM215" s="70"/>
      <c r="AN215" s="70"/>
      <c r="AO215" s="70"/>
      <c r="AY215" s="129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</row>
    <row r="216">
      <c r="C216" s="70"/>
      <c r="E216" s="70"/>
      <c r="O216" s="70"/>
      <c r="Q216" s="70"/>
      <c r="X216" s="70"/>
      <c r="AA216" s="70"/>
      <c r="AC216" s="70"/>
      <c r="AD216" s="381"/>
      <c r="AM216" s="70"/>
      <c r="AN216" s="70"/>
      <c r="AO216" s="70"/>
      <c r="AY216" s="129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</row>
    <row r="217">
      <c r="C217" s="70"/>
      <c r="E217" s="70"/>
      <c r="O217" s="70"/>
      <c r="Q217" s="70"/>
      <c r="X217" s="70"/>
      <c r="AA217" s="70"/>
      <c r="AC217" s="70"/>
      <c r="AD217" s="381"/>
      <c r="AM217" s="70"/>
      <c r="AN217" s="70"/>
      <c r="AO217" s="70"/>
      <c r="AY217" s="129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</row>
    <row r="218">
      <c r="C218" s="70"/>
      <c r="E218" s="70"/>
      <c r="O218" s="70"/>
      <c r="Q218" s="70"/>
      <c r="X218" s="70"/>
      <c r="AA218" s="70"/>
      <c r="AC218" s="70"/>
      <c r="AD218" s="381"/>
      <c r="AM218" s="70"/>
      <c r="AN218" s="70"/>
      <c r="AO218" s="70"/>
      <c r="AY218" s="129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</row>
    <row r="219">
      <c r="C219" s="70"/>
      <c r="E219" s="70"/>
      <c r="O219" s="70"/>
      <c r="Q219" s="70"/>
      <c r="X219" s="70"/>
      <c r="AA219" s="70"/>
      <c r="AC219" s="70"/>
      <c r="AD219" s="381"/>
      <c r="AM219" s="70"/>
      <c r="AN219" s="70"/>
      <c r="AO219" s="70"/>
      <c r="AY219" s="129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</row>
    <row r="220">
      <c r="C220" s="70"/>
      <c r="E220" s="70"/>
      <c r="O220" s="70"/>
      <c r="Q220" s="70"/>
      <c r="X220" s="70"/>
      <c r="AA220" s="70"/>
      <c r="AC220" s="70"/>
      <c r="AD220" s="381"/>
      <c r="AM220" s="70"/>
      <c r="AN220" s="70"/>
      <c r="AO220" s="70"/>
      <c r="AY220" s="129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</row>
    <row r="221">
      <c r="C221" s="70"/>
      <c r="E221" s="70"/>
      <c r="O221" s="70"/>
      <c r="Q221" s="70"/>
      <c r="X221" s="70"/>
      <c r="AA221" s="70"/>
      <c r="AC221" s="70"/>
      <c r="AD221" s="381"/>
      <c r="AM221" s="70"/>
      <c r="AN221" s="70"/>
      <c r="AO221" s="70"/>
      <c r="AY221" s="129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</row>
    <row r="222">
      <c r="C222" s="70"/>
      <c r="E222" s="70"/>
      <c r="O222" s="70"/>
      <c r="Q222" s="70"/>
      <c r="X222" s="70"/>
      <c r="AA222" s="70"/>
      <c r="AC222" s="70"/>
      <c r="AD222" s="381"/>
      <c r="AM222" s="70"/>
      <c r="AN222" s="70"/>
      <c r="AO222" s="70"/>
      <c r="AY222" s="129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</row>
    <row r="223">
      <c r="C223" s="70"/>
      <c r="E223" s="70"/>
      <c r="O223" s="70"/>
      <c r="Q223" s="70"/>
      <c r="X223" s="70"/>
      <c r="AA223" s="70"/>
      <c r="AC223" s="70"/>
      <c r="AD223" s="381"/>
      <c r="AM223" s="70"/>
      <c r="AN223" s="70"/>
      <c r="AO223" s="70"/>
      <c r="AY223" s="129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</row>
    <row r="224">
      <c r="C224" s="70"/>
      <c r="E224" s="70"/>
      <c r="O224" s="70"/>
      <c r="Q224" s="70"/>
      <c r="X224" s="70"/>
      <c r="AA224" s="70"/>
      <c r="AC224" s="70"/>
      <c r="AD224" s="381"/>
      <c r="AM224" s="70"/>
      <c r="AN224" s="70"/>
      <c r="AO224" s="70"/>
      <c r="AY224" s="129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</row>
    <row r="225">
      <c r="C225" s="70"/>
      <c r="E225" s="70"/>
      <c r="O225" s="70"/>
      <c r="Q225" s="70"/>
      <c r="X225" s="70"/>
      <c r="AA225" s="70"/>
      <c r="AC225" s="70"/>
      <c r="AD225" s="381"/>
      <c r="AM225" s="70"/>
      <c r="AN225" s="70"/>
      <c r="AO225" s="70"/>
      <c r="AY225" s="129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</row>
    <row r="226">
      <c r="C226" s="70"/>
      <c r="E226" s="70"/>
      <c r="O226" s="70"/>
      <c r="Q226" s="70"/>
      <c r="X226" s="70"/>
      <c r="AA226" s="70"/>
      <c r="AC226" s="70"/>
      <c r="AD226" s="381"/>
      <c r="AM226" s="70"/>
      <c r="AN226" s="70"/>
      <c r="AO226" s="70"/>
      <c r="AY226" s="129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</row>
    <row r="227">
      <c r="C227" s="70"/>
      <c r="E227" s="70"/>
      <c r="O227" s="70"/>
      <c r="Q227" s="70"/>
      <c r="X227" s="70"/>
      <c r="AA227" s="70"/>
      <c r="AC227" s="70"/>
      <c r="AD227" s="381"/>
      <c r="AM227" s="70"/>
      <c r="AN227" s="70"/>
      <c r="AO227" s="70"/>
      <c r="AY227" s="129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</row>
    <row r="228">
      <c r="C228" s="70"/>
      <c r="E228" s="70"/>
      <c r="O228" s="70"/>
      <c r="Q228" s="70"/>
      <c r="X228" s="70"/>
      <c r="AA228" s="70"/>
      <c r="AC228" s="70"/>
      <c r="AD228" s="381"/>
      <c r="AM228" s="70"/>
      <c r="AN228" s="70"/>
      <c r="AO228" s="70"/>
      <c r="AY228" s="129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</row>
    <row r="229">
      <c r="C229" s="70"/>
      <c r="E229" s="70"/>
      <c r="O229" s="70"/>
      <c r="Q229" s="70"/>
      <c r="X229" s="70"/>
      <c r="AA229" s="70"/>
      <c r="AC229" s="70"/>
      <c r="AD229" s="381"/>
      <c r="AM229" s="70"/>
      <c r="AN229" s="70"/>
      <c r="AO229" s="70"/>
      <c r="AY229" s="129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</row>
    <row r="230">
      <c r="C230" s="70"/>
      <c r="E230" s="70"/>
      <c r="O230" s="70"/>
      <c r="Q230" s="70"/>
      <c r="X230" s="70"/>
      <c r="AA230" s="70"/>
      <c r="AC230" s="70"/>
      <c r="AD230" s="381"/>
      <c r="AM230" s="70"/>
      <c r="AN230" s="70"/>
      <c r="AO230" s="70"/>
      <c r="AY230" s="129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</row>
    <row r="231">
      <c r="C231" s="70"/>
      <c r="E231" s="70"/>
      <c r="O231" s="70"/>
      <c r="Q231" s="70"/>
      <c r="X231" s="70"/>
      <c r="AA231" s="70"/>
      <c r="AC231" s="70"/>
      <c r="AD231" s="381"/>
      <c r="AM231" s="70"/>
      <c r="AN231" s="70"/>
      <c r="AO231" s="70"/>
      <c r="AY231" s="129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</row>
    <row r="232">
      <c r="C232" s="70"/>
      <c r="E232" s="70"/>
      <c r="O232" s="70"/>
      <c r="Q232" s="70"/>
      <c r="X232" s="70"/>
      <c r="AA232" s="70"/>
      <c r="AC232" s="70"/>
      <c r="AD232" s="381"/>
      <c r="AM232" s="70"/>
      <c r="AN232" s="70"/>
      <c r="AO232" s="70"/>
      <c r="AY232" s="129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</row>
    <row r="233">
      <c r="C233" s="70"/>
      <c r="E233" s="70"/>
      <c r="O233" s="70"/>
      <c r="Q233" s="70"/>
      <c r="X233" s="70"/>
      <c r="AA233" s="70"/>
      <c r="AC233" s="70"/>
      <c r="AD233" s="381"/>
      <c r="AM233" s="70"/>
      <c r="AN233" s="70"/>
      <c r="AO233" s="70"/>
      <c r="AY233" s="129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</row>
    <row r="234">
      <c r="C234" s="70"/>
      <c r="E234" s="70"/>
      <c r="O234" s="70"/>
      <c r="Q234" s="70"/>
      <c r="X234" s="70"/>
      <c r="AA234" s="70"/>
      <c r="AC234" s="70"/>
      <c r="AD234" s="381"/>
      <c r="AM234" s="70"/>
      <c r="AN234" s="70"/>
      <c r="AO234" s="70"/>
      <c r="AY234" s="129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</row>
    <row r="235">
      <c r="C235" s="70"/>
      <c r="E235" s="70"/>
      <c r="O235" s="70"/>
      <c r="Q235" s="70"/>
      <c r="X235" s="70"/>
      <c r="AA235" s="70"/>
      <c r="AC235" s="70"/>
      <c r="AD235" s="381"/>
      <c r="AM235" s="70"/>
      <c r="AN235" s="70"/>
      <c r="AO235" s="70"/>
      <c r="AY235" s="129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</row>
    <row r="236">
      <c r="C236" s="70"/>
      <c r="E236" s="70"/>
      <c r="O236" s="70"/>
      <c r="Q236" s="70"/>
      <c r="X236" s="70"/>
      <c r="AA236" s="70"/>
      <c r="AC236" s="70"/>
      <c r="AD236" s="381"/>
      <c r="AM236" s="70"/>
      <c r="AN236" s="70"/>
      <c r="AO236" s="70"/>
      <c r="AY236" s="129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</row>
    <row r="237">
      <c r="C237" s="70"/>
      <c r="E237" s="70"/>
      <c r="O237" s="70"/>
      <c r="Q237" s="70"/>
      <c r="X237" s="70"/>
      <c r="AA237" s="70"/>
      <c r="AC237" s="70"/>
      <c r="AD237" s="381"/>
      <c r="AM237" s="70"/>
      <c r="AN237" s="70"/>
      <c r="AO237" s="70"/>
      <c r="AY237" s="129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</row>
    <row r="238">
      <c r="C238" s="70"/>
      <c r="E238" s="70"/>
      <c r="O238" s="70"/>
      <c r="Q238" s="70"/>
      <c r="X238" s="70"/>
      <c r="AA238" s="70"/>
      <c r="AC238" s="70"/>
      <c r="AD238" s="381"/>
      <c r="AM238" s="70"/>
      <c r="AN238" s="70"/>
      <c r="AO238" s="70"/>
      <c r="AY238" s="129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</row>
    <row r="239">
      <c r="C239" s="70"/>
      <c r="E239" s="70"/>
      <c r="O239" s="70"/>
      <c r="Q239" s="70"/>
      <c r="X239" s="70"/>
      <c r="AA239" s="70"/>
      <c r="AC239" s="70"/>
      <c r="AD239" s="381"/>
      <c r="AM239" s="70"/>
      <c r="AN239" s="70"/>
      <c r="AO239" s="70"/>
      <c r="AY239" s="129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</row>
    <row r="240">
      <c r="C240" s="70"/>
      <c r="E240" s="70"/>
      <c r="O240" s="70"/>
      <c r="Q240" s="70"/>
      <c r="X240" s="70"/>
      <c r="AA240" s="70"/>
      <c r="AC240" s="70"/>
      <c r="AD240" s="381"/>
      <c r="AM240" s="70"/>
      <c r="AN240" s="70"/>
      <c r="AO240" s="70"/>
      <c r="AY240" s="129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</row>
    <row r="241">
      <c r="C241" s="70"/>
      <c r="E241" s="70"/>
      <c r="O241" s="70"/>
      <c r="Q241" s="70"/>
      <c r="X241" s="70"/>
      <c r="AA241" s="70"/>
      <c r="AC241" s="70"/>
      <c r="AD241" s="381"/>
      <c r="AM241" s="70"/>
      <c r="AN241" s="70"/>
      <c r="AO241" s="70"/>
      <c r="AY241" s="129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</row>
    <row r="242">
      <c r="C242" s="70"/>
      <c r="E242" s="70"/>
      <c r="O242" s="70"/>
      <c r="Q242" s="70"/>
      <c r="X242" s="70"/>
      <c r="AA242" s="70"/>
      <c r="AC242" s="70"/>
      <c r="AD242" s="381"/>
      <c r="AM242" s="70"/>
      <c r="AN242" s="70"/>
      <c r="AO242" s="70"/>
      <c r="AY242" s="129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</row>
    <row r="243">
      <c r="C243" s="70"/>
      <c r="E243" s="70"/>
      <c r="O243" s="70"/>
      <c r="Q243" s="70"/>
      <c r="X243" s="70"/>
      <c r="AA243" s="70"/>
      <c r="AC243" s="70"/>
      <c r="AD243" s="381"/>
      <c r="AM243" s="70"/>
      <c r="AN243" s="70"/>
      <c r="AO243" s="70"/>
      <c r="AY243" s="129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</row>
    <row r="244">
      <c r="C244" s="70"/>
      <c r="E244" s="70"/>
      <c r="O244" s="70"/>
      <c r="Q244" s="70"/>
      <c r="X244" s="70"/>
      <c r="AA244" s="70"/>
      <c r="AC244" s="70"/>
      <c r="AD244" s="381"/>
      <c r="AM244" s="70"/>
      <c r="AN244" s="70"/>
      <c r="AO244" s="70"/>
      <c r="AY244" s="129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</row>
    <row r="245">
      <c r="C245" s="70"/>
      <c r="E245" s="70"/>
      <c r="O245" s="70"/>
      <c r="Q245" s="70"/>
      <c r="X245" s="70"/>
      <c r="AA245" s="70"/>
      <c r="AC245" s="70"/>
      <c r="AD245" s="381"/>
      <c r="AM245" s="70"/>
      <c r="AN245" s="70"/>
      <c r="AO245" s="70"/>
      <c r="AY245" s="129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</row>
    <row r="246">
      <c r="C246" s="70"/>
      <c r="E246" s="70"/>
      <c r="O246" s="70"/>
      <c r="Q246" s="70"/>
      <c r="X246" s="70"/>
      <c r="AA246" s="70"/>
      <c r="AC246" s="70"/>
      <c r="AD246" s="381"/>
      <c r="AM246" s="70"/>
      <c r="AN246" s="70"/>
      <c r="AO246" s="70"/>
      <c r="AY246" s="129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</row>
    <row r="247">
      <c r="C247" s="70"/>
      <c r="E247" s="70"/>
      <c r="O247" s="70"/>
      <c r="Q247" s="70"/>
      <c r="X247" s="70"/>
      <c r="AA247" s="70"/>
      <c r="AC247" s="70"/>
      <c r="AD247" s="381"/>
      <c r="AM247" s="70"/>
      <c r="AN247" s="70"/>
      <c r="AO247" s="70"/>
      <c r="AY247" s="129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</row>
    <row r="248">
      <c r="C248" s="70"/>
      <c r="E248" s="70"/>
      <c r="O248" s="70"/>
      <c r="Q248" s="70"/>
      <c r="X248" s="70"/>
      <c r="AA248" s="70"/>
      <c r="AC248" s="70"/>
      <c r="AD248" s="381"/>
      <c r="AM248" s="70"/>
      <c r="AN248" s="70"/>
      <c r="AO248" s="70"/>
      <c r="AY248" s="129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</row>
    <row r="249">
      <c r="C249" s="70"/>
      <c r="E249" s="70"/>
      <c r="O249" s="70"/>
      <c r="Q249" s="70"/>
      <c r="X249" s="70"/>
      <c r="AA249" s="70"/>
      <c r="AC249" s="70"/>
      <c r="AD249" s="381"/>
      <c r="AM249" s="70"/>
      <c r="AN249" s="70"/>
      <c r="AO249" s="70"/>
      <c r="AY249" s="129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</row>
    <row r="250">
      <c r="C250" s="70"/>
      <c r="E250" s="70"/>
      <c r="O250" s="70"/>
      <c r="Q250" s="70"/>
      <c r="X250" s="70"/>
      <c r="AA250" s="70"/>
      <c r="AC250" s="70"/>
      <c r="AD250" s="381"/>
      <c r="AM250" s="70"/>
      <c r="AN250" s="70"/>
      <c r="AO250" s="70"/>
      <c r="AY250" s="129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</row>
    <row r="251">
      <c r="C251" s="70"/>
      <c r="E251" s="70"/>
      <c r="O251" s="70"/>
      <c r="Q251" s="70"/>
      <c r="X251" s="70"/>
      <c r="AA251" s="70"/>
      <c r="AC251" s="70"/>
      <c r="AD251" s="381"/>
      <c r="AM251" s="70"/>
      <c r="AN251" s="70"/>
      <c r="AO251" s="70"/>
      <c r="AY251" s="129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</row>
    <row r="252">
      <c r="C252" s="70"/>
      <c r="E252" s="70"/>
      <c r="O252" s="70"/>
      <c r="Q252" s="70"/>
      <c r="X252" s="70"/>
      <c r="AA252" s="70"/>
      <c r="AC252" s="70"/>
      <c r="AD252" s="381"/>
      <c r="AM252" s="70"/>
      <c r="AN252" s="70"/>
      <c r="AO252" s="70"/>
      <c r="AY252" s="129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</row>
    <row r="253">
      <c r="C253" s="70"/>
      <c r="E253" s="70"/>
      <c r="O253" s="70"/>
      <c r="Q253" s="70"/>
      <c r="X253" s="70"/>
      <c r="AA253" s="70"/>
      <c r="AC253" s="70"/>
      <c r="AD253" s="381"/>
      <c r="AM253" s="70"/>
      <c r="AN253" s="70"/>
      <c r="AO253" s="70"/>
      <c r="AY253" s="129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</row>
    <row r="254">
      <c r="C254" s="70"/>
      <c r="E254" s="70"/>
      <c r="O254" s="70"/>
      <c r="Q254" s="70"/>
      <c r="X254" s="70"/>
      <c r="AA254" s="70"/>
      <c r="AC254" s="70"/>
      <c r="AD254" s="381"/>
      <c r="AM254" s="70"/>
      <c r="AN254" s="70"/>
      <c r="AO254" s="70"/>
      <c r="AY254" s="129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</row>
    <row r="255">
      <c r="C255" s="70"/>
      <c r="E255" s="70"/>
      <c r="O255" s="70"/>
      <c r="Q255" s="70"/>
      <c r="X255" s="70"/>
      <c r="AA255" s="70"/>
      <c r="AC255" s="70"/>
      <c r="AD255" s="381"/>
      <c r="AM255" s="70"/>
      <c r="AN255" s="70"/>
      <c r="AO255" s="70"/>
      <c r="AY255" s="129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</row>
    <row r="256">
      <c r="C256" s="70"/>
      <c r="E256" s="70"/>
      <c r="O256" s="70"/>
      <c r="Q256" s="70"/>
      <c r="X256" s="70"/>
      <c r="AA256" s="70"/>
      <c r="AC256" s="70"/>
      <c r="AD256" s="381"/>
      <c r="AM256" s="70"/>
      <c r="AN256" s="70"/>
      <c r="AO256" s="70"/>
      <c r="AY256" s="129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</row>
    <row r="257">
      <c r="C257" s="70"/>
      <c r="E257" s="70"/>
      <c r="O257" s="70"/>
      <c r="Q257" s="70"/>
      <c r="X257" s="70"/>
      <c r="AA257" s="70"/>
      <c r="AC257" s="70"/>
      <c r="AD257" s="381"/>
      <c r="AM257" s="70"/>
      <c r="AN257" s="70"/>
      <c r="AO257" s="70"/>
      <c r="AY257" s="129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</row>
    <row r="258">
      <c r="C258" s="70"/>
      <c r="E258" s="70"/>
      <c r="O258" s="70"/>
      <c r="Q258" s="70"/>
      <c r="X258" s="70"/>
      <c r="AA258" s="70"/>
      <c r="AC258" s="70"/>
      <c r="AD258" s="381"/>
      <c r="AM258" s="70"/>
      <c r="AN258" s="70"/>
      <c r="AO258" s="70"/>
      <c r="AY258" s="129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</row>
    <row r="259">
      <c r="C259" s="70"/>
      <c r="E259" s="70"/>
      <c r="O259" s="70"/>
      <c r="Q259" s="70"/>
      <c r="X259" s="70"/>
      <c r="AA259" s="70"/>
      <c r="AC259" s="70"/>
      <c r="AD259" s="381"/>
      <c r="AM259" s="70"/>
      <c r="AN259" s="70"/>
      <c r="AO259" s="70"/>
      <c r="AY259" s="129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</row>
    <row r="260">
      <c r="C260" s="70"/>
      <c r="E260" s="70"/>
      <c r="O260" s="70"/>
      <c r="Q260" s="70"/>
      <c r="X260" s="70"/>
      <c r="AA260" s="70"/>
      <c r="AC260" s="70"/>
      <c r="AD260" s="381"/>
      <c r="AM260" s="70"/>
      <c r="AN260" s="70"/>
      <c r="AO260" s="70"/>
      <c r="AY260" s="129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</row>
    <row r="261">
      <c r="C261" s="70"/>
      <c r="E261" s="70"/>
      <c r="O261" s="70"/>
      <c r="Q261" s="70"/>
      <c r="X261" s="70"/>
      <c r="AA261" s="70"/>
      <c r="AC261" s="70"/>
      <c r="AD261" s="381"/>
      <c r="AM261" s="70"/>
      <c r="AN261" s="70"/>
      <c r="AO261" s="70"/>
      <c r="AY261" s="129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</row>
    <row r="262">
      <c r="C262" s="70"/>
      <c r="E262" s="70"/>
      <c r="O262" s="70"/>
      <c r="Q262" s="70"/>
      <c r="X262" s="70"/>
      <c r="AA262" s="70"/>
      <c r="AC262" s="70"/>
      <c r="AD262" s="381"/>
      <c r="AM262" s="70"/>
      <c r="AN262" s="70"/>
      <c r="AO262" s="70"/>
      <c r="AY262" s="129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</row>
    <row r="263">
      <c r="C263" s="70"/>
      <c r="E263" s="70"/>
      <c r="O263" s="70"/>
      <c r="Q263" s="70"/>
      <c r="X263" s="70"/>
      <c r="AA263" s="70"/>
      <c r="AC263" s="70"/>
      <c r="AD263" s="381"/>
      <c r="AM263" s="70"/>
      <c r="AN263" s="70"/>
      <c r="AO263" s="70"/>
      <c r="AY263" s="129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</row>
    <row r="264">
      <c r="C264" s="70"/>
      <c r="E264" s="70"/>
      <c r="O264" s="70"/>
      <c r="Q264" s="70"/>
      <c r="X264" s="70"/>
      <c r="AA264" s="70"/>
      <c r="AC264" s="70"/>
      <c r="AD264" s="381"/>
      <c r="AM264" s="70"/>
      <c r="AN264" s="70"/>
      <c r="AO264" s="70"/>
      <c r="AY264" s="129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</row>
    <row r="265">
      <c r="C265" s="70"/>
      <c r="E265" s="70"/>
      <c r="O265" s="70"/>
      <c r="Q265" s="70"/>
      <c r="X265" s="70"/>
      <c r="AA265" s="70"/>
      <c r="AC265" s="70"/>
      <c r="AD265" s="381"/>
      <c r="AM265" s="70"/>
      <c r="AN265" s="70"/>
      <c r="AO265" s="70"/>
      <c r="AY265" s="129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</row>
    <row r="266">
      <c r="C266" s="70"/>
      <c r="E266" s="70"/>
      <c r="O266" s="70"/>
      <c r="Q266" s="70"/>
      <c r="X266" s="70"/>
      <c r="AA266" s="70"/>
      <c r="AC266" s="70"/>
      <c r="AD266" s="381"/>
      <c r="AM266" s="70"/>
      <c r="AN266" s="70"/>
      <c r="AO266" s="70"/>
      <c r="AY266" s="129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</row>
    <row r="267">
      <c r="C267" s="70"/>
      <c r="E267" s="70"/>
      <c r="O267" s="70"/>
      <c r="Q267" s="70"/>
      <c r="X267" s="70"/>
      <c r="AA267" s="70"/>
      <c r="AC267" s="70"/>
      <c r="AD267" s="381"/>
      <c r="AM267" s="70"/>
      <c r="AN267" s="70"/>
      <c r="AO267" s="70"/>
      <c r="AY267" s="129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</row>
    <row r="268">
      <c r="C268" s="70"/>
      <c r="E268" s="70"/>
      <c r="O268" s="70"/>
      <c r="Q268" s="70"/>
      <c r="X268" s="70"/>
      <c r="AA268" s="70"/>
      <c r="AC268" s="70"/>
      <c r="AD268" s="381"/>
      <c r="AM268" s="70"/>
      <c r="AN268" s="70"/>
      <c r="AO268" s="70"/>
      <c r="AY268" s="129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</row>
    <row r="269">
      <c r="C269" s="70"/>
      <c r="E269" s="70"/>
      <c r="O269" s="70"/>
      <c r="Q269" s="70"/>
      <c r="X269" s="70"/>
      <c r="AA269" s="70"/>
      <c r="AC269" s="70"/>
      <c r="AD269" s="381"/>
      <c r="AM269" s="70"/>
      <c r="AN269" s="70"/>
      <c r="AO269" s="70"/>
      <c r="AY269" s="129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</row>
    <row r="270">
      <c r="C270" s="70"/>
      <c r="E270" s="70"/>
      <c r="O270" s="70"/>
      <c r="Q270" s="70"/>
      <c r="X270" s="70"/>
      <c r="AA270" s="70"/>
      <c r="AC270" s="70"/>
      <c r="AD270" s="381"/>
      <c r="AM270" s="70"/>
      <c r="AN270" s="70"/>
      <c r="AO270" s="70"/>
      <c r="AY270" s="129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</row>
    <row r="271">
      <c r="C271" s="70"/>
      <c r="E271" s="70"/>
      <c r="O271" s="70"/>
      <c r="Q271" s="70"/>
      <c r="X271" s="70"/>
      <c r="AA271" s="70"/>
      <c r="AC271" s="70"/>
      <c r="AD271" s="381"/>
      <c r="AM271" s="70"/>
      <c r="AN271" s="70"/>
      <c r="AO271" s="70"/>
      <c r="AY271" s="129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</row>
    <row r="272">
      <c r="C272" s="70"/>
      <c r="E272" s="70"/>
      <c r="O272" s="70"/>
      <c r="Q272" s="70"/>
      <c r="X272" s="70"/>
      <c r="AA272" s="70"/>
      <c r="AC272" s="70"/>
      <c r="AD272" s="381"/>
      <c r="AM272" s="70"/>
      <c r="AN272" s="70"/>
      <c r="AO272" s="70"/>
      <c r="AY272" s="129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</row>
    <row r="273">
      <c r="C273" s="70"/>
      <c r="E273" s="70"/>
      <c r="O273" s="70"/>
      <c r="Q273" s="70"/>
      <c r="X273" s="70"/>
      <c r="AA273" s="70"/>
      <c r="AC273" s="70"/>
      <c r="AD273" s="381"/>
      <c r="AM273" s="70"/>
      <c r="AN273" s="70"/>
      <c r="AO273" s="70"/>
      <c r="AY273" s="129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</row>
    <row r="274">
      <c r="C274" s="70"/>
      <c r="E274" s="70"/>
      <c r="O274" s="70"/>
      <c r="Q274" s="70"/>
      <c r="X274" s="70"/>
      <c r="AA274" s="70"/>
      <c r="AC274" s="70"/>
      <c r="AD274" s="381"/>
      <c r="AM274" s="70"/>
      <c r="AN274" s="70"/>
      <c r="AO274" s="70"/>
      <c r="AY274" s="129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</row>
    <row r="275">
      <c r="C275" s="70"/>
      <c r="E275" s="70"/>
      <c r="O275" s="70"/>
      <c r="Q275" s="70"/>
      <c r="X275" s="70"/>
      <c r="AA275" s="70"/>
      <c r="AC275" s="70"/>
      <c r="AD275" s="381"/>
      <c r="AM275" s="70"/>
      <c r="AN275" s="70"/>
      <c r="AO275" s="70"/>
      <c r="AY275" s="129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</row>
    <row r="276">
      <c r="C276" s="70"/>
      <c r="E276" s="70"/>
      <c r="O276" s="70"/>
      <c r="Q276" s="70"/>
      <c r="X276" s="70"/>
      <c r="AA276" s="70"/>
      <c r="AC276" s="70"/>
      <c r="AD276" s="381"/>
      <c r="AM276" s="70"/>
      <c r="AN276" s="70"/>
      <c r="AO276" s="70"/>
      <c r="AY276" s="129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</row>
    <row r="277">
      <c r="C277" s="70"/>
      <c r="E277" s="70"/>
      <c r="O277" s="70"/>
      <c r="Q277" s="70"/>
      <c r="X277" s="70"/>
      <c r="AA277" s="70"/>
      <c r="AC277" s="70"/>
      <c r="AD277" s="381"/>
      <c r="AM277" s="70"/>
      <c r="AN277" s="70"/>
      <c r="AO277" s="70"/>
      <c r="AY277" s="129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</row>
    <row r="278">
      <c r="C278" s="70"/>
      <c r="E278" s="70"/>
      <c r="O278" s="70"/>
      <c r="Q278" s="70"/>
      <c r="X278" s="70"/>
      <c r="AA278" s="70"/>
      <c r="AC278" s="70"/>
      <c r="AD278" s="381"/>
      <c r="AM278" s="70"/>
      <c r="AN278" s="70"/>
      <c r="AO278" s="70"/>
      <c r="AY278" s="129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</row>
    <row r="279">
      <c r="C279" s="70"/>
      <c r="E279" s="70"/>
      <c r="O279" s="70"/>
      <c r="Q279" s="70"/>
      <c r="X279" s="70"/>
      <c r="AA279" s="70"/>
      <c r="AC279" s="70"/>
      <c r="AD279" s="381"/>
      <c r="AM279" s="70"/>
      <c r="AN279" s="70"/>
      <c r="AO279" s="70"/>
      <c r="AY279" s="129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</row>
    <row r="280">
      <c r="C280" s="70"/>
      <c r="E280" s="70"/>
      <c r="O280" s="70"/>
      <c r="Q280" s="70"/>
      <c r="X280" s="70"/>
      <c r="AA280" s="70"/>
      <c r="AC280" s="70"/>
      <c r="AD280" s="381"/>
      <c r="AM280" s="70"/>
      <c r="AN280" s="70"/>
      <c r="AO280" s="70"/>
      <c r="AY280" s="129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</row>
    <row r="281">
      <c r="C281" s="70"/>
      <c r="E281" s="70"/>
      <c r="O281" s="70"/>
      <c r="Q281" s="70"/>
      <c r="X281" s="70"/>
      <c r="AA281" s="70"/>
      <c r="AC281" s="70"/>
      <c r="AD281" s="381"/>
      <c r="AM281" s="70"/>
      <c r="AN281" s="70"/>
      <c r="AO281" s="70"/>
      <c r="AY281" s="129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</row>
    <row r="282">
      <c r="C282" s="70"/>
      <c r="E282" s="70"/>
      <c r="O282" s="70"/>
      <c r="Q282" s="70"/>
      <c r="X282" s="70"/>
      <c r="AA282" s="70"/>
      <c r="AC282" s="70"/>
      <c r="AD282" s="381"/>
      <c r="AM282" s="70"/>
      <c r="AN282" s="70"/>
      <c r="AO282" s="70"/>
      <c r="AY282" s="129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</row>
    <row r="283">
      <c r="C283" s="70"/>
      <c r="E283" s="70"/>
      <c r="O283" s="70"/>
      <c r="Q283" s="70"/>
      <c r="X283" s="70"/>
      <c r="AA283" s="70"/>
      <c r="AC283" s="70"/>
      <c r="AD283" s="381"/>
      <c r="AM283" s="70"/>
      <c r="AN283" s="70"/>
      <c r="AO283" s="70"/>
      <c r="AY283" s="129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</row>
    <row r="284">
      <c r="C284" s="70"/>
      <c r="E284" s="70"/>
      <c r="O284" s="70"/>
      <c r="Q284" s="70"/>
      <c r="X284" s="70"/>
      <c r="AA284" s="70"/>
      <c r="AC284" s="70"/>
      <c r="AD284" s="381"/>
      <c r="AM284" s="70"/>
      <c r="AN284" s="70"/>
      <c r="AO284" s="70"/>
      <c r="AY284" s="129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</row>
    <row r="285">
      <c r="C285" s="70"/>
      <c r="E285" s="70"/>
      <c r="O285" s="70"/>
      <c r="Q285" s="70"/>
      <c r="X285" s="70"/>
      <c r="AA285" s="70"/>
      <c r="AC285" s="70"/>
      <c r="AD285" s="381"/>
      <c r="AM285" s="70"/>
      <c r="AN285" s="70"/>
      <c r="AO285" s="70"/>
      <c r="AY285" s="129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</row>
    <row r="286">
      <c r="C286" s="70"/>
      <c r="E286" s="70"/>
      <c r="O286" s="70"/>
      <c r="Q286" s="70"/>
      <c r="X286" s="70"/>
      <c r="AA286" s="70"/>
      <c r="AC286" s="70"/>
      <c r="AD286" s="381"/>
      <c r="AM286" s="70"/>
      <c r="AN286" s="70"/>
      <c r="AO286" s="70"/>
      <c r="AY286" s="129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</row>
    <row r="287">
      <c r="C287" s="70"/>
      <c r="E287" s="70"/>
      <c r="O287" s="70"/>
      <c r="Q287" s="70"/>
      <c r="X287" s="70"/>
      <c r="AA287" s="70"/>
      <c r="AC287" s="70"/>
      <c r="AD287" s="381"/>
      <c r="AM287" s="70"/>
      <c r="AN287" s="70"/>
      <c r="AO287" s="70"/>
      <c r="AY287" s="129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</row>
    <row r="288">
      <c r="C288" s="70"/>
      <c r="E288" s="70"/>
      <c r="O288" s="70"/>
      <c r="Q288" s="70"/>
      <c r="X288" s="70"/>
      <c r="AA288" s="70"/>
      <c r="AC288" s="70"/>
      <c r="AD288" s="381"/>
      <c r="AM288" s="70"/>
      <c r="AN288" s="70"/>
      <c r="AO288" s="70"/>
      <c r="AY288" s="129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</row>
    <row r="289">
      <c r="C289" s="70"/>
      <c r="E289" s="70"/>
      <c r="O289" s="70"/>
      <c r="Q289" s="70"/>
      <c r="X289" s="70"/>
      <c r="AA289" s="70"/>
      <c r="AC289" s="70"/>
      <c r="AD289" s="381"/>
      <c r="AM289" s="70"/>
      <c r="AN289" s="70"/>
      <c r="AO289" s="70"/>
      <c r="AY289" s="129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</row>
    <row r="290">
      <c r="C290" s="70"/>
      <c r="E290" s="70"/>
      <c r="O290" s="70"/>
      <c r="Q290" s="70"/>
      <c r="X290" s="70"/>
      <c r="AA290" s="70"/>
      <c r="AC290" s="70"/>
      <c r="AD290" s="381"/>
      <c r="AM290" s="70"/>
      <c r="AN290" s="70"/>
      <c r="AO290" s="70"/>
      <c r="AY290" s="129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</row>
    <row r="291">
      <c r="C291" s="70"/>
      <c r="E291" s="70"/>
      <c r="O291" s="70"/>
      <c r="Q291" s="70"/>
      <c r="X291" s="70"/>
      <c r="AA291" s="70"/>
      <c r="AC291" s="70"/>
      <c r="AD291" s="381"/>
      <c r="AM291" s="70"/>
      <c r="AN291" s="70"/>
      <c r="AO291" s="70"/>
      <c r="AY291" s="129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</row>
    <row r="292">
      <c r="C292" s="70"/>
      <c r="E292" s="70"/>
      <c r="O292" s="70"/>
      <c r="Q292" s="70"/>
      <c r="X292" s="70"/>
      <c r="AA292" s="70"/>
      <c r="AC292" s="70"/>
      <c r="AD292" s="381"/>
      <c r="AM292" s="70"/>
      <c r="AN292" s="70"/>
      <c r="AO292" s="70"/>
      <c r="AY292" s="129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</row>
    <row r="293">
      <c r="C293" s="70"/>
      <c r="E293" s="70"/>
      <c r="O293" s="70"/>
      <c r="Q293" s="70"/>
      <c r="X293" s="70"/>
      <c r="AA293" s="70"/>
      <c r="AC293" s="70"/>
      <c r="AD293" s="381"/>
      <c r="AM293" s="70"/>
      <c r="AN293" s="70"/>
      <c r="AO293" s="70"/>
      <c r="AY293" s="129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</row>
    <row r="294">
      <c r="C294" s="70"/>
      <c r="E294" s="70"/>
      <c r="O294" s="70"/>
      <c r="Q294" s="70"/>
      <c r="X294" s="70"/>
      <c r="AA294" s="70"/>
      <c r="AC294" s="70"/>
      <c r="AD294" s="381"/>
      <c r="AM294" s="70"/>
      <c r="AN294" s="70"/>
      <c r="AO294" s="70"/>
      <c r="AY294" s="129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</row>
    <row r="295">
      <c r="C295" s="70"/>
      <c r="E295" s="70"/>
      <c r="O295" s="70"/>
      <c r="Q295" s="70"/>
      <c r="X295" s="70"/>
      <c r="AA295" s="70"/>
      <c r="AC295" s="70"/>
      <c r="AD295" s="381"/>
      <c r="AM295" s="70"/>
      <c r="AN295" s="70"/>
      <c r="AO295" s="70"/>
      <c r="AY295" s="129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</row>
    <row r="296">
      <c r="C296" s="70"/>
      <c r="E296" s="70"/>
      <c r="O296" s="70"/>
      <c r="Q296" s="70"/>
      <c r="X296" s="70"/>
      <c r="AA296" s="70"/>
      <c r="AC296" s="70"/>
      <c r="AD296" s="381"/>
      <c r="AM296" s="70"/>
      <c r="AN296" s="70"/>
      <c r="AO296" s="70"/>
      <c r="AY296" s="129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</row>
    <row r="297">
      <c r="C297" s="70"/>
      <c r="E297" s="70"/>
      <c r="O297" s="70"/>
      <c r="Q297" s="70"/>
      <c r="X297" s="70"/>
      <c r="AA297" s="70"/>
      <c r="AC297" s="70"/>
      <c r="AD297" s="381"/>
      <c r="AM297" s="70"/>
      <c r="AN297" s="70"/>
      <c r="AO297" s="70"/>
      <c r="AY297" s="129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</row>
    <row r="298">
      <c r="C298" s="70"/>
      <c r="E298" s="70"/>
      <c r="O298" s="70"/>
      <c r="Q298" s="70"/>
      <c r="X298" s="70"/>
      <c r="AA298" s="70"/>
      <c r="AC298" s="70"/>
      <c r="AD298" s="381"/>
      <c r="AM298" s="70"/>
      <c r="AN298" s="70"/>
      <c r="AO298" s="70"/>
      <c r="AY298" s="129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</row>
    <row r="299">
      <c r="C299" s="70"/>
      <c r="E299" s="70"/>
      <c r="O299" s="70"/>
      <c r="Q299" s="70"/>
      <c r="X299" s="70"/>
      <c r="AA299" s="70"/>
      <c r="AC299" s="70"/>
      <c r="AD299" s="381"/>
      <c r="AM299" s="70"/>
      <c r="AN299" s="70"/>
      <c r="AO299" s="70"/>
      <c r="AY299" s="129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</row>
    <row r="300">
      <c r="C300" s="70"/>
      <c r="E300" s="70"/>
      <c r="O300" s="70"/>
      <c r="Q300" s="70"/>
      <c r="X300" s="70"/>
      <c r="AA300" s="70"/>
      <c r="AC300" s="70"/>
      <c r="AD300" s="381"/>
      <c r="AM300" s="70"/>
      <c r="AN300" s="70"/>
      <c r="AO300" s="70"/>
      <c r="AY300" s="129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</row>
    <row r="301">
      <c r="C301" s="70"/>
      <c r="E301" s="70"/>
      <c r="O301" s="70"/>
      <c r="Q301" s="70"/>
      <c r="X301" s="70"/>
      <c r="AA301" s="70"/>
      <c r="AC301" s="70"/>
      <c r="AD301" s="381"/>
      <c r="AM301" s="70"/>
      <c r="AN301" s="70"/>
      <c r="AO301" s="70"/>
      <c r="AY301" s="129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</row>
    <row r="302">
      <c r="C302" s="70"/>
      <c r="E302" s="70"/>
      <c r="O302" s="70"/>
      <c r="Q302" s="70"/>
      <c r="X302" s="70"/>
      <c r="AA302" s="70"/>
      <c r="AC302" s="70"/>
      <c r="AD302" s="381"/>
      <c r="AM302" s="70"/>
      <c r="AN302" s="70"/>
      <c r="AO302" s="70"/>
      <c r="AY302" s="129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</row>
    <row r="303">
      <c r="C303" s="70"/>
      <c r="E303" s="70"/>
      <c r="O303" s="70"/>
      <c r="Q303" s="70"/>
      <c r="X303" s="70"/>
      <c r="AA303" s="70"/>
      <c r="AC303" s="70"/>
      <c r="AD303" s="381"/>
      <c r="AM303" s="70"/>
      <c r="AN303" s="70"/>
      <c r="AO303" s="70"/>
      <c r="AY303" s="129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</row>
    <row r="304">
      <c r="C304" s="70"/>
      <c r="E304" s="70"/>
      <c r="O304" s="70"/>
      <c r="Q304" s="70"/>
      <c r="X304" s="70"/>
      <c r="AA304" s="70"/>
      <c r="AC304" s="70"/>
      <c r="AD304" s="381"/>
      <c r="AM304" s="70"/>
      <c r="AN304" s="70"/>
      <c r="AO304" s="70"/>
      <c r="AY304" s="129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</row>
    <row r="305">
      <c r="C305" s="70"/>
      <c r="E305" s="70"/>
      <c r="O305" s="70"/>
      <c r="Q305" s="70"/>
      <c r="X305" s="70"/>
      <c r="AA305" s="70"/>
      <c r="AC305" s="70"/>
      <c r="AD305" s="381"/>
      <c r="AM305" s="70"/>
      <c r="AN305" s="70"/>
      <c r="AO305" s="70"/>
      <c r="AY305" s="129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</row>
    <row r="306">
      <c r="C306" s="70"/>
      <c r="E306" s="70"/>
      <c r="O306" s="70"/>
      <c r="Q306" s="70"/>
      <c r="X306" s="70"/>
      <c r="AA306" s="70"/>
      <c r="AC306" s="70"/>
      <c r="AD306" s="381"/>
      <c r="AM306" s="70"/>
      <c r="AN306" s="70"/>
      <c r="AO306" s="70"/>
      <c r="AY306" s="129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</row>
    <row r="307">
      <c r="C307" s="70"/>
      <c r="E307" s="70"/>
      <c r="O307" s="70"/>
      <c r="Q307" s="70"/>
      <c r="X307" s="70"/>
      <c r="AA307" s="70"/>
      <c r="AC307" s="70"/>
      <c r="AD307" s="381"/>
      <c r="AM307" s="70"/>
      <c r="AN307" s="70"/>
      <c r="AO307" s="70"/>
      <c r="AY307" s="129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</row>
    <row r="308">
      <c r="C308" s="70"/>
      <c r="E308" s="70"/>
      <c r="O308" s="70"/>
      <c r="Q308" s="70"/>
      <c r="X308" s="70"/>
      <c r="AA308" s="70"/>
      <c r="AC308" s="70"/>
      <c r="AD308" s="381"/>
      <c r="AM308" s="70"/>
      <c r="AN308" s="70"/>
      <c r="AO308" s="70"/>
      <c r="AY308" s="129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</row>
    <row r="309">
      <c r="C309" s="70"/>
      <c r="E309" s="70"/>
      <c r="O309" s="70"/>
      <c r="Q309" s="70"/>
      <c r="X309" s="70"/>
      <c r="AA309" s="70"/>
      <c r="AC309" s="70"/>
      <c r="AD309" s="381"/>
      <c r="AM309" s="70"/>
      <c r="AN309" s="70"/>
      <c r="AO309" s="70"/>
      <c r="AY309" s="129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</row>
    <row r="310">
      <c r="C310" s="70"/>
      <c r="E310" s="70"/>
      <c r="O310" s="70"/>
      <c r="Q310" s="70"/>
      <c r="X310" s="70"/>
      <c r="AA310" s="70"/>
      <c r="AC310" s="70"/>
      <c r="AD310" s="381"/>
      <c r="AM310" s="70"/>
      <c r="AN310" s="70"/>
      <c r="AO310" s="70"/>
      <c r="AY310" s="129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</row>
    <row r="311">
      <c r="C311" s="70"/>
      <c r="E311" s="70"/>
      <c r="O311" s="70"/>
      <c r="Q311" s="70"/>
      <c r="X311" s="70"/>
      <c r="AA311" s="70"/>
      <c r="AC311" s="70"/>
      <c r="AD311" s="381"/>
      <c r="AM311" s="70"/>
      <c r="AN311" s="70"/>
      <c r="AO311" s="70"/>
      <c r="AY311" s="129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</row>
    <row r="312">
      <c r="C312" s="70"/>
      <c r="E312" s="70"/>
      <c r="O312" s="70"/>
      <c r="Q312" s="70"/>
      <c r="X312" s="70"/>
      <c r="AA312" s="70"/>
      <c r="AC312" s="70"/>
      <c r="AD312" s="381"/>
      <c r="AM312" s="70"/>
      <c r="AN312" s="70"/>
      <c r="AO312" s="70"/>
      <c r="AY312" s="129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</row>
    <row r="313">
      <c r="C313" s="70"/>
      <c r="E313" s="70"/>
      <c r="O313" s="70"/>
      <c r="Q313" s="70"/>
      <c r="X313" s="70"/>
      <c r="AA313" s="70"/>
      <c r="AC313" s="70"/>
      <c r="AD313" s="381"/>
      <c r="AM313" s="70"/>
      <c r="AN313" s="70"/>
      <c r="AO313" s="70"/>
      <c r="AY313" s="129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</row>
    <row r="314">
      <c r="C314" s="70"/>
      <c r="E314" s="70"/>
      <c r="O314" s="70"/>
      <c r="Q314" s="70"/>
      <c r="X314" s="70"/>
      <c r="AA314" s="70"/>
      <c r="AC314" s="70"/>
      <c r="AD314" s="381"/>
      <c r="AM314" s="70"/>
      <c r="AN314" s="70"/>
      <c r="AO314" s="70"/>
      <c r="AY314" s="129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</row>
    <row r="315">
      <c r="C315" s="70"/>
      <c r="E315" s="70"/>
      <c r="O315" s="70"/>
      <c r="Q315" s="70"/>
      <c r="X315" s="70"/>
      <c r="AA315" s="70"/>
      <c r="AC315" s="70"/>
      <c r="AD315" s="381"/>
      <c r="AM315" s="70"/>
      <c r="AN315" s="70"/>
      <c r="AO315" s="70"/>
      <c r="AY315" s="129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</row>
    <row r="316">
      <c r="C316" s="70"/>
      <c r="E316" s="70"/>
      <c r="O316" s="70"/>
      <c r="Q316" s="70"/>
      <c r="X316" s="70"/>
      <c r="AA316" s="70"/>
      <c r="AC316" s="70"/>
      <c r="AD316" s="381"/>
      <c r="AM316" s="70"/>
      <c r="AN316" s="70"/>
      <c r="AO316" s="70"/>
      <c r="AY316" s="129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</row>
    <row r="317">
      <c r="C317" s="70"/>
      <c r="E317" s="70"/>
      <c r="O317" s="70"/>
      <c r="Q317" s="70"/>
      <c r="X317" s="70"/>
      <c r="AA317" s="70"/>
      <c r="AC317" s="70"/>
      <c r="AD317" s="381"/>
      <c r="AM317" s="70"/>
      <c r="AN317" s="70"/>
      <c r="AO317" s="70"/>
      <c r="AY317" s="129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</row>
    <row r="318">
      <c r="C318" s="70"/>
      <c r="E318" s="70"/>
      <c r="O318" s="70"/>
      <c r="Q318" s="70"/>
      <c r="X318" s="70"/>
      <c r="AA318" s="70"/>
      <c r="AC318" s="70"/>
      <c r="AD318" s="381"/>
      <c r="AM318" s="70"/>
      <c r="AN318" s="70"/>
      <c r="AO318" s="70"/>
      <c r="AY318" s="129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</row>
    <row r="319">
      <c r="C319" s="70"/>
      <c r="E319" s="70"/>
      <c r="O319" s="70"/>
      <c r="Q319" s="70"/>
      <c r="X319" s="70"/>
      <c r="AA319" s="70"/>
      <c r="AC319" s="70"/>
      <c r="AD319" s="381"/>
      <c r="AM319" s="70"/>
      <c r="AN319" s="70"/>
      <c r="AO319" s="70"/>
      <c r="AY319" s="129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</row>
    <row r="320">
      <c r="C320" s="70"/>
      <c r="E320" s="70"/>
      <c r="O320" s="70"/>
      <c r="Q320" s="70"/>
      <c r="X320" s="70"/>
      <c r="AA320" s="70"/>
      <c r="AC320" s="70"/>
      <c r="AD320" s="381"/>
      <c r="AM320" s="70"/>
      <c r="AN320" s="70"/>
      <c r="AO320" s="70"/>
      <c r="AY320" s="129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</row>
    <row r="321">
      <c r="C321" s="70"/>
      <c r="E321" s="70"/>
      <c r="O321" s="70"/>
      <c r="Q321" s="70"/>
      <c r="X321" s="70"/>
      <c r="AA321" s="70"/>
      <c r="AC321" s="70"/>
      <c r="AD321" s="381"/>
      <c r="AM321" s="70"/>
      <c r="AN321" s="70"/>
      <c r="AO321" s="70"/>
      <c r="AY321" s="129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</row>
    <row r="322">
      <c r="C322" s="70"/>
      <c r="E322" s="70"/>
      <c r="O322" s="70"/>
      <c r="Q322" s="70"/>
      <c r="X322" s="70"/>
      <c r="AA322" s="70"/>
      <c r="AC322" s="70"/>
      <c r="AD322" s="381"/>
      <c r="AM322" s="70"/>
      <c r="AN322" s="70"/>
      <c r="AO322" s="70"/>
      <c r="AY322" s="129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</row>
    <row r="323">
      <c r="C323" s="70"/>
      <c r="E323" s="70"/>
      <c r="O323" s="70"/>
      <c r="Q323" s="70"/>
      <c r="X323" s="70"/>
      <c r="AA323" s="70"/>
      <c r="AC323" s="70"/>
      <c r="AD323" s="381"/>
      <c r="AM323" s="70"/>
      <c r="AN323" s="70"/>
      <c r="AO323" s="70"/>
      <c r="AY323" s="129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</row>
    <row r="324">
      <c r="C324" s="70"/>
      <c r="E324" s="70"/>
      <c r="O324" s="70"/>
      <c r="Q324" s="70"/>
      <c r="X324" s="70"/>
      <c r="AA324" s="70"/>
      <c r="AC324" s="70"/>
      <c r="AD324" s="381"/>
      <c r="AM324" s="70"/>
      <c r="AN324" s="70"/>
      <c r="AO324" s="70"/>
      <c r="AY324" s="129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</row>
    <row r="325">
      <c r="C325" s="70"/>
      <c r="E325" s="70"/>
      <c r="O325" s="70"/>
      <c r="Q325" s="70"/>
      <c r="X325" s="70"/>
      <c r="AA325" s="70"/>
      <c r="AC325" s="70"/>
      <c r="AD325" s="381"/>
      <c r="AM325" s="70"/>
      <c r="AN325" s="70"/>
      <c r="AO325" s="70"/>
      <c r="AY325" s="129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</row>
    <row r="326">
      <c r="C326" s="70"/>
      <c r="E326" s="70"/>
      <c r="O326" s="70"/>
      <c r="Q326" s="70"/>
      <c r="X326" s="70"/>
      <c r="AA326" s="70"/>
      <c r="AC326" s="70"/>
      <c r="AD326" s="381"/>
      <c r="AM326" s="70"/>
      <c r="AN326" s="70"/>
      <c r="AO326" s="70"/>
      <c r="AY326" s="129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</row>
    <row r="327">
      <c r="C327" s="70"/>
      <c r="E327" s="70"/>
      <c r="O327" s="70"/>
      <c r="Q327" s="70"/>
      <c r="X327" s="70"/>
      <c r="AA327" s="70"/>
      <c r="AC327" s="70"/>
      <c r="AD327" s="381"/>
      <c r="AM327" s="70"/>
      <c r="AN327" s="70"/>
      <c r="AO327" s="70"/>
      <c r="AY327" s="129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</row>
    <row r="328">
      <c r="C328" s="70"/>
      <c r="E328" s="70"/>
      <c r="O328" s="70"/>
      <c r="Q328" s="70"/>
      <c r="X328" s="70"/>
      <c r="AA328" s="70"/>
      <c r="AC328" s="70"/>
      <c r="AD328" s="381"/>
      <c r="AM328" s="70"/>
      <c r="AN328" s="70"/>
      <c r="AO328" s="70"/>
      <c r="AY328" s="129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</row>
    <row r="329">
      <c r="C329" s="70"/>
      <c r="E329" s="70"/>
      <c r="O329" s="70"/>
      <c r="Q329" s="70"/>
      <c r="X329" s="70"/>
      <c r="AA329" s="70"/>
      <c r="AC329" s="70"/>
      <c r="AD329" s="381"/>
      <c r="AM329" s="70"/>
      <c r="AN329" s="70"/>
      <c r="AO329" s="70"/>
      <c r="AY329" s="129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</row>
    <row r="330">
      <c r="C330" s="70"/>
      <c r="E330" s="70"/>
      <c r="O330" s="70"/>
      <c r="Q330" s="70"/>
      <c r="X330" s="70"/>
      <c r="AA330" s="70"/>
      <c r="AC330" s="70"/>
      <c r="AD330" s="381"/>
      <c r="AM330" s="70"/>
      <c r="AN330" s="70"/>
      <c r="AO330" s="70"/>
      <c r="AY330" s="129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</row>
    <row r="331">
      <c r="C331" s="70"/>
      <c r="E331" s="70"/>
      <c r="O331" s="70"/>
      <c r="Q331" s="70"/>
      <c r="X331" s="70"/>
      <c r="AA331" s="70"/>
      <c r="AC331" s="70"/>
      <c r="AD331" s="381"/>
      <c r="AM331" s="70"/>
      <c r="AN331" s="70"/>
      <c r="AO331" s="70"/>
      <c r="AY331" s="129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</row>
    <row r="332">
      <c r="C332" s="70"/>
      <c r="E332" s="70"/>
      <c r="O332" s="70"/>
      <c r="Q332" s="70"/>
      <c r="X332" s="70"/>
      <c r="AA332" s="70"/>
      <c r="AC332" s="70"/>
      <c r="AD332" s="381"/>
      <c r="AM332" s="70"/>
      <c r="AN332" s="70"/>
      <c r="AO332" s="70"/>
      <c r="AY332" s="129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</row>
    <row r="333">
      <c r="C333" s="70"/>
      <c r="E333" s="70"/>
      <c r="O333" s="70"/>
      <c r="Q333" s="70"/>
      <c r="X333" s="70"/>
      <c r="AA333" s="70"/>
      <c r="AC333" s="70"/>
      <c r="AD333" s="381"/>
      <c r="AM333" s="70"/>
      <c r="AN333" s="70"/>
      <c r="AO333" s="70"/>
      <c r="AY333" s="129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</row>
    <row r="334">
      <c r="C334" s="70"/>
      <c r="E334" s="70"/>
      <c r="O334" s="70"/>
      <c r="Q334" s="70"/>
      <c r="X334" s="70"/>
      <c r="AA334" s="70"/>
      <c r="AC334" s="70"/>
      <c r="AD334" s="381"/>
      <c r="AM334" s="70"/>
      <c r="AN334" s="70"/>
      <c r="AO334" s="70"/>
      <c r="AY334" s="129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</row>
    <row r="335">
      <c r="C335" s="70"/>
      <c r="E335" s="70"/>
      <c r="O335" s="70"/>
      <c r="Q335" s="70"/>
      <c r="X335" s="70"/>
      <c r="AA335" s="70"/>
      <c r="AC335" s="70"/>
      <c r="AD335" s="381"/>
      <c r="AM335" s="70"/>
      <c r="AN335" s="70"/>
      <c r="AO335" s="70"/>
      <c r="AY335" s="129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</row>
    <row r="336">
      <c r="C336" s="70"/>
      <c r="E336" s="70"/>
      <c r="O336" s="70"/>
      <c r="Q336" s="70"/>
      <c r="X336" s="70"/>
      <c r="AA336" s="70"/>
      <c r="AC336" s="70"/>
      <c r="AD336" s="381"/>
      <c r="AM336" s="70"/>
      <c r="AN336" s="70"/>
      <c r="AO336" s="70"/>
      <c r="AY336" s="129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</row>
    <row r="337">
      <c r="C337" s="70"/>
      <c r="E337" s="70"/>
      <c r="O337" s="70"/>
      <c r="Q337" s="70"/>
      <c r="X337" s="70"/>
      <c r="AA337" s="70"/>
      <c r="AC337" s="70"/>
      <c r="AD337" s="381"/>
      <c r="AM337" s="70"/>
      <c r="AN337" s="70"/>
      <c r="AO337" s="70"/>
      <c r="AY337" s="129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</row>
    <row r="338">
      <c r="C338" s="70"/>
      <c r="E338" s="70"/>
      <c r="O338" s="70"/>
      <c r="Q338" s="70"/>
      <c r="X338" s="70"/>
      <c r="AA338" s="70"/>
      <c r="AC338" s="70"/>
      <c r="AD338" s="381"/>
      <c r="AM338" s="70"/>
      <c r="AN338" s="70"/>
      <c r="AO338" s="70"/>
      <c r="AY338" s="129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</row>
    <row r="339">
      <c r="C339" s="70"/>
      <c r="E339" s="70"/>
      <c r="O339" s="70"/>
      <c r="Q339" s="70"/>
      <c r="X339" s="70"/>
      <c r="AA339" s="70"/>
      <c r="AC339" s="70"/>
      <c r="AD339" s="381"/>
      <c r="AM339" s="70"/>
      <c r="AN339" s="70"/>
      <c r="AO339" s="70"/>
      <c r="AY339" s="129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</row>
    <row r="340">
      <c r="C340" s="70"/>
      <c r="E340" s="70"/>
      <c r="O340" s="70"/>
      <c r="Q340" s="70"/>
      <c r="X340" s="70"/>
      <c r="AA340" s="70"/>
      <c r="AC340" s="70"/>
      <c r="AD340" s="381"/>
      <c r="AM340" s="70"/>
      <c r="AN340" s="70"/>
      <c r="AO340" s="70"/>
      <c r="AY340" s="129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</row>
    <row r="341">
      <c r="C341" s="70"/>
      <c r="E341" s="70"/>
      <c r="O341" s="70"/>
      <c r="Q341" s="70"/>
      <c r="X341" s="70"/>
      <c r="AA341" s="70"/>
      <c r="AC341" s="70"/>
      <c r="AD341" s="381"/>
      <c r="AM341" s="70"/>
      <c r="AN341" s="70"/>
      <c r="AO341" s="70"/>
      <c r="AY341" s="129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</row>
    <row r="342">
      <c r="C342" s="70"/>
      <c r="E342" s="70"/>
      <c r="O342" s="70"/>
      <c r="Q342" s="70"/>
      <c r="X342" s="70"/>
      <c r="AA342" s="70"/>
      <c r="AC342" s="70"/>
      <c r="AD342" s="381"/>
      <c r="AM342" s="70"/>
      <c r="AN342" s="70"/>
      <c r="AO342" s="70"/>
      <c r="AY342" s="129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</row>
    <row r="343">
      <c r="C343" s="70"/>
      <c r="E343" s="70"/>
      <c r="O343" s="70"/>
      <c r="Q343" s="70"/>
      <c r="X343" s="70"/>
      <c r="AA343" s="70"/>
      <c r="AC343" s="70"/>
      <c r="AD343" s="381"/>
      <c r="AM343" s="70"/>
      <c r="AN343" s="70"/>
      <c r="AO343" s="70"/>
      <c r="AY343" s="129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</row>
    <row r="344">
      <c r="C344" s="70"/>
      <c r="E344" s="70"/>
      <c r="O344" s="70"/>
      <c r="Q344" s="70"/>
      <c r="X344" s="70"/>
      <c r="AA344" s="70"/>
      <c r="AC344" s="70"/>
      <c r="AD344" s="381"/>
      <c r="AM344" s="70"/>
      <c r="AN344" s="70"/>
      <c r="AO344" s="70"/>
      <c r="AY344" s="129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</row>
    <row r="345">
      <c r="C345" s="70"/>
      <c r="E345" s="70"/>
      <c r="O345" s="70"/>
      <c r="Q345" s="70"/>
      <c r="X345" s="70"/>
      <c r="AA345" s="70"/>
      <c r="AC345" s="70"/>
      <c r="AD345" s="381"/>
      <c r="AM345" s="70"/>
      <c r="AN345" s="70"/>
      <c r="AO345" s="70"/>
      <c r="AY345" s="129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</row>
    <row r="346">
      <c r="C346" s="70"/>
      <c r="E346" s="70"/>
      <c r="O346" s="70"/>
      <c r="Q346" s="70"/>
      <c r="X346" s="70"/>
      <c r="AA346" s="70"/>
      <c r="AC346" s="70"/>
      <c r="AD346" s="381"/>
      <c r="AM346" s="70"/>
      <c r="AN346" s="70"/>
      <c r="AO346" s="70"/>
      <c r="AY346" s="129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</row>
    <row r="347">
      <c r="C347" s="70"/>
      <c r="E347" s="70"/>
      <c r="O347" s="70"/>
      <c r="Q347" s="70"/>
      <c r="X347" s="70"/>
      <c r="AA347" s="70"/>
      <c r="AC347" s="70"/>
      <c r="AD347" s="381"/>
      <c r="AM347" s="70"/>
      <c r="AN347" s="70"/>
      <c r="AO347" s="70"/>
      <c r="AY347" s="129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</row>
    <row r="348">
      <c r="C348" s="70"/>
      <c r="E348" s="70"/>
      <c r="O348" s="70"/>
      <c r="Q348" s="70"/>
      <c r="X348" s="70"/>
      <c r="AA348" s="70"/>
      <c r="AC348" s="70"/>
      <c r="AD348" s="381"/>
      <c r="AM348" s="70"/>
      <c r="AN348" s="70"/>
      <c r="AO348" s="70"/>
      <c r="AY348" s="129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</row>
    <row r="349">
      <c r="C349" s="70"/>
      <c r="E349" s="70"/>
      <c r="O349" s="70"/>
      <c r="Q349" s="70"/>
      <c r="X349" s="70"/>
      <c r="AA349" s="70"/>
      <c r="AC349" s="70"/>
      <c r="AD349" s="381"/>
      <c r="AM349" s="70"/>
      <c r="AN349" s="70"/>
      <c r="AO349" s="70"/>
      <c r="AY349" s="129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</row>
    <row r="350">
      <c r="C350" s="70"/>
      <c r="E350" s="70"/>
      <c r="O350" s="70"/>
      <c r="Q350" s="70"/>
      <c r="X350" s="70"/>
      <c r="AA350" s="70"/>
      <c r="AC350" s="70"/>
      <c r="AD350" s="381"/>
      <c r="AM350" s="70"/>
      <c r="AN350" s="70"/>
      <c r="AO350" s="70"/>
      <c r="AY350" s="129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</row>
    <row r="351">
      <c r="C351" s="70"/>
      <c r="E351" s="70"/>
      <c r="O351" s="70"/>
      <c r="Q351" s="70"/>
      <c r="X351" s="70"/>
      <c r="AA351" s="70"/>
      <c r="AC351" s="70"/>
      <c r="AD351" s="381"/>
      <c r="AM351" s="70"/>
      <c r="AN351" s="70"/>
      <c r="AO351" s="70"/>
      <c r="AY351" s="129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</row>
    <row r="352">
      <c r="C352" s="70"/>
      <c r="E352" s="70"/>
      <c r="O352" s="70"/>
      <c r="Q352" s="70"/>
      <c r="X352" s="70"/>
      <c r="AA352" s="70"/>
      <c r="AC352" s="70"/>
      <c r="AD352" s="381"/>
      <c r="AM352" s="70"/>
      <c r="AN352" s="70"/>
      <c r="AO352" s="70"/>
      <c r="AY352" s="129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</row>
    <row r="353">
      <c r="C353" s="70"/>
      <c r="E353" s="70"/>
      <c r="O353" s="70"/>
      <c r="Q353" s="70"/>
      <c r="X353" s="70"/>
      <c r="AA353" s="70"/>
      <c r="AC353" s="70"/>
      <c r="AD353" s="381"/>
      <c r="AM353" s="70"/>
      <c r="AN353" s="70"/>
      <c r="AO353" s="70"/>
      <c r="AY353" s="129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</row>
    <row r="354">
      <c r="C354" s="70"/>
      <c r="E354" s="70"/>
      <c r="O354" s="70"/>
      <c r="Q354" s="70"/>
      <c r="X354" s="70"/>
      <c r="AA354" s="70"/>
      <c r="AC354" s="70"/>
      <c r="AD354" s="381"/>
      <c r="AM354" s="70"/>
      <c r="AN354" s="70"/>
      <c r="AO354" s="70"/>
      <c r="AY354" s="129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</row>
    <row r="355">
      <c r="C355" s="70"/>
      <c r="E355" s="70"/>
      <c r="O355" s="70"/>
      <c r="Q355" s="70"/>
      <c r="X355" s="70"/>
      <c r="AA355" s="70"/>
      <c r="AC355" s="70"/>
      <c r="AD355" s="381"/>
      <c r="AM355" s="70"/>
      <c r="AN355" s="70"/>
      <c r="AO355" s="70"/>
      <c r="AY355" s="129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</row>
    <row r="356">
      <c r="C356" s="70"/>
      <c r="E356" s="70"/>
      <c r="O356" s="70"/>
      <c r="Q356" s="70"/>
      <c r="X356" s="70"/>
      <c r="AA356" s="70"/>
      <c r="AC356" s="70"/>
      <c r="AD356" s="381"/>
      <c r="AM356" s="70"/>
      <c r="AN356" s="70"/>
      <c r="AO356" s="70"/>
      <c r="AY356" s="129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</row>
    <row r="357">
      <c r="C357" s="70"/>
      <c r="E357" s="70"/>
      <c r="O357" s="70"/>
      <c r="Q357" s="70"/>
      <c r="X357" s="70"/>
      <c r="AA357" s="70"/>
      <c r="AC357" s="70"/>
      <c r="AD357" s="381"/>
      <c r="AM357" s="70"/>
      <c r="AN357" s="70"/>
      <c r="AO357" s="70"/>
      <c r="AY357" s="129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</row>
    <row r="358">
      <c r="C358" s="70"/>
      <c r="E358" s="70"/>
      <c r="O358" s="70"/>
      <c r="Q358" s="70"/>
      <c r="X358" s="70"/>
      <c r="AA358" s="70"/>
      <c r="AC358" s="70"/>
      <c r="AD358" s="381"/>
      <c r="AM358" s="70"/>
      <c r="AN358" s="70"/>
      <c r="AO358" s="70"/>
      <c r="AY358" s="129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</row>
    <row r="359">
      <c r="C359" s="70"/>
      <c r="E359" s="70"/>
      <c r="O359" s="70"/>
      <c r="Q359" s="70"/>
      <c r="X359" s="70"/>
      <c r="AA359" s="70"/>
      <c r="AC359" s="70"/>
      <c r="AD359" s="381"/>
      <c r="AM359" s="70"/>
      <c r="AN359" s="70"/>
      <c r="AO359" s="70"/>
      <c r="AY359" s="129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</row>
    <row r="360">
      <c r="C360" s="70"/>
      <c r="E360" s="70"/>
      <c r="O360" s="70"/>
      <c r="Q360" s="70"/>
      <c r="X360" s="70"/>
      <c r="AA360" s="70"/>
      <c r="AC360" s="70"/>
      <c r="AD360" s="381"/>
      <c r="AM360" s="70"/>
      <c r="AN360" s="70"/>
      <c r="AO360" s="70"/>
      <c r="AY360" s="129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</row>
    <row r="361">
      <c r="C361" s="70"/>
      <c r="E361" s="70"/>
      <c r="O361" s="70"/>
      <c r="Q361" s="70"/>
      <c r="X361" s="70"/>
      <c r="AA361" s="70"/>
      <c r="AC361" s="70"/>
      <c r="AD361" s="381"/>
      <c r="AM361" s="70"/>
      <c r="AN361" s="70"/>
      <c r="AO361" s="70"/>
      <c r="AY361" s="129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</row>
    <row r="362">
      <c r="C362" s="70"/>
      <c r="E362" s="70"/>
      <c r="O362" s="70"/>
      <c r="Q362" s="70"/>
      <c r="X362" s="70"/>
      <c r="AA362" s="70"/>
      <c r="AC362" s="70"/>
      <c r="AD362" s="381"/>
      <c r="AM362" s="70"/>
      <c r="AN362" s="70"/>
      <c r="AO362" s="70"/>
      <c r="AY362" s="129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</row>
    <row r="363">
      <c r="C363" s="70"/>
      <c r="E363" s="70"/>
      <c r="O363" s="70"/>
      <c r="Q363" s="70"/>
      <c r="X363" s="70"/>
      <c r="AA363" s="70"/>
      <c r="AC363" s="70"/>
      <c r="AD363" s="381"/>
      <c r="AM363" s="70"/>
      <c r="AN363" s="70"/>
      <c r="AO363" s="70"/>
      <c r="AY363" s="129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</row>
    <row r="364">
      <c r="C364" s="70"/>
      <c r="E364" s="70"/>
      <c r="O364" s="70"/>
      <c r="Q364" s="70"/>
      <c r="X364" s="70"/>
      <c r="AA364" s="70"/>
      <c r="AC364" s="70"/>
      <c r="AD364" s="381"/>
      <c r="AM364" s="70"/>
      <c r="AN364" s="70"/>
      <c r="AO364" s="70"/>
      <c r="AY364" s="129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</row>
    <row r="365">
      <c r="C365" s="70"/>
      <c r="E365" s="70"/>
      <c r="O365" s="70"/>
      <c r="Q365" s="70"/>
      <c r="X365" s="70"/>
      <c r="AA365" s="70"/>
      <c r="AC365" s="70"/>
      <c r="AD365" s="381"/>
      <c r="AM365" s="70"/>
      <c r="AN365" s="70"/>
      <c r="AO365" s="70"/>
      <c r="AY365" s="129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</row>
    <row r="366">
      <c r="C366" s="70"/>
      <c r="E366" s="70"/>
      <c r="O366" s="70"/>
      <c r="Q366" s="70"/>
      <c r="X366" s="70"/>
      <c r="AA366" s="70"/>
      <c r="AC366" s="70"/>
      <c r="AD366" s="381"/>
      <c r="AM366" s="70"/>
      <c r="AN366" s="70"/>
      <c r="AO366" s="70"/>
      <c r="AY366" s="129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</row>
    <row r="367">
      <c r="C367" s="70"/>
      <c r="E367" s="70"/>
      <c r="O367" s="70"/>
      <c r="Q367" s="70"/>
      <c r="X367" s="70"/>
      <c r="AA367" s="70"/>
      <c r="AC367" s="70"/>
      <c r="AD367" s="381"/>
      <c r="AM367" s="70"/>
      <c r="AN367" s="70"/>
      <c r="AO367" s="70"/>
      <c r="AY367" s="129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</row>
    <row r="368">
      <c r="C368" s="70"/>
      <c r="E368" s="70"/>
      <c r="O368" s="70"/>
      <c r="Q368" s="70"/>
      <c r="X368" s="70"/>
      <c r="AA368" s="70"/>
      <c r="AC368" s="70"/>
      <c r="AD368" s="381"/>
      <c r="AM368" s="70"/>
      <c r="AN368" s="70"/>
      <c r="AO368" s="70"/>
      <c r="AY368" s="129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</row>
    <row r="369">
      <c r="C369" s="70"/>
      <c r="E369" s="70"/>
      <c r="O369" s="70"/>
      <c r="Q369" s="70"/>
      <c r="X369" s="70"/>
      <c r="AA369" s="70"/>
      <c r="AC369" s="70"/>
      <c r="AD369" s="381"/>
      <c r="AM369" s="70"/>
      <c r="AN369" s="70"/>
      <c r="AO369" s="70"/>
      <c r="AY369" s="129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</row>
    <row r="370">
      <c r="C370" s="70"/>
      <c r="E370" s="70"/>
      <c r="O370" s="70"/>
      <c r="Q370" s="70"/>
      <c r="X370" s="70"/>
      <c r="AA370" s="70"/>
      <c r="AC370" s="70"/>
      <c r="AD370" s="381"/>
      <c r="AM370" s="70"/>
      <c r="AN370" s="70"/>
      <c r="AO370" s="70"/>
      <c r="AY370" s="129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</row>
    <row r="371">
      <c r="C371" s="70"/>
      <c r="E371" s="70"/>
      <c r="O371" s="70"/>
      <c r="Q371" s="70"/>
      <c r="X371" s="70"/>
      <c r="AA371" s="70"/>
      <c r="AC371" s="70"/>
      <c r="AD371" s="381"/>
      <c r="AM371" s="70"/>
      <c r="AN371" s="70"/>
      <c r="AO371" s="70"/>
      <c r="AY371" s="129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</row>
    <row r="372">
      <c r="C372" s="70"/>
      <c r="E372" s="70"/>
      <c r="O372" s="70"/>
      <c r="Q372" s="70"/>
      <c r="X372" s="70"/>
      <c r="AA372" s="70"/>
      <c r="AC372" s="70"/>
      <c r="AD372" s="381"/>
      <c r="AM372" s="70"/>
      <c r="AN372" s="70"/>
      <c r="AO372" s="70"/>
      <c r="AY372" s="129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</row>
    <row r="373">
      <c r="C373" s="70"/>
      <c r="E373" s="70"/>
      <c r="O373" s="70"/>
      <c r="Q373" s="70"/>
      <c r="X373" s="70"/>
      <c r="AA373" s="70"/>
      <c r="AC373" s="70"/>
      <c r="AD373" s="381"/>
      <c r="AM373" s="70"/>
      <c r="AN373" s="70"/>
      <c r="AO373" s="70"/>
      <c r="AY373" s="129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</row>
    <row r="374">
      <c r="C374" s="70"/>
      <c r="E374" s="70"/>
      <c r="O374" s="70"/>
      <c r="Q374" s="70"/>
      <c r="X374" s="70"/>
      <c r="AA374" s="70"/>
      <c r="AC374" s="70"/>
      <c r="AD374" s="381"/>
      <c r="AM374" s="70"/>
      <c r="AN374" s="70"/>
      <c r="AO374" s="70"/>
      <c r="AY374" s="129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</row>
    <row r="375">
      <c r="C375" s="70"/>
      <c r="E375" s="70"/>
      <c r="O375" s="70"/>
      <c r="Q375" s="70"/>
      <c r="X375" s="70"/>
      <c r="AA375" s="70"/>
      <c r="AC375" s="70"/>
      <c r="AD375" s="381"/>
      <c r="AM375" s="70"/>
      <c r="AN375" s="70"/>
      <c r="AO375" s="70"/>
      <c r="AY375" s="129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</row>
    <row r="376">
      <c r="C376" s="70"/>
      <c r="E376" s="70"/>
      <c r="O376" s="70"/>
      <c r="Q376" s="70"/>
      <c r="X376" s="70"/>
      <c r="AA376" s="70"/>
      <c r="AC376" s="70"/>
      <c r="AD376" s="381"/>
      <c r="AM376" s="70"/>
      <c r="AN376" s="70"/>
      <c r="AO376" s="70"/>
      <c r="AY376" s="129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</row>
    <row r="377">
      <c r="C377" s="70"/>
      <c r="E377" s="70"/>
      <c r="O377" s="70"/>
      <c r="Q377" s="70"/>
      <c r="X377" s="70"/>
      <c r="AA377" s="70"/>
      <c r="AC377" s="70"/>
      <c r="AD377" s="381"/>
      <c r="AM377" s="70"/>
      <c r="AN377" s="70"/>
      <c r="AO377" s="70"/>
      <c r="AY377" s="129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</row>
    <row r="378">
      <c r="C378" s="70"/>
      <c r="E378" s="70"/>
      <c r="O378" s="70"/>
      <c r="Q378" s="70"/>
      <c r="X378" s="70"/>
      <c r="AA378" s="70"/>
      <c r="AC378" s="70"/>
      <c r="AD378" s="381"/>
      <c r="AM378" s="70"/>
      <c r="AN378" s="70"/>
      <c r="AO378" s="70"/>
      <c r="AY378" s="129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</row>
    <row r="379">
      <c r="C379" s="70"/>
      <c r="E379" s="70"/>
      <c r="O379" s="70"/>
      <c r="Q379" s="70"/>
      <c r="X379" s="70"/>
      <c r="AA379" s="70"/>
      <c r="AC379" s="70"/>
      <c r="AD379" s="381"/>
      <c r="AM379" s="70"/>
      <c r="AN379" s="70"/>
      <c r="AO379" s="70"/>
      <c r="AY379" s="129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</row>
    <row r="380">
      <c r="C380" s="70"/>
      <c r="E380" s="70"/>
      <c r="O380" s="70"/>
      <c r="Q380" s="70"/>
      <c r="X380" s="70"/>
      <c r="AA380" s="70"/>
      <c r="AC380" s="70"/>
      <c r="AD380" s="381"/>
      <c r="AM380" s="70"/>
      <c r="AN380" s="70"/>
      <c r="AO380" s="70"/>
      <c r="AY380" s="129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</row>
    <row r="381">
      <c r="C381" s="70"/>
      <c r="E381" s="70"/>
      <c r="O381" s="70"/>
      <c r="Q381" s="70"/>
      <c r="X381" s="70"/>
      <c r="AA381" s="70"/>
      <c r="AC381" s="70"/>
      <c r="AD381" s="381"/>
      <c r="AM381" s="70"/>
      <c r="AN381" s="70"/>
      <c r="AO381" s="70"/>
      <c r="AY381" s="129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</row>
    <row r="382">
      <c r="C382" s="70"/>
      <c r="E382" s="70"/>
      <c r="O382" s="70"/>
      <c r="Q382" s="70"/>
      <c r="X382" s="70"/>
      <c r="AA382" s="70"/>
      <c r="AC382" s="70"/>
      <c r="AD382" s="381"/>
      <c r="AM382" s="70"/>
      <c r="AN382" s="70"/>
      <c r="AO382" s="70"/>
      <c r="AY382" s="129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</row>
    <row r="383">
      <c r="C383" s="70"/>
      <c r="E383" s="70"/>
      <c r="O383" s="70"/>
      <c r="Q383" s="70"/>
      <c r="X383" s="70"/>
      <c r="AA383" s="70"/>
      <c r="AC383" s="70"/>
      <c r="AD383" s="381"/>
      <c r="AM383" s="70"/>
      <c r="AN383" s="70"/>
      <c r="AO383" s="70"/>
      <c r="AY383" s="129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</row>
    <row r="384">
      <c r="C384" s="70"/>
      <c r="E384" s="70"/>
      <c r="O384" s="70"/>
      <c r="Q384" s="70"/>
      <c r="X384" s="70"/>
      <c r="AA384" s="70"/>
      <c r="AC384" s="70"/>
      <c r="AD384" s="381"/>
      <c r="AM384" s="70"/>
      <c r="AN384" s="70"/>
      <c r="AO384" s="70"/>
      <c r="AY384" s="129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</row>
    <row r="385">
      <c r="C385" s="70"/>
      <c r="E385" s="70"/>
      <c r="O385" s="70"/>
      <c r="Q385" s="70"/>
      <c r="X385" s="70"/>
      <c r="AA385" s="70"/>
      <c r="AC385" s="70"/>
      <c r="AD385" s="381"/>
      <c r="AM385" s="70"/>
      <c r="AN385" s="70"/>
      <c r="AO385" s="70"/>
      <c r="AY385" s="129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</row>
    <row r="386">
      <c r="C386" s="70"/>
      <c r="E386" s="70"/>
      <c r="O386" s="70"/>
      <c r="Q386" s="70"/>
      <c r="X386" s="70"/>
      <c r="AA386" s="70"/>
      <c r="AC386" s="70"/>
      <c r="AD386" s="381"/>
      <c r="AM386" s="70"/>
      <c r="AN386" s="70"/>
      <c r="AO386" s="70"/>
      <c r="AY386" s="129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</row>
    <row r="387">
      <c r="C387" s="70"/>
      <c r="E387" s="70"/>
      <c r="O387" s="70"/>
      <c r="Q387" s="70"/>
      <c r="X387" s="70"/>
      <c r="AA387" s="70"/>
      <c r="AC387" s="70"/>
      <c r="AD387" s="381"/>
      <c r="AM387" s="70"/>
      <c r="AN387" s="70"/>
      <c r="AO387" s="70"/>
      <c r="AY387" s="129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</row>
    <row r="388">
      <c r="C388" s="70"/>
      <c r="E388" s="70"/>
      <c r="O388" s="70"/>
      <c r="Q388" s="70"/>
      <c r="X388" s="70"/>
      <c r="AA388" s="70"/>
      <c r="AC388" s="70"/>
      <c r="AD388" s="381"/>
      <c r="AM388" s="70"/>
      <c r="AN388" s="70"/>
      <c r="AO388" s="70"/>
      <c r="AY388" s="129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</row>
    <row r="389">
      <c r="C389" s="70"/>
      <c r="E389" s="70"/>
      <c r="O389" s="70"/>
      <c r="Q389" s="70"/>
      <c r="X389" s="70"/>
      <c r="AA389" s="70"/>
      <c r="AC389" s="70"/>
      <c r="AD389" s="381"/>
      <c r="AM389" s="70"/>
      <c r="AN389" s="70"/>
      <c r="AO389" s="70"/>
      <c r="AY389" s="129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</row>
    <row r="390">
      <c r="C390" s="70"/>
      <c r="E390" s="70"/>
      <c r="O390" s="70"/>
      <c r="Q390" s="70"/>
      <c r="X390" s="70"/>
      <c r="AA390" s="70"/>
      <c r="AC390" s="70"/>
      <c r="AD390" s="381"/>
      <c r="AM390" s="70"/>
      <c r="AN390" s="70"/>
      <c r="AO390" s="70"/>
      <c r="AY390" s="129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</row>
    <row r="391">
      <c r="C391" s="70"/>
      <c r="E391" s="70"/>
      <c r="O391" s="70"/>
      <c r="Q391" s="70"/>
      <c r="X391" s="70"/>
      <c r="AA391" s="70"/>
      <c r="AC391" s="70"/>
      <c r="AD391" s="381"/>
      <c r="AM391" s="70"/>
      <c r="AN391" s="70"/>
      <c r="AO391" s="70"/>
      <c r="AY391" s="129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</row>
    <row r="392">
      <c r="C392" s="70"/>
      <c r="E392" s="70"/>
      <c r="O392" s="70"/>
      <c r="Q392" s="70"/>
      <c r="X392" s="70"/>
      <c r="AA392" s="70"/>
      <c r="AC392" s="70"/>
      <c r="AD392" s="381"/>
      <c r="AM392" s="70"/>
      <c r="AN392" s="70"/>
      <c r="AO392" s="70"/>
      <c r="AY392" s="129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</row>
    <row r="393">
      <c r="C393" s="70"/>
      <c r="E393" s="70"/>
      <c r="O393" s="70"/>
      <c r="Q393" s="70"/>
      <c r="X393" s="70"/>
      <c r="AA393" s="70"/>
      <c r="AC393" s="70"/>
      <c r="AD393" s="381"/>
      <c r="AM393" s="70"/>
      <c r="AN393" s="70"/>
      <c r="AO393" s="70"/>
      <c r="AY393" s="129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</row>
    <row r="394">
      <c r="C394" s="70"/>
      <c r="E394" s="70"/>
      <c r="O394" s="70"/>
      <c r="Q394" s="70"/>
      <c r="X394" s="70"/>
      <c r="AA394" s="70"/>
      <c r="AC394" s="70"/>
      <c r="AD394" s="381"/>
      <c r="AM394" s="70"/>
      <c r="AN394" s="70"/>
      <c r="AO394" s="70"/>
      <c r="AY394" s="129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</row>
    <row r="395">
      <c r="C395" s="70"/>
      <c r="E395" s="70"/>
      <c r="O395" s="70"/>
      <c r="Q395" s="70"/>
      <c r="X395" s="70"/>
      <c r="AA395" s="70"/>
      <c r="AC395" s="70"/>
      <c r="AD395" s="381"/>
      <c r="AM395" s="70"/>
      <c r="AN395" s="70"/>
      <c r="AO395" s="70"/>
      <c r="AY395" s="129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</row>
    <row r="396">
      <c r="C396" s="70"/>
      <c r="E396" s="70"/>
      <c r="O396" s="70"/>
      <c r="Q396" s="70"/>
      <c r="X396" s="70"/>
      <c r="AA396" s="70"/>
      <c r="AC396" s="70"/>
      <c r="AD396" s="381"/>
      <c r="AM396" s="70"/>
      <c r="AN396" s="70"/>
      <c r="AO396" s="70"/>
      <c r="AY396" s="129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</row>
    <row r="397">
      <c r="C397" s="70"/>
      <c r="E397" s="70"/>
      <c r="O397" s="70"/>
      <c r="Q397" s="70"/>
      <c r="X397" s="70"/>
      <c r="AA397" s="70"/>
      <c r="AC397" s="70"/>
      <c r="AD397" s="381"/>
      <c r="AM397" s="70"/>
      <c r="AN397" s="70"/>
      <c r="AO397" s="70"/>
      <c r="AY397" s="129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</row>
    <row r="398">
      <c r="C398" s="70"/>
      <c r="E398" s="70"/>
      <c r="O398" s="70"/>
      <c r="Q398" s="70"/>
      <c r="X398" s="70"/>
      <c r="AA398" s="70"/>
      <c r="AC398" s="70"/>
      <c r="AD398" s="381"/>
      <c r="AM398" s="70"/>
      <c r="AN398" s="70"/>
      <c r="AO398" s="70"/>
      <c r="AY398" s="129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</row>
    <row r="399">
      <c r="C399" s="70"/>
      <c r="E399" s="70"/>
      <c r="O399" s="70"/>
      <c r="Q399" s="70"/>
      <c r="X399" s="70"/>
      <c r="AA399" s="70"/>
      <c r="AC399" s="70"/>
      <c r="AD399" s="381"/>
      <c r="AM399" s="70"/>
      <c r="AN399" s="70"/>
      <c r="AO399" s="70"/>
      <c r="AY399" s="129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</row>
    <row r="400">
      <c r="C400" s="70"/>
      <c r="E400" s="70"/>
      <c r="O400" s="70"/>
      <c r="Q400" s="70"/>
      <c r="X400" s="70"/>
      <c r="AA400" s="70"/>
      <c r="AC400" s="70"/>
      <c r="AD400" s="381"/>
      <c r="AM400" s="70"/>
      <c r="AN400" s="70"/>
      <c r="AO400" s="70"/>
      <c r="AY400" s="129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</row>
    <row r="401">
      <c r="C401" s="70"/>
      <c r="E401" s="70"/>
      <c r="O401" s="70"/>
      <c r="Q401" s="70"/>
      <c r="X401" s="70"/>
      <c r="AA401" s="70"/>
      <c r="AC401" s="70"/>
      <c r="AD401" s="381"/>
      <c r="AM401" s="70"/>
      <c r="AN401" s="70"/>
      <c r="AO401" s="70"/>
      <c r="AY401" s="129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</row>
    <row r="402">
      <c r="C402" s="70"/>
      <c r="E402" s="70"/>
      <c r="O402" s="70"/>
      <c r="Q402" s="70"/>
      <c r="X402" s="70"/>
      <c r="AA402" s="70"/>
      <c r="AC402" s="70"/>
      <c r="AD402" s="381"/>
      <c r="AM402" s="70"/>
      <c r="AN402" s="70"/>
      <c r="AO402" s="70"/>
      <c r="AY402" s="129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</row>
    <row r="403">
      <c r="C403" s="70"/>
      <c r="E403" s="70"/>
      <c r="O403" s="70"/>
      <c r="Q403" s="70"/>
      <c r="X403" s="70"/>
      <c r="AA403" s="70"/>
      <c r="AC403" s="70"/>
      <c r="AD403" s="381"/>
      <c r="AM403" s="70"/>
      <c r="AN403" s="70"/>
      <c r="AO403" s="70"/>
      <c r="AY403" s="129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</row>
    <row r="404">
      <c r="C404" s="70"/>
      <c r="E404" s="70"/>
      <c r="O404" s="70"/>
      <c r="Q404" s="70"/>
      <c r="X404" s="70"/>
      <c r="AA404" s="70"/>
      <c r="AC404" s="70"/>
      <c r="AD404" s="381"/>
      <c r="AM404" s="70"/>
      <c r="AN404" s="70"/>
      <c r="AO404" s="70"/>
      <c r="AY404" s="129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</row>
    <row r="405">
      <c r="C405" s="70"/>
      <c r="E405" s="70"/>
      <c r="O405" s="70"/>
      <c r="Q405" s="70"/>
      <c r="X405" s="70"/>
      <c r="AA405" s="70"/>
      <c r="AC405" s="70"/>
      <c r="AD405" s="381"/>
      <c r="AM405" s="70"/>
      <c r="AN405" s="70"/>
      <c r="AO405" s="70"/>
      <c r="AY405" s="129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</row>
    <row r="406">
      <c r="C406" s="70"/>
      <c r="E406" s="70"/>
      <c r="O406" s="70"/>
      <c r="Q406" s="70"/>
      <c r="X406" s="70"/>
      <c r="AA406" s="70"/>
      <c r="AC406" s="70"/>
      <c r="AD406" s="381"/>
      <c r="AM406" s="70"/>
      <c r="AN406" s="70"/>
      <c r="AO406" s="70"/>
      <c r="AY406" s="129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</row>
    <row r="407">
      <c r="C407" s="70"/>
      <c r="E407" s="70"/>
      <c r="O407" s="70"/>
      <c r="Q407" s="70"/>
      <c r="X407" s="70"/>
      <c r="AA407" s="70"/>
      <c r="AC407" s="70"/>
      <c r="AD407" s="381"/>
      <c r="AM407" s="70"/>
      <c r="AN407" s="70"/>
      <c r="AO407" s="70"/>
      <c r="AY407" s="129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</row>
    <row r="408">
      <c r="C408" s="70"/>
      <c r="E408" s="70"/>
      <c r="O408" s="70"/>
      <c r="Q408" s="70"/>
      <c r="X408" s="70"/>
      <c r="AA408" s="70"/>
      <c r="AC408" s="70"/>
      <c r="AD408" s="381"/>
      <c r="AM408" s="70"/>
      <c r="AN408" s="70"/>
      <c r="AO408" s="70"/>
      <c r="AY408" s="129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</row>
    <row r="409">
      <c r="C409" s="70"/>
      <c r="E409" s="70"/>
      <c r="O409" s="70"/>
      <c r="Q409" s="70"/>
      <c r="X409" s="70"/>
      <c r="AA409" s="70"/>
      <c r="AC409" s="70"/>
      <c r="AD409" s="381"/>
      <c r="AM409" s="70"/>
      <c r="AN409" s="70"/>
      <c r="AO409" s="70"/>
      <c r="AY409" s="129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</row>
    <row r="410">
      <c r="C410" s="70"/>
      <c r="E410" s="70"/>
      <c r="O410" s="70"/>
      <c r="Q410" s="70"/>
      <c r="X410" s="70"/>
      <c r="AA410" s="70"/>
      <c r="AC410" s="70"/>
      <c r="AD410" s="381"/>
      <c r="AM410" s="70"/>
      <c r="AN410" s="70"/>
      <c r="AO410" s="70"/>
      <c r="AY410" s="129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</row>
    <row r="411">
      <c r="C411" s="70"/>
      <c r="E411" s="70"/>
      <c r="O411" s="70"/>
      <c r="Q411" s="70"/>
      <c r="X411" s="70"/>
      <c r="AA411" s="70"/>
      <c r="AC411" s="70"/>
      <c r="AD411" s="381"/>
      <c r="AM411" s="70"/>
      <c r="AN411" s="70"/>
      <c r="AO411" s="70"/>
      <c r="AY411" s="129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</row>
    <row r="412">
      <c r="C412" s="70"/>
      <c r="E412" s="70"/>
      <c r="O412" s="70"/>
      <c r="Q412" s="70"/>
      <c r="X412" s="70"/>
      <c r="AA412" s="70"/>
      <c r="AC412" s="70"/>
      <c r="AD412" s="381"/>
      <c r="AM412" s="70"/>
      <c r="AN412" s="70"/>
      <c r="AO412" s="70"/>
      <c r="AY412" s="129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</row>
    <row r="413">
      <c r="C413" s="70"/>
      <c r="E413" s="70"/>
      <c r="O413" s="70"/>
      <c r="Q413" s="70"/>
      <c r="X413" s="70"/>
      <c r="AA413" s="70"/>
      <c r="AC413" s="70"/>
      <c r="AD413" s="381"/>
      <c r="AM413" s="70"/>
      <c r="AN413" s="70"/>
      <c r="AO413" s="70"/>
      <c r="AY413" s="129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</row>
    <row r="414">
      <c r="C414" s="70"/>
      <c r="E414" s="70"/>
      <c r="O414" s="70"/>
      <c r="Q414" s="70"/>
      <c r="X414" s="70"/>
      <c r="AA414" s="70"/>
      <c r="AC414" s="70"/>
      <c r="AD414" s="381"/>
      <c r="AM414" s="70"/>
      <c r="AN414" s="70"/>
      <c r="AO414" s="70"/>
      <c r="AY414" s="129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</row>
    <row r="415">
      <c r="C415" s="70"/>
      <c r="E415" s="70"/>
      <c r="O415" s="70"/>
      <c r="Q415" s="70"/>
      <c r="X415" s="70"/>
      <c r="AA415" s="70"/>
      <c r="AC415" s="70"/>
      <c r="AD415" s="381"/>
      <c r="AM415" s="70"/>
      <c r="AN415" s="70"/>
      <c r="AO415" s="70"/>
      <c r="AY415" s="129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</row>
    <row r="416">
      <c r="C416" s="70"/>
      <c r="E416" s="70"/>
      <c r="O416" s="70"/>
      <c r="Q416" s="70"/>
      <c r="X416" s="70"/>
      <c r="AA416" s="70"/>
      <c r="AC416" s="70"/>
      <c r="AD416" s="381"/>
      <c r="AM416" s="70"/>
      <c r="AN416" s="70"/>
      <c r="AO416" s="70"/>
      <c r="AY416" s="129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</row>
    <row r="417">
      <c r="C417" s="70"/>
      <c r="E417" s="70"/>
      <c r="O417" s="70"/>
      <c r="Q417" s="70"/>
      <c r="X417" s="70"/>
      <c r="AA417" s="70"/>
      <c r="AC417" s="70"/>
      <c r="AD417" s="381"/>
      <c r="AM417" s="70"/>
      <c r="AN417" s="70"/>
      <c r="AO417" s="70"/>
      <c r="AY417" s="129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</row>
    <row r="418">
      <c r="C418" s="70"/>
      <c r="E418" s="70"/>
      <c r="O418" s="70"/>
      <c r="Q418" s="70"/>
      <c r="X418" s="70"/>
      <c r="AA418" s="70"/>
      <c r="AC418" s="70"/>
      <c r="AD418" s="381"/>
      <c r="AM418" s="70"/>
      <c r="AN418" s="70"/>
      <c r="AO418" s="70"/>
      <c r="AY418" s="129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</row>
    <row r="419">
      <c r="C419" s="70"/>
      <c r="E419" s="70"/>
      <c r="O419" s="70"/>
      <c r="Q419" s="70"/>
      <c r="X419" s="70"/>
      <c r="AA419" s="70"/>
      <c r="AC419" s="70"/>
      <c r="AD419" s="381"/>
      <c r="AM419" s="70"/>
      <c r="AN419" s="70"/>
      <c r="AO419" s="70"/>
      <c r="AY419" s="129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</row>
    <row r="420">
      <c r="C420" s="70"/>
      <c r="E420" s="70"/>
      <c r="O420" s="70"/>
      <c r="Q420" s="70"/>
      <c r="X420" s="70"/>
      <c r="AA420" s="70"/>
      <c r="AC420" s="70"/>
      <c r="AD420" s="381"/>
      <c r="AM420" s="70"/>
      <c r="AN420" s="70"/>
      <c r="AO420" s="70"/>
      <c r="AY420" s="129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</row>
    <row r="421">
      <c r="C421" s="70"/>
      <c r="E421" s="70"/>
      <c r="O421" s="70"/>
      <c r="Q421" s="70"/>
      <c r="X421" s="70"/>
      <c r="AA421" s="70"/>
      <c r="AC421" s="70"/>
      <c r="AD421" s="381"/>
      <c r="AM421" s="70"/>
      <c r="AN421" s="70"/>
      <c r="AO421" s="70"/>
      <c r="AY421" s="129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</row>
    <row r="422">
      <c r="C422" s="70"/>
      <c r="E422" s="70"/>
      <c r="O422" s="70"/>
      <c r="Q422" s="70"/>
      <c r="X422" s="70"/>
      <c r="AA422" s="70"/>
      <c r="AC422" s="70"/>
      <c r="AD422" s="381"/>
      <c r="AM422" s="70"/>
      <c r="AN422" s="70"/>
      <c r="AO422" s="70"/>
      <c r="AY422" s="129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</row>
    <row r="423">
      <c r="C423" s="70"/>
      <c r="E423" s="70"/>
      <c r="O423" s="70"/>
      <c r="Q423" s="70"/>
      <c r="X423" s="70"/>
      <c r="AA423" s="70"/>
      <c r="AC423" s="70"/>
      <c r="AD423" s="381"/>
      <c r="AM423" s="70"/>
      <c r="AN423" s="70"/>
      <c r="AO423" s="70"/>
      <c r="AY423" s="129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</row>
    <row r="424">
      <c r="C424" s="70"/>
      <c r="E424" s="70"/>
      <c r="O424" s="70"/>
      <c r="Q424" s="70"/>
      <c r="X424" s="70"/>
      <c r="AA424" s="70"/>
      <c r="AC424" s="70"/>
      <c r="AD424" s="381"/>
      <c r="AM424" s="70"/>
      <c r="AN424" s="70"/>
      <c r="AO424" s="70"/>
      <c r="AY424" s="129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</row>
    <row r="425">
      <c r="C425" s="70"/>
      <c r="E425" s="70"/>
      <c r="O425" s="70"/>
      <c r="Q425" s="70"/>
      <c r="X425" s="70"/>
      <c r="AA425" s="70"/>
      <c r="AC425" s="70"/>
      <c r="AD425" s="381"/>
      <c r="AM425" s="70"/>
      <c r="AN425" s="70"/>
      <c r="AO425" s="70"/>
      <c r="AY425" s="129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</row>
    <row r="426">
      <c r="C426" s="70"/>
      <c r="E426" s="70"/>
      <c r="O426" s="70"/>
      <c r="Q426" s="70"/>
      <c r="X426" s="70"/>
      <c r="AA426" s="70"/>
      <c r="AC426" s="70"/>
      <c r="AD426" s="381"/>
      <c r="AM426" s="70"/>
      <c r="AN426" s="70"/>
      <c r="AO426" s="70"/>
      <c r="AY426" s="129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</row>
    <row r="427">
      <c r="C427" s="70"/>
      <c r="E427" s="70"/>
      <c r="O427" s="70"/>
      <c r="Q427" s="70"/>
      <c r="X427" s="70"/>
      <c r="AA427" s="70"/>
      <c r="AC427" s="70"/>
      <c r="AD427" s="381"/>
      <c r="AM427" s="70"/>
      <c r="AN427" s="70"/>
      <c r="AO427" s="70"/>
      <c r="AY427" s="129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</row>
    <row r="428">
      <c r="C428" s="70"/>
      <c r="E428" s="70"/>
      <c r="O428" s="70"/>
      <c r="Q428" s="70"/>
      <c r="X428" s="70"/>
      <c r="AA428" s="70"/>
      <c r="AC428" s="70"/>
      <c r="AD428" s="381"/>
      <c r="AM428" s="70"/>
      <c r="AN428" s="70"/>
      <c r="AO428" s="70"/>
      <c r="AY428" s="129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</row>
    <row r="429">
      <c r="C429" s="70"/>
      <c r="E429" s="70"/>
      <c r="O429" s="70"/>
      <c r="Q429" s="70"/>
      <c r="X429" s="70"/>
      <c r="AA429" s="70"/>
      <c r="AC429" s="70"/>
      <c r="AD429" s="381"/>
      <c r="AM429" s="70"/>
      <c r="AN429" s="70"/>
      <c r="AO429" s="70"/>
      <c r="AY429" s="129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</row>
    <row r="430">
      <c r="C430" s="70"/>
      <c r="E430" s="70"/>
      <c r="O430" s="70"/>
      <c r="Q430" s="70"/>
      <c r="X430" s="70"/>
      <c r="AA430" s="70"/>
      <c r="AC430" s="70"/>
      <c r="AD430" s="381"/>
      <c r="AM430" s="70"/>
      <c r="AN430" s="70"/>
      <c r="AO430" s="70"/>
      <c r="AY430" s="129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</row>
    <row r="431">
      <c r="C431" s="70"/>
      <c r="E431" s="70"/>
      <c r="O431" s="70"/>
      <c r="Q431" s="70"/>
      <c r="X431" s="70"/>
      <c r="AA431" s="70"/>
      <c r="AC431" s="70"/>
      <c r="AD431" s="381"/>
      <c r="AM431" s="70"/>
      <c r="AN431" s="70"/>
      <c r="AO431" s="70"/>
      <c r="AY431" s="129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</row>
    <row r="432">
      <c r="C432" s="70"/>
      <c r="E432" s="70"/>
      <c r="O432" s="70"/>
      <c r="Q432" s="70"/>
      <c r="X432" s="70"/>
      <c r="AA432" s="70"/>
      <c r="AC432" s="70"/>
      <c r="AD432" s="381"/>
      <c r="AM432" s="70"/>
      <c r="AN432" s="70"/>
      <c r="AO432" s="70"/>
      <c r="AY432" s="129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</row>
    <row r="433">
      <c r="C433" s="70"/>
      <c r="E433" s="70"/>
      <c r="O433" s="70"/>
      <c r="Q433" s="70"/>
      <c r="X433" s="70"/>
      <c r="AA433" s="70"/>
      <c r="AC433" s="70"/>
      <c r="AD433" s="381"/>
      <c r="AM433" s="70"/>
      <c r="AN433" s="70"/>
      <c r="AO433" s="70"/>
      <c r="AY433" s="129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</row>
    <row r="434">
      <c r="C434" s="70"/>
      <c r="E434" s="70"/>
      <c r="O434" s="70"/>
      <c r="Q434" s="70"/>
      <c r="X434" s="70"/>
      <c r="AA434" s="70"/>
      <c r="AC434" s="70"/>
      <c r="AD434" s="381"/>
      <c r="AM434" s="70"/>
      <c r="AN434" s="70"/>
      <c r="AO434" s="70"/>
      <c r="AY434" s="129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</row>
    <row r="435">
      <c r="C435" s="70"/>
      <c r="E435" s="70"/>
      <c r="O435" s="70"/>
      <c r="Q435" s="70"/>
      <c r="X435" s="70"/>
      <c r="AA435" s="70"/>
      <c r="AC435" s="70"/>
      <c r="AD435" s="381"/>
      <c r="AM435" s="70"/>
      <c r="AN435" s="70"/>
      <c r="AO435" s="70"/>
      <c r="AY435" s="129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</row>
    <row r="436">
      <c r="C436" s="70"/>
      <c r="E436" s="70"/>
      <c r="O436" s="70"/>
      <c r="Q436" s="70"/>
      <c r="X436" s="70"/>
      <c r="AA436" s="70"/>
      <c r="AC436" s="70"/>
      <c r="AD436" s="381"/>
      <c r="AM436" s="70"/>
      <c r="AN436" s="70"/>
      <c r="AO436" s="70"/>
      <c r="AY436" s="129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</row>
    <row r="437">
      <c r="C437" s="70"/>
      <c r="E437" s="70"/>
      <c r="O437" s="70"/>
      <c r="Q437" s="70"/>
      <c r="X437" s="70"/>
      <c r="AA437" s="70"/>
      <c r="AC437" s="70"/>
      <c r="AD437" s="381"/>
      <c r="AM437" s="70"/>
      <c r="AN437" s="70"/>
      <c r="AO437" s="70"/>
      <c r="AY437" s="129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</row>
    <row r="438">
      <c r="C438" s="70"/>
      <c r="E438" s="70"/>
      <c r="O438" s="70"/>
      <c r="Q438" s="70"/>
      <c r="X438" s="70"/>
      <c r="AA438" s="70"/>
      <c r="AC438" s="70"/>
      <c r="AD438" s="381"/>
      <c r="AM438" s="70"/>
      <c r="AN438" s="70"/>
      <c r="AO438" s="70"/>
      <c r="AY438" s="129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</row>
    <row r="439">
      <c r="C439" s="70"/>
      <c r="E439" s="70"/>
      <c r="O439" s="70"/>
      <c r="Q439" s="70"/>
      <c r="X439" s="70"/>
      <c r="AA439" s="70"/>
      <c r="AC439" s="70"/>
      <c r="AD439" s="381"/>
      <c r="AM439" s="70"/>
      <c r="AN439" s="70"/>
      <c r="AO439" s="70"/>
      <c r="AY439" s="129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</row>
    <row r="440">
      <c r="C440" s="70"/>
      <c r="E440" s="70"/>
      <c r="O440" s="70"/>
      <c r="Q440" s="70"/>
      <c r="X440" s="70"/>
      <c r="AA440" s="70"/>
      <c r="AC440" s="70"/>
      <c r="AD440" s="381"/>
      <c r="AM440" s="70"/>
      <c r="AN440" s="70"/>
      <c r="AO440" s="70"/>
      <c r="AY440" s="129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</row>
    <row r="441">
      <c r="C441" s="70"/>
      <c r="E441" s="70"/>
      <c r="O441" s="70"/>
      <c r="Q441" s="70"/>
      <c r="X441" s="70"/>
      <c r="AA441" s="70"/>
      <c r="AC441" s="70"/>
      <c r="AD441" s="381"/>
      <c r="AM441" s="70"/>
      <c r="AN441" s="70"/>
      <c r="AO441" s="70"/>
      <c r="AY441" s="129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</row>
    <row r="442">
      <c r="C442" s="70"/>
      <c r="E442" s="70"/>
      <c r="O442" s="70"/>
      <c r="Q442" s="70"/>
      <c r="X442" s="70"/>
      <c r="AA442" s="70"/>
      <c r="AC442" s="70"/>
      <c r="AD442" s="381"/>
      <c r="AM442" s="70"/>
      <c r="AN442" s="70"/>
      <c r="AO442" s="70"/>
      <c r="AY442" s="129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</row>
    <row r="443">
      <c r="C443" s="70"/>
      <c r="E443" s="70"/>
      <c r="O443" s="70"/>
      <c r="Q443" s="70"/>
      <c r="X443" s="70"/>
      <c r="AA443" s="70"/>
      <c r="AC443" s="70"/>
      <c r="AD443" s="381"/>
      <c r="AM443" s="70"/>
      <c r="AN443" s="70"/>
      <c r="AO443" s="70"/>
      <c r="AY443" s="129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</row>
    <row r="444">
      <c r="C444" s="70"/>
      <c r="E444" s="70"/>
      <c r="O444" s="70"/>
      <c r="Q444" s="70"/>
      <c r="X444" s="70"/>
      <c r="AA444" s="70"/>
      <c r="AC444" s="70"/>
      <c r="AD444" s="381"/>
      <c r="AM444" s="70"/>
      <c r="AN444" s="70"/>
      <c r="AO444" s="70"/>
      <c r="AY444" s="129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</row>
    <row r="445">
      <c r="C445" s="70"/>
      <c r="E445" s="70"/>
      <c r="O445" s="70"/>
      <c r="Q445" s="70"/>
      <c r="X445" s="70"/>
      <c r="AA445" s="70"/>
      <c r="AC445" s="70"/>
      <c r="AD445" s="381"/>
      <c r="AM445" s="70"/>
      <c r="AN445" s="70"/>
      <c r="AO445" s="70"/>
      <c r="AY445" s="129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</row>
    <row r="446">
      <c r="C446" s="70"/>
      <c r="E446" s="70"/>
      <c r="O446" s="70"/>
      <c r="Q446" s="70"/>
      <c r="X446" s="70"/>
      <c r="AA446" s="70"/>
      <c r="AC446" s="70"/>
      <c r="AD446" s="381"/>
      <c r="AM446" s="70"/>
      <c r="AN446" s="70"/>
      <c r="AO446" s="70"/>
      <c r="AY446" s="129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</row>
    <row r="447">
      <c r="C447" s="70"/>
      <c r="E447" s="70"/>
      <c r="O447" s="70"/>
      <c r="Q447" s="70"/>
      <c r="X447" s="70"/>
      <c r="AA447" s="70"/>
      <c r="AC447" s="70"/>
      <c r="AD447" s="381"/>
      <c r="AM447" s="70"/>
      <c r="AN447" s="70"/>
      <c r="AO447" s="70"/>
      <c r="AY447" s="129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</row>
    <row r="448">
      <c r="C448" s="70"/>
      <c r="E448" s="70"/>
      <c r="O448" s="70"/>
      <c r="Q448" s="70"/>
      <c r="X448" s="70"/>
      <c r="AA448" s="70"/>
      <c r="AC448" s="70"/>
      <c r="AD448" s="381"/>
      <c r="AM448" s="70"/>
      <c r="AN448" s="70"/>
      <c r="AO448" s="70"/>
      <c r="AY448" s="129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</row>
    <row r="449">
      <c r="C449" s="70"/>
      <c r="E449" s="70"/>
      <c r="O449" s="70"/>
      <c r="Q449" s="70"/>
      <c r="X449" s="70"/>
      <c r="AA449" s="70"/>
      <c r="AC449" s="70"/>
      <c r="AD449" s="381"/>
      <c r="AM449" s="70"/>
      <c r="AN449" s="70"/>
      <c r="AO449" s="70"/>
      <c r="AY449" s="129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</row>
    <row r="450">
      <c r="C450" s="70"/>
      <c r="E450" s="70"/>
      <c r="O450" s="70"/>
      <c r="Q450" s="70"/>
      <c r="X450" s="70"/>
      <c r="AA450" s="70"/>
      <c r="AC450" s="70"/>
      <c r="AD450" s="381"/>
      <c r="AM450" s="70"/>
      <c r="AN450" s="70"/>
      <c r="AO450" s="70"/>
      <c r="AY450" s="129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</row>
    <row r="451">
      <c r="C451" s="70"/>
      <c r="E451" s="70"/>
      <c r="O451" s="70"/>
      <c r="Q451" s="70"/>
      <c r="X451" s="70"/>
      <c r="AA451" s="70"/>
      <c r="AC451" s="70"/>
      <c r="AD451" s="381"/>
      <c r="AM451" s="70"/>
      <c r="AN451" s="70"/>
      <c r="AO451" s="70"/>
      <c r="AY451" s="129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</row>
    <row r="452">
      <c r="C452" s="70"/>
      <c r="E452" s="70"/>
      <c r="O452" s="70"/>
      <c r="Q452" s="70"/>
      <c r="X452" s="70"/>
      <c r="AA452" s="70"/>
      <c r="AC452" s="70"/>
      <c r="AD452" s="381"/>
      <c r="AM452" s="70"/>
      <c r="AN452" s="70"/>
      <c r="AO452" s="70"/>
      <c r="AY452" s="129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</row>
    <row r="453">
      <c r="C453" s="70"/>
      <c r="E453" s="70"/>
      <c r="O453" s="70"/>
      <c r="Q453" s="70"/>
      <c r="X453" s="70"/>
      <c r="AA453" s="70"/>
      <c r="AC453" s="70"/>
      <c r="AD453" s="381"/>
      <c r="AM453" s="70"/>
      <c r="AN453" s="70"/>
      <c r="AO453" s="70"/>
      <c r="AY453" s="129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</row>
    <row r="454">
      <c r="C454" s="70"/>
      <c r="E454" s="70"/>
      <c r="O454" s="70"/>
      <c r="Q454" s="70"/>
      <c r="X454" s="70"/>
      <c r="AA454" s="70"/>
      <c r="AC454" s="70"/>
      <c r="AD454" s="381"/>
      <c r="AM454" s="70"/>
      <c r="AN454" s="70"/>
      <c r="AO454" s="70"/>
      <c r="AY454" s="129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</row>
    <row r="455">
      <c r="C455" s="70"/>
      <c r="E455" s="70"/>
      <c r="O455" s="70"/>
      <c r="Q455" s="70"/>
      <c r="X455" s="70"/>
      <c r="AA455" s="70"/>
      <c r="AC455" s="70"/>
      <c r="AD455" s="381"/>
      <c r="AM455" s="70"/>
      <c r="AN455" s="70"/>
      <c r="AO455" s="70"/>
      <c r="AY455" s="129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</row>
    <row r="456">
      <c r="C456" s="70"/>
      <c r="E456" s="70"/>
      <c r="O456" s="70"/>
      <c r="Q456" s="70"/>
      <c r="X456" s="70"/>
      <c r="AA456" s="70"/>
      <c r="AC456" s="70"/>
      <c r="AD456" s="381"/>
      <c r="AM456" s="70"/>
      <c r="AN456" s="70"/>
      <c r="AO456" s="70"/>
      <c r="AY456" s="129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</row>
    <row r="457">
      <c r="C457" s="70"/>
      <c r="E457" s="70"/>
      <c r="O457" s="70"/>
      <c r="Q457" s="70"/>
      <c r="X457" s="70"/>
      <c r="AA457" s="70"/>
      <c r="AC457" s="70"/>
      <c r="AD457" s="381"/>
      <c r="AM457" s="70"/>
      <c r="AN457" s="70"/>
      <c r="AO457" s="70"/>
      <c r="AY457" s="129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</row>
    <row r="458">
      <c r="C458" s="70"/>
      <c r="E458" s="70"/>
      <c r="O458" s="70"/>
      <c r="Q458" s="70"/>
      <c r="X458" s="70"/>
      <c r="AA458" s="70"/>
      <c r="AC458" s="70"/>
      <c r="AD458" s="381"/>
      <c r="AM458" s="70"/>
      <c r="AN458" s="70"/>
      <c r="AO458" s="70"/>
      <c r="AY458" s="129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</row>
    <row r="459">
      <c r="C459" s="70"/>
      <c r="E459" s="70"/>
      <c r="O459" s="70"/>
      <c r="Q459" s="70"/>
      <c r="X459" s="70"/>
      <c r="AA459" s="70"/>
      <c r="AC459" s="70"/>
      <c r="AD459" s="381"/>
      <c r="AM459" s="70"/>
      <c r="AN459" s="70"/>
      <c r="AO459" s="70"/>
      <c r="AY459" s="129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</row>
    <row r="460">
      <c r="C460" s="70"/>
      <c r="E460" s="70"/>
      <c r="O460" s="70"/>
      <c r="Q460" s="70"/>
      <c r="X460" s="70"/>
      <c r="AA460" s="70"/>
      <c r="AC460" s="70"/>
      <c r="AD460" s="381"/>
      <c r="AM460" s="70"/>
      <c r="AN460" s="70"/>
      <c r="AO460" s="70"/>
      <c r="AY460" s="129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</row>
    <row r="461">
      <c r="C461" s="70"/>
      <c r="E461" s="70"/>
      <c r="O461" s="70"/>
      <c r="Q461" s="70"/>
      <c r="X461" s="70"/>
      <c r="AA461" s="70"/>
      <c r="AC461" s="70"/>
      <c r="AD461" s="381"/>
      <c r="AM461" s="70"/>
      <c r="AN461" s="70"/>
      <c r="AO461" s="70"/>
      <c r="AY461" s="129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</row>
    <row r="462">
      <c r="C462" s="70"/>
      <c r="E462" s="70"/>
      <c r="O462" s="70"/>
      <c r="Q462" s="70"/>
      <c r="X462" s="70"/>
      <c r="AA462" s="70"/>
      <c r="AC462" s="70"/>
      <c r="AD462" s="381"/>
      <c r="AM462" s="70"/>
      <c r="AN462" s="70"/>
      <c r="AO462" s="70"/>
      <c r="AY462" s="129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</row>
    <row r="463">
      <c r="C463" s="70"/>
      <c r="E463" s="70"/>
      <c r="O463" s="70"/>
      <c r="Q463" s="70"/>
      <c r="X463" s="70"/>
      <c r="AA463" s="70"/>
      <c r="AC463" s="70"/>
      <c r="AD463" s="381"/>
      <c r="AM463" s="70"/>
      <c r="AN463" s="70"/>
      <c r="AO463" s="70"/>
      <c r="AY463" s="129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</row>
    <row r="464">
      <c r="C464" s="70"/>
      <c r="E464" s="70"/>
      <c r="O464" s="70"/>
      <c r="Q464" s="70"/>
      <c r="X464" s="70"/>
      <c r="AA464" s="70"/>
      <c r="AC464" s="70"/>
      <c r="AD464" s="381"/>
      <c r="AM464" s="70"/>
      <c r="AN464" s="70"/>
      <c r="AO464" s="70"/>
      <c r="AY464" s="129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</row>
    <row r="465">
      <c r="C465" s="70"/>
      <c r="E465" s="70"/>
      <c r="O465" s="70"/>
      <c r="Q465" s="70"/>
      <c r="X465" s="70"/>
      <c r="AA465" s="70"/>
      <c r="AC465" s="70"/>
      <c r="AD465" s="381"/>
      <c r="AM465" s="70"/>
      <c r="AN465" s="70"/>
      <c r="AO465" s="70"/>
      <c r="AY465" s="129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</row>
    <row r="466">
      <c r="C466" s="70"/>
      <c r="E466" s="70"/>
      <c r="O466" s="70"/>
      <c r="Q466" s="70"/>
      <c r="X466" s="70"/>
      <c r="AA466" s="70"/>
      <c r="AC466" s="70"/>
      <c r="AD466" s="381"/>
      <c r="AM466" s="70"/>
      <c r="AN466" s="70"/>
      <c r="AO466" s="70"/>
      <c r="AY466" s="129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</row>
    <row r="467">
      <c r="C467" s="70"/>
      <c r="E467" s="70"/>
      <c r="O467" s="70"/>
      <c r="Q467" s="70"/>
      <c r="X467" s="70"/>
      <c r="AA467" s="70"/>
      <c r="AC467" s="70"/>
      <c r="AD467" s="381"/>
      <c r="AM467" s="70"/>
      <c r="AN467" s="70"/>
      <c r="AO467" s="70"/>
      <c r="AY467" s="129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</row>
    <row r="468">
      <c r="C468" s="70"/>
      <c r="E468" s="70"/>
      <c r="O468" s="70"/>
      <c r="Q468" s="70"/>
      <c r="X468" s="70"/>
      <c r="AA468" s="70"/>
      <c r="AC468" s="70"/>
      <c r="AD468" s="381"/>
      <c r="AM468" s="70"/>
      <c r="AN468" s="70"/>
      <c r="AO468" s="70"/>
      <c r="AY468" s="129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</row>
    <row r="469">
      <c r="C469" s="70"/>
      <c r="E469" s="70"/>
      <c r="O469" s="70"/>
      <c r="Q469" s="70"/>
      <c r="X469" s="70"/>
      <c r="AA469" s="70"/>
      <c r="AC469" s="70"/>
      <c r="AD469" s="381"/>
      <c r="AM469" s="70"/>
      <c r="AN469" s="70"/>
      <c r="AO469" s="70"/>
      <c r="AY469" s="129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</row>
    <row r="470">
      <c r="C470" s="70"/>
      <c r="E470" s="70"/>
      <c r="O470" s="70"/>
      <c r="Q470" s="70"/>
      <c r="X470" s="70"/>
      <c r="AA470" s="70"/>
      <c r="AC470" s="70"/>
      <c r="AD470" s="381"/>
      <c r="AM470" s="70"/>
      <c r="AN470" s="70"/>
      <c r="AO470" s="70"/>
      <c r="AY470" s="129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</row>
    <row r="471">
      <c r="C471" s="70"/>
      <c r="E471" s="70"/>
      <c r="O471" s="70"/>
      <c r="Q471" s="70"/>
      <c r="X471" s="70"/>
      <c r="AA471" s="70"/>
      <c r="AC471" s="70"/>
      <c r="AD471" s="381"/>
      <c r="AM471" s="70"/>
      <c r="AN471" s="70"/>
      <c r="AO471" s="70"/>
      <c r="AY471" s="129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</row>
    <row r="472">
      <c r="C472" s="70"/>
      <c r="E472" s="70"/>
      <c r="O472" s="70"/>
      <c r="Q472" s="70"/>
      <c r="X472" s="70"/>
      <c r="AA472" s="70"/>
      <c r="AC472" s="70"/>
      <c r="AD472" s="381"/>
      <c r="AM472" s="70"/>
      <c r="AN472" s="70"/>
      <c r="AO472" s="70"/>
      <c r="AY472" s="129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</row>
    <row r="473">
      <c r="C473" s="70"/>
      <c r="E473" s="70"/>
      <c r="O473" s="70"/>
      <c r="Q473" s="70"/>
      <c r="X473" s="70"/>
      <c r="AA473" s="70"/>
      <c r="AC473" s="70"/>
      <c r="AD473" s="381"/>
      <c r="AM473" s="70"/>
      <c r="AN473" s="70"/>
      <c r="AO473" s="70"/>
      <c r="AY473" s="129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</row>
    <row r="474">
      <c r="C474" s="70"/>
      <c r="E474" s="70"/>
      <c r="O474" s="70"/>
      <c r="Q474" s="70"/>
      <c r="X474" s="70"/>
      <c r="AA474" s="70"/>
      <c r="AC474" s="70"/>
      <c r="AD474" s="381"/>
      <c r="AM474" s="70"/>
      <c r="AN474" s="70"/>
      <c r="AO474" s="70"/>
      <c r="AY474" s="129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</row>
    <row r="475">
      <c r="C475" s="70"/>
      <c r="E475" s="70"/>
      <c r="O475" s="70"/>
      <c r="Q475" s="70"/>
      <c r="X475" s="70"/>
      <c r="AA475" s="70"/>
      <c r="AC475" s="70"/>
      <c r="AD475" s="381"/>
      <c r="AM475" s="70"/>
      <c r="AN475" s="70"/>
      <c r="AO475" s="70"/>
      <c r="AY475" s="129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</row>
    <row r="476">
      <c r="C476" s="70"/>
      <c r="E476" s="70"/>
      <c r="O476" s="70"/>
      <c r="Q476" s="70"/>
      <c r="X476" s="70"/>
      <c r="AA476" s="70"/>
      <c r="AC476" s="70"/>
      <c r="AD476" s="381"/>
      <c r="AM476" s="70"/>
      <c r="AN476" s="70"/>
      <c r="AO476" s="70"/>
      <c r="AY476" s="129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</row>
    <row r="477">
      <c r="C477" s="70"/>
      <c r="E477" s="70"/>
      <c r="O477" s="70"/>
      <c r="Q477" s="70"/>
      <c r="X477" s="70"/>
      <c r="AA477" s="70"/>
      <c r="AC477" s="70"/>
      <c r="AD477" s="381"/>
      <c r="AM477" s="70"/>
      <c r="AN477" s="70"/>
      <c r="AO477" s="70"/>
      <c r="AY477" s="129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</row>
    <row r="478">
      <c r="C478" s="70"/>
      <c r="E478" s="70"/>
      <c r="O478" s="70"/>
      <c r="Q478" s="70"/>
      <c r="X478" s="70"/>
      <c r="AA478" s="70"/>
      <c r="AC478" s="70"/>
      <c r="AD478" s="381"/>
      <c r="AM478" s="70"/>
      <c r="AN478" s="70"/>
      <c r="AO478" s="70"/>
      <c r="AY478" s="129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</row>
    <row r="479">
      <c r="C479" s="70"/>
      <c r="E479" s="70"/>
      <c r="O479" s="70"/>
      <c r="Q479" s="70"/>
      <c r="X479" s="70"/>
      <c r="AA479" s="70"/>
      <c r="AC479" s="70"/>
      <c r="AD479" s="381"/>
      <c r="AM479" s="70"/>
      <c r="AN479" s="70"/>
      <c r="AO479" s="70"/>
      <c r="AY479" s="129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</row>
    <row r="480">
      <c r="C480" s="70"/>
      <c r="E480" s="70"/>
      <c r="O480" s="70"/>
      <c r="Q480" s="70"/>
      <c r="X480" s="70"/>
      <c r="AA480" s="70"/>
      <c r="AC480" s="70"/>
      <c r="AD480" s="381"/>
      <c r="AM480" s="70"/>
      <c r="AN480" s="70"/>
      <c r="AO480" s="70"/>
      <c r="AY480" s="129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</row>
    <row r="481">
      <c r="C481" s="70"/>
      <c r="E481" s="70"/>
      <c r="O481" s="70"/>
      <c r="Q481" s="70"/>
      <c r="X481" s="70"/>
      <c r="AA481" s="70"/>
      <c r="AC481" s="70"/>
      <c r="AD481" s="381"/>
      <c r="AM481" s="70"/>
      <c r="AN481" s="70"/>
      <c r="AO481" s="70"/>
      <c r="AY481" s="129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</row>
    <row r="482">
      <c r="C482" s="70"/>
      <c r="E482" s="70"/>
      <c r="O482" s="70"/>
      <c r="Q482" s="70"/>
      <c r="X482" s="70"/>
      <c r="AA482" s="70"/>
      <c r="AC482" s="70"/>
      <c r="AD482" s="381"/>
      <c r="AM482" s="70"/>
      <c r="AN482" s="70"/>
      <c r="AO482" s="70"/>
      <c r="AY482" s="129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</row>
    <row r="483">
      <c r="C483" s="70"/>
      <c r="E483" s="70"/>
      <c r="O483" s="70"/>
      <c r="Q483" s="70"/>
      <c r="X483" s="70"/>
      <c r="AA483" s="70"/>
      <c r="AC483" s="70"/>
      <c r="AD483" s="381"/>
      <c r="AM483" s="70"/>
      <c r="AN483" s="70"/>
      <c r="AO483" s="70"/>
      <c r="AY483" s="129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</row>
    <row r="484">
      <c r="C484" s="70"/>
      <c r="E484" s="70"/>
      <c r="O484" s="70"/>
      <c r="Q484" s="70"/>
      <c r="X484" s="70"/>
      <c r="AA484" s="70"/>
      <c r="AC484" s="70"/>
      <c r="AD484" s="381"/>
      <c r="AM484" s="70"/>
      <c r="AN484" s="70"/>
      <c r="AO484" s="70"/>
      <c r="AY484" s="129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</row>
    <row r="485">
      <c r="C485" s="70"/>
      <c r="E485" s="70"/>
      <c r="O485" s="70"/>
      <c r="Q485" s="70"/>
      <c r="X485" s="70"/>
      <c r="AA485" s="70"/>
      <c r="AC485" s="70"/>
      <c r="AD485" s="381"/>
      <c r="AM485" s="70"/>
      <c r="AN485" s="70"/>
      <c r="AO485" s="70"/>
      <c r="AY485" s="129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</row>
    <row r="486">
      <c r="C486" s="70"/>
      <c r="E486" s="70"/>
      <c r="O486" s="70"/>
      <c r="Q486" s="70"/>
      <c r="X486" s="70"/>
      <c r="AA486" s="70"/>
      <c r="AC486" s="70"/>
      <c r="AD486" s="381"/>
      <c r="AM486" s="70"/>
      <c r="AN486" s="70"/>
      <c r="AO486" s="70"/>
      <c r="AY486" s="129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</row>
    <row r="487">
      <c r="C487" s="70"/>
      <c r="E487" s="70"/>
      <c r="O487" s="70"/>
      <c r="Q487" s="70"/>
      <c r="X487" s="70"/>
      <c r="AA487" s="70"/>
      <c r="AC487" s="70"/>
      <c r="AD487" s="381"/>
      <c r="AM487" s="70"/>
      <c r="AN487" s="70"/>
      <c r="AO487" s="70"/>
      <c r="AY487" s="129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</row>
    <row r="488">
      <c r="C488" s="70"/>
      <c r="E488" s="70"/>
      <c r="O488" s="70"/>
      <c r="Q488" s="70"/>
      <c r="X488" s="70"/>
      <c r="AA488" s="70"/>
      <c r="AC488" s="70"/>
      <c r="AD488" s="381"/>
      <c r="AM488" s="70"/>
      <c r="AN488" s="70"/>
      <c r="AO488" s="70"/>
      <c r="AY488" s="129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</row>
    <row r="489">
      <c r="C489" s="70"/>
      <c r="E489" s="70"/>
      <c r="O489" s="70"/>
      <c r="Q489" s="70"/>
      <c r="X489" s="70"/>
      <c r="AA489" s="70"/>
      <c r="AC489" s="70"/>
      <c r="AD489" s="381"/>
      <c r="AM489" s="70"/>
      <c r="AN489" s="70"/>
      <c r="AO489" s="70"/>
      <c r="AY489" s="129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</row>
    <row r="490">
      <c r="C490" s="70"/>
      <c r="E490" s="70"/>
      <c r="O490" s="70"/>
      <c r="Q490" s="70"/>
      <c r="X490" s="70"/>
      <c r="AA490" s="70"/>
      <c r="AC490" s="70"/>
      <c r="AD490" s="381"/>
      <c r="AM490" s="70"/>
      <c r="AN490" s="70"/>
      <c r="AO490" s="70"/>
      <c r="AY490" s="129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</row>
    <row r="491">
      <c r="C491" s="70"/>
      <c r="E491" s="70"/>
      <c r="O491" s="70"/>
      <c r="Q491" s="70"/>
      <c r="X491" s="70"/>
      <c r="AA491" s="70"/>
      <c r="AC491" s="70"/>
      <c r="AD491" s="381"/>
      <c r="AM491" s="70"/>
      <c r="AN491" s="70"/>
      <c r="AO491" s="70"/>
      <c r="AY491" s="129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</row>
    <row r="492">
      <c r="C492" s="70"/>
      <c r="E492" s="70"/>
      <c r="O492" s="70"/>
      <c r="Q492" s="70"/>
      <c r="X492" s="70"/>
      <c r="AA492" s="70"/>
      <c r="AC492" s="70"/>
      <c r="AD492" s="381"/>
      <c r="AM492" s="70"/>
      <c r="AN492" s="70"/>
      <c r="AO492" s="70"/>
      <c r="AY492" s="129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</row>
    <row r="493">
      <c r="C493" s="70"/>
      <c r="E493" s="70"/>
      <c r="O493" s="70"/>
      <c r="Q493" s="70"/>
      <c r="X493" s="70"/>
      <c r="AA493" s="70"/>
      <c r="AC493" s="70"/>
      <c r="AD493" s="381"/>
      <c r="AM493" s="70"/>
      <c r="AN493" s="70"/>
      <c r="AO493" s="70"/>
      <c r="AY493" s="129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</row>
    <row r="494">
      <c r="C494" s="70"/>
      <c r="E494" s="70"/>
      <c r="O494" s="70"/>
      <c r="Q494" s="70"/>
      <c r="X494" s="70"/>
      <c r="AA494" s="70"/>
      <c r="AC494" s="70"/>
      <c r="AD494" s="381"/>
      <c r="AM494" s="70"/>
      <c r="AN494" s="70"/>
      <c r="AO494" s="70"/>
      <c r="AY494" s="129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</row>
    <row r="495">
      <c r="C495" s="70"/>
      <c r="E495" s="70"/>
      <c r="O495" s="70"/>
      <c r="Q495" s="70"/>
      <c r="X495" s="70"/>
      <c r="AA495" s="70"/>
      <c r="AC495" s="70"/>
      <c r="AD495" s="381"/>
      <c r="AM495" s="70"/>
      <c r="AN495" s="70"/>
      <c r="AO495" s="70"/>
      <c r="AY495" s="129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</row>
    <row r="496">
      <c r="C496" s="70"/>
      <c r="E496" s="70"/>
      <c r="O496" s="70"/>
      <c r="Q496" s="70"/>
      <c r="X496" s="70"/>
      <c r="AA496" s="70"/>
      <c r="AC496" s="70"/>
      <c r="AD496" s="381"/>
      <c r="AM496" s="70"/>
      <c r="AN496" s="70"/>
      <c r="AO496" s="70"/>
      <c r="AY496" s="129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</row>
    <row r="497">
      <c r="C497" s="70"/>
      <c r="E497" s="70"/>
      <c r="O497" s="70"/>
      <c r="Q497" s="70"/>
      <c r="X497" s="70"/>
      <c r="AA497" s="70"/>
      <c r="AC497" s="70"/>
      <c r="AD497" s="381"/>
      <c r="AM497" s="70"/>
      <c r="AN497" s="70"/>
      <c r="AO497" s="70"/>
      <c r="AY497" s="129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</row>
    <row r="498">
      <c r="C498" s="70"/>
      <c r="E498" s="70"/>
      <c r="O498" s="70"/>
      <c r="Q498" s="70"/>
      <c r="X498" s="70"/>
      <c r="AA498" s="70"/>
      <c r="AC498" s="70"/>
      <c r="AD498" s="381"/>
      <c r="AM498" s="70"/>
      <c r="AN498" s="70"/>
      <c r="AO498" s="70"/>
      <c r="AY498" s="129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</row>
    <row r="499">
      <c r="C499" s="70"/>
      <c r="E499" s="70"/>
      <c r="O499" s="70"/>
      <c r="Q499" s="70"/>
      <c r="X499" s="70"/>
      <c r="AA499" s="70"/>
      <c r="AC499" s="70"/>
      <c r="AD499" s="381"/>
      <c r="AM499" s="70"/>
      <c r="AN499" s="70"/>
      <c r="AO499" s="70"/>
      <c r="AY499" s="129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</row>
    <row r="500">
      <c r="C500" s="70"/>
      <c r="E500" s="70"/>
      <c r="O500" s="70"/>
      <c r="Q500" s="70"/>
      <c r="X500" s="70"/>
      <c r="AA500" s="70"/>
      <c r="AC500" s="70"/>
      <c r="AD500" s="381"/>
      <c r="AM500" s="70"/>
      <c r="AN500" s="70"/>
      <c r="AO500" s="70"/>
      <c r="AY500" s="129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</row>
    <row r="501">
      <c r="C501" s="70"/>
      <c r="E501" s="70"/>
      <c r="O501" s="70"/>
      <c r="Q501" s="70"/>
      <c r="X501" s="70"/>
      <c r="AA501" s="70"/>
      <c r="AC501" s="70"/>
      <c r="AD501" s="381"/>
      <c r="AM501" s="70"/>
      <c r="AN501" s="70"/>
      <c r="AO501" s="70"/>
      <c r="AY501" s="129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</row>
    <row r="502">
      <c r="C502" s="70"/>
      <c r="E502" s="70"/>
      <c r="O502" s="70"/>
      <c r="Q502" s="70"/>
      <c r="X502" s="70"/>
      <c r="AA502" s="70"/>
      <c r="AC502" s="70"/>
      <c r="AD502" s="381"/>
      <c r="AM502" s="70"/>
      <c r="AN502" s="70"/>
      <c r="AO502" s="70"/>
      <c r="AY502" s="129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</row>
    <row r="503">
      <c r="C503" s="70"/>
      <c r="E503" s="70"/>
      <c r="O503" s="70"/>
      <c r="Q503" s="70"/>
      <c r="X503" s="70"/>
      <c r="AA503" s="70"/>
      <c r="AC503" s="70"/>
      <c r="AD503" s="381"/>
      <c r="AM503" s="70"/>
      <c r="AN503" s="70"/>
      <c r="AO503" s="70"/>
      <c r="AY503" s="129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</row>
    <row r="504">
      <c r="C504" s="70"/>
      <c r="E504" s="70"/>
      <c r="O504" s="70"/>
      <c r="Q504" s="70"/>
      <c r="X504" s="70"/>
      <c r="AA504" s="70"/>
      <c r="AC504" s="70"/>
      <c r="AD504" s="381"/>
      <c r="AM504" s="70"/>
      <c r="AN504" s="70"/>
      <c r="AO504" s="70"/>
      <c r="AY504" s="129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</row>
    <row r="505">
      <c r="C505" s="70"/>
      <c r="E505" s="70"/>
      <c r="O505" s="70"/>
      <c r="Q505" s="70"/>
      <c r="X505" s="70"/>
      <c r="AA505" s="70"/>
      <c r="AC505" s="70"/>
      <c r="AD505" s="381"/>
      <c r="AM505" s="70"/>
      <c r="AN505" s="70"/>
      <c r="AO505" s="70"/>
      <c r="AY505" s="129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</row>
    <row r="506">
      <c r="C506" s="70"/>
      <c r="E506" s="70"/>
      <c r="O506" s="70"/>
      <c r="Q506" s="70"/>
      <c r="X506" s="70"/>
      <c r="AA506" s="70"/>
      <c r="AC506" s="70"/>
      <c r="AD506" s="381"/>
      <c r="AM506" s="70"/>
      <c r="AN506" s="70"/>
      <c r="AO506" s="70"/>
      <c r="AY506" s="129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</row>
    <row r="507">
      <c r="C507" s="70"/>
      <c r="E507" s="70"/>
      <c r="O507" s="70"/>
      <c r="Q507" s="70"/>
      <c r="X507" s="70"/>
      <c r="AA507" s="70"/>
      <c r="AC507" s="70"/>
      <c r="AD507" s="381"/>
      <c r="AM507" s="70"/>
      <c r="AN507" s="70"/>
      <c r="AO507" s="70"/>
      <c r="AY507" s="129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</row>
    <row r="508">
      <c r="C508" s="70"/>
      <c r="E508" s="70"/>
      <c r="O508" s="70"/>
      <c r="Q508" s="70"/>
      <c r="X508" s="70"/>
      <c r="AA508" s="70"/>
      <c r="AC508" s="70"/>
      <c r="AD508" s="381"/>
      <c r="AM508" s="70"/>
      <c r="AN508" s="70"/>
      <c r="AO508" s="70"/>
      <c r="AY508" s="129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</row>
    <row r="509">
      <c r="C509" s="70"/>
      <c r="E509" s="70"/>
      <c r="O509" s="70"/>
      <c r="Q509" s="70"/>
      <c r="X509" s="70"/>
      <c r="AA509" s="70"/>
      <c r="AC509" s="70"/>
      <c r="AD509" s="381"/>
      <c r="AM509" s="70"/>
      <c r="AN509" s="70"/>
      <c r="AO509" s="70"/>
      <c r="AY509" s="129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</row>
    <row r="510">
      <c r="C510" s="70"/>
      <c r="E510" s="70"/>
      <c r="O510" s="70"/>
      <c r="Q510" s="70"/>
      <c r="X510" s="70"/>
      <c r="AA510" s="70"/>
      <c r="AC510" s="70"/>
      <c r="AD510" s="381"/>
      <c r="AM510" s="70"/>
      <c r="AN510" s="70"/>
      <c r="AO510" s="70"/>
      <c r="AY510" s="129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</row>
    <row r="511">
      <c r="C511" s="70"/>
      <c r="E511" s="70"/>
      <c r="O511" s="70"/>
      <c r="Q511" s="70"/>
      <c r="X511" s="70"/>
      <c r="AA511" s="70"/>
      <c r="AC511" s="70"/>
      <c r="AD511" s="381"/>
      <c r="AM511" s="70"/>
      <c r="AN511" s="70"/>
      <c r="AO511" s="70"/>
      <c r="AY511" s="129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</row>
    <row r="512">
      <c r="C512" s="70"/>
      <c r="E512" s="70"/>
      <c r="O512" s="70"/>
      <c r="Q512" s="70"/>
      <c r="X512" s="70"/>
      <c r="AA512" s="70"/>
      <c r="AC512" s="70"/>
      <c r="AD512" s="381"/>
      <c r="AM512" s="70"/>
      <c r="AN512" s="70"/>
      <c r="AO512" s="70"/>
      <c r="AY512" s="129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</row>
    <row r="513">
      <c r="C513" s="70"/>
      <c r="E513" s="70"/>
      <c r="O513" s="70"/>
      <c r="Q513" s="70"/>
      <c r="X513" s="70"/>
      <c r="AA513" s="70"/>
      <c r="AC513" s="70"/>
      <c r="AD513" s="381"/>
      <c r="AM513" s="70"/>
      <c r="AN513" s="70"/>
      <c r="AO513" s="70"/>
      <c r="AY513" s="129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</row>
    <row r="514">
      <c r="C514" s="70"/>
      <c r="E514" s="70"/>
      <c r="O514" s="70"/>
      <c r="Q514" s="70"/>
      <c r="X514" s="70"/>
      <c r="AA514" s="70"/>
      <c r="AC514" s="70"/>
      <c r="AD514" s="381"/>
      <c r="AM514" s="70"/>
      <c r="AN514" s="70"/>
      <c r="AO514" s="70"/>
      <c r="AY514" s="129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</row>
    <row r="515">
      <c r="C515" s="70"/>
      <c r="E515" s="70"/>
      <c r="O515" s="70"/>
      <c r="Q515" s="70"/>
      <c r="X515" s="70"/>
      <c r="AA515" s="70"/>
      <c r="AC515" s="70"/>
      <c r="AD515" s="381"/>
      <c r="AM515" s="70"/>
      <c r="AN515" s="70"/>
      <c r="AO515" s="70"/>
      <c r="AY515" s="129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</row>
    <row r="516">
      <c r="C516" s="70"/>
      <c r="E516" s="70"/>
      <c r="O516" s="70"/>
      <c r="Q516" s="70"/>
      <c r="X516" s="70"/>
      <c r="AA516" s="70"/>
      <c r="AC516" s="70"/>
      <c r="AD516" s="381"/>
      <c r="AM516" s="70"/>
      <c r="AN516" s="70"/>
      <c r="AO516" s="70"/>
      <c r="AY516" s="129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</row>
    <row r="517">
      <c r="C517" s="70"/>
      <c r="E517" s="70"/>
      <c r="O517" s="70"/>
      <c r="Q517" s="70"/>
      <c r="X517" s="70"/>
      <c r="AA517" s="70"/>
      <c r="AC517" s="70"/>
      <c r="AD517" s="381"/>
      <c r="AM517" s="70"/>
      <c r="AN517" s="70"/>
      <c r="AO517" s="70"/>
      <c r="AY517" s="129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</row>
    <row r="518">
      <c r="C518" s="70"/>
      <c r="E518" s="70"/>
      <c r="O518" s="70"/>
      <c r="Q518" s="70"/>
      <c r="X518" s="70"/>
      <c r="AA518" s="70"/>
      <c r="AC518" s="70"/>
      <c r="AD518" s="381"/>
      <c r="AM518" s="70"/>
      <c r="AN518" s="70"/>
      <c r="AO518" s="70"/>
      <c r="AY518" s="129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</row>
    <row r="519">
      <c r="C519" s="70"/>
      <c r="E519" s="70"/>
      <c r="O519" s="70"/>
      <c r="Q519" s="70"/>
      <c r="X519" s="70"/>
      <c r="AA519" s="70"/>
      <c r="AC519" s="70"/>
      <c r="AD519" s="381"/>
      <c r="AM519" s="70"/>
      <c r="AN519" s="70"/>
      <c r="AO519" s="70"/>
      <c r="AY519" s="129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</row>
    <row r="520">
      <c r="C520" s="70"/>
      <c r="E520" s="70"/>
      <c r="O520" s="70"/>
      <c r="Q520" s="70"/>
      <c r="X520" s="70"/>
      <c r="AA520" s="70"/>
      <c r="AC520" s="70"/>
      <c r="AD520" s="381"/>
      <c r="AM520" s="70"/>
      <c r="AN520" s="70"/>
      <c r="AO520" s="70"/>
      <c r="AY520" s="129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</row>
    <row r="521">
      <c r="C521" s="70"/>
      <c r="E521" s="70"/>
      <c r="O521" s="70"/>
      <c r="Q521" s="70"/>
      <c r="X521" s="70"/>
      <c r="AA521" s="70"/>
      <c r="AC521" s="70"/>
      <c r="AD521" s="381"/>
      <c r="AM521" s="70"/>
      <c r="AN521" s="70"/>
      <c r="AO521" s="70"/>
      <c r="AY521" s="129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</row>
    <row r="522">
      <c r="C522" s="70"/>
      <c r="E522" s="70"/>
      <c r="O522" s="70"/>
      <c r="Q522" s="70"/>
      <c r="X522" s="70"/>
      <c r="AA522" s="70"/>
      <c r="AC522" s="70"/>
      <c r="AD522" s="381"/>
      <c r="AM522" s="70"/>
      <c r="AN522" s="70"/>
      <c r="AO522" s="70"/>
      <c r="AY522" s="129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</row>
    <row r="523">
      <c r="C523" s="70"/>
      <c r="E523" s="70"/>
      <c r="O523" s="70"/>
      <c r="Q523" s="70"/>
      <c r="X523" s="70"/>
      <c r="AA523" s="70"/>
      <c r="AC523" s="70"/>
      <c r="AD523" s="381"/>
      <c r="AM523" s="70"/>
      <c r="AN523" s="70"/>
      <c r="AO523" s="70"/>
      <c r="AY523" s="129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</row>
    <row r="524">
      <c r="C524" s="70"/>
      <c r="E524" s="70"/>
      <c r="O524" s="70"/>
      <c r="Q524" s="70"/>
      <c r="X524" s="70"/>
      <c r="AA524" s="70"/>
      <c r="AC524" s="70"/>
      <c r="AD524" s="381"/>
      <c r="AM524" s="70"/>
      <c r="AN524" s="70"/>
      <c r="AO524" s="70"/>
      <c r="AY524" s="129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</row>
    <row r="525">
      <c r="C525" s="70"/>
      <c r="E525" s="70"/>
      <c r="O525" s="70"/>
      <c r="Q525" s="70"/>
      <c r="X525" s="70"/>
      <c r="AA525" s="70"/>
      <c r="AC525" s="70"/>
      <c r="AD525" s="381"/>
      <c r="AM525" s="70"/>
      <c r="AN525" s="70"/>
      <c r="AO525" s="70"/>
      <c r="AY525" s="129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</row>
    <row r="526">
      <c r="C526" s="70"/>
      <c r="E526" s="70"/>
      <c r="O526" s="70"/>
      <c r="Q526" s="70"/>
      <c r="X526" s="70"/>
      <c r="AA526" s="70"/>
      <c r="AC526" s="70"/>
      <c r="AD526" s="381"/>
      <c r="AM526" s="70"/>
      <c r="AN526" s="70"/>
      <c r="AO526" s="70"/>
      <c r="AY526" s="129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</row>
    <row r="527">
      <c r="C527" s="70"/>
      <c r="E527" s="70"/>
      <c r="O527" s="70"/>
      <c r="Q527" s="70"/>
      <c r="X527" s="70"/>
      <c r="AA527" s="70"/>
      <c r="AC527" s="70"/>
      <c r="AD527" s="381"/>
      <c r="AM527" s="70"/>
      <c r="AN527" s="70"/>
      <c r="AO527" s="70"/>
      <c r="AY527" s="129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</row>
    <row r="528">
      <c r="C528" s="70"/>
      <c r="E528" s="70"/>
      <c r="O528" s="70"/>
      <c r="Q528" s="70"/>
      <c r="X528" s="70"/>
      <c r="AA528" s="70"/>
      <c r="AC528" s="70"/>
      <c r="AD528" s="381"/>
      <c r="AM528" s="70"/>
      <c r="AN528" s="70"/>
      <c r="AO528" s="70"/>
      <c r="AY528" s="129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</row>
    <row r="529">
      <c r="C529" s="70"/>
      <c r="E529" s="70"/>
      <c r="O529" s="70"/>
      <c r="Q529" s="70"/>
      <c r="X529" s="70"/>
      <c r="AA529" s="70"/>
      <c r="AC529" s="70"/>
      <c r="AD529" s="381"/>
      <c r="AM529" s="70"/>
      <c r="AN529" s="70"/>
      <c r="AO529" s="70"/>
      <c r="AY529" s="129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</row>
    <row r="530">
      <c r="C530" s="70"/>
      <c r="E530" s="70"/>
      <c r="O530" s="70"/>
      <c r="Q530" s="70"/>
      <c r="X530" s="70"/>
      <c r="AA530" s="70"/>
      <c r="AC530" s="70"/>
      <c r="AD530" s="381"/>
      <c r="AM530" s="70"/>
      <c r="AN530" s="70"/>
      <c r="AO530" s="70"/>
      <c r="AY530" s="129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</row>
    <row r="531">
      <c r="C531" s="70"/>
      <c r="E531" s="70"/>
      <c r="O531" s="70"/>
      <c r="Q531" s="70"/>
      <c r="X531" s="70"/>
      <c r="AA531" s="70"/>
      <c r="AC531" s="70"/>
      <c r="AD531" s="381"/>
      <c r="AM531" s="70"/>
      <c r="AN531" s="70"/>
      <c r="AO531" s="70"/>
      <c r="AY531" s="129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</row>
    <row r="532">
      <c r="C532" s="70"/>
      <c r="E532" s="70"/>
      <c r="O532" s="70"/>
      <c r="Q532" s="70"/>
      <c r="X532" s="70"/>
      <c r="AA532" s="70"/>
      <c r="AC532" s="70"/>
      <c r="AD532" s="381"/>
      <c r="AM532" s="70"/>
      <c r="AN532" s="70"/>
      <c r="AO532" s="70"/>
      <c r="AY532" s="129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</row>
    <row r="533">
      <c r="C533" s="70"/>
      <c r="E533" s="70"/>
      <c r="O533" s="70"/>
      <c r="Q533" s="70"/>
      <c r="X533" s="70"/>
      <c r="AA533" s="70"/>
      <c r="AC533" s="70"/>
      <c r="AD533" s="381"/>
      <c r="AM533" s="70"/>
      <c r="AN533" s="70"/>
      <c r="AO533" s="70"/>
      <c r="AY533" s="129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</row>
    <row r="534">
      <c r="C534" s="70"/>
      <c r="E534" s="70"/>
      <c r="O534" s="70"/>
      <c r="Q534" s="70"/>
      <c r="X534" s="70"/>
      <c r="AA534" s="70"/>
      <c r="AC534" s="70"/>
      <c r="AD534" s="381"/>
      <c r="AM534" s="70"/>
      <c r="AN534" s="70"/>
      <c r="AO534" s="70"/>
      <c r="AY534" s="129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</row>
    <row r="535">
      <c r="C535" s="70"/>
      <c r="E535" s="70"/>
      <c r="O535" s="70"/>
      <c r="Q535" s="70"/>
      <c r="X535" s="70"/>
      <c r="AA535" s="70"/>
      <c r="AC535" s="70"/>
      <c r="AD535" s="381"/>
      <c r="AM535" s="70"/>
      <c r="AN535" s="70"/>
      <c r="AO535" s="70"/>
      <c r="AY535" s="129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</row>
    <row r="536">
      <c r="C536" s="70"/>
      <c r="E536" s="70"/>
      <c r="O536" s="70"/>
      <c r="Q536" s="70"/>
      <c r="X536" s="70"/>
      <c r="AA536" s="70"/>
      <c r="AC536" s="70"/>
      <c r="AD536" s="381"/>
      <c r="AM536" s="70"/>
      <c r="AN536" s="70"/>
      <c r="AO536" s="70"/>
      <c r="AY536" s="129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</row>
    <row r="537">
      <c r="C537" s="70"/>
      <c r="E537" s="70"/>
      <c r="O537" s="70"/>
      <c r="Q537" s="70"/>
      <c r="X537" s="70"/>
      <c r="AA537" s="70"/>
      <c r="AC537" s="70"/>
      <c r="AD537" s="381"/>
      <c r="AM537" s="70"/>
      <c r="AN537" s="70"/>
      <c r="AO537" s="70"/>
      <c r="AY537" s="129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</row>
    <row r="538">
      <c r="C538" s="70"/>
      <c r="E538" s="70"/>
      <c r="O538" s="70"/>
      <c r="Q538" s="70"/>
      <c r="X538" s="70"/>
      <c r="AA538" s="70"/>
      <c r="AC538" s="70"/>
      <c r="AD538" s="381"/>
      <c r="AM538" s="70"/>
      <c r="AN538" s="70"/>
      <c r="AO538" s="70"/>
      <c r="AY538" s="129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</row>
    <row r="539">
      <c r="C539" s="70"/>
      <c r="E539" s="70"/>
      <c r="O539" s="70"/>
      <c r="Q539" s="70"/>
      <c r="X539" s="70"/>
      <c r="AA539" s="70"/>
      <c r="AC539" s="70"/>
      <c r="AD539" s="381"/>
      <c r="AM539" s="70"/>
      <c r="AN539" s="70"/>
      <c r="AO539" s="70"/>
      <c r="AY539" s="129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</row>
    <row r="540">
      <c r="C540" s="70"/>
      <c r="E540" s="70"/>
      <c r="O540" s="70"/>
      <c r="Q540" s="70"/>
      <c r="X540" s="70"/>
      <c r="AA540" s="70"/>
      <c r="AC540" s="70"/>
      <c r="AD540" s="381"/>
      <c r="AM540" s="70"/>
      <c r="AN540" s="70"/>
      <c r="AO540" s="70"/>
      <c r="AY540" s="129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</row>
    <row r="541">
      <c r="C541" s="70"/>
      <c r="E541" s="70"/>
      <c r="O541" s="70"/>
      <c r="Q541" s="70"/>
      <c r="X541" s="70"/>
      <c r="AA541" s="70"/>
      <c r="AC541" s="70"/>
      <c r="AD541" s="381"/>
      <c r="AM541" s="70"/>
      <c r="AN541" s="70"/>
      <c r="AO541" s="70"/>
      <c r="AY541" s="129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</row>
    <row r="542">
      <c r="C542" s="70"/>
      <c r="E542" s="70"/>
      <c r="O542" s="70"/>
      <c r="Q542" s="70"/>
      <c r="X542" s="70"/>
      <c r="AA542" s="70"/>
      <c r="AC542" s="70"/>
      <c r="AD542" s="381"/>
      <c r="AM542" s="70"/>
      <c r="AN542" s="70"/>
      <c r="AO542" s="70"/>
      <c r="AY542" s="129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</row>
    <row r="543">
      <c r="C543" s="70"/>
      <c r="E543" s="70"/>
      <c r="O543" s="70"/>
      <c r="Q543" s="70"/>
      <c r="X543" s="70"/>
      <c r="AA543" s="70"/>
      <c r="AC543" s="70"/>
      <c r="AD543" s="381"/>
      <c r="AM543" s="70"/>
      <c r="AN543" s="70"/>
      <c r="AO543" s="70"/>
      <c r="AY543" s="129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</row>
    <row r="544">
      <c r="C544" s="70"/>
      <c r="E544" s="70"/>
      <c r="O544" s="70"/>
      <c r="Q544" s="70"/>
      <c r="X544" s="70"/>
      <c r="AA544" s="70"/>
      <c r="AC544" s="70"/>
      <c r="AD544" s="381"/>
      <c r="AM544" s="70"/>
      <c r="AN544" s="70"/>
      <c r="AO544" s="70"/>
      <c r="AY544" s="129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</row>
    <row r="545">
      <c r="C545" s="70"/>
      <c r="E545" s="70"/>
      <c r="O545" s="70"/>
      <c r="Q545" s="70"/>
      <c r="X545" s="70"/>
      <c r="AA545" s="70"/>
      <c r="AC545" s="70"/>
      <c r="AD545" s="381"/>
      <c r="AM545" s="70"/>
      <c r="AN545" s="70"/>
      <c r="AO545" s="70"/>
      <c r="AY545" s="129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</row>
    <row r="546">
      <c r="C546" s="70"/>
      <c r="E546" s="70"/>
      <c r="O546" s="70"/>
      <c r="Q546" s="70"/>
      <c r="X546" s="70"/>
      <c r="AA546" s="70"/>
      <c r="AC546" s="70"/>
      <c r="AD546" s="381"/>
      <c r="AM546" s="70"/>
      <c r="AN546" s="70"/>
      <c r="AO546" s="70"/>
      <c r="AY546" s="129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</row>
    <row r="547">
      <c r="C547" s="70"/>
      <c r="E547" s="70"/>
      <c r="O547" s="70"/>
      <c r="Q547" s="70"/>
      <c r="X547" s="70"/>
      <c r="AA547" s="70"/>
      <c r="AC547" s="70"/>
      <c r="AD547" s="381"/>
      <c r="AM547" s="70"/>
      <c r="AN547" s="70"/>
      <c r="AO547" s="70"/>
      <c r="AY547" s="129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</row>
    <row r="548">
      <c r="C548" s="70"/>
      <c r="E548" s="70"/>
      <c r="O548" s="70"/>
      <c r="Q548" s="70"/>
      <c r="X548" s="70"/>
      <c r="AA548" s="70"/>
      <c r="AC548" s="70"/>
      <c r="AD548" s="381"/>
      <c r="AM548" s="70"/>
      <c r="AN548" s="70"/>
      <c r="AO548" s="70"/>
      <c r="AY548" s="129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</row>
    <row r="549">
      <c r="C549" s="70"/>
      <c r="E549" s="70"/>
      <c r="O549" s="70"/>
      <c r="Q549" s="70"/>
      <c r="X549" s="70"/>
      <c r="AA549" s="70"/>
      <c r="AC549" s="70"/>
      <c r="AD549" s="381"/>
      <c r="AM549" s="70"/>
      <c r="AN549" s="70"/>
      <c r="AO549" s="70"/>
      <c r="AY549" s="129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</row>
    <row r="550">
      <c r="C550" s="70"/>
      <c r="E550" s="70"/>
      <c r="O550" s="70"/>
      <c r="Q550" s="70"/>
      <c r="X550" s="70"/>
      <c r="AA550" s="70"/>
      <c r="AC550" s="70"/>
      <c r="AD550" s="381"/>
      <c r="AM550" s="70"/>
      <c r="AN550" s="70"/>
      <c r="AO550" s="70"/>
      <c r="AY550" s="129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</row>
    <row r="551">
      <c r="C551" s="70"/>
      <c r="E551" s="70"/>
      <c r="O551" s="70"/>
      <c r="Q551" s="70"/>
      <c r="X551" s="70"/>
      <c r="AA551" s="70"/>
      <c r="AC551" s="70"/>
      <c r="AD551" s="381"/>
      <c r="AM551" s="70"/>
      <c r="AN551" s="70"/>
      <c r="AO551" s="70"/>
      <c r="AY551" s="129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</row>
    <row r="552">
      <c r="C552" s="70"/>
      <c r="E552" s="70"/>
      <c r="O552" s="70"/>
      <c r="Q552" s="70"/>
      <c r="X552" s="70"/>
      <c r="AA552" s="70"/>
      <c r="AC552" s="70"/>
      <c r="AD552" s="381"/>
      <c r="AM552" s="70"/>
      <c r="AN552" s="70"/>
      <c r="AO552" s="70"/>
      <c r="AY552" s="129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</row>
    <row r="553">
      <c r="C553" s="70"/>
      <c r="E553" s="70"/>
      <c r="O553" s="70"/>
      <c r="Q553" s="70"/>
      <c r="X553" s="70"/>
      <c r="AA553" s="70"/>
      <c r="AC553" s="70"/>
      <c r="AD553" s="381"/>
      <c r="AM553" s="70"/>
      <c r="AN553" s="70"/>
      <c r="AO553" s="70"/>
      <c r="AY553" s="129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</row>
    <row r="554">
      <c r="C554" s="70"/>
      <c r="E554" s="70"/>
      <c r="O554" s="70"/>
      <c r="Q554" s="70"/>
      <c r="X554" s="70"/>
      <c r="AA554" s="70"/>
      <c r="AC554" s="70"/>
      <c r="AD554" s="381"/>
      <c r="AM554" s="70"/>
      <c r="AN554" s="70"/>
      <c r="AO554" s="70"/>
      <c r="AY554" s="129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</row>
    <row r="555">
      <c r="C555" s="70"/>
      <c r="E555" s="70"/>
      <c r="O555" s="70"/>
      <c r="Q555" s="70"/>
      <c r="X555" s="70"/>
      <c r="AA555" s="70"/>
      <c r="AC555" s="70"/>
      <c r="AD555" s="381"/>
      <c r="AM555" s="70"/>
      <c r="AN555" s="70"/>
      <c r="AO555" s="70"/>
      <c r="AY555" s="129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</row>
    <row r="556">
      <c r="C556" s="70"/>
      <c r="E556" s="70"/>
      <c r="O556" s="70"/>
      <c r="Q556" s="70"/>
      <c r="X556" s="70"/>
      <c r="AA556" s="70"/>
      <c r="AC556" s="70"/>
      <c r="AD556" s="381"/>
      <c r="AM556" s="70"/>
      <c r="AN556" s="70"/>
      <c r="AO556" s="70"/>
      <c r="AY556" s="129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</row>
    <row r="557">
      <c r="C557" s="70"/>
      <c r="E557" s="70"/>
      <c r="O557" s="70"/>
      <c r="Q557" s="70"/>
      <c r="X557" s="70"/>
      <c r="AA557" s="70"/>
      <c r="AC557" s="70"/>
      <c r="AD557" s="381"/>
      <c r="AM557" s="70"/>
      <c r="AN557" s="70"/>
      <c r="AO557" s="70"/>
      <c r="AY557" s="129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</row>
    <row r="558">
      <c r="C558" s="70"/>
      <c r="E558" s="70"/>
      <c r="O558" s="70"/>
      <c r="Q558" s="70"/>
      <c r="X558" s="70"/>
      <c r="AA558" s="70"/>
      <c r="AC558" s="70"/>
      <c r="AD558" s="381"/>
      <c r="AM558" s="70"/>
      <c r="AN558" s="70"/>
      <c r="AO558" s="70"/>
      <c r="AY558" s="129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</row>
    <row r="559">
      <c r="C559" s="70"/>
      <c r="E559" s="70"/>
      <c r="O559" s="70"/>
      <c r="Q559" s="70"/>
      <c r="X559" s="70"/>
      <c r="AA559" s="70"/>
      <c r="AC559" s="70"/>
      <c r="AD559" s="381"/>
      <c r="AM559" s="70"/>
      <c r="AN559" s="70"/>
      <c r="AO559" s="70"/>
      <c r="AY559" s="129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</row>
    <row r="560">
      <c r="C560" s="70"/>
      <c r="E560" s="70"/>
      <c r="O560" s="70"/>
      <c r="Q560" s="70"/>
      <c r="X560" s="70"/>
      <c r="AA560" s="70"/>
      <c r="AC560" s="70"/>
      <c r="AD560" s="381"/>
      <c r="AM560" s="70"/>
      <c r="AN560" s="70"/>
      <c r="AO560" s="70"/>
      <c r="AY560" s="129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</row>
    <row r="561">
      <c r="C561" s="70"/>
      <c r="E561" s="70"/>
      <c r="O561" s="70"/>
      <c r="Q561" s="70"/>
      <c r="X561" s="70"/>
      <c r="AA561" s="70"/>
      <c r="AC561" s="70"/>
      <c r="AD561" s="381"/>
      <c r="AM561" s="70"/>
      <c r="AN561" s="70"/>
      <c r="AO561" s="70"/>
      <c r="AY561" s="129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</row>
    <row r="562">
      <c r="C562" s="70"/>
      <c r="E562" s="70"/>
      <c r="O562" s="70"/>
      <c r="Q562" s="70"/>
      <c r="X562" s="70"/>
      <c r="AA562" s="70"/>
      <c r="AC562" s="70"/>
      <c r="AD562" s="381"/>
      <c r="AM562" s="70"/>
      <c r="AN562" s="70"/>
      <c r="AO562" s="70"/>
      <c r="AY562" s="129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</row>
    <row r="563">
      <c r="C563" s="70"/>
      <c r="E563" s="70"/>
      <c r="O563" s="70"/>
      <c r="Q563" s="70"/>
      <c r="X563" s="70"/>
      <c r="AA563" s="70"/>
      <c r="AC563" s="70"/>
      <c r="AD563" s="381"/>
      <c r="AM563" s="70"/>
      <c r="AN563" s="70"/>
      <c r="AO563" s="70"/>
      <c r="AY563" s="129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</row>
    <row r="564">
      <c r="C564" s="70"/>
      <c r="E564" s="70"/>
      <c r="O564" s="70"/>
      <c r="Q564" s="70"/>
      <c r="X564" s="70"/>
      <c r="AA564" s="70"/>
      <c r="AC564" s="70"/>
      <c r="AD564" s="381"/>
      <c r="AM564" s="70"/>
      <c r="AN564" s="70"/>
      <c r="AO564" s="70"/>
      <c r="AY564" s="129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</row>
    <row r="565">
      <c r="C565" s="70"/>
      <c r="E565" s="70"/>
      <c r="O565" s="70"/>
      <c r="Q565" s="70"/>
      <c r="X565" s="70"/>
      <c r="AA565" s="70"/>
      <c r="AC565" s="70"/>
      <c r="AD565" s="381"/>
      <c r="AM565" s="70"/>
      <c r="AN565" s="70"/>
      <c r="AO565" s="70"/>
      <c r="AY565" s="129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</row>
    <row r="566">
      <c r="C566" s="70"/>
      <c r="E566" s="70"/>
      <c r="O566" s="70"/>
      <c r="Q566" s="70"/>
      <c r="X566" s="70"/>
      <c r="AA566" s="70"/>
      <c r="AC566" s="70"/>
      <c r="AD566" s="381"/>
      <c r="AM566" s="70"/>
      <c r="AN566" s="70"/>
      <c r="AO566" s="70"/>
      <c r="AY566" s="129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</row>
    <row r="567">
      <c r="C567" s="70"/>
      <c r="E567" s="70"/>
      <c r="O567" s="70"/>
      <c r="Q567" s="70"/>
      <c r="X567" s="70"/>
      <c r="AA567" s="70"/>
      <c r="AC567" s="70"/>
      <c r="AD567" s="381"/>
      <c r="AM567" s="70"/>
      <c r="AN567" s="70"/>
      <c r="AO567" s="70"/>
      <c r="AY567" s="129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</row>
    <row r="568">
      <c r="C568" s="70"/>
      <c r="E568" s="70"/>
      <c r="O568" s="70"/>
      <c r="Q568" s="70"/>
      <c r="X568" s="70"/>
      <c r="AA568" s="70"/>
      <c r="AC568" s="70"/>
      <c r="AD568" s="381"/>
      <c r="AM568" s="70"/>
      <c r="AN568" s="70"/>
      <c r="AO568" s="70"/>
      <c r="AY568" s="129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</row>
    <row r="569">
      <c r="C569" s="70"/>
      <c r="E569" s="70"/>
      <c r="O569" s="70"/>
      <c r="Q569" s="70"/>
      <c r="X569" s="70"/>
      <c r="AA569" s="70"/>
      <c r="AC569" s="70"/>
      <c r="AD569" s="381"/>
      <c r="AM569" s="70"/>
      <c r="AN569" s="70"/>
      <c r="AO569" s="70"/>
      <c r="AY569" s="129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</row>
    <row r="570">
      <c r="C570" s="70"/>
      <c r="E570" s="70"/>
      <c r="O570" s="70"/>
      <c r="Q570" s="70"/>
      <c r="X570" s="70"/>
      <c r="AA570" s="70"/>
      <c r="AC570" s="70"/>
      <c r="AD570" s="381"/>
      <c r="AM570" s="70"/>
      <c r="AN570" s="70"/>
      <c r="AO570" s="70"/>
      <c r="AY570" s="129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</row>
    <row r="571">
      <c r="C571" s="70"/>
      <c r="E571" s="70"/>
      <c r="O571" s="70"/>
      <c r="Q571" s="70"/>
      <c r="X571" s="70"/>
      <c r="AA571" s="70"/>
      <c r="AC571" s="70"/>
      <c r="AD571" s="381"/>
      <c r="AM571" s="70"/>
      <c r="AN571" s="70"/>
      <c r="AO571" s="70"/>
      <c r="AY571" s="129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</row>
    <row r="572">
      <c r="C572" s="70"/>
      <c r="E572" s="70"/>
      <c r="O572" s="70"/>
      <c r="Q572" s="70"/>
      <c r="X572" s="70"/>
      <c r="AA572" s="70"/>
      <c r="AC572" s="70"/>
      <c r="AD572" s="381"/>
      <c r="AM572" s="70"/>
      <c r="AN572" s="70"/>
      <c r="AO572" s="70"/>
      <c r="AY572" s="129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</row>
    <row r="573">
      <c r="C573" s="70"/>
      <c r="E573" s="70"/>
      <c r="O573" s="70"/>
      <c r="Q573" s="70"/>
      <c r="X573" s="70"/>
      <c r="AA573" s="70"/>
      <c r="AC573" s="70"/>
      <c r="AD573" s="381"/>
      <c r="AM573" s="70"/>
      <c r="AN573" s="70"/>
      <c r="AO573" s="70"/>
      <c r="AY573" s="129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</row>
    <row r="574">
      <c r="C574" s="70"/>
      <c r="E574" s="70"/>
      <c r="O574" s="70"/>
      <c r="Q574" s="70"/>
      <c r="X574" s="70"/>
      <c r="AA574" s="70"/>
      <c r="AC574" s="70"/>
      <c r="AD574" s="381"/>
      <c r="AM574" s="70"/>
      <c r="AN574" s="70"/>
      <c r="AO574" s="70"/>
      <c r="AY574" s="129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</row>
    <row r="575">
      <c r="C575" s="70"/>
      <c r="E575" s="70"/>
      <c r="O575" s="70"/>
      <c r="Q575" s="70"/>
      <c r="X575" s="70"/>
      <c r="AA575" s="70"/>
      <c r="AC575" s="70"/>
      <c r="AD575" s="381"/>
      <c r="AM575" s="70"/>
      <c r="AN575" s="70"/>
      <c r="AO575" s="70"/>
      <c r="AY575" s="129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</row>
    <row r="576">
      <c r="C576" s="70"/>
      <c r="E576" s="70"/>
      <c r="O576" s="70"/>
      <c r="Q576" s="70"/>
      <c r="X576" s="70"/>
      <c r="AA576" s="70"/>
      <c r="AC576" s="70"/>
      <c r="AD576" s="381"/>
      <c r="AM576" s="70"/>
      <c r="AN576" s="70"/>
      <c r="AO576" s="70"/>
      <c r="AY576" s="129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</row>
    <row r="577">
      <c r="C577" s="70"/>
      <c r="E577" s="70"/>
      <c r="O577" s="70"/>
      <c r="Q577" s="70"/>
      <c r="X577" s="70"/>
      <c r="AA577" s="70"/>
      <c r="AC577" s="70"/>
      <c r="AD577" s="381"/>
      <c r="AM577" s="70"/>
      <c r="AN577" s="70"/>
      <c r="AO577" s="70"/>
      <c r="AY577" s="129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</row>
    <row r="578">
      <c r="C578" s="70"/>
      <c r="E578" s="70"/>
      <c r="O578" s="70"/>
      <c r="Q578" s="70"/>
      <c r="X578" s="70"/>
      <c r="AA578" s="70"/>
      <c r="AC578" s="70"/>
      <c r="AD578" s="381"/>
      <c r="AM578" s="70"/>
      <c r="AN578" s="70"/>
      <c r="AO578" s="70"/>
      <c r="AY578" s="129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</row>
    <row r="579">
      <c r="C579" s="70"/>
      <c r="E579" s="70"/>
      <c r="O579" s="70"/>
      <c r="Q579" s="70"/>
      <c r="X579" s="70"/>
      <c r="AA579" s="70"/>
      <c r="AC579" s="70"/>
      <c r="AD579" s="381"/>
      <c r="AM579" s="70"/>
      <c r="AN579" s="70"/>
      <c r="AO579" s="70"/>
      <c r="AY579" s="129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</row>
    <row r="580">
      <c r="C580" s="70"/>
      <c r="E580" s="70"/>
      <c r="O580" s="70"/>
      <c r="Q580" s="70"/>
      <c r="X580" s="70"/>
      <c r="AA580" s="70"/>
      <c r="AC580" s="70"/>
      <c r="AD580" s="381"/>
      <c r="AM580" s="70"/>
      <c r="AN580" s="70"/>
      <c r="AO580" s="70"/>
      <c r="AY580" s="129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</row>
    <row r="581">
      <c r="C581" s="70"/>
      <c r="E581" s="70"/>
      <c r="O581" s="70"/>
      <c r="Q581" s="70"/>
      <c r="X581" s="70"/>
      <c r="AA581" s="70"/>
      <c r="AC581" s="70"/>
      <c r="AD581" s="381"/>
      <c r="AM581" s="70"/>
      <c r="AN581" s="70"/>
      <c r="AO581" s="70"/>
      <c r="AY581" s="129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</row>
    <row r="582">
      <c r="C582" s="70"/>
      <c r="E582" s="70"/>
      <c r="O582" s="70"/>
      <c r="Q582" s="70"/>
      <c r="X582" s="70"/>
      <c r="AA582" s="70"/>
      <c r="AC582" s="70"/>
      <c r="AD582" s="381"/>
      <c r="AM582" s="70"/>
      <c r="AN582" s="70"/>
      <c r="AO582" s="70"/>
      <c r="AY582" s="129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</row>
    <row r="583">
      <c r="C583" s="70"/>
      <c r="E583" s="70"/>
      <c r="O583" s="70"/>
      <c r="Q583" s="70"/>
      <c r="X583" s="70"/>
      <c r="AA583" s="70"/>
      <c r="AC583" s="70"/>
      <c r="AD583" s="381"/>
      <c r="AM583" s="70"/>
      <c r="AN583" s="70"/>
      <c r="AO583" s="70"/>
      <c r="AY583" s="129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</row>
    <row r="584">
      <c r="C584" s="70"/>
      <c r="E584" s="70"/>
      <c r="O584" s="70"/>
      <c r="Q584" s="70"/>
      <c r="X584" s="70"/>
      <c r="AA584" s="70"/>
      <c r="AC584" s="70"/>
      <c r="AD584" s="381"/>
      <c r="AM584" s="70"/>
      <c r="AN584" s="70"/>
      <c r="AO584" s="70"/>
      <c r="AY584" s="129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</row>
    <row r="585">
      <c r="C585" s="70"/>
      <c r="E585" s="70"/>
      <c r="O585" s="70"/>
      <c r="Q585" s="70"/>
      <c r="X585" s="70"/>
      <c r="AA585" s="70"/>
      <c r="AC585" s="70"/>
      <c r="AD585" s="381"/>
      <c r="AM585" s="70"/>
      <c r="AN585" s="70"/>
      <c r="AO585" s="70"/>
      <c r="AY585" s="129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</row>
    <row r="586">
      <c r="C586" s="70"/>
      <c r="E586" s="70"/>
      <c r="O586" s="70"/>
      <c r="Q586" s="70"/>
      <c r="X586" s="70"/>
      <c r="AA586" s="70"/>
      <c r="AC586" s="70"/>
      <c r="AD586" s="381"/>
      <c r="AM586" s="70"/>
      <c r="AN586" s="70"/>
      <c r="AO586" s="70"/>
      <c r="AY586" s="129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</row>
    <row r="587">
      <c r="C587" s="70"/>
      <c r="E587" s="70"/>
      <c r="O587" s="70"/>
      <c r="Q587" s="70"/>
      <c r="X587" s="70"/>
      <c r="AA587" s="70"/>
      <c r="AC587" s="70"/>
      <c r="AD587" s="381"/>
      <c r="AM587" s="70"/>
      <c r="AN587" s="70"/>
      <c r="AO587" s="70"/>
      <c r="AY587" s="129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</row>
    <row r="588">
      <c r="C588" s="70"/>
      <c r="E588" s="70"/>
      <c r="O588" s="70"/>
      <c r="Q588" s="70"/>
      <c r="X588" s="70"/>
      <c r="AA588" s="70"/>
      <c r="AC588" s="70"/>
      <c r="AD588" s="381"/>
      <c r="AM588" s="70"/>
      <c r="AN588" s="70"/>
      <c r="AO588" s="70"/>
      <c r="AY588" s="129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</row>
    <row r="589">
      <c r="C589" s="70"/>
      <c r="E589" s="70"/>
      <c r="O589" s="70"/>
      <c r="Q589" s="70"/>
      <c r="X589" s="70"/>
      <c r="AA589" s="70"/>
      <c r="AC589" s="70"/>
      <c r="AD589" s="381"/>
      <c r="AM589" s="70"/>
      <c r="AN589" s="70"/>
      <c r="AO589" s="70"/>
      <c r="AY589" s="129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</row>
    <row r="590">
      <c r="C590" s="70"/>
      <c r="E590" s="70"/>
      <c r="O590" s="70"/>
      <c r="Q590" s="70"/>
      <c r="X590" s="70"/>
      <c r="AA590" s="70"/>
      <c r="AC590" s="70"/>
      <c r="AD590" s="381"/>
      <c r="AM590" s="70"/>
      <c r="AN590" s="70"/>
      <c r="AO590" s="70"/>
      <c r="AY590" s="129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</row>
    <row r="591">
      <c r="C591" s="70"/>
      <c r="E591" s="70"/>
      <c r="O591" s="70"/>
      <c r="Q591" s="70"/>
      <c r="X591" s="70"/>
      <c r="AA591" s="70"/>
      <c r="AC591" s="70"/>
      <c r="AD591" s="381"/>
      <c r="AM591" s="70"/>
      <c r="AN591" s="70"/>
      <c r="AO591" s="70"/>
      <c r="AY591" s="129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</row>
    <row r="592">
      <c r="C592" s="70"/>
      <c r="E592" s="70"/>
      <c r="O592" s="70"/>
      <c r="Q592" s="70"/>
      <c r="X592" s="70"/>
      <c r="AA592" s="70"/>
      <c r="AC592" s="70"/>
      <c r="AD592" s="381"/>
      <c r="AM592" s="70"/>
      <c r="AN592" s="70"/>
      <c r="AO592" s="70"/>
      <c r="AY592" s="129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</row>
    <row r="593">
      <c r="C593" s="70"/>
      <c r="E593" s="70"/>
      <c r="O593" s="70"/>
      <c r="Q593" s="70"/>
      <c r="X593" s="70"/>
      <c r="AA593" s="70"/>
      <c r="AC593" s="70"/>
      <c r="AD593" s="381"/>
      <c r="AM593" s="70"/>
      <c r="AN593" s="70"/>
      <c r="AO593" s="70"/>
      <c r="AY593" s="129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</row>
    <row r="594">
      <c r="C594" s="70"/>
      <c r="E594" s="70"/>
      <c r="O594" s="70"/>
      <c r="Q594" s="70"/>
      <c r="X594" s="70"/>
      <c r="AA594" s="70"/>
      <c r="AC594" s="70"/>
      <c r="AD594" s="381"/>
      <c r="AM594" s="70"/>
      <c r="AN594" s="70"/>
      <c r="AO594" s="70"/>
      <c r="AY594" s="129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</row>
    <row r="595">
      <c r="C595" s="70"/>
      <c r="E595" s="70"/>
      <c r="O595" s="70"/>
      <c r="Q595" s="70"/>
      <c r="X595" s="70"/>
      <c r="AA595" s="70"/>
      <c r="AC595" s="70"/>
      <c r="AD595" s="381"/>
      <c r="AM595" s="70"/>
      <c r="AN595" s="70"/>
      <c r="AO595" s="70"/>
      <c r="AY595" s="129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</row>
    <row r="596">
      <c r="C596" s="70"/>
      <c r="E596" s="70"/>
      <c r="O596" s="70"/>
      <c r="Q596" s="70"/>
      <c r="X596" s="70"/>
      <c r="AA596" s="70"/>
      <c r="AC596" s="70"/>
      <c r="AD596" s="381"/>
      <c r="AM596" s="70"/>
      <c r="AN596" s="70"/>
      <c r="AO596" s="70"/>
      <c r="AY596" s="129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</row>
    <row r="597">
      <c r="C597" s="70"/>
      <c r="E597" s="70"/>
      <c r="O597" s="70"/>
      <c r="Q597" s="70"/>
      <c r="X597" s="70"/>
      <c r="AA597" s="70"/>
      <c r="AC597" s="70"/>
      <c r="AD597" s="381"/>
      <c r="AM597" s="70"/>
      <c r="AN597" s="70"/>
      <c r="AO597" s="70"/>
      <c r="AY597" s="129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</row>
    <row r="598">
      <c r="C598" s="70"/>
      <c r="E598" s="70"/>
      <c r="O598" s="70"/>
      <c r="Q598" s="70"/>
      <c r="X598" s="70"/>
      <c r="AA598" s="70"/>
      <c r="AC598" s="70"/>
      <c r="AD598" s="381"/>
      <c r="AM598" s="70"/>
      <c r="AN598" s="70"/>
      <c r="AO598" s="70"/>
      <c r="AY598" s="129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</row>
    <row r="599">
      <c r="C599" s="70"/>
      <c r="E599" s="70"/>
      <c r="O599" s="70"/>
      <c r="Q599" s="70"/>
      <c r="X599" s="70"/>
      <c r="AA599" s="70"/>
      <c r="AC599" s="70"/>
      <c r="AD599" s="381"/>
      <c r="AM599" s="70"/>
      <c r="AN599" s="70"/>
      <c r="AO599" s="70"/>
      <c r="AY599" s="129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</row>
    <row r="600">
      <c r="C600" s="70"/>
      <c r="E600" s="70"/>
      <c r="O600" s="70"/>
      <c r="Q600" s="70"/>
      <c r="X600" s="70"/>
      <c r="AA600" s="70"/>
      <c r="AC600" s="70"/>
      <c r="AD600" s="381"/>
      <c r="AM600" s="70"/>
      <c r="AN600" s="70"/>
      <c r="AO600" s="70"/>
      <c r="AY600" s="129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</row>
    <row r="601">
      <c r="C601" s="70"/>
      <c r="E601" s="70"/>
      <c r="O601" s="70"/>
      <c r="Q601" s="70"/>
      <c r="X601" s="70"/>
      <c r="AA601" s="70"/>
      <c r="AC601" s="70"/>
      <c r="AD601" s="381"/>
      <c r="AM601" s="70"/>
      <c r="AN601" s="70"/>
      <c r="AO601" s="70"/>
      <c r="AY601" s="129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</row>
    <row r="602">
      <c r="C602" s="70"/>
      <c r="E602" s="70"/>
      <c r="O602" s="70"/>
      <c r="Q602" s="70"/>
      <c r="X602" s="70"/>
      <c r="AA602" s="70"/>
      <c r="AC602" s="70"/>
      <c r="AD602" s="381"/>
      <c r="AM602" s="70"/>
      <c r="AN602" s="70"/>
      <c r="AO602" s="70"/>
      <c r="AY602" s="129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</row>
    <row r="603">
      <c r="C603" s="70"/>
      <c r="E603" s="70"/>
      <c r="O603" s="70"/>
      <c r="Q603" s="70"/>
      <c r="X603" s="70"/>
      <c r="AA603" s="70"/>
      <c r="AC603" s="70"/>
      <c r="AD603" s="381"/>
      <c r="AM603" s="70"/>
      <c r="AN603" s="70"/>
      <c r="AO603" s="70"/>
      <c r="AY603" s="129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</row>
    <row r="604">
      <c r="C604" s="70"/>
      <c r="E604" s="70"/>
      <c r="O604" s="70"/>
      <c r="Q604" s="70"/>
      <c r="X604" s="70"/>
      <c r="AA604" s="70"/>
      <c r="AC604" s="70"/>
      <c r="AD604" s="381"/>
      <c r="AM604" s="70"/>
      <c r="AN604" s="70"/>
      <c r="AO604" s="70"/>
      <c r="AY604" s="129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</row>
    <row r="605">
      <c r="C605" s="70"/>
      <c r="E605" s="70"/>
      <c r="O605" s="70"/>
      <c r="Q605" s="70"/>
      <c r="X605" s="70"/>
      <c r="AA605" s="70"/>
      <c r="AC605" s="70"/>
      <c r="AD605" s="381"/>
      <c r="AM605" s="70"/>
      <c r="AN605" s="70"/>
      <c r="AO605" s="70"/>
      <c r="AY605" s="129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</row>
    <row r="606">
      <c r="C606" s="70"/>
      <c r="E606" s="70"/>
      <c r="O606" s="70"/>
      <c r="Q606" s="70"/>
      <c r="X606" s="70"/>
      <c r="AA606" s="70"/>
      <c r="AC606" s="70"/>
      <c r="AD606" s="381"/>
      <c r="AM606" s="70"/>
      <c r="AN606" s="70"/>
      <c r="AO606" s="70"/>
      <c r="AY606" s="129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</row>
    <row r="607">
      <c r="C607" s="70"/>
      <c r="E607" s="70"/>
      <c r="O607" s="70"/>
      <c r="Q607" s="70"/>
      <c r="X607" s="70"/>
      <c r="AA607" s="70"/>
      <c r="AC607" s="70"/>
      <c r="AD607" s="381"/>
      <c r="AM607" s="70"/>
      <c r="AN607" s="70"/>
      <c r="AO607" s="70"/>
      <c r="AY607" s="129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</row>
    <row r="608">
      <c r="C608" s="70"/>
      <c r="E608" s="70"/>
      <c r="O608" s="70"/>
      <c r="Q608" s="70"/>
      <c r="X608" s="70"/>
      <c r="AA608" s="70"/>
      <c r="AC608" s="70"/>
      <c r="AD608" s="381"/>
      <c r="AM608" s="70"/>
      <c r="AN608" s="70"/>
      <c r="AO608" s="70"/>
      <c r="AY608" s="129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</row>
    <row r="609">
      <c r="C609" s="70"/>
      <c r="E609" s="70"/>
      <c r="O609" s="70"/>
      <c r="Q609" s="70"/>
      <c r="X609" s="70"/>
      <c r="AA609" s="70"/>
      <c r="AC609" s="70"/>
      <c r="AD609" s="381"/>
      <c r="AM609" s="70"/>
      <c r="AN609" s="70"/>
      <c r="AO609" s="70"/>
      <c r="AY609" s="129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</row>
    <row r="610">
      <c r="C610" s="70"/>
      <c r="E610" s="70"/>
      <c r="O610" s="70"/>
      <c r="Q610" s="70"/>
      <c r="X610" s="70"/>
      <c r="AA610" s="70"/>
      <c r="AC610" s="70"/>
      <c r="AD610" s="381"/>
      <c r="AM610" s="70"/>
      <c r="AN610" s="70"/>
      <c r="AO610" s="70"/>
      <c r="AY610" s="129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</row>
    <row r="611">
      <c r="C611" s="70"/>
      <c r="E611" s="70"/>
      <c r="O611" s="70"/>
      <c r="Q611" s="70"/>
      <c r="X611" s="70"/>
      <c r="AA611" s="70"/>
      <c r="AC611" s="70"/>
      <c r="AD611" s="381"/>
      <c r="AM611" s="70"/>
      <c r="AN611" s="70"/>
      <c r="AO611" s="70"/>
      <c r="AY611" s="129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</row>
    <row r="612">
      <c r="C612" s="70"/>
      <c r="E612" s="70"/>
      <c r="O612" s="70"/>
      <c r="Q612" s="70"/>
      <c r="X612" s="70"/>
      <c r="AA612" s="70"/>
      <c r="AC612" s="70"/>
      <c r="AD612" s="381"/>
      <c r="AM612" s="70"/>
      <c r="AN612" s="70"/>
      <c r="AO612" s="70"/>
      <c r="AY612" s="129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</row>
    <row r="613">
      <c r="C613" s="70"/>
      <c r="E613" s="70"/>
      <c r="O613" s="70"/>
      <c r="Q613" s="70"/>
      <c r="X613" s="70"/>
      <c r="AA613" s="70"/>
      <c r="AC613" s="70"/>
      <c r="AD613" s="381"/>
      <c r="AM613" s="70"/>
      <c r="AN613" s="70"/>
      <c r="AO613" s="70"/>
      <c r="AY613" s="129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</row>
    <row r="614">
      <c r="C614" s="70"/>
      <c r="E614" s="70"/>
      <c r="O614" s="70"/>
      <c r="Q614" s="70"/>
      <c r="X614" s="70"/>
      <c r="AA614" s="70"/>
      <c r="AC614" s="70"/>
      <c r="AD614" s="381"/>
      <c r="AM614" s="70"/>
      <c r="AN614" s="70"/>
      <c r="AO614" s="70"/>
      <c r="AY614" s="129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</row>
    <row r="615">
      <c r="C615" s="70"/>
      <c r="E615" s="70"/>
      <c r="O615" s="70"/>
      <c r="Q615" s="70"/>
      <c r="X615" s="70"/>
      <c r="AA615" s="70"/>
      <c r="AC615" s="70"/>
      <c r="AD615" s="381"/>
      <c r="AM615" s="70"/>
      <c r="AN615" s="70"/>
      <c r="AO615" s="70"/>
      <c r="AY615" s="129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</row>
    <row r="616">
      <c r="C616" s="70"/>
      <c r="E616" s="70"/>
      <c r="O616" s="70"/>
      <c r="Q616" s="70"/>
      <c r="X616" s="70"/>
      <c r="AA616" s="70"/>
      <c r="AC616" s="70"/>
      <c r="AD616" s="381"/>
      <c r="AM616" s="70"/>
      <c r="AN616" s="70"/>
      <c r="AO616" s="70"/>
      <c r="AY616" s="129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</row>
    <row r="617">
      <c r="C617" s="70"/>
      <c r="E617" s="70"/>
      <c r="O617" s="70"/>
      <c r="Q617" s="70"/>
      <c r="X617" s="70"/>
      <c r="AA617" s="70"/>
      <c r="AC617" s="70"/>
      <c r="AD617" s="381"/>
      <c r="AM617" s="70"/>
      <c r="AN617" s="70"/>
      <c r="AO617" s="70"/>
      <c r="AY617" s="129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</row>
    <row r="618">
      <c r="C618" s="70"/>
      <c r="E618" s="70"/>
      <c r="O618" s="70"/>
      <c r="Q618" s="70"/>
      <c r="X618" s="70"/>
      <c r="AA618" s="70"/>
      <c r="AC618" s="70"/>
      <c r="AD618" s="381"/>
      <c r="AM618" s="70"/>
      <c r="AN618" s="70"/>
      <c r="AO618" s="70"/>
      <c r="AY618" s="129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</row>
    <row r="619">
      <c r="C619" s="70"/>
      <c r="E619" s="70"/>
      <c r="O619" s="70"/>
      <c r="Q619" s="70"/>
      <c r="X619" s="70"/>
      <c r="AA619" s="70"/>
      <c r="AC619" s="70"/>
      <c r="AD619" s="381"/>
      <c r="AM619" s="70"/>
      <c r="AN619" s="70"/>
      <c r="AO619" s="70"/>
      <c r="AY619" s="129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</row>
    <row r="620">
      <c r="C620" s="70"/>
      <c r="E620" s="70"/>
      <c r="O620" s="70"/>
      <c r="Q620" s="70"/>
      <c r="X620" s="70"/>
      <c r="AA620" s="70"/>
      <c r="AC620" s="70"/>
      <c r="AD620" s="381"/>
      <c r="AM620" s="70"/>
      <c r="AN620" s="70"/>
      <c r="AO620" s="70"/>
      <c r="AY620" s="129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</row>
    <row r="621">
      <c r="C621" s="70"/>
      <c r="E621" s="70"/>
      <c r="O621" s="70"/>
      <c r="Q621" s="70"/>
      <c r="X621" s="70"/>
      <c r="AA621" s="70"/>
      <c r="AC621" s="70"/>
      <c r="AD621" s="381"/>
      <c r="AM621" s="70"/>
      <c r="AN621" s="70"/>
      <c r="AO621" s="70"/>
      <c r="AY621" s="129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</row>
    <row r="622">
      <c r="C622" s="70"/>
      <c r="E622" s="70"/>
      <c r="O622" s="70"/>
      <c r="Q622" s="70"/>
      <c r="X622" s="70"/>
      <c r="AA622" s="70"/>
      <c r="AC622" s="70"/>
      <c r="AD622" s="381"/>
      <c r="AM622" s="70"/>
      <c r="AN622" s="70"/>
      <c r="AO622" s="70"/>
      <c r="AY622" s="129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</row>
    <row r="623">
      <c r="C623" s="70"/>
      <c r="E623" s="70"/>
      <c r="O623" s="70"/>
      <c r="Q623" s="70"/>
      <c r="X623" s="70"/>
      <c r="AA623" s="70"/>
      <c r="AC623" s="70"/>
      <c r="AD623" s="381"/>
      <c r="AM623" s="70"/>
      <c r="AN623" s="70"/>
      <c r="AO623" s="70"/>
      <c r="AY623" s="129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</row>
    <row r="624">
      <c r="C624" s="70"/>
      <c r="E624" s="70"/>
      <c r="O624" s="70"/>
      <c r="Q624" s="70"/>
      <c r="X624" s="70"/>
      <c r="AA624" s="70"/>
      <c r="AC624" s="70"/>
      <c r="AD624" s="381"/>
      <c r="AM624" s="70"/>
      <c r="AN624" s="70"/>
      <c r="AO624" s="70"/>
      <c r="AY624" s="129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</row>
    <row r="625">
      <c r="C625" s="70"/>
      <c r="E625" s="70"/>
      <c r="O625" s="70"/>
      <c r="Q625" s="70"/>
      <c r="X625" s="70"/>
      <c r="AA625" s="70"/>
      <c r="AC625" s="70"/>
      <c r="AD625" s="381"/>
      <c r="AM625" s="70"/>
      <c r="AN625" s="70"/>
      <c r="AO625" s="70"/>
      <c r="AY625" s="129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</row>
    <row r="626">
      <c r="C626" s="70"/>
      <c r="E626" s="70"/>
      <c r="O626" s="70"/>
      <c r="Q626" s="70"/>
      <c r="X626" s="70"/>
      <c r="AA626" s="70"/>
      <c r="AC626" s="70"/>
      <c r="AD626" s="381"/>
      <c r="AM626" s="70"/>
      <c r="AN626" s="70"/>
      <c r="AO626" s="70"/>
      <c r="AY626" s="129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</row>
    <row r="627">
      <c r="C627" s="70"/>
      <c r="E627" s="70"/>
      <c r="O627" s="70"/>
      <c r="Q627" s="70"/>
      <c r="X627" s="70"/>
      <c r="AA627" s="70"/>
      <c r="AC627" s="70"/>
      <c r="AD627" s="381"/>
      <c r="AM627" s="70"/>
      <c r="AN627" s="70"/>
      <c r="AO627" s="70"/>
      <c r="AY627" s="129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</row>
    <row r="628">
      <c r="C628" s="70"/>
      <c r="E628" s="70"/>
      <c r="O628" s="70"/>
      <c r="Q628" s="70"/>
      <c r="X628" s="70"/>
      <c r="AA628" s="70"/>
      <c r="AC628" s="70"/>
      <c r="AD628" s="381"/>
      <c r="AM628" s="70"/>
      <c r="AN628" s="70"/>
      <c r="AO628" s="70"/>
      <c r="AY628" s="129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</row>
    <row r="629">
      <c r="C629" s="70"/>
      <c r="E629" s="70"/>
      <c r="O629" s="70"/>
      <c r="Q629" s="70"/>
      <c r="X629" s="70"/>
      <c r="AA629" s="70"/>
      <c r="AC629" s="70"/>
      <c r="AD629" s="381"/>
      <c r="AM629" s="70"/>
      <c r="AN629" s="70"/>
      <c r="AO629" s="70"/>
      <c r="AY629" s="129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</row>
    <row r="630">
      <c r="C630" s="70"/>
      <c r="E630" s="70"/>
      <c r="O630" s="70"/>
      <c r="Q630" s="70"/>
      <c r="X630" s="70"/>
      <c r="AA630" s="70"/>
      <c r="AC630" s="70"/>
      <c r="AD630" s="381"/>
      <c r="AM630" s="70"/>
      <c r="AN630" s="70"/>
      <c r="AO630" s="70"/>
      <c r="AY630" s="129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</row>
    <row r="631">
      <c r="C631" s="70"/>
      <c r="E631" s="70"/>
      <c r="O631" s="70"/>
      <c r="Q631" s="70"/>
      <c r="X631" s="70"/>
      <c r="AA631" s="70"/>
      <c r="AC631" s="70"/>
      <c r="AD631" s="381"/>
      <c r="AM631" s="70"/>
      <c r="AN631" s="70"/>
      <c r="AO631" s="70"/>
      <c r="AY631" s="129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</row>
    <row r="632">
      <c r="C632" s="70"/>
      <c r="E632" s="70"/>
      <c r="O632" s="70"/>
      <c r="Q632" s="70"/>
      <c r="X632" s="70"/>
      <c r="AA632" s="70"/>
      <c r="AC632" s="70"/>
      <c r="AD632" s="381"/>
      <c r="AM632" s="70"/>
      <c r="AN632" s="70"/>
      <c r="AO632" s="70"/>
      <c r="AY632" s="129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</row>
    <row r="633">
      <c r="C633" s="70"/>
      <c r="E633" s="70"/>
      <c r="O633" s="70"/>
      <c r="Q633" s="70"/>
      <c r="X633" s="70"/>
      <c r="AA633" s="70"/>
      <c r="AC633" s="70"/>
      <c r="AD633" s="381"/>
      <c r="AM633" s="70"/>
      <c r="AN633" s="70"/>
      <c r="AO633" s="70"/>
      <c r="AY633" s="129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</row>
    <row r="634">
      <c r="C634" s="70"/>
      <c r="E634" s="70"/>
      <c r="O634" s="70"/>
      <c r="Q634" s="70"/>
      <c r="X634" s="70"/>
      <c r="AA634" s="70"/>
      <c r="AC634" s="70"/>
      <c r="AD634" s="381"/>
      <c r="AM634" s="70"/>
      <c r="AN634" s="70"/>
      <c r="AO634" s="70"/>
      <c r="AY634" s="129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</row>
    <row r="635">
      <c r="C635" s="70"/>
      <c r="E635" s="70"/>
      <c r="O635" s="70"/>
      <c r="Q635" s="70"/>
      <c r="X635" s="70"/>
      <c r="AA635" s="70"/>
      <c r="AC635" s="70"/>
      <c r="AD635" s="381"/>
      <c r="AM635" s="70"/>
      <c r="AN635" s="70"/>
      <c r="AO635" s="70"/>
      <c r="AY635" s="129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</row>
    <row r="636">
      <c r="C636" s="70"/>
      <c r="E636" s="70"/>
      <c r="O636" s="70"/>
      <c r="Q636" s="70"/>
      <c r="X636" s="70"/>
      <c r="AA636" s="70"/>
      <c r="AC636" s="70"/>
      <c r="AD636" s="381"/>
      <c r="AM636" s="70"/>
      <c r="AN636" s="70"/>
      <c r="AO636" s="70"/>
      <c r="AY636" s="129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</row>
    <row r="637">
      <c r="C637" s="70"/>
      <c r="E637" s="70"/>
      <c r="O637" s="70"/>
      <c r="Q637" s="70"/>
      <c r="X637" s="70"/>
      <c r="AA637" s="70"/>
      <c r="AC637" s="70"/>
      <c r="AD637" s="381"/>
      <c r="AM637" s="70"/>
      <c r="AN637" s="70"/>
      <c r="AO637" s="70"/>
      <c r="AY637" s="129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</row>
    <row r="638">
      <c r="C638" s="70"/>
      <c r="E638" s="70"/>
      <c r="O638" s="70"/>
      <c r="Q638" s="70"/>
      <c r="X638" s="70"/>
      <c r="AA638" s="70"/>
      <c r="AC638" s="70"/>
      <c r="AD638" s="381"/>
      <c r="AM638" s="70"/>
      <c r="AN638" s="70"/>
      <c r="AO638" s="70"/>
      <c r="AY638" s="129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</row>
    <row r="639">
      <c r="C639" s="70"/>
      <c r="E639" s="70"/>
      <c r="O639" s="70"/>
      <c r="Q639" s="70"/>
      <c r="X639" s="70"/>
      <c r="AA639" s="70"/>
      <c r="AC639" s="70"/>
      <c r="AD639" s="381"/>
      <c r="AM639" s="70"/>
      <c r="AN639" s="70"/>
      <c r="AO639" s="70"/>
      <c r="AY639" s="129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</row>
    <row r="640">
      <c r="C640" s="70"/>
      <c r="E640" s="70"/>
      <c r="O640" s="70"/>
      <c r="Q640" s="70"/>
      <c r="X640" s="70"/>
      <c r="AA640" s="70"/>
      <c r="AC640" s="70"/>
      <c r="AD640" s="381"/>
      <c r="AM640" s="70"/>
      <c r="AN640" s="70"/>
      <c r="AO640" s="70"/>
      <c r="AY640" s="129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</row>
    <row r="641">
      <c r="C641" s="70"/>
      <c r="E641" s="70"/>
      <c r="O641" s="70"/>
      <c r="Q641" s="70"/>
      <c r="X641" s="70"/>
      <c r="AA641" s="70"/>
      <c r="AC641" s="70"/>
      <c r="AD641" s="381"/>
      <c r="AM641" s="70"/>
      <c r="AN641" s="70"/>
      <c r="AO641" s="70"/>
      <c r="AY641" s="129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</row>
    <row r="642">
      <c r="C642" s="70"/>
      <c r="E642" s="70"/>
      <c r="O642" s="70"/>
      <c r="Q642" s="70"/>
      <c r="X642" s="70"/>
      <c r="AA642" s="70"/>
      <c r="AC642" s="70"/>
      <c r="AD642" s="381"/>
      <c r="AM642" s="70"/>
      <c r="AN642" s="70"/>
      <c r="AO642" s="70"/>
      <c r="AY642" s="129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</row>
    <row r="643">
      <c r="C643" s="70"/>
      <c r="E643" s="70"/>
      <c r="O643" s="70"/>
      <c r="Q643" s="70"/>
      <c r="X643" s="70"/>
      <c r="AA643" s="70"/>
      <c r="AC643" s="70"/>
      <c r="AD643" s="381"/>
      <c r="AM643" s="70"/>
      <c r="AN643" s="70"/>
      <c r="AO643" s="70"/>
      <c r="AY643" s="129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</row>
    <row r="644">
      <c r="C644" s="70"/>
      <c r="E644" s="70"/>
      <c r="O644" s="70"/>
      <c r="Q644" s="70"/>
      <c r="X644" s="70"/>
      <c r="AA644" s="70"/>
      <c r="AC644" s="70"/>
      <c r="AD644" s="381"/>
      <c r="AM644" s="70"/>
      <c r="AN644" s="70"/>
      <c r="AO644" s="70"/>
      <c r="AY644" s="129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</row>
    <row r="645">
      <c r="C645" s="70"/>
      <c r="E645" s="70"/>
      <c r="O645" s="70"/>
      <c r="Q645" s="70"/>
      <c r="X645" s="70"/>
      <c r="AA645" s="70"/>
      <c r="AC645" s="70"/>
      <c r="AD645" s="381"/>
      <c r="AM645" s="70"/>
      <c r="AN645" s="70"/>
      <c r="AO645" s="70"/>
      <c r="AY645" s="129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</row>
    <row r="646">
      <c r="C646" s="70"/>
      <c r="E646" s="70"/>
      <c r="O646" s="70"/>
      <c r="Q646" s="70"/>
      <c r="X646" s="70"/>
      <c r="AA646" s="70"/>
      <c r="AC646" s="70"/>
      <c r="AD646" s="381"/>
      <c r="AM646" s="70"/>
      <c r="AN646" s="70"/>
      <c r="AO646" s="70"/>
      <c r="AY646" s="129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</row>
    <row r="647">
      <c r="C647" s="70"/>
      <c r="E647" s="70"/>
      <c r="O647" s="70"/>
      <c r="Q647" s="70"/>
      <c r="X647" s="70"/>
      <c r="AA647" s="70"/>
      <c r="AC647" s="70"/>
      <c r="AD647" s="381"/>
      <c r="AM647" s="70"/>
      <c r="AN647" s="70"/>
      <c r="AO647" s="70"/>
      <c r="AY647" s="129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</row>
    <row r="648">
      <c r="C648" s="70"/>
      <c r="E648" s="70"/>
      <c r="O648" s="70"/>
      <c r="Q648" s="70"/>
      <c r="X648" s="70"/>
      <c r="AA648" s="70"/>
      <c r="AC648" s="70"/>
      <c r="AD648" s="381"/>
      <c r="AM648" s="70"/>
      <c r="AN648" s="70"/>
      <c r="AO648" s="70"/>
      <c r="AY648" s="129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</row>
    <row r="649">
      <c r="C649" s="70"/>
      <c r="E649" s="70"/>
      <c r="O649" s="70"/>
      <c r="Q649" s="70"/>
      <c r="X649" s="70"/>
      <c r="AA649" s="70"/>
      <c r="AC649" s="70"/>
      <c r="AD649" s="381"/>
      <c r="AM649" s="70"/>
      <c r="AN649" s="70"/>
      <c r="AO649" s="70"/>
      <c r="AY649" s="129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</row>
    <row r="650">
      <c r="C650" s="70"/>
      <c r="E650" s="70"/>
      <c r="O650" s="70"/>
      <c r="Q650" s="70"/>
      <c r="X650" s="70"/>
      <c r="AA650" s="70"/>
      <c r="AC650" s="70"/>
      <c r="AD650" s="381"/>
      <c r="AM650" s="70"/>
      <c r="AN650" s="70"/>
      <c r="AO650" s="70"/>
      <c r="AY650" s="129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</row>
    <row r="651">
      <c r="C651" s="70"/>
      <c r="E651" s="70"/>
      <c r="O651" s="70"/>
      <c r="Q651" s="70"/>
      <c r="X651" s="70"/>
      <c r="AA651" s="70"/>
      <c r="AC651" s="70"/>
      <c r="AD651" s="381"/>
      <c r="AM651" s="70"/>
      <c r="AN651" s="70"/>
      <c r="AO651" s="70"/>
      <c r="AY651" s="129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</row>
    <row r="652">
      <c r="C652" s="70"/>
      <c r="E652" s="70"/>
      <c r="O652" s="70"/>
      <c r="Q652" s="70"/>
      <c r="X652" s="70"/>
      <c r="AA652" s="70"/>
      <c r="AC652" s="70"/>
      <c r="AD652" s="381"/>
      <c r="AM652" s="70"/>
      <c r="AN652" s="70"/>
      <c r="AO652" s="70"/>
      <c r="AY652" s="129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</row>
    <row r="653">
      <c r="C653" s="70"/>
      <c r="E653" s="70"/>
      <c r="O653" s="70"/>
      <c r="Q653" s="70"/>
      <c r="X653" s="70"/>
      <c r="AA653" s="70"/>
      <c r="AC653" s="70"/>
      <c r="AD653" s="381"/>
      <c r="AM653" s="70"/>
      <c r="AN653" s="70"/>
      <c r="AO653" s="70"/>
      <c r="AY653" s="129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</row>
    <row r="654">
      <c r="C654" s="70"/>
      <c r="E654" s="70"/>
      <c r="O654" s="70"/>
      <c r="Q654" s="70"/>
      <c r="X654" s="70"/>
      <c r="AA654" s="70"/>
      <c r="AC654" s="70"/>
      <c r="AD654" s="381"/>
      <c r="AM654" s="70"/>
      <c r="AN654" s="70"/>
      <c r="AO654" s="70"/>
      <c r="AY654" s="129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</row>
    <row r="655">
      <c r="C655" s="70"/>
      <c r="E655" s="70"/>
      <c r="O655" s="70"/>
      <c r="Q655" s="70"/>
      <c r="X655" s="70"/>
      <c r="AA655" s="70"/>
      <c r="AC655" s="70"/>
      <c r="AD655" s="381"/>
      <c r="AM655" s="70"/>
      <c r="AN655" s="70"/>
      <c r="AO655" s="70"/>
      <c r="AY655" s="129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</row>
    <row r="656">
      <c r="C656" s="70"/>
      <c r="E656" s="70"/>
      <c r="O656" s="70"/>
      <c r="Q656" s="70"/>
      <c r="X656" s="70"/>
      <c r="AA656" s="70"/>
      <c r="AC656" s="70"/>
      <c r="AD656" s="381"/>
      <c r="AM656" s="70"/>
      <c r="AN656" s="70"/>
      <c r="AO656" s="70"/>
      <c r="AY656" s="129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</row>
    <row r="657">
      <c r="C657" s="70"/>
      <c r="E657" s="70"/>
      <c r="O657" s="70"/>
      <c r="Q657" s="70"/>
      <c r="X657" s="70"/>
      <c r="AA657" s="70"/>
      <c r="AC657" s="70"/>
      <c r="AD657" s="381"/>
      <c r="AM657" s="70"/>
      <c r="AN657" s="70"/>
      <c r="AO657" s="70"/>
      <c r="AY657" s="129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</row>
    <row r="658">
      <c r="C658" s="70"/>
      <c r="E658" s="70"/>
      <c r="O658" s="70"/>
      <c r="Q658" s="70"/>
      <c r="X658" s="70"/>
      <c r="AA658" s="70"/>
      <c r="AC658" s="70"/>
      <c r="AD658" s="381"/>
      <c r="AM658" s="70"/>
      <c r="AN658" s="70"/>
      <c r="AO658" s="70"/>
      <c r="AY658" s="129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</row>
    <row r="659">
      <c r="C659" s="70"/>
      <c r="E659" s="70"/>
      <c r="O659" s="70"/>
      <c r="Q659" s="70"/>
      <c r="X659" s="70"/>
      <c r="AA659" s="70"/>
      <c r="AC659" s="70"/>
      <c r="AD659" s="381"/>
      <c r="AM659" s="70"/>
      <c r="AN659" s="70"/>
      <c r="AO659" s="70"/>
      <c r="AY659" s="129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</row>
    <row r="660">
      <c r="C660" s="70"/>
      <c r="E660" s="70"/>
      <c r="O660" s="70"/>
      <c r="Q660" s="70"/>
      <c r="X660" s="70"/>
      <c r="AA660" s="70"/>
      <c r="AC660" s="70"/>
      <c r="AD660" s="381"/>
      <c r="AM660" s="70"/>
      <c r="AN660" s="70"/>
      <c r="AO660" s="70"/>
      <c r="AY660" s="129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</row>
    <row r="661">
      <c r="C661" s="70"/>
      <c r="E661" s="70"/>
      <c r="O661" s="70"/>
      <c r="Q661" s="70"/>
      <c r="X661" s="70"/>
      <c r="AA661" s="70"/>
      <c r="AC661" s="70"/>
      <c r="AD661" s="381"/>
      <c r="AM661" s="70"/>
      <c r="AN661" s="70"/>
      <c r="AO661" s="70"/>
      <c r="AY661" s="129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</row>
    <row r="662">
      <c r="C662" s="70"/>
      <c r="E662" s="70"/>
      <c r="O662" s="70"/>
      <c r="Q662" s="70"/>
      <c r="X662" s="70"/>
      <c r="AA662" s="70"/>
      <c r="AC662" s="70"/>
      <c r="AD662" s="381"/>
      <c r="AM662" s="70"/>
      <c r="AN662" s="70"/>
      <c r="AO662" s="70"/>
      <c r="AY662" s="129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</row>
    <row r="663">
      <c r="C663" s="70"/>
      <c r="E663" s="70"/>
      <c r="O663" s="70"/>
      <c r="Q663" s="70"/>
      <c r="X663" s="70"/>
      <c r="AA663" s="70"/>
      <c r="AC663" s="70"/>
      <c r="AD663" s="381"/>
      <c r="AM663" s="70"/>
      <c r="AN663" s="70"/>
      <c r="AO663" s="70"/>
      <c r="AY663" s="129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</row>
    <row r="664">
      <c r="C664" s="70"/>
      <c r="E664" s="70"/>
      <c r="O664" s="70"/>
      <c r="Q664" s="70"/>
      <c r="X664" s="70"/>
      <c r="AA664" s="70"/>
      <c r="AC664" s="70"/>
      <c r="AD664" s="381"/>
      <c r="AM664" s="70"/>
      <c r="AN664" s="70"/>
      <c r="AO664" s="70"/>
      <c r="AY664" s="129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</row>
    <row r="665">
      <c r="C665" s="70"/>
      <c r="E665" s="70"/>
      <c r="O665" s="70"/>
      <c r="Q665" s="70"/>
      <c r="X665" s="70"/>
      <c r="AA665" s="70"/>
      <c r="AC665" s="70"/>
      <c r="AD665" s="381"/>
      <c r="AM665" s="70"/>
      <c r="AN665" s="70"/>
      <c r="AO665" s="70"/>
      <c r="AY665" s="129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</row>
    <row r="666">
      <c r="C666" s="70"/>
      <c r="E666" s="70"/>
      <c r="O666" s="70"/>
      <c r="Q666" s="70"/>
      <c r="X666" s="70"/>
      <c r="AA666" s="70"/>
      <c r="AC666" s="70"/>
      <c r="AD666" s="381"/>
      <c r="AM666" s="70"/>
      <c r="AN666" s="70"/>
      <c r="AO666" s="70"/>
      <c r="AY666" s="129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</row>
    <row r="667">
      <c r="C667" s="70"/>
      <c r="E667" s="70"/>
      <c r="O667" s="70"/>
      <c r="Q667" s="70"/>
      <c r="X667" s="70"/>
      <c r="AA667" s="70"/>
      <c r="AC667" s="70"/>
      <c r="AD667" s="381"/>
      <c r="AM667" s="70"/>
      <c r="AN667" s="70"/>
      <c r="AO667" s="70"/>
      <c r="AY667" s="129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</row>
    <row r="668">
      <c r="C668" s="70"/>
      <c r="E668" s="70"/>
      <c r="O668" s="70"/>
      <c r="Q668" s="70"/>
      <c r="X668" s="70"/>
      <c r="AA668" s="70"/>
      <c r="AC668" s="70"/>
      <c r="AD668" s="381"/>
      <c r="AM668" s="70"/>
      <c r="AN668" s="70"/>
      <c r="AO668" s="70"/>
      <c r="AY668" s="129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</row>
    <row r="669">
      <c r="C669" s="70"/>
      <c r="E669" s="70"/>
      <c r="O669" s="70"/>
      <c r="Q669" s="70"/>
      <c r="X669" s="70"/>
      <c r="AA669" s="70"/>
      <c r="AC669" s="70"/>
      <c r="AD669" s="381"/>
      <c r="AM669" s="70"/>
      <c r="AN669" s="70"/>
      <c r="AO669" s="70"/>
      <c r="AY669" s="129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</row>
    <row r="670">
      <c r="C670" s="70"/>
      <c r="E670" s="70"/>
      <c r="O670" s="70"/>
      <c r="Q670" s="70"/>
      <c r="X670" s="70"/>
      <c r="AA670" s="70"/>
      <c r="AC670" s="70"/>
      <c r="AD670" s="381"/>
      <c r="AM670" s="70"/>
      <c r="AN670" s="70"/>
      <c r="AO670" s="70"/>
      <c r="AY670" s="129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</row>
    <row r="671">
      <c r="C671" s="70"/>
      <c r="E671" s="70"/>
      <c r="O671" s="70"/>
      <c r="Q671" s="70"/>
      <c r="X671" s="70"/>
      <c r="AA671" s="70"/>
      <c r="AC671" s="70"/>
      <c r="AD671" s="381"/>
      <c r="AM671" s="70"/>
      <c r="AN671" s="70"/>
      <c r="AO671" s="70"/>
      <c r="AY671" s="129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</row>
    <row r="672">
      <c r="C672" s="70"/>
      <c r="E672" s="70"/>
      <c r="O672" s="70"/>
      <c r="Q672" s="70"/>
      <c r="X672" s="70"/>
      <c r="AA672" s="70"/>
      <c r="AC672" s="70"/>
      <c r="AD672" s="381"/>
      <c r="AM672" s="70"/>
      <c r="AN672" s="70"/>
      <c r="AO672" s="70"/>
      <c r="AY672" s="129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</row>
    <row r="673">
      <c r="C673" s="70"/>
      <c r="E673" s="70"/>
      <c r="O673" s="70"/>
      <c r="Q673" s="70"/>
      <c r="X673" s="70"/>
      <c r="AA673" s="70"/>
      <c r="AC673" s="70"/>
      <c r="AD673" s="381"/>
      <c r="AM673" s="70"/>
      <c r="AN673" s="70"/>
      <c r="AO673" s="70"/>
      <c r="AY673" s="129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</row>
    <row r="674">
      <c r="C674" s="70"/>
      <c r="E674" s="70"/>
      <c r="O674" s="70"/>
      <c r="Q674" s="70"/>
      <c r="X674" s="70"/>
      <c r="AA674" s="70"/>
      <c r="AC674" s="70"/>
      <c r="AD674" s="381"/>
      <c r="AM674" s="70"/>
      <c r="AN674" s="70"/>
      <c r="AO674" s="70"/>
      <c r="AY674" s="129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</row>
    <row r="675">
      <c r="C675" s="70"/>
      <c r="E675" s="70"/>
      <c r="O675" s="70"/>
      <c r="Q675" s="70"/>
      <c r="X675" s="70"/>
      <c r="AA675" s="70"/>
      <c r="AC675" s="70"/>
      <c r="AD675" s="381"/>
      <c r="AM675" s="70"/>
      <c r="AN675" s="70"/>
      <c r="AO675" s="70"/>
      <c r="AY675" s="129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</row>
    <row r="676">
      <c r="C676" s="70"/>
      <c r="E676" s="70"/>
      <c r="O676" s="70"/>
      <c r="Q676" s="70"/>
      <c r="X676" s="70"/>
      <c r="AA676" s="70"/>
      <c r="AC676" s="70"/>
      <c r="AD676" s="381"/>
      <c r="AM676" s="70"/>
      <c r="AN676" s="70"/>
      <c r="AO676" s="70"/>
      <c r="AY676" s="129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</row>
    <row r="677">
      <c r="C677" s="70"/>
      <c r="E677" s="70"/>
      <c r="O677" s="70"/>
      <c r="Q677" s="70"/>
      <c r="X677" s="70"/>
      <c r="AA677" s="70"/>
      <c r="AC677" s="70"/>
      <c r="AD677" s="381"/>
      <c r="AM677" s="70"/>
      <c r="AN677" s="70"/>
      <c r="AO677" s="70"/>
      <c r="AY677" s="129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</row>
    <row r="678">
      <c r="C678" s="70"/>
      <c r="E678" s="70"/>
      <c r="O678" s="70"/>
      <c r="Q678" s="70"/>
      <c r="X678" s="70"/>
      <c r="AA678" s="70"/>
      <c r="AC678" s="70"/>
      <c r="AD678" s="381"/>
      <c r="AM678" s="70"/>
      <c r="AN678" s="70"/>
      <c r="AO678" s="70"/>
      <c r="AY678" s="129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</row>
    <row r="679">
      <c r="C679" s="70"/>
      <c r="E679" s="70"/>
      <c r="O679" s="70"/>
      <c r="Q679" s="70"/>
      <c r="X679" s="70"/>
      <c r="AA679" s="70"/>
      <c r="AC679" s="70"/>
      <c r="AD679" s="381"/>
      <c r="AM679" s="70"/>
      <c r="AN679" s="70"/>
      <c r="AO679" s="70"/>
      <c r="AY679" s="129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</row>
    <row r="680">
      <c r="C680" s="70"/>
      <c r="E680" s="70"/>
      <c r="O680" s="70"/>
      <c r="Q680" s="70"/>
      <c r="X680" s="70"/>
      <c r="AA680" s="70"/>
      <c r="AC680" s="70"/>
      <c r="AD680" s="381"/>
      <c r="AM680" s="70"/>
      <c r="AN680" s="70"/>
      <c r="AO680" s="70"/>
      <c r="AY680" s="129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</row>
    <row r="681">
      <c r="C681" s="70"/>
      <c r="E681" s="70"/>
      <c r="O681" s="70"/>
      <c r="Q681" s="70"/>
      <c r="X681" s="70"/>
      <c r="AA681" s="70"/>
      <c r="AC681" s="70"/>
      <c r="AD681" s="381"/>
      <c r="AM681" s="70"/>
      <c r="AN681" s="70"/>
      <c r="AO681" s="70"/>
      <c r="AY681" s="129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</row>
    <row r="682">
      <c r="C682" s="70"/>
      <c r="E682" s="70"/>
      <c r="O682" s="70"/>
      <c r="Q682" s="70"/>
      <c r="X682" s="70"/>
      <c r="AA682" s="70"/>
      <c r="AC682" s="70"/>
      <c r="AD682" s="381"/>
      <c r="AM682" s="70"/>
      <c r="AN682" s="70"/>
      <c r="AO682" s="70"/>
      <c r="AY682" s="129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</row>
    <row r="683">
      <c r="C683" s="70"/>
      <c r="E683" s="70"/>
      <c r="O683" s="70"/>
      <c r="Q683" s="70"/>
      <c r="X683" s="70"/>
      <c r="AA683" s="70"/>
      <c r="AC683" s="70"/>
      <c r="AD683" s="381"/>
      <c r="AM683" s="70"/>
      <c r="AN683" s="70"/>
      <c r="AO683" s="70"/>
      <c r="AY683" s="129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</row>
    <row r="684">
      <c r="C684" s="70"/>
      <c r="E684" s="70"/>
      <c r="O684" s="70"/>
      <c r="Q684" s="70"/>
      <c r="X684" s="70"/>
      <c r="AA684" s="70"/>
      <c r="AC684" s="70"/>
      <c r="AD684" s="381"/>
      <c r="AM684" s="70"/>
      <c r="AN684" s="70"/>
      <c r="AO684" s="70"/>
      <c r="AY684" s="129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</row>
    <row r="685">
      <c r="C685" s="70"/>
      <c r="E685" s="70"/>
      <c r="O685" s="70"/>
      <c r="Q685" s="70"/>
      <c r="X685" s="70"/>
      <c r="AA685" s="70"/>
      <c r="AC685" s="70"/>
      <c r="AD685" s="381"/>
      <c r="AM685" s="70"/>
      <c r="AN685" s="70"/>
      <c r="AO685" s="70"/>
      <c r="AY685" s="129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</row>
    <row r="686">
      <c r="C686" s="70"/>
      <c r="E686" s="70"/>
      <c r="O686" s="70"/>
      <c r="Q686" s="70"/>
      <c r="X686" s="70"/>
      <c r="AA686" s="70"/>
      <c r="AC686" s="70"/>
      <c r="AD686" s="381"/>
      <c r="AM686" s="70"/>
      <c r="AN686" s="70"/>
      <c r="AO686" s="70"/>
      <c r="AY686" s="129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</row>
    <row r="687">
      <c r="C687" s="70"/>
      <c r="E687" s="70"/>
      <c r="O687" s="70"/>
      <c r="Q687" s="70"/>
      <c r="X687" s="70"/>
      <c r="AA687" s="70"/>
      <c r="AC687" s="70"/>
      <c r="AD687" s="381"/>
      <c r="AM687" s="70"/>
      <c r="AN687" s="70"/>
      <c r="AO687" s="70"/>
      <c r="AY687" s="129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</row>
    <row r="688">
      <c r="C688" s="70"/>
      <c r="E688" s="70"/>
      <c r="O688" s="70"/>
      <c r="Q688" s="70"/>
      <c r="X688" s="70"/>
      <c r="AA688" s="70"/>
      <c r="AC688" s="70"/>
      <c r="AD688" s="381"/>
      <c r="AM688" s="70"/>
      <c r="AN688" s="70"/>
      <c r="AO688" s="70"/>
      <c r="AY688" s="129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</row>
    <row r="689">
      <c r="C689" s="70"/>
      <c r="E689" s="70"/>
      <c r="O689" s="70"/>
      <c r="Q689" s="70"/>
      <c r="X689" s="70"/>
      <c r="AA689" s="70"/>
      <c r="AC689" s="70"/>
      <c r="AD689" s="381"/>
      <c r="AM689" s="70"/>
      <c r="AN689" s="70"/>
      <c r="AO689" s="70"/>
      <c r="AY689" s="129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</row>
    <row r="690">
      <c r="C690" s="70"/>
      <c r="E690" s="70"/>
      <c r="O690" s="70"/>
      <c r="Q690" s="70"/>
      <c r="X690" s="70"/>
      <c r="AA690" s="70"/>
      <c r="AC690" s="70"/>
      <c r="AD690" s="381"/>
      <c r="AM690" s="70"/>
      <c r="AN690" s="70"/>
      <c r="AO690" s="70"/>
      <c r="AY690" s="129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</row>
    <row r="691">
      <c r="C691" s="70"/>
      <c r="E691" s="70"/>
      <c r="O691" s="70"/>
      <c r="Q691" s="70"/>
      <c r="X691" s="70"/>
      <c r="AA691" s="70"/>
      <c r="AC691" s="70"/>
      <c r="AD691" s="381"/>
      <c r="AM691" s="70"/>
      <c r="AN691" s="70"/>
      <c r="AO691" s="70"/>
      <c r="AY691" s="129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</row>
    <row r="692">
      <c r="C692" s="70"/>
      <c r="E692" s="70"/>
      <c r="O692" s="70"/>
      <c r="Q692" s="70"/>
      <c r="X692" s="70"/>
      <c r="AA692" s="70"/>
      <c r="AC692" s="70"/>
      <c r="AD692" s="381"/>
      <c r="AM692" s="70"/>
      <c r="AN692" s="70"/>
      <c r="AO692" s="70"/>
      <c r="AY692" s="129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</row>
    <row r="693">
      <c r="C693" s="70"/>
      <c r="E693" s="70"/>
      <c r="O693" s="70"/>
      <c r="Q693" s="70"/>
      <c r="X693" s="70"/>
      <c r="AA693" s="70"/>
      <c r="AC693" s="70"/>
      <c r="AD693" s="381"/>
      <c r="AM693" s="70"/>
      <c r="AN693" s="70"/>
      <c r="AO693" s="70"/>
      <c r="AY693" s="129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</row>
    <row r="694">
      <c r="C694" s="70"/>
      <c r="E694" s="70"/>
      <c r="O694" s="70"/>
      <c r="Q694" s="70"/>
      <c r="X694" s="70"/>
      <c r="AA694" s="70"/>
      <c r="AC694" s="70"/>
      <c r="AD694" s="381"/>
      <c r="AM694" s="70"/>
      <c r="AN694" s="70"/>
      <c r="AO694" s="70"/>
      <c r="AY694" s="129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</row>
    <row r="695">
      <c r="C695" s="70"/>
      <c r="E695" s="70"/>
      <c r="O695" s="70"/>
      <c r="Q695" s="70"/>
      <c r="X695" s="70"/>
      <c r="AA695" s="70"/>
      <c r="AC695" s="70"/>
      <c r="AD695" s="381"/>
      <c r="AM695" s="70"/>
      <c r="AN695" s="70"/>
      <c r="AO695" s="70"/>
      <c r="AY695" s="129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</row>
    <row r="696">
      <c r="C696" s="70"/>
      <c r="E696" s="70"/>
      <c r="O696" s="70"/>
      <c r="Q696" s="70"/>
      <c r="X696" s="70"/>
      <c r="AA696" s="70"/>
      <c r="AC696" s="70"/>
      <c r="AD696" s="381"/>
      <c r="AM696" s="70"/>
      <c r="AN696" s="70"/>
      <c r="AO696" s="70"/>
      <c r="AY696" s="129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</row>
    <row r="697">
      <c r="C697" s="70"/>
      <c r="E697" s="70"/>
      <c r="O697" s="70"/>
      <c r="Q697" s="70"/>
      <c r="X697" s="70"/>
      <c r="AA697" s="70"/>
      <c r="AC697" s="70"/>
      <c r="AD697" s="381"/>
      <c r="AM697" s="70"/>
      <c r="AN697" s="70"/>
      <c r="AO697" s="70"/>
      <c r="AY697" s="129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</row>
    <row r="698">
      <c r="C698" s="70"/>
      <c r="E698" s="70"/>
      <c r="O698" s="70"/>
      <c r="Q698" s="70"/>
      <c r="X698" s="70"/>
      <c r="AA698" s="70"/>
      <c r="AC698" s="70"/>
      <c r="AD698" s="381"/>
      <c r="AM698" s="70"/>
      <c r="AN698" s="70"/>
      <c r="AO698" s="70"/>
      <c r="AY698" s="129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</row>
    <row r="699">
      <c r="C699" s="70"/>
      <c r="E699" s="70"/>
      <c r="O699" s="70"/>
      <c r="Q699" s="70"/>
      <c r="X699" s="70"/>
      <c r="AA699" s="70"/>
      <c r="AC699" s="70"/>
      <c r="AD699" s="381"/>
      <c r="AM699" s="70"/>
      <c r="AN699" s="70"/>
      <c r="AO699" s="70"/>
      <c r="AY699" s="129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</row>
    <row r="700">
      <c r="C700" s="70"/>
      <c r="E700" s="70"/>
      <c r="O700" s="70"/>
      <c r="Q700" s="70"/>
      <c r="X700" s="70"/>
      <c r="AA700" s="70"/>
      <c r="AC700" s="70"/>
      <c r="AD700" s="381"/>
      <c r="AM700" s="70"/>
      <c r="AN700" s="70"/>
      <c r="AO700" s="70"/>
      <c r="AY700" s="129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</row>
    <row r="701">
      <c r="C701" s="70"/>
      <c r="E701" s="70"/>
      <c r="O701" s="70"/>
      <c r="Q701" s="70"/>
      <c r="X701" s="70"/>
      <c r="AA701" s="70"/>
      <c r="AC701" s="70"/>
      <c r="AD701" s="381"/>
      <c r="AM701" s="70"/>
      <c r="AN701" s="70"/>
      <c r="AO701" s="70"/>
      <c r="AY701" s="129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</row>
    <row r="702">
      <c r="C702" s="70"/>
      <c r="E702" s="70"/>
      <c r="O702" s="70"/>
      <c r="Q702" s="70"/>
      <c r="X702" s="70"/>
      <c r="AA702" s="70"/>
      <c r="AC702" s="70"/>
      <c r="AD702" s="381"/>
      <c r="AM702" s="70"/>
      <c r="AN702" s="70"/>
      <c r="AO702" s="70"/>
      <c r="AY702" s="129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</row>
    <row r="703">
      <c r="C703" s="70"/>
      <c r="E703" s="70"/>
      <c r="O703" s="70"/>
      <c r="Q703" s="70"/>
      <c r="X703" s="70"/>
      <c r="AA703" s="70"/>
      <c r="AC703" s="70"/>
      <c r="AD703" s="381"/>
      <c r="AM703" s="70"/>
      <c r="AN703" s="70"/>
      <c r="AO703" s="70"/>
      <c r="AY703" s="129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</row>
    <row r="704">
      <c r="C704" s="70"/>
      <c r="E704" s="70"/>
      <c r="O704" s="70"/>
      <c r="Q704" s="70"/>
      <c r="X704" s="70"/>
      <c r="AA704" s="70"/>
      <c r="AC704" s="70"/>
      <c r="AD704" s="381"/>
      <c r="AM704" s="70"/>
      <c r="AN704" s="70"/>
      <c r="AO704" s="70"/>
      <c r="AY704" s="129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</row>
    <row r="705">
      <c r="C705" s="70"/>
      <c r="E705" s="70"/>
      <c r="O705" s="70"/>
      <c r="Q705" s="70"/>
      <c r="X705" s="70"/>
      <c r="AA705" s="70"/>
      <c r="AC705" s="70"/>
      <c r="AD705" s="381"/>
      <c r="AM705" s="70"/>
      <c r="AN705" s="70"/>
      <c r="AO705" s="70"/>
      <c r="AY705" s="129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</row>
    <row r="706">
      <c r="C706" s="70"/>
      <c r="E706" s="70"/>
      <c r="O706" s="70"/>
      <c r="Q706" s="70"/>
      <c r="X706" s="70"/>
      <c r="AA706" s="70"/>
      <c r="AC706" s="70"/>
      <c r="AD706" s="381"/>
      <c r="AM706" s="70"/>
      <c r="AN706" s="70"/>
      <c r="AO706" s="70"/>
      <c r="AY706" s="129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</row>
    <row r="707">
      <c r="C707" s="70"/>
      <c r="E707" s="70"/>
      <c r="O707" s="70"/>
      <c r="Q707" s="70"/>
      <c r="X707" s="70"/>
      <c r="AA707" s="70"/>
      <c r="AC707" s="70"/>
      <c r="AD707" s="381"/>
      <c r="AM707" s="70"/>
      <c r="AN707" s="70"/>
      <c r="AO707" s="70"/>
      <c r="AY707" s="129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</row>
    <row r="708">
      <c r="C708" s="70"/>
      <c r="E708" s="70"/>
      <c r="O708" s="70"/>
      <c r="Q708" s="70"/>
      <c r="X708" s="70"/>
      <c r="AA708" s="70"/>
      <c r="AC708" s="70"/>
      <c r="AD708" s="381"/>
      <c r="AM708" s="70"/>
      <c r="AN708" s="70"/>
      <c r="AO708" s="70"/>
      <c r="AY708" s="129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</row>
    <row r="709">
      <c r="C709" s="70"/>
      <c r="E709" s="70"/>
      <c r="O709" s="70"/>
      <c r="Q709" s="70"/>
      <c r="X709" s="70"/>
      <c r="AA709" s="70"/>
      <c r="AC709" s="70"/>
      <c r="AD709" s="381"/>
      <c r="AM709" s="70"/>
      <c r="AN709" s="70"/>
      <c r="AO709" s="70"/>
      <c r="AY709" s="129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</row>
    <row r="710">
      <c r="C710" s="70"/>
      <c r="E710" s="70"/>
      <c r="O710" s="70"/>
      <c r="Q710" s="70"/>
      <c r="X710" s="70"/>
      <c r="AA710" s="70"/>
      <c r="AC710" s="70"/>
      <c r="AD710" s="381"/>
      <c r="AM710" s="70"/>
      <c r="AN710" s="70"/>
      <c r="AO710" s="70"/>
      <c r="AY710" s="129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</row>
    <row r="711">
      <c r="C711" s="70"/>
      <c r="E711" s="70"/>
      <c r="O711" s="70"/>
      <c r="Q711" s="70"/>
      <c r="X711" s="70"/>
      <c r="AA711" s="70"/>
      <c r="AC711" s="70"/>
      <c r="AD711" s="381"/>
      <c r="AM711" s="70"/>
      <c r="AN711" s="70"/>
      <c r="AO711" s="70"/>
      <c r="AY711" s="129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</row>
    <row r="712">
      <c r="C712" s="70"/>
      <c r="E712" s="70"/>
      <c r="O712" s="70"/>
      <c r="Q712" s="70"/>
      <c r="X712" s="70"/>
      <c r="AA712" s="70"/>
      <c r="AC712" s="70"/>
      <c r="AD712" s="381"/>
      <c r="AM712" s="70"/>
      <c r="AN712" s="70"/>
      <c r="AO712" s="70"/>
      <c r="AY712" s="129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</row>
    <row r="713">
      <c r="C713" s="70"/>
      <c r="E713" s="70"/>
      <c r="O713" s="70"/>
      <c r="Q713" s="70"/>
      <c r="X713" s="70"/>
      <c r="AA713" s="70"/>
      <c r="AC713" s="70"/>
      <c r="AD713" s="381"/>
      <c r="AM713" s="70"/>
      <c r="AN713" s="70"/>
      <c r="AO713" s="70"/>
      <c r="AY713" s="129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</row>
    <row r="714">
      <c r="C714" s="70"/>
      <c r="E714" s="70"/>
      <c r="O714" s="70"/>
      <c r="Q714" s="70"/>
      <c r="X714" s="70"/>
      <c r="AA714" s="70"/>
      <c r="AC714" s="70"/>
      <c r="AD714" s="381"/>
      <c r="AM714" s="70"/>
      <c r="AN714" s="70"/>
      <c r="AO714" s="70"/>
      <c r="AY714" s="129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</row>
    <row r="715">
      <c r="C715" s="70"/>
      <c r="E715" s="70"/>
      <c r="O715" s="70"/>
      <c r="Q715" s="70"/>
      <c r="X715" s="70"/>
      <c r="AA715" s="70"/>
      <c r="AC715" s="70"/>
      <c r="AD715" s="381"/>
      <c r="AM715" s="70"/>
      <c r="AN715" s="70"/>
      <c r="AO715" s="70"/>
      <c r="AY715" s="129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</row>
    <row r="716">
      <c r="C716" s="70"/>
      <c r="E716" s="70"/>
      <c r="O716" s="70"/>
      <c r="Q716" s="70"/>
      <c r="X716" s="70"/>
      <c r="AA716" s="70"/>
      <c r="AC716" s="70"/>
      <c r="AD716" s="381"/>
      <c r="AM716" s="70"/>
      <c r="AN716" s="70"/>
      <c r="AO716" s="70"/>
      <c r="AY716" s="129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</row>
    <row r="717">
      <c r="C717" s="70"/>
      <c r="E717" s="70"/>
      <c r="O717" s="70"/>
      <c r="Q717" s="70"/>
      <c r="X717" s="70"/>
      <c r="AA717" s="70"/>
      <c r="AC717" s="70"/>
      <c r="AD717" s="381"/>
      <c r="AM717" s="70"/>
      <c r="AN717" s="70"/>
      <c r="AO717" s="70"/>
      <c r="AY717" s="129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</row>
    <row r="718">
      <c r="C718" s="70"/>
      <c r="E718" s="70"/>
      <c r="O718" s="70"/>
      <c r="Q718" s="70"/>
      <c r="X718" s="70"/>
      <c r="AA718" s="70"/>
      <c r="AC718" s="70"/>
      <c r="AD718" s="381"/>
      <c r="AM718" s="70"/>
      <c r="AN718" s="70"/>
      <c r="AO718" s="70"/>
      <c r="AY718" s="129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</row>
    <row r="719">
      <c r="C719" s="70"/>
      <c r="E719" s="70"/>
      <c r="O719" s="70"/>
      <c r="Q719" s="70"/>
      <c r="X719" s="70"/>
      <c r="AA719" s="70"/>
      <c r="AC719" s="70"/>
      <c r="AD719" s="381"/>
      <c r="AM719" s="70"/>
      <c r="AN719" s="70"/>
      <c r="AO719" s="70"/>
      <c r="AY719" s="129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</row>
    <row r="720">
      <c r="C720" s="70"/>
      <c r="E720" s="70"/>
      <c r="O720" s="70"/>
      <c r="Q720" s="70"/>
      <c r="X720" s="70"/>
      <c r="AA720" s="70"/>
      <c r="AC720" s="70"/>
      <c r="AD720" s="381"/>
      <c r="AM720" s="70"/>
      <c r="AN720" s="70"/>
      <c r="AO720" s="70"/>
      <c r="AY720" s="129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</row>
    <row r="721">
      <c r="C721" s="70"/>
      <c r="E721" s="70"/>
      <c r="O721" s="70"/>
      <c r="Q721" s="70"/>
      <c r="X721" s="70"/>
      <c r="AA721" s="70"/>
      <c r="AC721" s="70"/>
      <c r="AD721" s="381"/>
      <c r="AM721" s="70"/>
      <c r="AN721" s="70"/>
      <c r="AO721" s="70"/>
      <c r="AY721" s="129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</row>
    <row r="722">
      <c r="C722" s="70"/>
      <c r="E722" s="70"/>
      <c r="O722" s="70"/>
      <c r="Q722" s="70"/>
      <c r="X722" s="70"/>
      <c r="AA722" s="70"/>
      <c r="AC722" s="70"/>
      <c r="AD722" s="381"/>
      <c r="AM722" s="70"/>
      <c r="AN722" s="70"/>
      <c r="AO722" s="70"/>
      <c r="AY722" s="129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</row>
    <row r="723">
      <c r="C723" s="70"/>
      <c r="E723" s="70"/>
      <c r="O723" s="70"/>
      <c r="Q723" s="70"/>
      <c r="X723" s="70"/>
      <c r="AA723" s="70"/>
      <c r="AC723" s="70"/>
      <c r="AD723" s="381"/>
      <c r="AM723" s="70"/>
      <c r="AN723" s="70"/>
      <c r="AO723" s="70"/>
      <c r="AY723" s="129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</row>
    <row r="724">
      <c r="C724" s="70"/>
      <c r="E724" s="70"/>
      <c r="O724" s="70"/>
      <c r="Q724" s="70"/>
      <c r="X724" s="70"/>
      <c r="AA724" s="70"/>
      <c r="AC724" s="70"/>
      <c r="AD724" s="381"/>
      <c r="AM724" s="70"/>
      <c r="AN724" s="70"/>
      <c r="AO724" s="70"/>
      <c r="AY724" s="129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</row>
    <row r="725">
      <c r="C725" s="70"/>
      <c r="E725" s="70"/>
      <c r="O725" s="70"/>
      <c r="Q725" s="70"/>
      <c r="X725" s="70"/>
      <c r="AA725" s="70"/>
      <c r="AC725" s="70"/>
      <c r="AD725" s="381"/>
      <c r="AM725" s="70"/>
      <c r="AN725" s="70"/>
      <c r="AO725" s="70"/>
      <c r="AY725" s="129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</row>
    <row r="726">
      <c r="C726" s="70"/>
      <c r="E726" s="70"/>
      <c r="O726" s="70"/>
      <c r="Q726" s="70"/>
      <c r="X726" s="70"/>
      <c r="AA726" s="70"/>
      <c r="AC726" s="70"/>
      <c r="AD726" s="381"/>
      <c r="AM726" s="70"/>
      <c r="AN726" s="70"/>
      <c r="AO726" s="70"/>
      <c r="AY726" s="129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</row>
    <row r="727">
      <c r="C727" s="70"/>
      <c r="E727" s="70"/>
      <c r="O727" s="70"/>
      <c r="Q727" s="70"/>
      <c r="X727" s="70"/>
      <c r="AA727" s="70"/>
      <c r="AC727" s="70"/>
      <c r="AD727" s="381"/>
      <c r="AM727" s="70"/>
      <c r="AN727" s="70"/>
      <c r="AO727" s="70"/>
      <c r="AY727" s="129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</row>
    <row r="728">
      <c r="C728" s="70"/>
      <c r="E728" s="70"/>
      <c r="O728" s="70"/>
      <c r="Q728" s="70"/>
      <c r="X728" s="70"/>
      <c r="AA728" s="70"/>
      <c r="AC728" s="70"/>
      <c r="AD728" s="381"/>
      <c r="AM728" s="70"/>
      <c r="AN728" s="70"/>
      <c r="AO728" s="70"/>
      <c r="AY728" s="129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</row>
    <row r="729">
      <c r="C729" s="70"/>
      <c r="E729" s="70"/>
      <c r="O729" s="70"/>
      <c r="Q729" s="70"/>
      <c r="X729" s="70"/>
      <c r="AA729" s="70"/>
      <c r="AC729" s="70"/>
      <c r="AD729" s="381"/>
      <c r="AM729" s="70"/>
      <c r="AN729" s="70"/>
      <c r="AO729" s="70"/>
      <c r="AY729" s="129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</row>
    <row r="730">
      <c r="C730" s="70"/>
      <c r="E730" s="70"/>
      <c r="O730" s="70"/>
      <c r="Q730" s="70"/>
      <c r="X730" s="70"/>
      <c r="AA730" s="70"/>
      <c r="AC730" s="70"/>
      <c r="AD730" s="381"/>
      <c r="AM730" s="70"/>
      <c r="AN730" s="70"/>
      <c r="AO730" s="70"/>
      <c r="AY730" s="129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</row>
    <row r="731">
      <c r="C731" s="70"/>
      <c r="E731" s="70"/>
      <c r="O731" s="70"/>
      <c r="Q731" s="70"/>
      <c r="X731" s="70"/>
      <c r="AA731" s="70"/>
      <c r="AC731" s="70"/>
      <c r="AD731" s="381"/>
      <c r="AM731" s="70"/>
      <c r="AN731" s="70"/>
      <c r="AO731" s="70"/>
      <c r="AY731" s="129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</row>
    <row r="732">
      <c r="C732" s="70"/>
      <c r="E732" s="70"/>
      <c r="O732" s="70"/>
      <c r="Q732" s="70"/>
      <c r="X732" s="70"/>
      <c r="AA732" s="70"/>
      <c r="AC732" s="70"/>
      <c r="AD732" s="381"/>
      <c r="AM732" s="70"/>
      <c r="AN732" s="70"/>
      <c r="AO732" s="70"/>
      <c r="AY732" s="129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</row>
    <row r="733">
      <c r="C733" s="70"/>
      <c r="E733" s="70"/>
      <c r="O733" s="70"/>
      <c r="Q733" s="70"/>
      <c r="X733" s="70"/>
      <c r="AA733" s="70"/>
      <c r="AC733" s="70"/>
      <c r="AD733" s="381"/>
      <c r="AM733" s="70"/>
      <c r="AN733" s="70"/>
      <c r="AO733" s="70"/>
      <c r="AY733" s="129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</row>
    <row r="734">
      <c r="C734" s="70"/>
      <c r="E734" s="70"/>
      <c r="O734" s="70"/>
      <c r="Q734" s="70"/>
      <c r="X734" s="70"/>
      <c r="AA734" s="70"/>
      <c r="AC734" s="70"/>
      <c r="AD734" s="381"/>
      <c r="AM734" s="70"/>
      <c r="AN734" s="70"/>
      <c r="AO734" s="70"/>
      <c r="AY734" s="129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</row>
    <row r="735">
      <c r="C735" s="70"/>
      <c r="E735" s="70"/>
      <c r="O735" s="70"/>
      <c r="Q735" s="70"/>
      <c r="X735" s="70"/>
      <c r="AA735" s="70"/>
      <c r="AC735" s="70"/>
      <c r="AD735" s="381"/>
      <c r="AM735" s="70"/>
      <c r="AN735" s="70"/>
      <c r="AO735" s="70"/>
      <c r="AY735" s="129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</row>
    <row r="736">
      <c r="C736" s="70"/>
      <c r="E736" s="70"/>
      <c r="O736" s="70"/>
      <c r="Q736" s="70"/>
      <c r="X736" s="70"/>
      <c r="AA736" s="70"/>
      <c r="AC736" s="70"/>
      <c r="AD736" s="381"/>
      <c r="AM736" s="70"/>
      <c r="AN736" s="70"/>
      <c r="AO736" s="70"/>
      <c r="AY736" s="129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</row>
    <row r="737">
      <c r="C737" s="70"/>
      <c r="E737" s="70"/>
      <c r="O737" s="70"/>
      <c r="Q737" s="70"/>
      <c r="X737" s="70"/>
      <c r="AA737" s="70"/>
      <c r="AC737" s="70"/>
      <c r="AD737" s="381"/>
      <c r="AM737" s="70"/>
      <c r="AN737" s="70"/>
      <c r="AO737" s="70"/>
      <c r="AY737" s="129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</row>
    <row r="738">
      <c r="C738" s="70"/>
      <c r="E738" s="70"/>
      <c r="O738" s="70"/>
      <c r="Q738" s="70"/>
      <c r="X738" s="70"/>
      <c r="AA738" s="70"/>
      <c r="AC738" s="70"/>
      <c r="AD738" s="381"/>
      <c r="AM738" s="70"/>
      <c r="AN738" s="70"/>
      <c r="AO738" s="70"/>
      <c r="AY738" s="129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</row>
    <row r="739">
      <c r="C739" s="70"/>
      <c r="E739" s="70"/>
      <c r="O739" s="70"/>
      <c r="Q739" s="70"/>
      <c r="X739" s="70"/>
      <c r="AA739" s="70"/>
      <c r="AC739" s="70"/>
      <c r="AD739" s="381"/>
      <c r="AM739" s="70"/>
      <c r="AN739" s="70"/>
      <c r="AO739" s="70"/>
      <c r="AY739" s="129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</row>
    <row r="740">
      <c r="C740" s="70"/>
      <c r="E740" s="70"/>
      <c r="O740" s="70"/>
      <c r="Q740" s="70"/>
      <c r="X740" s="70"/>
      <c r="AA740" s="70"/>
      <c r="AC740" s="70"/>
      <c r="AD740" s="381"/>
      <c r="AM740" s="70"/>
      <c r="AN740" s="70"/>
      <c r="AO740" s="70"/>
      <c r="AY740" s="129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</row>
    <row r="741">
      <c r="C741" s="70"/>
      <c r="E741" s="70"/>
      <c r="O741" s="70"/>
      <c r="Q741" s="70"/>
      <c r="X741" s="70"/>
      <c r="AA741" s="70"/>
      <c r="AC741" s="70"/>
      <c r="AD741" s="381"/>
      <c r="AM741" s="70"/>
      <c r="AN741" s="70"/>
      <c r="AO741" s="70"/>
      <c r="AY741" s="129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</row>
    <row r="742">
      <c r="C742" s="70"/>
      <c r="E742" s="70"/>
      <c r="O742" s="70"/>
      <c r="Q742" s="70"/>
      <c r="X742" s="70"/>
      <c r="AA742" s="70"/>
      <c r="AC742" s="70"/>
      <c r="AD742" s="381"/>
      <c r="AM742" s="70"/>
      <c r="AN742" s="70"/>
      <c r="AO742" s="70"/>
      <c r="AY742" s="129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</row>
    <row r="743">
      <c r="C743" s="70"/>
      <c r="E743" s="70"/>
      <c r="O743" s="70"/>
      <c r="Q743" s="70"/>
      <c r="X743" s="70"/>
      <c r="AA743" s="70"/>
      <c r="AC743" s="70"/>
      <c r="AD743" s="381"/>
      <c r="AM743" s="70"/>
      <c r="AN743" s="70"/>
      <c r="AO743" s="70"/>
      <c r="AY743" s="129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</row>
    <row r="744">
      <c r="C744" s="70"/>
      <c r="E744" s="70"/>
      <c r="O744" s="70"/>
      <c r="Q744" s="70"/>
      <c r="X744" s="70"/>
      <c r="AA744" s="70"/>
      <c r="AC744" s="70"/>
      <c r="AD744" s="381"/>
      <c r="AM744" s="70"/>
      <c r="AN744" s="70"/>
      <c r="AO744" s="70"/>
      <c r="AY744" s="129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</row>
    <row r="745">
      <c r="C745" s="70"/>
      <c r="E745" s="70"/>
      <c r="O745" s="70"/>
      <c r="Q745" s="70"/>
      <c r="X745" s="70"/>
      <c r="AA745" s="70"/>
      <c r="AC745" s="70"/>
      <c r="AD745" s="381"/>
      <c r="AM745" s="70"/>
      <c r="AN745" s="70"/>
      <c r="AO745" s="70"/>
      <c r="AY745" s="129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</row>
    <row r="746">
      <c r="C746" s="70"/>
      <c r="E746" s="70"/>
      <c r="O746" s="70"/>
      <c r="Q746" s="70"/>
      <c r="X746" s="70"/>
      <c r="AA746" s="70"/>
      <c r="AC746" s="70"/>
      <c r="AD746" s="381"/>
      <c r="AM746" s="70"/>
      <c r="AN746" s="70"/>
      <c r="AO746" s="70"/>
      <c r="AY746" s="129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</row>
    <row r="747">
      <c r="C747" s="70"/>
      <c r="E747" s="70"/>
      <c r="O747" s="70"/>
      <c r="Q747" s="70"/>
      <c r="X747" s="70"/>
      <c r="AA747" s="70"/>
      <c r="AC747" s="70"/>
      <c r="AD747" s="381"/>
      <c r="AM747" s="70"/>
      <c r="AN747" s="70"/>
      <c r="AO747" s="70"/>
      <c r="AY747" s="129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</row>
    <row r="748">
      <c r="C748" s="70"/>
      <c r="E748" s="70"/>
      <c r="O748" s="70"/>
      <c r="Q748" s="70"/>
      <c r="X748" s="70"/>
      <c r="AA748" s="70"/>
      <c r="AC748" s="70"/>
      <c r="AD748" s="381"/>
      <c r="AM748" s="70"/>
      <c r="AN748" s="70"/>
      <c r="AO748" s="70"/>
      <c r="AY748" s="129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</row>
    <row r="749">
      <c r="C749" s="70"/>
      <c r="E749" s="70"/>
      <c r="O749" s="70"/>
      <c r="Q749" s="70"/>
      <c r="X749" s="70"/>
      <c r="AA749" s="70"/>
      <c r="AC749" s="70"/>
      <c r="AD749" s="381"/>
      <c r="AM749" s="70"/>
      <c r="AN749" s="70"/>
      <c r="AO749" s="70"/>
      <c r="AY749" s="129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</row>
    <row r="750">
      <c r="C750" s="70"/>
      <c r="E750" s="70"/>
      <c r="O750" s="70"/>
      <c r="Q750" s="70"/>
      <c r="X750" s="70"/>
      <c r="AA750" s="70"/>
      <c r="AC750" s="70"/>
      <c r="AD750" s="381"/>
      <c r="AM750" s="70"/>
      <c r="AN750" s="70"/>
      <c r="AO750" s="70"/>
      <c r="AY750" s="129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</row>
    <row r="751">
      <c r="C751" s="70"/>
      <c r="E751" s="70"/>
      <c r="O751" s="70"/>
      <c r="Q751" s="70"/>
      <c r="X751" s="70"/>
      <c r="AA751" s="70"/>
      <c r="AC751" s="70"/>
      <c r="AD751" s="381"/>
      <c r="AM751" s="70"/>
      <c r="AN751" s="70"/>
      <c r="AO751" s="70"/>
      <c r="AY751" s="129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</row>
    <row r="752">
      <c r="C752" s="70"/>
      <c r="E752" s="70"/>
      <c r="O752" s="70"/>
      <c r="Q752" s="70"/>
      <c r="X752" s="70"/>
      <c r="AA752" s="70"/>
      <c r="AC752" s="70"/>
      <c r="AD752" s="381"/>
      <c r="AM752" s="70"/>
      <c r="AN752" s="70"/>
      <c r="AO752" s="70"/>
      <c r="AY752" s="129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</row>
    <row r="753">
      <c r="C753" s="70"/>
      <c r="E753" s="70"/>
      <c r="O753" s="70"/>
      <c r="Q753" s="70"/>
      <c r="X753" s="70"/>
      <c r="AA753" s="70"/>
      <c r="AC753" s="70"/>
      <c r="AD753" s="381"/>
      <c r="AM753" s="70"/>
      <c r="AN753" s="70"/>
      <c r="AO753" s="70"/>
      <c r="AY753" s="129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</row>
    <row r="754">
      <c r="C754" s="70"/>
      <c r="E754" s="70"/>
      <c r="O754" s="70"/>
      <c r="Q754" s="70"/>
      <c r="X754" s="70"/>
      <c r="AA754" s="70"/>
      <c r="AC754" s="70"/>
      <c r="AD754" s="381"/>
      <c r="AM754" s="70"/>
      <c r="AN754" s="70"/>
      <c r="AO754" s="70"/>
      <c r="AY754" s="129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</row>
    <row r="755">
      <c r="C755" s="70"/>
      <c r="E755" s="70"/>
      <c r="O755" s="70"/>
      <c r="Q755" s="70"/>
      <c r="X755" s="70"/>
      <c r="AA755" s="70"/>
      <c r="AC755" s="70"/>
      <c r="AD755" s="381"/>
      <c r="AM755" s="70"/>
      <c r="AN755" s="70"/>
      <c r="AO755" s="70"/>
      <c r="AY755" s="129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</row>
    <row r="756">
      <c r="C756" s="70"/>
      <c r="E756" s="70"/>
      <c r="O756" s="70"/>
      <c r="Q756" s="70"/>
      <c r="X756" s="70"/>
      <c r="AA756" s="70"/>
      <c r="AC756" s="70"/>
      <c r="AD756" s="381"/>
      <c r="AM756" s="70"/>
      <c r="AN756" s="70"/>
      <c r="AO756" s="70"/>
      <c r="AY756" s="129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</row>
    <row r="757">
      <c r="C757" s="70"/>
      <c r="E757" s="70"/>
      <c r="O757" s="70"/>
      <c r="Q757" s="70"/>
      <c r="X757" s="70"/>
      <c r="AA757" s="70"/>
      <c r="AC757" s="70"/>
      <c r="AD757" s="381"/>
      <c r="AM757" s="70"/>
      <c r="AN757" s="70"/>
      <c r="AO757" s="70"/>
      <c r="AY757" s="129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</row>
    <row r="758">
      <c r="C758" s="70"/>
      <c r="E758" s="70"/>
      <c r="O758" s="70"/>
      <c r="Q758" s="70"/>
      <c r="X758" s="70"/>
      <c r="AA758" s="70"/>
      <c r="AC758" s="70"/>
      <c r="AD758" s="381"/>
      <c r="AM758" s="70"/>
      <c r="AN758" s="70"/>
      <c r="AO758" s="70"/>
      <c r="AY758" s="129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</row>
    <row r="759">
      <c r="C759" s="70"/>
      <c r="E759" s="70"/>
      <c r="O759" s="70"/>
      <c r="Q759" s="70"/>
      <c r="X759" s="70"/>
      <c r="AA759" s="70"/>
      <c r="AC759" s="70"/>
      <c r="AD759" s="381"/>
      <c r="AM759" s="70"/>
      <c r="AN759" s="70"/>
      <c r="AO759" s="70"/>
      <c r="AY759" s="129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</row>
    <row r="760">
      <c r="C760" s="70"/>
      <c r="E760" s="70"/>
      <c r="O760" s="70"/>
      <c r="Q760" s="70"/>
      <c r="X760" s="70"/>
      <c r="AA760" s="70"/>
      <c r="AC760" s="70"/>
      <c r="AD760" s="381"/>
      <c r="AM760" s="70"/>
      <c r="AN760" s="70"/>
      <c r="AO760" s="70"/>
      <c r="AY760" s="129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</row>
    <row r="761">
      <c r="C761" s="70"/>
      <c r="E761" s="70"/>
      <c r="O761" s="70"/>
      <c r="Q761" s="70"/>
      <c r="X761" s="70"/>
      <c r="AA761" s="70"/>
      <c r="AC761" s="70"/>
      <c r="AD761" s="381"/>
      <c r="AM761" s="70"/>
      <c r="AN761" s="70"/>
      <c r="AO761" s="70"/>
      <c r="AY761" s="129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</row>
    <row r="762">
      <c r="C762" s="70"/>
      <c r="E762" s="70"/>
      <c r="O762" s="70"/>
      <c r="Q762" s="70"/>
      <c r="X762" s="70"/>
      <c r="AA762" s="70"/>
      <c r="AC762" s="70"/>
      <c r="AD762" s="381"/>
      <c r="AM762" s="70"/>
      <c r="AN762" s="70"/>
      <c r="AO762" s="70"/>
      <c r="AY762" s="129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</row>
    <row r="763">
      <c r="C763" s="70"/>
      <c r="E763" s="70"/>
      <c r="O763" s="70"/>
      <c r="Q763" s="70"/>
      <c r="X763" s="70"/>
      <c r="AA763" s="70"/>
      <c r="AC763" s="70"/>
      <c r="AD763" s="381"/>
      <c r="AM763" s="70"/>
      <c r="AN763" s="70"/>
      <c r="AO763" s="70"/>
      <c r="AY763" s="129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</row>
    <row r="764">
      <c r="C764" s="70"/>
      <c r="E764" s="70"/>
      <c r="O764" s="70"/>
      <c r="Q764" s="70"/>
      <c r="X764" s="70"/>
      <c r="AA764" s="70"/>
      <c r="AC764" s="70"/>
      <c r="AD764" s="381"/>
      <c r="AM764" s="70"/>
      <c r="AN764" s="70"/>
      <c r="AO764" s="70"/>
      <c r="AY764" s="129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</row>
    <row r="765">
      <c r="C765" s="70"/>
      <c r="E765" s="70"/>
      <c r="O765" s="70"/>
      <c r="Q765" s="70"/>
      <c r="X765" s="70"/>
      <c r="AA765" s="70"/>
      <c r="AC765" s="70"/>
      <c r="AD765" s="381"/>
      <c r="AM765" s="70"/>
      <c r="AN765" s="70"/>
      <c r="AO765" s="70"/>
      <c r="AY765" s="129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</row>
    <row r="766">
      <c r="C766" s="70"/>
      <c r="E766" s="70"/>
      <c r="O766" s="70"/>
      <c r="Q766" s="70"/>
      <c r="X766" s="70"/>
      <c r="AA766" s="70"/>
      <c r="AC766" s="70"/>
      <c r="AD766" s="381"/>
      <c r="AM766" s="70"/>
      <c r="AN766" s="70"/>
      <c r="AO766" s="70"/>
      <c r="AY766" s="129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</row>
    <row r="767">
      <c r="C767" s="70"/>
      <c r="E767" s="70"/>
      <c r="O767" s="70"/>
      <c r="Q767" s="70"/>
      <c r="X767" s="70"/>
      <c r="AA767" s="70"/>
      <c r="AC767" s="70"/>
      <c r="AD767" s="381"/>
      <c r="AM767" s="70"/>
      <c r="AN767" s="70"/>
      <c r="AO767" s="70"/>
      <c r="AY767" s="129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</row>
    <row r="768">
      <c r="C768" s="70"/>
      <c r="E768" s="70"/>
      <c r="O768" s="70"/>
      <c r="Q768" s="70"/>
      <c r="X768" s="70"/>
      <c r="AA768" s="70"/>
      <c r="AC768" s="70"/>
      <c r="AD768" s="381"/>
      <c r="AM768" s="70"/>
      <c r="AN768" s="70"/>
      <c r="AO768" s="70"/>
      <c r="AY768" s="129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</row>
    <row r="769">
      <c r="C769" s="70"/>
      <c r="E769" s="70"/>
      <c r="O769" s="70"/>
      <c r="Q769" s="70"/>
      <c r="X769" s="70"/>
      <c r="AA769" s="70"/>
      <c r="AC769" s="70"/>
      <c r="AD769" s="381"/>
      <c r="AM769" s="70"/>
      <c r="AN769" s="70"/>
      <c r="AO769" s="70"/>
      <c r="AY769" s="129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</row>
    <row r="770">
      <c r="C770" s="70"/>
      <c r="E770" s="70"/>
      <c r="O770" s="70"/>
      <c r="Q770" s="70"/>
      <c r="X770" s="70"/>
      <c r="AA770" s="70"/>
      <c r="AC770" s="70"/>
      <c r="AD770" s="381"/>
      <c r="AM770" s="70"/>
      <c r="AN770" s="70"/>
      <c r="AO770" s="70"/>
      <c r="AY770" s="129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</row>
    <row r="771">
      <c r="C771" s="70"/>
      <c r="E771" s="70"/>
      <c r="O771" s="70"/>
      <c r="Q771" s="70"/>
      <c r="X771" s="70"/>
      <c r="AA771" s="70"/>
      <c r="AC771" s="70"/>
      <c r="AD771" s="381"/>
      <c r="AM771" s="70"/>
      <c r="AN771" s="70"/>
      <c r="AO771" s="70"/>
      <c r="AY771" s="129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</row>
    <row r="772">
      <c r="C772" s="70"/>
      <c r="E772" s="70"/>
      <c r="O772" s="70"/>
      <c r="Q772" s="70"/>
      <c r="X772" s="70"/>
      <c r="AA772" s="70"/>
      <c r="AC772" s="70"/>
      <c r="AD772" s="381"/>
      <c r="AM772" s="70"/>
      <c r="AN772" s="70"/>
      <c r="AO772" s="70"/>
      <c r="AY772" s="129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</row>
    <row r="773">
      <c r="C773" s="70"/>
      <c r="E773" s="70"/>
      <c r="O773" s="70"/>
      <c r="Q773" s="70"/>
      <c r="X773" s="70"/>
      <c r="AA773" s="70"/>
      <c r="AC773" s="70"/>
      <c r="AD773" s="381"/>
      <c r="AM773" s="70"/>
      <c r="AN773" s="70"/>
      <c r="AO773" s="70"/>
      <c r="AY773" s="129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</row>
    <row r="774">
      <c r="C774" s="70"/>
      <c r="E774" s="70"/>
      <c r="O774" s="70"/>
      <c r="Q774" s="70"/>
      <c r="X774" s="70"/>
      <c r="AA774" s="70"/>
      <c r="AC774" s="70"/>
      <c r="AD774" s="381"/>
      <c r="AM774" s="70"/>
      <c r="AN774" s="70"/>
      <c r="AO774" s="70"/>
      <c r="AY774" s="129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</row>
    <row r="775">
      <c r="C775" s="70"/>
      <c r="E775" s="70"/>
      <c r="O775" s="70"/>
      <c r="Q775" s="70"/>
      <c r="X775" s="70"/>
      <c r="AA775" s="70"/>
      <c r="AC775" s="70"/>
      <c r="AD775" s="381"/>
      <c r="AM775" s="70"/>
      <c r="AN775" s="70"/>
      <c r="AO775" s="70"/>
      <c r="AY775" s="129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</row>
    <row r="776">
      <c r="C776" s="70"/>
      <c r="E776" s="70"/>
      <c r="O776" s="70"/>
      <c r="Q776" s="70"/>
      <c r="X776" s="70"/>
      <c r="AA776" s="70"/>
      <c r="AC776" s="70"/>
      <c r="AD776" s="381"/>
      <c r="AM776" s="70"/>
      <c r="AN776" s="70"/>
      <c r="AO776" s="70"/>
      <c r="AY776" s="129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</row>
    <row r="777">
      <c r="C777" s="70"/>
      <c r="E777" s="70"/>
      <c r="O777" s="70"/>
      <c r="Q777" s="70"/>
      <c r="X777" s="70"/>
      <c r="AA777" s="70"/>
      <c r="AC777" s="70"/>
      <c r="AD777" s="381"/>
      <c r="AM777" s="70"/>
      <c r="AN777" s="70"/>
      <c r="AO777" s="70"/>
      <c r="AY777" s="129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</row>
    <row r="778">
      <c r="C778" s="70"/>
      <c r="E778" s="70"/>
      <c r="O778" s="70"/>
      <c r="Q778" s="70"/>
      <c r="X778" s="70"/>
      <c r="AA778" s="70"/>
      <c r="AC778" s="70"/>
      <c r="AD778" s="381"/>
      <c r="AM778" s="70"/>
      <c r="AN778" s="70"/>
      <c r="AO778" s="70"/>
      <c r="AY778" s="129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</row>
    <row r="779">
      <c r="C779" s="70"/>
      <c r="E779" s="70"/>
      <c r="O779" s="70"/>
      <c r="Q779" s="70"/>
      <c r="X779" s="70"/>
      <c r="AA779" s="70"/>
      <c r="AC779" s="70"/>
      <c r="AD779" s="381"/>
      <c r="AM779" s="70"/>
      <c r="AN779" s="70"/>
      <c r="AO779" s="70"/>
      <c r="AY779" s="129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</row>
    <row r="780">
      <c r="C780" s="70"/>
      <c r="E780" s="70"/>
      <c r="O780" s="70"/>
      <c r="Q780" s="70"/>
      <c r="X780" s="70"/>
      <c r="AA780" s="70"/>
      <c r="AC780" s="70"/>
      <c r="AD780" s="381"/>
      <c r="AM780" s="70"/>
      <c r="AN780" s="70"/>
      <c r="AO780" s="70"/>
      <c r="AY780" s="129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</row>
    <row r="781">
      <c r="C781" s="70"/>
      <c r="E781" s="70"/>
      <c r="O781" s="70"/>
      <c r="Q781" s="70"/>
      <c r="X781" s="70"/>
      <c r="AA781" s="70"/>
      <c r="AC781" s="70"/>
      <c r="AD781" s="381"/>
      <c r="AM781" s="70"/>
      <c r="AN781" s="70"/>
      <c r="AO781" s="70"/>
      <c r="AY781" s="129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</row>
    <row r="782">
      <c r="C782" s="70"/>
      <c r="E782" s="70"/>
      <c r="O782" s="70"/>
      <c r="Q782" s="70"/>
      <c r="X782" s="70"/>
      <c r="AA782" s="70"/>
      <c r="AC782" s="70"/>
      <c r="AD782" s="381"/>
      <c r="AM782" s="70"/>
      <c r="AN782" s="70"/>
      <c r="AO782" s="70"/>
      <c r="AY782" s="129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</row>
    <row r="783">
      <c r="C783" s="70"/>
      <c r="E783" s="70"/>
      <c r="O783" s="70"/>
      <c r="Q783" s="70"/>
      <c r="X783" s="70"/>
      <c r="AA783" s="70"/>
      <c r="AC783" s="70"/>
      <c r="AD783" s="381"/>
      <c r="AM783" s="70"/>
      <c r="AN783" s="70"/>
      <c r="AO783" s="70"/>
      <c r="AY783" s="129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</row>
    <row r="784">
      <c r="C784" s="70"/>
      <c r="E784" s="70"/>
      <c r="O784" s="70"/>
      <c r="Q784" s="70"/>
      <c r="X784" s="70"/>
      <c r="AA784" s="70"/>
      <c r="AC784" s="70"/>
      <c r="AD784" s="381"/>
      <c r="AM784" s="70"/>
      <c r="AN784" s="70"/>
      <c r="AO784" s="70"/>
      <c r="AY784" s="129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</row>
    <row r="785">
      <c r="C785" s="70"/>
      <c r="E785" s="70"/>
      <c r="O785" s="70"/>
      <c r="Q785" s="70"/>
      <c r="X785" s="70"/>
      <c r="AA785" s="70"/>
      <c r="AC785" s="70"/>
      <c r="AD785" s="381"/>
      <c r="AM785" s="70"/>
      <c r="AN785" s="70"/>
      <c r="AO785" s="70"/>
      <c r="AY785" s="129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</row>
    <row r="786">
      <c r="C786" s="70"/>
      <c r="E786" s="70"/>
      <c r="O786" s="70"/>
      <c r="Q786" s="70"/>
      <c r="X786" s="70"/>
      <c r="AA786" s="70"/>
      <c r="AC786" s="70"/>
      <c r="AD786" s="381"/>
      <c r="AM786" s="70"/>
      <c r="AN786" s="70"/>
      <c r="AO786" s="70"/>
      <c r="AY786" s="129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</row>
    <row r="787">
      <c r="C787" s="70"/>
      <c r="E787" s="70"/>
      <c r="O787" s="70"/>
      <c r="Q787" s="70"/>
      <c r="X787" s="70"/>
      <c r="AA787" s="70"/>
      <c r="AC787" s="70"/>
      <c r="AD787" s="381"/>
      <c r="AM787" s="70"/>
      <c r="AN787" s="70"/>
      <c r="AO787" s="70"/>
      <c r="AY787" s="129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</row>
    <row r="788">
      <c r="C788" s="70"/>
      <c r="E788" s="70"/>
      <c r="O788" s="70"/>
      <c r="Q788" s="70"/>
      <c r="X788" s="70"/>
      <c r="AA788" s="70"/>
      <c r="AC788" s="70"/>
      <c r="AD788" s="381"/>
      <c r="AM788" s="70"/>
      <c r="AN788" s="70"/>
      <c r="AO788" s="70"/>
      <c r="AY788" s="129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</row>
    <row r="789">
      <c r="C789" s="70"/>
      <c r="E789" s="70"/>
      <c r="O789" s="70"/>
      <c r="Q789" s="70"/>
      <c r="X789" s="70"/>
      <c r="AA789" s="70"/>
      <c r="AC789" s="70"/>
      <c r="AD789" s="381"/>
      <c r="AM789" s="70"/>
      <c r="AN789" s="70"/>
      <c r="AO789" s="70"/>
      <c r="AY789" s="129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</row>
    <row r="790">
      <c r="C790" s="70"/>
      <c r="E790" s="70"/>
      <c r="O790" s="70"/>
      <c r="Q790" s="70"/>
      <c r="X790" s="70"/>
      <c r="AA790" s="70"/>
      <c r="AC790" s="70"/>
      <c r="AD790" s="381"/>
      <c r="AM790" s="70"/>
      <c r="AN790" s="70"/>
      <c r="AO790" s="70"/>
      <c r="AY790" s="129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</row>
    <row r="791">
      <c r="C791" s="70"/>
      <c r="E791" s="70"/>
      <c r="O791" s="70"/>
      <c r="Q791" s="70"/>
      <c r="X791" s="70"/>
      <c r="AA791" s="70"/>
      <c r="AC791" s="70"/>
      <c r="AD791" s="381"/>
      <c r="AM791" s="70"/>
      <c r="AN791" s="70"/>
      <c r="AO791" s="70"/>
      <c r="AY791" s="129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</row>
    <row r="792">
      <c r="C792" s="70"/>
      <c r="E792" s="70"/>
      <c r="O792" s="70"/>
      <c r="Q792" s="70"/>
      <c r="X792" s="70"/>
      <c r="AA792" s="70"/>
      <c r="AC792" s="70"/>
      <c r="AD792" s="381"/>
      <c r="AM792" s="70"/>
      <c r="AN792" s="70"/>
      <c r="AO792" s="70"/>
      <c r="AY792" s="129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</row>
    <row r="793">
      <c r="C793" s="70"/>
      <c r="E793" s="70"/>
      <c r="O793" s="70"/>
      <c r="Q793" s="70"/>
      <c r="X793" s="70"/>
      <c r="AA793" s="70"/>
      <c r="AC793" s="70"/>
      <c r="AD793" s="381"/>
      <c r="AM793" s="70"/>
      <c r="AN793" s="70"/>
      <c r="AO793" s="70"/>
      <c r="AY793" s="129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</row>
    <row r="794">
      <c r="C794" s="70"/>
      <c r="E794" s="70"/>
      <c r="O794" s="70"/>
      <c r="Q794" s="70"/>
      <c r="X794" s="70"/>
      <c r="AA794" s="70"/>
      <c r="AC794" s="70"/>
      <c r="AD794" s="381"/>
      <c r="AM794" s="70"/>
      <c r="AN794" s="70"/>
      <c r="AO794" s="70"/>
      <c r="AY794" s="129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</row>
    <row r="795">
      <c r="C795" s="70"/>
      <c r="E795" s="70"/>
      <c r="O795" s="70"/>
      <c r="Q795" s="70"/>
      <c r="X795" s="70"/>
      <c r="AA795" s="70"/>
      <c r="AC795" s="70"/>
      <c r="AD795" s="381"/>
      <c r="AM795" s="70"/>
      <c r="AN795" s="70"/>
      <c r="AO795" s="70"/>
      <c r="AY795" s="129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</row>
    <row r="796">
      <c r="C796" s="70"/>
      <c r="E796" s="70"/>
      <c r="O796" s="70"/>
      <c r="Q796" s="70"/>
      <c r="X796" s="70"/>
      <c r="AA796" s="70"/>
      <c r="AC796" s="70"/>
      <c r="AD796" s="381"/>
      <c r="AM796" s="70"/>
      <c r="AN796" s="70"/>
      <c r="AO796" s="70"/>
      <c r="AY796" s="129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</row>
    <row r="797">
      <c r="C797" s="70"/>
      <c r="E797" s="70"/>
      <c r="O797" s="70"/>
      <c r="Q797" s="70"/>
      <c r="X797" s="70"/>
      <c r="AA797" s="70"/>
      <c r="AC797" s="70"/>
      <c r="AD797" s="381"/>
      <c r="AM797" s="70"/>
      <c r="AN797" s="70"/>
      <c r="AO797" s="70"/>
      <c r="AY797" s="129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</row>
    <row r="798">
      <c r="C798" s="70"/>
      <c r="E798" s="70"/>
      <c r="O798" s="70"/>
      <c r="Q798" s="70"/>
      <c r="X798" s="70"/>
      <c r="AA798" s="70"/>
      <c r="AC798" s="70"/>
      <c r="AD798" s="381"/>
      <c r="AM798" s="70"/>
      <c r="AN798" s="70"/>
      <c r="AO798" s="70"/>
      <c r="AY798" s="129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</row>
    <row r="799">
      <c r="C799" s="70"/>
      <c r="E799" s="70"/>
      <c r="O799" s="70"/>
      <c r="Q799" s="70"/>
      <c r="X799" s="70"/>
      <c r="AA799" s="70"/>
      <c r="AC799" s="70"/>
      <c r="AD799" s="381"/>
      <c r="AM799" s="70"/>
      <c r="AN799" s="70"/>
      <c r="AO799" s="70"/>
      <c r="AY799" s="129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</row>
    <row r="800">
      <c r="C800" s="70"/>
      <c r="E800" s="70"/>
      <c r="O800" s="70"/>
      <c r="Q800" s="70"/>
      <c r="X800" s="70"/>
      <c r="AA800" s="70"/>
      <c r="AC800" s="70"/>
      <c r="AD800" s="381"/>
      <c r="AM800" s="70"/>
      <c r="AN800" s="70"/>
      <c r="AO800" s="70"/>
      <c r="AY800" s="129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</row>
    <row r="801">
      <c r="C801" s="70"/>
      <c r="E801" s="70"/>
      <c r="O801" s="70"/>
      <c r="Q801" s="70"/>
      <c r="X801" s="70"/>
      <c r="AA801" s="70"/>
      <c r="AC801" s="70"/>
      <c r="AD801" s="381"/>
      <c r="AM801" s="70"/>
      <c r="AN801" s="70"/>
      <c r="AO801" s="70"/>
      <c r="AY801" s="129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</row>
    <row r="802">
      <c r="C802" s="70"/>
      <c r="E802" s="70"/>
      <c r="O802" s="70"/>
      <c r="Q802" s="70"/>
      <c r="X802" s="70"/>
      <c r="AA802" s="70"/>
      <c r="AC802" s="70"/>
      <c r="AD802" s="381"/>
      <c r="AM802" s="70"/>
      <c r="AN802" s="70"/>
      <c r="AO802" s="70"/>
      <c r="AY802" s="129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</row>
    <row r="803">
      <c r="C803" s="70"/>
      <c r="E803" s="70"/>
      <c r="O803" s="70"/>
      <c r="Q803" s="70"/>
      <c r="X803" s="70"/>
      <c r="AA803" s="70"/>
      <c r="AC803" s="70"/>
      <c r="AD803" s="381"/>
      <c r="AM803" s="70"/>
      <c r="AN803" s="70"/>
      <c r="AO803" s="70"/>
      <c r="AY803" s="129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</row>
    <row r="804">
      <c r="C804" s="70"/>
      <c r="E804" s="70"/>
      <c r="O804" s="70"/>
      <c r="Q804" s="70"/>
      <c r="X804" s="70"/>
      <c r="AA804" s="70"/>
      <c r="AC804" s="70"/>
      <c r="AD804" s="381"/>
      <c r="AM804" s="70"/>
      <c r="AN804" s="70"/>
      <c r="AO804" s="70"/>
      <c r="AY804" s="129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</row>
    <row r="805">
      <c r="C805" s="70"/>
      <c r="E805" s="70"/>
      <c r="O805" s="70"/>
      <c r="Q805" s="70"/>
      <c r="X805" s="70"/>
      <c r="AA805" s="70"/>
      <c r="AC805" s="70"/>
      <c r="AD805" s="381"/>
      <c r="AM805" s="70"/>
      <c r="AN805" s="70"/>
      <c r="AO805" s="70"/>
      <c r="AY805" s="129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</row>
    <row r="806">
      <c r="C806" s="70"/>
      <c r="E806" s="70"/>
      <c r="O806" s="70"/>
      <c r="Q806" s="70"/>
      <c r="X806" s="70"/>
      <c r="AA806" s="70"/>
      <c r="AC806" s="70"/>
      <c r="AD806" s="381"/>
      <c r="AM806" s="70"/>
      <c r="AN806" s="70"/>
      <c r="AO806" s="70"/>
      <c r="AY806" s="129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</row>
    <row r="807">
      <c r="C807" s="70"/>
      <c r="E807" s="70"/>
      <c r="O807" s="70"/>
      <c r="Q807" s="70"/>
      <c r="X807" s="70"/>
      <c r="AA807" s="70"/>
      <c r="AC807" s="70"/>
      <c r="AD807" s="381"/>
      <c r="AM807" s="70"/>
      <c r="AN807" s="70"/>
      <c r="AO807" s="70"/>
      <c r="AY807" s="129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</row>
    <row r="808">
      <c r="C808" s="70"/>
      <c r="E808" s="70"/>
      <c r="O808" s="70"/>
      <c r="Q808" s="70"/>
      <c r="X808" s="70"/>
      <c r="AA808" s="70"/>
      <c r="AC808" s="70"/>
      <c r="AD808" s="381"/>
      <c r="AM808" s="70"/>
      <c r="AN808" s="70"/>
      <c r="AO808" s="70"/>
      <c r="AY808" s="129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</row>
    <row r="809">
      <c r="C809" s="70"/>
      <c r="E809" s="70"/>
      <c r="O809" s="70"/>
      <c r="Q809" s="70"/>
      <c r="X809" s="70"/>
      <c r="AA809" s="70"/>
      <c r="AC809" s="70"/>
      <c r="AD809" s="381"/>
      <c r="AM809" s="70"/>
      <c r="AN809" s="70"/>
      <c r="AO809" s="70"/>
      <c r="AY809" s="129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</row>
    <row r="810">
      <c r="C810" s="70"/>
      <c r="E810" s="70"/>
      <c r="O810" s="70"/>
      <c r="Q810" s="70"/>
      <c r="X810" s="70"/>
      <c r="AA810" s="70"/>
      <c r="AC810" s="70"/>
      <c r="AD810" s="381"/>
      <c r="AM810" s="70"/>
      <c r="AN810" s="70"/>
      <c r="AO810" s="70"/>
      <c r="AY810" s="129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</row>
    <row r="811">
      <c r="C811" s="70"/>
      <c r="E811" s="70"/>
      <c r="O811" s="70"/>
      <c r="Q811" s="70"/>
      <c r="X811" s="70"/>
      <c r="AA811" s="70"/>
      <c r="AC811" s="70"/>
      <c r="AD811" s="381"/>
      <c r="AM811" s="70"/>
      <c r="AN811" s="70"/>
      <c r="AO811" s="70"/>
      <c r="AY811" s="129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</row>
    <row r="812">
      <c r="C812" s="70"/>
      <c r="E812" s="70"/>
      <c r="O812" s="70"/>
      <c r="Q812" s="70"/>
      <c r="X812" s="70"/>
      <c r="AA812" s="70"/>
      <c r="AC812" s="70"/>
      <c r="AD812" s="381"/>
      <c r="AM812" s="70"/>
      <c r="AN812" s="70"/>
      <c r="AO812" s="70"/>
      <c r="AY812" s="129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</row>
    <row r="813">
      <c r="C813" s="70"/>
      <c r="E813" s="70"/>
      <c r="O813" s="70"/>
      <c r="Q813" s="70"/>
      <c r="X813" s="70"/>
      <c r="AA813" s="70"/>
      <c r="AC813" s="70"/>
      <c r="AD813" s="381"/>
      <c r="AM813" s="70"/>
      <c r="AN813" s="70"/>
      <c r="AO813" s="70"/>
      <c r="AY813" s="129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</row>
    <row r="814">
      <c r="C814" s="70"/>
      <c r="E814" s="70"/>
      <c r="O814" s="70"/>
      <c r="Q814" s="70"/>
      <c r="X814" s="70"/>
      <c r="AA814" s="70"/>
      <c r="AC814" s="70"/>
      <c r="AD814" s="381"/>
      <c r="AM814" s="70"/>
      <c r="AN814" s="70"/>
      <c r="AO814" s="70"/>
      <c r="AY814" s="129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</row>
    <row r="815">
      <c r="C815" s="70"/>
      <c r="E815" s="70"/>
      <c r="O815" s="70"/>
      <c r="Q815" s="70"/>
      <c r="X815" s="70"/>
      <c r="AA815" s="70"/>
      <c r="AC815" s="70"/>
      <c r="AD815" s="381"/>
      <c r="AM815" s="70"/>
      <c r="AN815" s="70"/>
      <c r="AO815" s="70"/>
      <c r="AY815" s="129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</row>
    <row r="816">
      <c r="C816" s="70"/>
      <c r="E816" s="70"/>
      <c r="O816" s="70"/>
      <c r="Q816" s="70"/>
      <c r="X816" s="70"/>
      <c r="AA816" s="70"/>
      <c r="AC816" s="70"/>
      <c r="AD816" s="381"/>
      <c r="AM816" s="70"/>
      <c r="AN816" s="70"/>
      <c r="AO816" s="70"/>
      <c r="AY816" s="129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</row>
    <row r="817">
      <c r="C817" s="70"/>
      <c r="E817" s="70"/>
      <c r="O817" s="70"/>
      <c r="Q817" s="70"/>
      <c r="X817" s="70"/>
      <c r="AA817" s="70"/>
      <c r="AC817" s="70"/>
      <c r="AD817" s="381"/>
      <c r="AM817" s="70"/>
      <c r="AN817" s="70"/>
      <c r="AO817" s="70"/>
      <c r="AY817" s="129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</row>
    <row r="818">
      <c r="C818" s="70"/>
      <c r="E818" s="70"/>
      <c r="O818" s="70"/>
      <c r="Q818" s="70"/>
      <c r="X818" s="70"/>
      <c r="AA818" s="70"/>
      <c r="AC818" s="70"/>
      <c r="AD818" s="381"/>
      <c r="AM818" s="70"/>
      <c r="AN818" s="70"/>
      <c r="AO818" s="70"/>
      <c r="AY818" s="129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</row>
    <row r="819">
      <c r="C819" s="70"/>
      <c r="E819" s="70"/>
      <c r="O819" s="70"/>
      <c r="Q819" s="70"/>
      <c r="X819" s="70"/>
      <c r="AA819" s="70"/>
      <c r="AC819" s="70"/>
      <c r="AD819" s="381"/>
      <c r="AM819" s="70"/>
      <c r="AN819" s="70"/>
      <c r="AO819" s="70"/>
      <c r="AY819" s="129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</row>
    <row r="820">
      <c r="C820" s="70"/>
      <c r="E820" s="70"/>
      <c r="O820" s="70"/>
      <c r="Q820" s="70"/>
      <c r="X820" s="70"/>
      <c r="AA820" s="70"/>
      <c r="AC820" s="70"/>
      <c r="AD820" s="381"/>
      <c r="AM820" s="70"/>
      <c r="AN820" s="70"/>
      <c r="AO820" s="70"/>
      <c r="AY820" s="129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</row>
    <row r="821">
      <c r="C821" s="70"/>
      <c r="E821" s="70"/>
      <c r="O821" s="70"/>
      <c r="Q821" s="70"/>
      <c r="X821" s="70"/>
      <c r="AA821" s="70"/>
      <c r="AC821" s="70"/>
      <c r="AD821" s="381"/>
      <c r="AM821" s="70"/>
      <c r="AN821" s="70"/>
      <c r="AO821" s="70"/>
      <c r="AY821" s="129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</row>
    <row r="822">
      <c r="C822" s="70"/>
      <c r="E822" s="70"/>
      <c r="O822" s="70"/>
      <c r="Q822" s="70"/>
      <c r="X822" s="70"/>
      <c r="AA822" s="70"/>
      <c r="AC822" s="70"/>
      <c r="AD822" s="381"/>
      <c r="AM822" s="70"/>
      <c r="AN822" s="70"/>
      <c r="AO822" s="70"/>
      <c r="AY822" s="129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</row>
    <row r="823">
      <c r="C823" s="70"/>
      <c r="E823" s="70"/>
      <c r="O823" s="70"/>
      <c r="Q823" s="70"/>
      <c r="X823" s="70"/>
      <c r="AA823" s="70"/>
      <c r="AC823" s="70"/>
      <c r="AD823" s="381"/>
      <c r="AM823" s="70"/>
      <c r="AN823" s="70"/>
      <c r="AO823" s="70"/>
      <c r="AY823" s="129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</row>
    <row r="824">
      <c r="C824" s="70"/>
      <c r="E824" s="70"/>
      <c r="O824" s="70"/>
      <c r="Q824" s="70"/>
      <c r="X824" s="70"/>
      <c r="AA824" s="70"/>
      <c r="AC824" s="70"/>
      <c r="AD824" s="381"/>
      <c r="AM824" s="70"/>
      <c r="AN824" s="70"/>
      <c r="AO824" s="70"/>
      <c r="AY824" s="129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</row>
    <row r="825">
      <c r="C825" s="70"/>
      <c r="E825" s="70"/>
      <c r="O825" s="70"/>
      <c r="Q825" s="70"/>
      <c r="X825" s="70"/>
      <c r="AA825" s="70"/>
      <c r="AC825" s="70"/>
      <c r="AD825" s="381"/>
      <c r="AM825" s="70"/>
      <c r="AN825" s="70"/>
      <c r="AO825" s="70"/>
      <c r="AY825" s="129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</row>
    <row r="826">
      <c r="C826" s="70"/>
      <c r="E826" s="70"/>
      <c r="O826" s="70"/>
      <c r="Q826" s="70"/>
      <c r="X826" s="70"/>
      <c r="AA826" s="70"/>
      <c r="AC826" s="70"/>
      <c r="AD826" s="381"/>
      <c r="AM826" s="70"/>
      <c r="AN826" s="70"/>
      <c r="AO826" s="70"/>
      <c r="AY826" s="129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</row>
    <row r="827">
      <c r="C827" s="70"/>
      <c r="E827" s="70"/>
      <c r="O827" s="70"/>
      <c r="Q827" s="70"/>
      <c r="X827" s="70"/>
      <c r="AA827" s="70"/>
      <c r="AC827" s="70"/>
      <c r="AD827" s="381"/>
      <c r="AM827" s="70"/>
      <c r="AN827" s="70"/>
      <c r="AO827" s="70"/>
      <c r="AY827" s="129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</row>
    <row r="828">
      <c r="C828" s="70"/>
      <c r="E828" s="70"/>
      <c r="O828" s="70"/>
      <c r="Q828" s="70"/>
      <c r="X828" s="70"/>
      <c r="AA828" s="70"/>
      <c r="AC828" s="70"/>
      <c r="AD828" s="381"/>
      <c r="AM828" s="70"/>
      <c r="AN828" s="70"/>
      <c r="AO828" s="70"/>
      <c r="AY828" s="129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</row>
    <row r="829">
      <c r="C829" s="70"/>
      <c r="E829" s="70"/>
      <c r="O829" s="70"/>
      <c r="Q829" s="70"/>
      <c r="X829" s="70"/>
      <c r="AA829" s="70"/>
      <c r="AC829" s="70"/>
      <c r="AD829" s="381"/>
      <c r="AM829" s="70"/>
      <c r="AN829" s="70"/>
      <c r="AO829" s="70"/>
      <c r="AY829" s="129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</row>
    <row r="830">
      <c r="C830" s="70"/>
      <c r="E830" s="70"/>
      <c r="O830" s="70"/>
      <c r="Q830" s="70"/>
      <c r="X830" s="70"/>
      <c r="AA830" s="70"/>
      <c r="AC830" s="70"/>
      <c r="AD830" s="381"/>
      <c r="AM830" s="70"/>
      <c r="AN830" s="70"/>
      <c r="AO830" s="70"/>
      <c r="AY830" s="129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</row>
    <row r="831">
      <c r="C831" s="70"/>
      <c r="E831" s="70"/>
      <c r="O831" s="70"/>
      <c r="Q831" s="70"/>
      <c r="X831" s="70"/>
      <c r="AA831" s="70"/>
      <c r="AC831" s="70"/>
      <c r="AD831" s="381"/>
      <c r="AM831" s="70"/>
      <c r="AN831" s="70"/>
      <c r="AO831" s="70"/>
      <c r="AY831" s="129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</row>
    <row r="832">
      <c r="C832" s="70"/>
      <c r="E832" s="70"/>
      <c r="O832" s="70"/>
      <c r="Q832" s="70"/>
      <c r="X832" s="70"/>
      <c r="AA832" s="70"/>
      <c r="AC832" s="70"/>
      <c r="AD832" s="381"/>
      <c r="AM832" s="70"/>
      <c r="AN832" s="70"/>
      <c r="AO832" s="70"/>
      <c r="AY832" s="129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</row>
    <row r="833">
      <c r="C833" s="70"/>
      <c r="E833" s="70"/>
      <c r="O833" s="70"/>
      <c r="Q833" s="70"/>
      <c r="X833" s="70"/>
      <c r="AA833" s="70"/>
      <c r="AC833" s="70"/>
      <c r="AD833" s="381"/>
      <c r="AM833" s="70"/>
      <c r="AN833" s="70"/>
      <c r="AO833" s="70"/>
      <c r="AY833" s="129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</row>
    <row r="834">
      <c r="C834" s="70"/>
      <c r="E834" s="70"/>
      <c r="O834" s="70"/>
      <c r="Q834" s="70"/>
      <c r="X834" s="70"/>
      <c r="AA834" s="70"/>
      <c r="AC834" s="70"/>
      <c r="AD834" s="381"/>
      <c r="AM834" s="70"/>
      <c r="AN834" s="70"/>
      <c r="AO834" s="70"/>
      <c r="AY834" s="129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</row>
    <row r="835">
      <c r="C835" s="70"/>
      <c r="E835" s="70"/>
      <c r="O835" s="70"/>
      <c r="Q835" s="70"/>
      <c r="X835" s="70"/>
      <c r="AA835" s="70"/>
      <c r="AC835" s="70"/>
      <c r="AD835" s="381"/>
      <c r="AM835" s="70"/>
      <c r="AN835" s="70"/>
      <c r="AO835" s="70"/>
      <c r="AY835" s="129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</row>
    <row r="836">
      <c r="C836" s="70"/>
      <c r="E836" s="70"/>
      <c r="O836" s="70"/>
      <c r="Q836" s="70"/>
      <c r="X836" s="70"/>
      <c r="AA836" s="70"/>
      <c r="AC836" s="70"/>
      <c r="AD836" s="381"/>
      <c r="AM836" s="70"/>
      <c r="AN836" s="70"/>
      <c r="AO836" s="70"/>
      <c r="AY836" s="129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</row>
    <row r="837">
      <c r="C837" s="70"/>
      <c r="E837" s="70"/>
      <c r="O837" s="70"/>
      <c r="Q837" s="70"/>
      <c r="X837" s="70"/>
      <c r="AA837" s="70"/>
      <c r="AC837" s="70"/>
      <c r="AD837" s="381"/>
      <c r="AM837" s="70"/>
      <c r="AN837" s="70"/>
      <c r="AO837" s="70"/>
      <c r="AY837" s="129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</row>
    <row r="838">
      <c r="C838" s="70"/>
      <c r="E838" s="70"/>
      <c r="O838" s="70"/>
      <c r="Q838" s="70"/>
      <c r="X838" s="70"/>
      <c r="AA838" s="70"/>
      <c r="AC838" s="70"/>
      <c r="AD838" s="381"/>
      <c r="AM838" s="70"/>
      <c r="AN838" s="70"/>
      <c r="AO838" s="70"/>
      <c r="AY838" s="129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</row>
    <row r="839">
      <c r="C839" s="70"/>
      <c r="E839" s="70"/>
      <c r="O839" s="70"/>
      <c r="Q839" s="70"/>
      <c r="X839" s="70"/>
      <c r="AA839" s="70"/>
      <c r="AC839" s="70"/>
      <c r="AD839" s="381"/>
      <c r="AM839" s="70"/>
      <c r="AN839" s="70"/>
      <c r="AO839" s="70"/>
      <c r="AY839" s="129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</row>
    <row r="840">
      <c r="C840" s="70"/>
      <c r="E840" s="70"/>
      <c r="O840" s="70"/>
      <c r="Q840" s="70"/>
      <c r="X840" s="70"/>
      <c r="AA840" s="70"/>
      <c r="AC840" s="70"/>
      <c r="AD840" s="381"/>
      <c r="AM840" s="70"/>
      <c r="AN840" s="70"/>
      <c r="AO840" s="70"/>
      <c r="AY840" s="129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</row>
    <row r="841">
      <c r="C841" s="70"/>
      <c r="E841" s="70"/>
      <c r="O841" s="70"/>
      <c r="Q841" s="70"/>
      <c r="X841" s="70"/>
      <c r="AA841" s="70"/>
      <c r="AC841" s="70"/>
      <c r="AD841" s="381"/>
      <c r="AM841" s="70"/>
      <c r="AN841" s="70"/>
      <c r="AO841" s="70"/>
      <c r="AY841" s="129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</row>
    <row r="842">
      <c r="C842" s="70"/>
      <c r="E842" s="70"/>
      <c r="O842" s="70"/>
      <c r="Q842" s="70"/>
      <c r="X842" s="70"/>
      <c r="AA842" s="70"/>
      <c r="AC842" s="70"/>
      <c r="AD842" s="381"/>
      <c r="AM842" s="70"/>
      <c r="AN842" s="70"/>
      <c r="AO842" s="70"/>
      <c r="AY842" s="129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</row>
    <row r="843">
      <c r="C843" s="70"/>
      <c r="E843" s="70"/>
      <c r="O843" s="70"/>
      <c r="Q843" s="70"/>
      <c r="X843" s="70"/>
      <c r="AA843" s="70"/>
      <c r="AC843" s="70"/>
      <c r="AD843" s="381"/>
      <c r="AM843" s="70"/>
      <c r="AN843" s="70"/>
      <c r="AO843" s="70"/>
      <c r="AY843" s="129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</row>
    <row r="844">
      <c r="C844" s="70"/>
      <c r="E844" s="70"/>
      <c r="O844" s="70"/>
      <c r="Q844" s="70"/>
      <c r="X844" s="70"/>
      <c r="AA844" s="70"/>
      <c r="AC844" s="70"/>
      <c r="AD844" s="381"/>
      <c r="AM844" s="70"/>
      <c r="AN844" s="70"/>
      <c r="AO844" s="70"/>
      <c r="AY844" s="129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</row>
    <row r="845">
      <c r="C845" s="70"/>
      <c r="E845" s="70"/>
      <c r="O845" s="70"/>
      <c r="Q845" s="70"/>
      <c r="X845" s="70"/>
      <c r="AA845" s="70"/>
      <c r="AC845" s="70"/>
      <c r="AD845" s="381"/>
      <c r="AM845" s="70"/>
      <c r="AN845" s="70"/>
      <c r="AO845" s="70"/>
      <c r="AY845" s="129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</row>
    <row r="846">
      <c r="C846" s="70"/>
      <c r="E846" s="70"/>
      <c r="O846" s="70"/>
      <c r="Q846" s="70"/>
      <c r="X846" s="70"/>
      <c r="AA846" s="70"/>
      <c r="AC846" s="70"/>
      <c r="AD846" s="381"/>
      <c r="AM846" s="70"/>
      <c r="AN846" s="70"/>
      <c r="AO846" s="70"/>
      <c r="AY846" s="129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</row>
    <row r="847">
      <c r="C847" s="70"/>
      <c r="E847" s="70"/>
      <c r="O847" s="70"/>
      <c r="Q847" s="70"/>
      <c r="X847" s="70"/>
      <c r="AA847" s="70"/>
      <c r="AC847" s="70"/>
      <c r="AD847" s="381"/>
      <c r="AM847" s="70"/>
      <c r="AN847" s="70"/>
      <c r="AO847" s="70"/>
      <c r="AY847" s="129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</row>
    <row r="848">
      <c r="C848" s="70"/>
      <c r="E848" s="70"/>
      <c r="O848" s="70"/>
      <c r="Q848" s="70"/>
      <c r="X848" s="70"/>
      <c r="AA848" s="70"/>
      <c r="AC848" s="70"/>
      <c r="AD848" s="381"/>
      <c r="AM848" s="70"/>
      <c r="AN848" s="70"/>
      <c r="AO848" s="70"/>
      <c r="AY848" s="129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</row>
    <row r="849">
      <c r="C849" s="70"/>
      <c r="E849" s="70"/>
      <c r="O849" s="70"/>
      <c r="Q849" s="70"/>
      <c r="X849" s="70"/>
      <c r="AA849" s="70"/>
      <c r="AC849" s="70"/>
      <c r="AD849" s="381"/>
      <c r="AM849" s="70"/>
      <c r="AN849" s="70"/>
      <c r="AO849" s="70"/>
      <c r="AY849" s="129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</row>
    <row r="850">
      <c r="C850" s="70"/>
      <c r="E850" s="70"/>
      <c r="O850" s="70"/>
      <c r="Q850" s="70"/>
      <c r="X850" s="70"/>
      <c r="AA850" s="70"/>
      <c r="AC850" s="70"/>
      <c r="AD850" s="381"/>
      <c r="AM850" s="70"/>
      <c r="AN850" s="70"/>
      <c r="AO850" s="70"/>
      <c r="AY850" s="129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</row>
    <row r="851">
      <c r="C851" s="70"/>
      <c r="E851" s="70"/>
      <c r="O851" s="70"/>
      <c r="Q851" s="70"/>
      <c r="X851" s="70"/>
      <c r="AA851" s="70"/>
      <c r="AC851" s="70"/>
      <c r="AD851" s="381"/>
      <c r="AM851" s="70"/>
      <c r="AN851" s="70"/>
      <c r="AO851" s="70"/>
      <c r="AY851" s="129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</row>
    <row r="852">
      <c r="C852" s="70"/>
      <c r="E852" s="70"/>
      <c r="O852" s="70"/>
      <c r="Q852" s="70"/>
      <c r="X852" s="70"/>
      <c r="AA852" s="70"/>
      <c r="AC852" s="70"/>
      <c r="AD852" s="381"/>
      <c r="AM852" s="70"/>
      <c r="AN852" s="70"/>
      <c r="AO852" s="70"/>
      <c r="AY852" s="129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</row>
    <row r="853">
      <c r="C853" s="70"/>
      <c r="E853" s="70"/>
      <c r="O853" s="70"/>
      <c r="Q853" s="70"/>
      <c r="X853" s="70"/>
      <c r="AA853" s="70"/>
      <c r="AC853" s="70"/>
      <c r="AD853" s="381"/>
      <c r="AM853" s="70"/>
      <c r="AN853" s="70"/>
      <c r="AO853" s="70"/>
      <c r="AY853" s="129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</row>
    <row r="854">
      <c r="C854" s="70"/>
      <c r="E854" s="70"/>
      <c r="O854" s="70"/>
      <c r="Q854" s="70"/>
      <c r="X854" s="70"/>
      <c r="AA854" s="70"/>
      <c r="AC854" s="70"/>
      <c r="AD854" s="381"/>
      <c r="AM854" s="70"/>
      <c r="AN854" s="70"/>
      <c r="AO854" s="70"/>
      <c r="AY854" s="129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</row>
    <row r="855">
      <c r="C855" s="70"/>
      <c r="E855" s="70"/>
      <c r="O855" s="70"/>
      <c r="Q855" s="70"/>
      <c r="X855" s="70"/>
      <c r="AA855" s="70"/>
      <c r="AC855" s="70"/>
      <c r="AD855" s="381"/>
      <c r="AM855" s="70"/>
      <c r="AN855" s="70"/>
      <c r="AO855" s="70"/>
      <c r="AY855" s="129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</row>
    <row r="856">
      <c r="C856" s="70"/>
      <c r="E856" s="70"/>
      <c r="O856" s="70"/>
      <c r="Q856" s="70"/>
      <c r="X856" s="70"/>
      <c r="AA856" s="70"/>
      <c r="AC856" s="70"/>
      <c r="AD856" s="381"/>
      <c r="AM856" s="70"/>
      <c r="AN856" s="70"/>
      <c r="AO856" s="70"/>
      <c r="AY856" s="129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</row>
    <row r="857">
      <c r="C857" s="70"/>
      <c r="E857" s="70"/>
      <c r="O857" s="70"/>
      <c r="Q857" s="70"/>
      <c r="X857" s="70"/>
      <c r="AA857" s="70"/>
      <c r="AC857" s="70"/>
      <c r="AD857" s="381"/>
      <c r="AM857" s="70"/>
      <c r="AN857" s="70"/>
      <c r="AO857" s="70"/>
      <c r="AY857" s="129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</row>
    <row r="858">
      <c r="C858" s="70"/>
      <c r="E858" s="70"/>
      <c r="O858" s="70"/>
      <c r="Q858" s="70"/>
      <c r="X858" s="70"/>
      <c r="AA858" s="70"/>
      <c r="AC858" s="70"/>
      <c r="AD858" s="381"/>
      <c r="AM858" s="70"/>
      <c r="AN858" s="70"/>
      <c r="AO858" s="70"/>
      <c r="AY858" s="129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</row>
    <row r="859">
      <c r="C859" s="70"/>
      <c r="E859" s="70"/>
      <c r="O859" s="70"/>
      <c r="Q859" s="70"/>
      <c r="X859" s="70"/>
      <c r="AA859" s="70"/>
      <c r="AC859" s="70"/>
      <c r="AD859" s="381"/>
      <c r="AM859" s="70"/>
      <c r="AN859" s="70"/>
      <c r="AO859" s="70"/>
      <c r="AY859" s="129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</row>
    <row r="860">
      <c r="C860" s="70"/>
      <c r="E860" s="70"/>
      <c r="O860" s="70"/>
      <c r="Q860" s="70"/>
      <c r="X860" s="70"/>
      <c r="AA860" s="70"/>
      <c r="AC860" s="70"/>
      <c r="AD860" s="381"/>
      <c r="AM860" s="70"/>
      <c r="AN860" s="70"/>
      <c r="AO860" s="70"/>
      <c r="AY860" s="129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</row>
    <row r="861">
      <c r="C861" s="70"/>
      <c r="E861" s="70"/>
      <c r="O861" s="70"/>
      <c r="Q861" s="70"/>
      <c r="X861" s="70"/>
      <c r="AA861" s="70"/>
      <c r="AC861" s="70"/>
      <c r="AD861" s="381"/>
      <c r="AM861" s="70"/>
      <c r="AN861" s="70"/>
      <c r="AO861" s="70"/>
      <c r="AY861" s="129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</row>
    <row r="862">
      <c r="C862" s="70"/>
      <c r="E862" s="70"/>
      <c r="O862" s="70"/>
      <c r="Q862" s="70"/>
      <c r="X862" s="70"/>
      <c r="AA862" s="70"/>
      <c r="AC862" s="70"/>
      <c r="AD862" s="381"/>
      <c r="AM862" s="70"/>
      <c r="AN862" s="70"/>
      <c r="AO862" s="70"/>
      <c r="AY862" s="129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</row>
    <row r="863">
      <c r="C863" s="70"/>
      <c r="E863" s="70"/>
      <c r="O863" s="70"/>
      <c r="Q863" s="70"/>
      <c r="X863" s="70"/>
      <c r="AA863" s="70"/>
      <c r="AC863" s="70"/>
      <c r="AD863" s="381"/>
      <c r="AM863" s="70"/>
      <c r="AN863" s="70"/>
      <c r="AO863" s="70"/>
      <c r="AY863" s="129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</row>
    <row r="864">
      <c r="C864" s="70"/>
      <c r="E864" s="70"/>
      <c r="O864" s="70"/>
      <c r="Q864" s="70"/>
      <c r="X864" s="70"/>
      <c r="AA864" s="70"/>
      <c r="AC864" s="70"/>
      <c r="AD864" s="381"/>
      <c r="AM864" s="70"/>
      <c r="AN864" s="70"/>
      <c r="AO864" s="70"/>
      <c r="AY864" s="129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</row>
    <row r="865">
      <c r="C865" s="70"/>
      <c r="E865" s="70"/>
      <c r="O865" s="70"/>
      <c r="Q865" s="70"/>
      <c r="X865" s="70"/>
      <c r="AA865" s="70"/>
      <c r="AC865" s="70"/>
      <c r="AD865" s="381"/>
      <c r="AM865" s="70"/>
      <c r="AN865" s="70"/>
      <c r="AO865" s="70"/>
      <c r="AY865" s="129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</row>
    <row r="866">
      <c r="C866" s="70"/>
      <c r="E866" s="70"/>
      <c r="O866" s="70"/>
      <c r="Q866" s="70"/>
      <c r="X866" s="70"/>
      <c r="AA866" s="70"/>
      <c r="AC866" s="70"/>
      <c r="AD866" s="381"/>
      <c r="AM866" s="70"/>
      <c r="AN866" s="70"/>
      <c r="AO866" s="70"/>
      <c r="AY866" s="129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</row>
    <row r="867">
      <c r="C867" s="70"/>
      <c r="E867" s="70"/>
      <c r="O867" s="70"/>
      <c r="Q867" s="70"/>
      <c r="X867" s="70"/>
      <c r="AA867" s="70"/>
      <c r="AC867" s="70"/>
      <c r="AD867" s="381"/>
      <c r="AM867" s="70"/>
      <c r="AN867" s="70"/>
      <c r="AO867" s="70"/>
      <c r="AY867" s="129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</row>
    <row r="868">
      <c r="C868" s="70"/>
      <c r="E868" s="70"/>
      <c r="O868" s="70"/>
      <c r="Q868" s="70"/>
      <c r="X868" s="70"/>
      <c r="AA868" s="70"/>
      <c r="AC868" s="70"/>
      <c r="AD868" s="381"/>
      <c r="AM868" s="70"/>
      <c r="AN868" s="70"/>
      <c r="AO868" s="70"/>
      <c r="AY868" s="129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</row>
    <row r="869">
      <c r="C869" s="70"/>
      <c r="E869" s="70"/>
      <c r="O869" s="70"/>
      <c r="Q869" s="70"/>
      <c r="X869" s="70"/>
      <c r="AA869" s="70"/>
      <c r="AC869" s="70"/>
      <c r="AD869" s="381"/>
      <c r="AM869" s="70"/>
      <c r="AN869" s="70"/>
      <c r="AO869" s="70"/>
      <c r="AY869" s="129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</row>
    <row r="870">
      <c r="C870" s="70"/>
      <c r="E870" s="70"/>
      <c r="O870" s="70"/>
      <c r="Q870" s="70"/>
      <c r="X870" s="70"/>
      <c r="AA870" s="70"/>
      <c r="AC870" s="70"/>
      <c r="AD870" s="381"/>
      <c r="AM870" s="70"/>
      <c r="AN870" s="70"/>
      <c r="AO870" s="70"/>
      <c r="AY870" s="129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</row>
    <row r="871">
      <c r="C871" s="70"/>
      <c r="E871" s="70"/>
      <c r="O871" s="70"/>
      <c r="Q871" s="70"/>
      <c r="X871" s="70"/>
      <c r="AA871" s="70"/>
      <c r="AC871" s="70"/>
      <c r="AD871" s="381"/>
      <c r="AM871" s="70"/>
      <c r="AN871" s="70"/>
      <c r="AO871" s="70"/>
      <c r="AY871" s="129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</row>
    <row r="872">
      <c r="C872" s="70"/>
      <c r="E872" s="70"/>
      <c r="O872" s="70"/>
      <c r="Q872" s="70"/>
      <c r="X872" s="70"/>
      <c r="AA872" s="70"/>
      <c r="AC872" s="70"/>
      <c r="AD872" s="381"/>
      <c r="AM872" s="70"/>
      <c r="AN872" s="70"/>
      <c r="AO872" s="70"/>
      <c r="AY872" s="129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</row>
    <row r="873">
      <c r="C873" s="70"/>
      <c r="E873" s="70"/>
      <c r="O873" s="70"/>
      <c r="Q873" s="70"/>
      <c r="X873" s="70"/>
      <c r="AA873" s="70"/>
      <c r="AC873" s="70"/>
      <c r="AD873" s="381"/>
      <c r="AM873" s="70"/>
      <c r="AN873" s="70"/>
      <c r="AO873" s="70"/>
      <c r="AY873" s="129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</row>
    <row r="874">
      <c r="C874" s="70"/>
      <c r="E874" s="70"/>
      <c r="O874" s="70"/>
      <c r="Q874" s="70"/>
      <c r="X874" s="70"/>
      <c r="AA874" s="70"/>
      <c r="AC874" s="70"/>
      <c r="AD874" s="381"/>
      <c r="AM874" s="70"/>
      <c r="AN874" s="70"/>
      <c r="AO874" s="70"/>
      <c r="AY874" s="129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</row>
    <row r="875">
      <c r="C875" s="70"/>
      <c r="E875" s="70"/>
      <c r="O875" s="70"/>
      <c r="Q875" s="70"/>
      <c r="X875" s="70"/>
      <c r="AA875" s="70"/>
      <c r="AC875" s="70"/>
      <c r="AD875" s="381"/>
      <c r="AM875" s="70"/>
      <c r="AN875" s="70"/>
      <c r="AO875" s="70"/>
      <c r="AY875" s="129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</row>
    <row r="876">
      <c r="C876" s="70"/>
      <c r="E876" s="70"/>
      <c r="O876" s="70"/>
      <c r="Q876" s="70"/>
      <c r="X876" s="70"/>
      <c r="AA876" s="70"/>
      <c r="AC876" s="70"/>
      <c r="AD876" s="381"/>
      <c r="AM876" s="70"/>
      <c r="AN876" s="70"/>
      <c r="AO876" s="70"/>
      <c r="AY876" s="129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</row>
    <row r="877">
      <c r="C877" s="70"/>
      <c r="E877" s="70"/>
      <c r="O877" s="70"/>
      <c r="Q877" s="70"/>
      <c r="X877" s="70"/>
      <c r="AA877" s="70"/>
      <c r="AC877" s="70"/>
      <c r="AD877" s="381"/>
      <c r="AM877" s="70"/>
      <c r="AN877" s="70"/>
      <c r="AO877" s="70"/>
      <c r="AY877" s="129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</row>
    <row r="878">
      <c r="C878" s="70"/>
      <c r="E878" s="70"/>
      <c r="O878" s="70"/>
      <c r="Q878" s="70"/>
      <c r="X878" s="70"/>
      <c r="AA878" s="70"/>
      <c r="AC878" s="70"/>
      <c r="AD878" s="381"/>
      <c r="AM878" s="70"/>
      <c r="AN878" s="70"/>
      <c r="AO878" s="70"/>
      <c r="AY878" s="129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</row>
    <row r="879">
      <c r="C879" s="70"/>
      <c r="E879" s="70"/>
      <c r="O879" s="70"/>
      <c r="Q879" s="70"/>
      <c r="X879" s="70"/>
      <c r="AA879" s="70"/>
      <c r="AC879" s="70"/>
      <c r="AD879" s="381"/>
      <c r="AM879" s="70"/>
      <c r="AN879" s="70"/>
      <c r="AO879" s="70"/>
      <c r="AY879" s="129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</row>
    <row r="880">
      <c r="C880" s="70"/>
      <c r="E880" s="70"/>
      <c r="O880" s="70"/>
      <c r="Q880" s="70"/>
      <c r="X880" s="70"/>
      <c r="AA880" s="70"/>
      <c r="AC880" s="70"/>
      <c r="AD880" s="381"/>
      <c r="AM880" s="70"/>
      <c r="AN880" s="70"/>
      <c r="AO880" s="70"/>
      <c r="AY880" s="129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</row>
    <row r="881">
      <c r="C881" s="70"/>
      <c r="E881" s="70"/>
      <c r="O881" s="70"/>
      <c r="Q881" s="70"/>
      <c r="X881" s="70"/>
      <c r="AA881" s="70"/>
      <c r="AC881" s="70"/>
      <c r="AD881" s="381"/>
      <c r="AM881" s="70"/>
      <c r="AN881" s="70"/>
      <c r="AO881" s="70"/>
      <c r="AY881" s="129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</row>
    <row r="882">
      <c r="C882" s="70"/>
      <c r="E882" s="70"/>
      <c r="O882" s="70"/>
      <c r="Q882" s="70"/>
      <c r="X882" s="70"/>
      <c r="AA882" s="70"/>
      <c r="AC882" s="70"/>
      <c r="AD882" s="381"/>
      <c r="AM882" s="70"/>
      <c r="AN882" s="70"/>
      <c r="AO882" s="70"/>
      <c r="AY882" s="129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</row>
    <row r="883">
      <c r="C883" s="70"/>
      <c r="E883" s="70"/>
      <c r="O883" s="70"/>
      <c r="Q883" s="70"/>
      <c r="X883" s="70"/>
      <c r="AA883" s="70"/>
      <c r="AC883" s="70"/>
      <c r="AD883" s="381"/>
      <c r="AM883" s="70"/>
      <c r="AN883" s="70"/>
      <c r="AO883" s="70"/>
      <c r="AY883" s="129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</row>
    <row r="884">
      <c r="C884" s="70"/>
      <c r="E884" s="70"/>
      <c r="O884" s="70"/>
      <c r="Q884" s="70"/>
      <c r="X884" s="70"/>
      <c r="AA884" s="70"/>
      <c r="AC884" s="70"/>
      <c r="AD884" s="381"/>
      <c r="AM884" s="70"/>
      <c r="AN884" s="70"/>
      <c r="AO884" s="70"/>
      <c r="AY884" s="129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</row>
    <row r="885">
      <c r="C885" s="70"/>
      <c r="E885" s="70"/>
      <c r="O885" s="70"/>
      <c r="Q885" s="70"/>
      <c r="X885" s="70"/>
      <c r="AA885" s="70"/>
      <c r="AC885" s="70"/>
      <c r="AD885" s="381"/>
      <c r="AM885" s="70"/>
      <c r="AN885" s="70"/>
      <c r="AO885" s="70"/>
      <c r="AY885" s="129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</row>
    <row r="886">
      <c r="C886" s="70"/>
      <c r="E886" s="70"/>
      <c r="O886" s="70"/>
      <c r="Q886" s="70"/>
      <c r="X886" s="70"/>
      <c r="AA886" s="70"/>
      <c r="AC886" s="70"/>
      <c r="AD886" s="381"/>
      <c r="AM886" s="70"/>
      <c r="AN886" s="70"/>
      <c r="AO886" s="70"/>
      <c r="AY886" s="129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</row>
    <row r="887">
      <c r="C887" s="70"/>
      <c r="E887" s="70"/>
      <c r="O887" s="70"/>
      <c r="Q887" s="70"/>
      <c r="X887" s="70"/>
      <c r="AA887" s="70"/>
      <c r="AC887" s="70"/>
      <c r="AD887" s="381"/>
      <c r="AM887" s="70"/>
      <c r="AN887" s="70"/>
      <c r="AO887" s="70"/>
      <c r="AY887" s="129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</row>
    <row r="888">
      <c r="C888" s="70"/>
      <c r="E888" s="70"/>
      <c r="O888" s="70"/>
      <c r="Q888" s="70"/>
      <c r="X888" s="70"/>
      <c r="AA888" s="70"/>
      <c r="AC888" s="70"/>
      <c r="AD888" s="381"/>
      <c r="AM888" s="70"/>
      <c r="AN888" s="70"/>
      <c r="AO888" s="70"/>
      <c r="AY888" s="129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</row>
    <row r="889">
      <c r="C889" s="70"/>
      <c r="E889" s="70"/>
      <c r="O889" s="70"/>
      <c r="Q889" s="70"/>
      <c r="X889" s="70"/>
      <c r="AA889" s="70"/>
      <c r="AC889" s="70"/>
      <c r="AD889" s="381"/>
      <c r="AM889" s="70"/>
      <c r="AN889" s="70"/>
      <c r="AO889" s="70"/>
      <c r="AY889" s="129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</row>
    <row r="890">
      <c r="C890" s="70"/>
      <c r="E890" s="70"/>
      <c r="O890" s="70"/>
      <c r="Q890" s="70"/>
      <c r="X890" s="70"/>
      <c r="AA890" s="70"/>
      <c r="AC890" s="70"/>
      <c r="AD890" s="381"/>
      <c r="AM890" s="70"/>
      <c r="AN890" s="70"/>
      <c r="AO890" s="70"/>
      <c r="AY890" s="129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</row>
    <row r="891">
      <c r="C891" s="70"/>
      <c r="E891" s="70"/>
      <c r="O891" s="70"/>
      <c r="Q891" s="70"/>
      <c r="X891" s="70"/>
      <c r="AA891" s="70"/>
      <c r="AC891" s="70"/>
      <c r="AD891" s="381"/>
      <c r="AM891" s="70"/>
      <c r="AN891" s="70"/>
      <c r="AO891" s="70"/>
      <c r="AY891" s="129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</row>
    <row r="892">
      <c r="C892" s="70"/>
      <c r="E892" s="70"/>
      <c r="O892" s="70"/>
      <c r="Q892" s="70"/>
      <c r="X892" s="70"/>
      <c r="AA892" s="70"/>
      <c r="AC892" s="70"/>
      <c r="AD892" s="381"/>
      <c r="AM892" s="70"/>
      <c r="AN892" s="70"/>
      <c r="AO892" s="70"/>
      <c r="AY892" s="129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</row>
    <row r="893">
      <c r="C893" s="70"/>
      <c r="E893" s="70"/>
      <c r="O893" s="70"/>
      <c r="Q893" s="70"/>
      <c r="X893" s="70"/>
      <c r="AA893" s="70"/>
      <c r="AC893" s="70"/>
      <c r="AD893" s="381"/>
      <c r="AM893" s="70"/>
      <c r="AN893" s="70"/>
      <c r="AO893" s="70"/>
      <c r="AY893" s="129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</row>
    <row r="894">
      <c r="C894" s="70"/>
      <c r="E894" s="70"/>
      <c r="O894" s="70"/>
      <c r="Q894" s="70"/>
      <c r="X894" s="70"/>
      <c r="AA894" s="70"/>
      <c r="AC894" s="70"/>
      <c r="AD894" s="381"/>
      <c r="AM894" s="70"/>
      <c r="AN894" s="70"/>
      <c r="AO894" s="70"/>
      <c r="AY894" s="129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</row>
    <row r="895">
      <c r="C895" s="70"/>
      <c r="E895" s="70"/>
      <c r="O895" s="70"/>
      <c r="Q895" s="70"/>
      <c r="X895" s="70"/>
      <c r="AA895" s="70"/>
      <c r="AC895" s="70"/>
      <c r="AD895" s="381"/>
      <c r="AM895" s="70"/>
      <c r="AN895" s="70"/>
      <c r="AO895" s="70"/>
      <c r="AY895" s="129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</row>
    <row r="896">
      <c r="C896" s="70"/>
      <c r="E896" s="70"/>
      <c r="O896" s="70"/>
      <c r="Q896" s="70"/>
      <c r="X896" s="70"/>
      <c r="AA896" s="70"/>
      <c r="AC896" s="70"/>
      <c r="AD896" s="381"/>
      <c r="AM896" s="70"/>
      <c r="AN896" s="70"/>
      <c r="AO896" s="70"/>
      <c r="AY896" s="129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</row>
    <row r="897">
      <c r="C897" s="70"/>
      <c r="E897" s="70"/>
      <c r="O897" s="70"/>
      <c r="Q897" s="70"/>
      <c r="X897" s="70"/>
      <c r="AA897" s="70"/>
      <c r="AC897" s="70"/>
      <c r="AD897" s="381"/>
      <c r="AM897" s="70"/>
      <c r="AN897" s="70"/>
      <c r="AO897" s="70"/>
      <c r="AY897" s="129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</row>
    <row r="898">
      <c r="C898" s="70"/>
      <c r="E898" s="70"/>
      <c r="O898" s="70"/>
      <c r="Q898" s="70"/>
      <c r="X898" s="70"/>
      <c r="AA898" s="70"/>
      <c r="AC898" s="70"/>
      <c r="AD898" s="381"/>
      <c r="AM898" s="70"/>
      <c r="AN898" s="70"/>
      <c r="AO898" s="70"/>
      <c r="AY898" s="129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</row>
    <row r="899">
      <c r="C899" s="70"/>
      <c r="E899" s="70"/>
      <c r="O899" s="70"/>
      <c r="Q899" s="70"/>
      <c r="X899" s="70"/>
      <c r="AA899" s="70"/>
      <c r="AC899" s="70"/>
      <c r="AD899" s="381"/>
      <c r="AM899" s="70"/>
      <c r="AN899" s="70"/>
      <c r="AO899" s="70"/>
      <c r="AY899" s="129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</row>
    <row r="900">
      <c r="C900" s="70"/>
      <c r="E900" s="70"/>
      <c r="O900" s="70"/>
      <c r="Q900" s="70"/>
      <c r="X900" s="70"/>
      <c r="AA900" s="70"/>
      <c r="AC900" s="70"/>
      <c r="AD900" s="381"/>
      <c r="AM900" s="70"/>
      <c r="AN900" s="70"/>
      <c r="AO900" s="70"/>
      <c r="AY900" s="129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</row>
    <row r="901">
      <c r="C901" s="70"/>
      <c r="E901" s="70"/>
      <c r="O901" s="70"/>
      <c r="Q901" s="70"/>
      <c r="X901" s="70"/>
      <c r="AA901" s="70"/>
      <c r="AC901" s="70"/>
      <c r="AD901" s="381"/>
      <c r="AM901" s="70"/>
      <c r="AN901" s="70"/>
      <c r="AO901" s="70"/>
      <c r="AY901" s="129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</row>
    <row r="902">
      <c r="C902" s="70"/>
      <c r="E902" s="70"/>
      <c r="O902" s="70"/>
      <c r="Q902" s="70"/>
      <c r="X902" s="70"/>
      <c r="AA902" s="70"/>
      <c r="AC902" s="70"/>
      <c r="AD902" s="381"/>
      <c r="AM902" s="70"/>
      <c r="AN902" s="70"/>
      <c r="AO902" s="70"/>
      <c r="AY902" s="129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</row>
    <row r="903">
      <c r="C903" s="70"/>
      <c r="E903" s="70"/>
      <c r="O903" s="70"/>
      <c r="Q903" s="70"/>
      <c r="X903" s="70"/>
      <c r="AA903" s="70"/>
      <c r="AC903" s="70"/>
      <c r="AD903" s="381"/>
      <c r="AM903" s="70"/>
      <c r="AN903" s="70"/>
      <c r="AO903" s="70"/>
      <c r="AY903" s="129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</row>
    <row r="904">
      <c r="C904" s="70"/>
      <c r="E904" s="70"/>
      <c r="O904" s="70"/>
      <c r="Q904" s="70"/>
      <c r="X904" s="70"/>
      <c r="AA904" s="70"/>
      <c r="AC904" s="70"/>
      <c r="AD904" s="381"/>
      <c r="AM904" s="70"/>
      <c r="AN904" s="70"/>
      <c r="AO904" s="70"/>
      <c r="AY904" s="129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</row>
    <row r="905">
      <c r="C905" s="70"/>
      <c r="E905" s="70"/>
      <c r="O905" s="70"/>
      <c r="Q905" s="70"/>
      <c r="X905" s="70"/>
      <c r="AA905" s="70"/>
      <c r="AC905" s="70"/>
      <c r="AD905" s="381"/>
      <c r="AM905" s="70"/>
      <c r="AN905" s="70"/>
      <c r="AO905" s="70"/>
      <c r="AY905" s="129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</row>
    <row r="906">
      <c r="C906" s="70"/>
      <c r="E906" s="70"/>
      <c r="O906" s="70"/>
      <c r="Q906" s="70"/>
      <c r="X906" s="70"/>
      <c r="AA906" s="70"/>
      <c r="AC906" s="70"/>
      <c r="AD906" s="381"/>
      <c r="AM906" s="70"/>
      <c r="AN906" s="70"/>
      <c r="AO906" s="70"/>
      <c r="AY906" s="129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</row>
    <row r="907">
      <c r="C907" s="70"/>
      <c r="E907" s="70"/>
      <c r="O907" s="70"/>
      <c r="Q907" s="70"/>
      <c r="X907" s="70"/>
      <c r="AA907" s="70"/>
      <c r="AC907" s="70"/>
      <c r="AD907" s="381"/>
      <c r="AM907" s="70"/>
      <c r="AN907" s="70"/>
      <c r="AO907" s="70"/>
      <c r="AY907" s="129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</row>
    <row r="908">
      <c r="C908" s="70"/>
      <c r="E908" s="70"/>
      <c r="O908" s="70"/>
      <c r="Q908" s="70"/>
      <c r="X908" s="70"/>
      <c r="AA908" s="70"/>
      <c r="AC908" s="70"/>
      <c r="AD908" s="381"/>
      <c r="AM908" s="70"/>
      <c r="AN908" s="70"/>
      <c r="AO908" s="70"/>
      <c r="AY908" s="129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</row>
    <row r="909">
      <c r="C909" s="70"/>
      <c r="E909" s="70"/>
      <c r="O909" s="70"/>
      <c r="Q909" s="70"/>
      <c r="X909" s="70"/>
      <c r="AA909" s="70"/>
      <c r="AC909" s="70"/>
      <c r="AD909" s="381"/>
      <c r="AM909" s="70"/>
      <c r="AN909" s="70"/>
      <c r="AO909" s="70"/>
      <c r="AY909" s="129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</row>
    <row r="910">
      <c r="C910" s="70"/>
      <c r="E910" s="70"/>
      <c r="O910" s="70"/>
      <c r="Q910" s="70"/>
      <c r="X910" s="70"/>
      <c r="AA910" s="70"/>
      <c r="AC910" s="70"/>
      <c r="AD910" s="381"/>
      <c r="AM910" s="70"/>
      <c r="AN910" s="70"/>
      <c r="AO910" s="70"/>
      <c r="AY910" s="129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</row>
    <row r="911">
      <c r="C911" s="70"/>
      <c r="E911" s="70"/>
      <c r="O911" s="70"/>
      <c r="Q911" s="70"/>
      <c r="X911" s="70"/>
      <c r="AA911" s="70"/>
      <c r="AC911" s="70"/>
      <c r="AD911" s="381"/>
      <c r="AM911" s="70"/>
      <c r="AN911" s="70"/>
      <c r="AO911" s="70"/>
      <c r="AY911" s="129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</row>
    <row r="912">
      <c r="C912" s="70"/>
      <c r="E912" s="70"/>
      <c r="O912" s="70"/>
      <c r="Q912" s="70"/>
      <c r="X912" s="70"/>
      <c r="AA912" s="70"/>
      <c r="AC912" s="70"/>
      <c r="AD912" s="381"/>
      <c r="AM912" s="70"/>
      <c r="AN912" s="70"/>
      <c r="AO912" s="70"/>
      <c r="AY912" s="129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</row>
    <row r="913">
      <c r="C913" s="70"/>
      <c r="E913" s="70"/>
      <c r="O913" s="70"/>
      <c r="Q913" s="70"/>
      <c r="X913" s="70"/>
      <c r="AA913" s="70"/>
      <c r="AC913" s="70"/>
      <c r="AD913" s="381"/>
      <c r="AM913" s="70"/>
      <c r="AN913" s="70"/>
      <c r="AO913" s="70"/>
      <c r="AY913" s="129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</row>
    <row r="914">
      <c r="C914" s="70"/>
      <c r="E914" s="70"/>
      <c r="O914" s="70"/>
      <c r="Q914" s="70"/>
      <c r="X914" s="70"/>
      <c r="AA914" s="70"/>
      <c r="AC914" s="70"/>
      <c r="AD914" s="381"/>
      <c r="AM914" s="70"/>
      <c r="AN914" s="70"/>
      <c r="AO914" s="70"/>
      <c r="AY914" s="129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</row>
    <row r="915">
      <c r="C915" s="70"/>
      <c r="E915" s="70"/>
      <c r="O915" s="70"/>
      <c r="Q915" s="70"/>
      <c r="X915" s="70"/>
      <c r="AA915" s="70"/>
      <c r="AC915" s="70"/>
      <c r="AD915" s="381"/>
      <c r="AM915" s="70"/>
      <c r="AN915" s="70"/>
      <c r="AO915" s="70"/>
      <c r="AY915" s="129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</row>
    <row r="916">
      <c r="C916" s="70"/>
      <c r="E916" s="70"/>
      <c r="O916" s="70"/>
      <c r="Q916" s="70"/>
      <c r="X916" s="70"/>
      <c r="AA916" s="70"/>
      <c r="AC916" s="70"/>
      <c r="AD916" s="381"/>
      <c r="AM916" s="70"/>
      <c r="AN916" s="70"/>
      <c r="AO916" s="70"/>
      <c r="AY916" s="129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</row>
    <row r="917">
      <c r="C917" s="70"/>
      <c r="E917" s="70"/>
      <c r="O917" s="70"/>
      <c r="Q917" s="70"/>
      <c r="X917" s="70"/>
      <c r="AA917" s="70"/>
      <c r="AC917" s="70"/>
      <c r="AD917" s="381"/>
      <c r="AM917" s="70"/>
      <c r="AN917" s="70"/>
      <c r="AO917" s="70"/>
      <c r="AY917" s="129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</row>
    <row r="918">
      <c r="C918" s="70"/>
      <c r="E918" s="70"/>
      <c r="O918" s="70"/>
      <c r="Q918" s="70"/>
      <c r="X918" s="70"/>
      <c r="AA918" s="70"/>
      <c r="AC918" s="70"/>
      <c r="AD918" s="381"/>
      <c r="AM918" s="70"/>
      <c r="AN918" s="70"/>
      <c r="AO918" s="70"/>
      <c r="AY918" s="129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</row>
    <row r="919">
      <c r="C919" s="70"/>
      <c r="E919" s="70"/>
      <c r="O919" s="70"/>
      <c r="Q919" s="70"/>
      <c r="X919" s="70"/>
      <c r="AA919" s="70"/>
      <c r="AC919" s="70"/>
      <c r="AD919" s="381"/>
      <c r="AM919" s="70"/>
      <c r="AN919" s="70"/>
      <c r="AO919" s="70"/>
      <c r="AY919" s="129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</row>
    <row r="920">
      <c r="C920" s="70"/>
      <c r="E920" s="70"/>
      <c r="O920" s="70"/>
      <c r="Q920" s="70"/>
      <c r="X920" s="70"/>
      <c r="AA920" s="70"/>
      <c r="AC920" s="70"/>
      <c r="AD920" s="381"/>
      <c r="AM920" s="70"/>
      <c r="AN920" s="70"/>
      <c r="AO920" s="70"/>
      <c r="AY920" s="129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</row>
    <row r="921">
      <c r="C921" s="70"/>
      <c r="E921" s="70"/>
      <c r="O921" s="70"/>
      <c r="Q921" s="70"/>
      <c r="X921" s="70"/>
      <c r="AA921" s="70"/>
      <c r="AC921" s="70"/>
      <c r="AD921" s="381"/>
      <c r="AM921" s="70"/>
      <c r="AN921" s="70"/>
      <c r="AO921" s="70"/>
      <c r="AY921" s="129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</row>
    <row r="922">
      <c r="C922" s="70"/>
      <c r="E922" s="70"/>
      <c r="O922" s="70"/>
      <c r="Q922" s="70"/>
      <c r="X922" s="70"/>
      <c r="AA922" s="70"/>
      <c r="AC922" s="70"/>
      <c r="AD922" s="381"/>
      <c r="AM922" s="70"/>
      <c r="AN922" s="70"/>
      <c r="AO922" s="70"/>
      <c r="AY922" s="129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</row>
    <row r="923">
      <c r="C923" s="70"/>
      <c r="E923" s="70"/>
      <c r="O923" s="70"/>
      <c r="Q923" s="70"/>
      <c r="X923" s="70"/>
      <c r="AA923" s="70"/>
      <c r="AC923" s="70"/>
      <c r="AD923" s="381"/>
      <c r="AM923" s="70"/>
      <c r="AN923" s="70"/>
      <c r="AO923" s="70"/>
      <c r="AY923" s="129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</row>
    <row r="924">
      <c r="C924" s="70"/>
      <c r="E924" s="70"/>
      <c r="O924" s="70"/>
      <c r="Q924" s="70"/>
      <c r="X924" s="70"/>
      <c r="AA924" s="70"/>
      <c r="AC924" s="70"/>
      <c r="AD924" s="381"/>
      <c r="AM924" s="70"/>
      <c r="AN924" s="70"/>
      <c r="AO924" s="70"/>
      <c r="AY924" s="129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</row>
    <row r="925">
      <c r="C925" s="70"/>
      <c r="E925" s="70"/>
      <c r="O925" s="70"/>
      <c r="Q925" s="70"/>
      <c r="X925" s="70"/>
      <c r="AA925" s="70"/>
      <c r="AC925" s="70"/>
      <c r="AD925" s="381"/>
      <c r="AM925" s="70"/>
      <c r="AN925" s="70"/>
      <c r="AO925" s="70"/>
      <c r="AY925" s="129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</row>
    <row r="926">
      <c r="C926" s="70"/>
      <c r="E926" s="70"/>
      <c r="O926" s="70"/>
      <c r="Q926" s="70"/>
      <c r="X926" s="70"/>
      <c r="AA926" s="70"/>
      <c r="AC926" s="70"/>
      <c r="AD926" s="381"/>
      <c r="AM926" s="70"/>
      <c r="AN926" s="70"/>
      <c r="AO926" s="70"/>
      <c r="AY926" s="129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</row>
    <row r="927">
      <c r="C927" s="70"/>
      <c r="E927" s="70"/>
      <c r="O927" s="70"/>
      <c r="Q927" s="70"/>
      <c r="X927" s="70"/>
      <c r="AA927" s="70"/>
      <c r="AC927" s="70"/>
      <c r="AD927" s="381"/>
      <c r="AM927" s="70"/>
      <c r="AN927" s="70"/>
      <c r="AO927" s="70"/>
      <c r="AY927" s="129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</row>
    <row r="928">
      <c r="C928" s="70"/>
      <c r="E928" s="70"/>
      <c r="O928" s="70"/>
      <c r="Q928" s="70"/>
      <c r="X928" s="70"/>
      <c r="AA928" s="70"/>
      <c r="AC928" s="70"/>
      <c r="AD928" s="381"/>
      <c r="AM928" s="70"/>
      <c r="AN928" s="70"/>
      <c r="AO928" s="70"/>
      <c r="AY928" s="129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</row>
    <row r="929">
      <c r="C929" s="70"/>
      <c r="E929" s="70"/>
      <c r="O929" s="70"/>
      <c r="Q929" s="70"/>
      <c r="X929" s="70"/>
      <c r="AA929" s="70"/>
      <c r="AC929" s="70"/>
      <c r="AD929" s="381"/>
      <c r="AM929" s="70"/>
      <c r="AN929" s="70"/>
      <c r="AO929" s="70"/>
      <c r="AY929" s="129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</row>
    <row r="930">
      <c r="C930" s="70"/>
      <c r="E930" s="70"/>
      <c r="O930" s="70"/>
      <c r="Q930" s="70"/>
      <c r="X930" s="70"/>
      <c r="AA930" s="70"/>
      <c r="AC930" s="70"/>
      <c r="AD930" s="381"/>
      <c r="AM930" s="70"/>
      <c r="AN930" s="70"/>
      <c r="AO930" s="70"/>
      <c r="AY930" s="129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</row>
    <row r="931">
      <c r="C931" s="70"/>
      <c r="E931" s="70"/>
      <c r="O931" s="70"/>
      <c r="Q931" s="70"/>
      <c r="X931" s="70"/>
      <c r="AA931" s="70"/>
      <c r="AC931" s="70"/>
      <c r="AD931" s="381"/>
      <c r="AM931" s="70"/>
      <c r="AN931" s="70"/>
      <c r="AO931" s="70"/>
      <c r="AY931" s="129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</row>
    <row r="932">
      <c r="C932" s="70"/>
      <c r="E932" s="70"/>
      <c r="O932" s="70"/>
      <c r="Q932" s="70"/>
      <c r="X932" s="70"/>
      <c r="AA932" s="70"/>
      <c r="AC932" s="70"/>
      <c r="AD932" s="381"/>
      <c r="AM932" s="70"/>
      <c r="AN932" s="70"/>
      <c r="AO932" s="70"/>
      <c r="AY932" s="129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</row>
    <row r="933">
      <c r="C933" s="70"/>
      <c r="E933" s="70"/>
      <c r="O933" s="70"/>
      <c r="Q933" s="70"/>
      <c r="X933" s="70"/>
      <c r="AA933" s="70"/>
      <c r="AC933" s="70"/>
      <c r="AD933" s="381"/>
      <c r="AM933" s="70"/>
      <c r="AN933" s="70"/>
      <c r="AO933" s="70"/>
      <c r="AY933" s="129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</row>
    <row r="934">
      <c r="C934" s="70"/>
      <c r="E934" s="70"/>
      <c r="O934" s="70"/>
      <c r="Q934" s="70"/>
      <c r="X934" s="70"/>
      <c r="AA934" s="70"/>
      <c r="AC934" s="70"/>
      <c r="AD934" s="381"/>
      <c r="AM934" s="70"/>
      <c r="AN934" s="70"/>
      <c r="AO934" s="70"/>
      <c r="AY934" s="129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</row>
    <row r="935">
      <c r="C935" s="70"/>
      <c r="E935" s="70"/>
      <c r="O935" s="70"/>
      <c r="Q935" s="70"/>
      <c r="X935" s="70"/>
      <c r="AA935" s="70"/>
      <c r="AC935" s="70"/>
      <c r="AD935" s="381"/>
      <c r="AM935" s="70"/>
      <c r="AN935" s="70"/>
      <c r="AO935" s="70"/>
      <c r="AY935" s="129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</row>
    <row r="936">
      <c r="C936" s="70"/>
      <c r="E936" s="70"/>
      <c r="O936" s="70"/>
      <c r="Q936" s="70"/>
      <c r="X936" s="70"/>
      <c r="AA936" s="70"/>
      <c r="AC936" s="70"/>
      <c r="AD936" s="381"/>
      <c r="AM936" s="70"/>
      <c r="AN936" s="70"/>
      <c r="AO936" s="70"/>
      <c r="AY936" s="129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</row>
    <row r="937">
      <c r="C937" s="70"/>
      <c r="E937" s="70"/>
      <c r="O937" s="70"/>
      <c r="Q937" s="70"/>
      <c r="X937" s="70"/>
      <c r="AA937" s="70"/>
      <c r="AC937" s="70"/>
      <c r="AD937" s="381"/>
      <c r="AM937" s="70"/>
      <c r="AN937" s="70"/>
      <c r="AO937" s="70"/>
      <c r="AY937" s="129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</row>
    <row r="938">
      <c r="C938" s="70"/>
      <c r="E938" s="70"/>
      <c r="O938" s="70"/>
      <c r="Q938" s="70"/>
      <c r="X938" s="70"/>
      <c r="AA938" s="70"/>
      <c r="AC938" s="70"/>
      <c r="AD938" s="381"/>
      <c r="AM938" s="70"/>
      <c r="AN938" s="70"/>
      <c r="AO938" s="70"/>
      <c r="AY938" s="129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</row>
    <row r="939">
      <c r="C939" s="70"/>
      <c r="E939" s="70"/>
      <c r="O939" s="70"/>
      <c r="Q939" s="70"/>
      <c r="X939" s="70"/>
      <c r="AA939" s="70"/>
      <c r="AC939" s="70"/>
      <c r="AD939" s="381"/>
      <c r="AM939" s="70"/>
      <c r="AN939" s="70"/>
      <c r="AO939" s="70"/>
      <c r="AY939" s="129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</row>
    <row r="940">
      <c r="C940" s="70"/>
      <c r="E940" s="70"/>
      <c r="O940" s="70"/>
      <c r="Q940" s="70"/>
      <c r="X940" s="70"/>
      <c r="AA940" s="70"/>
      <c r="AC940" s="70"/>
      <c r="AD940" s="381"/>
      <c r="AM940" s="70"/>
      <c r="AN940" s="70"/>
      <c r="AO940" s="70"/>
      <c r="AY940" s="129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</row>
    <row r="941">
      <c r="C941" s="70"/>
      <c r="E941" s="70"/>
      <c r="O941" s="70"/>
      <c r="Q941" s="70"/>
      <c r="X941" s="70"/>
      <c r="AA941" s="70"/>
      <c r="AC941" s="70"/>
      <c r="AD941" s="381"/>
      <c r="AM941" s="70"/>
      <c r="AN941" s="70"/>
      <c r="AO941" s="70"/>
      <c r="AY941" s="129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</row>
    <row r="942">
      <c r="C942" s="70"/>
      <c r="E942" s="70"/>
      <c r="O942" s="70"/>
      <c r="Q942" s="70"/>
      <c r="X942" s="70"/>
      <c r="AA942" s="70"/>
      <c r="AC942" s="70"/>
      <c r="AD942" s="381"/>
      <c r="AM942" s="70"/>
      <c r="AN942" s="70"/>
      <c r="AO942" s="70"/>
      <c r="AY942" s="129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</row>
    <row r="943">
      <c r="C943" s="70"/>
      <c r="E943" s="70"/>
      <c r="O943" s="70"/>
      <c r="Q943" s="70"/>
      <c r="X943" s="70"/>
      <c r="AA943" s="70"/>
      <c r="AC943" s="70"/>
      <c r="AD943" s="381"/>
      <c r="AM943" s="70"/>
      <c r="AN943" s="70"/>
      <c r="AO943" s="70"/>
      <c r="AY943" s="129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</row>
    <row r="944">
      <c r="C944" s="70"/>
      <c r="E944" s="70"/>
      <c r="O944" s="70"/>
      <c r="Q944" s="70"/>
      <c r="X944" s="70"/>
      <c r="AA944" s="70"/>
      <c r="AC944" s="70"/>
      <c r="AD944" s="381"/>
      <c r="AM944" s="70"/>
      <c r="AN944" s="70"/>
      <c r="AO944" s="70"/>
      <c r="AY944" s="129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</row>
    <row r="945">
      <c r="C945" s="70"/>
      <c r="E945" s="70"/>
      <c r="O945" s="70"/>
      <c r="Q945" s="70"/>
      <c r="X945" s="70"/>
      <c r="AA945" s="70"/>
      <c r="AC945" s="70"/>
      <c r="AD945" s="381"/>
      <c r="AM945" s="70"/>
      <c r="AN945" s="70"/>
      <c r="AO945" s="70"/>
      <c r="AY945" s="129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</row>
    <row r="946">
      <c r="C946" s="70"/>
      <c r="E946" s="70"/>
      <c r="O946" s="70"/>
      <c r="Q946" s="70"/>
      <c r="X946" s="70"/>
      <c r="AA946" s="70"/>
      <c r="AC946" s="70"/>
      <c r="AD946" s="381"/>
      <c r="AM946" s="70"/>
      <c r="AN946" s="70"/>
      <c r="AO946" s="70"/>
      <c r="AY946" s="129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</row>
    <row r="947">
      <c r="C947" s="70"/>
      <c r="E947" s="70"/>
      <c r="O947" s="70"/>
      <c r="Q947" s="70"/>
      <c r="X947" s="70"/>
      <c r="AA947" s="70"/>
      <c r="AC947" s="70"/>
      <c r="AD947" s="381"/>
      <c r="AM947" s="70"/>
      <c r="AN947" s="70"/>
      <c r="AO947" s="70"/>
      <c r="AY947" s="129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</row>
    <row r="948">
      <c r="C948" s="70"/>
      <c r="E948" s="70"/>
      <c r="O948" s="70"/>
      <c r="Q948" s="70"/>
      <c r="X948" s="70"/>
      <c r="AA948" s="70"/>
      <c r="AC948" s="70"/>
      <c r="AD948" s="381"/>
      <c r="AM948" s="70"/>
      <c r="AN948" s="70"/>
      <c r="AO948" s="70"/>
      <c r="AY948" s="129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</row>
    <row r="949">
      <c r="C949" s="70"/>
      <c r="E949" s="70"/>
      <c r="O949" s="70"/>
      <c r="Q949" s="70"/>
      <c r="X949" s="70"/>
      <c r="AA949" s="70"/>
      <c r="AC949" s="70"/>
      <c r="AD949" s="381"/>
      <c r="AM949" s="70"/>
      <c r="AN949" s="70"/>
      <c r="AO949" s="70"/>
      <c r="AY949" s="129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</row>
    <row r="950">
      <c r="C950" s="70"/>
      <c r="E950" s="70"/>
      <c r="O950" s="70"/>
      <c r="Q950" s="70"/>
      <c r="X950" s="70"/>
      <c r="AA950" s="70"/>
      <c r="AC950" s="70"/>
      <c r="AD950" s="381"/>
      <c r="AM950" s="70"/>
      <c r="AN950" s="70"/>
      <c r="AO950" s="70"/>
      <c r="AY950" s="129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</row>
    <row r="951">
      <c r="C951" s="70"/>
      <c r="E951" s="70"/>
      <c r="O951" s="70"/>
      <c r="Q951" s="70"/>
      <c r="X951" s="70"/>
      <c r="AA951" s="70"/>
      <c r="AC951" s="70"/>
      <c r="AD951" s="381"/>
      <c r="AM951" s="70"/>
      <c r="AN951" s="70"/>
      <c r="AO951" s="70"/>
      <c r="AY951" s="129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</row>
    <row r="952">
      <c r="C952" s="70"/>
      <c r="E952" s="70"/>
      <c r="O952" s="70"/>
      <c r="Q952" s="70"/>
      <c r="X952" s="70"/>
      <c r="AA952" s="70"/>
      <c r="AC952" s="70"/>
      <c r="AD952" s="381"/>
      <c r="AM952" s="70"/>
      <c r="AN952" s="70"/>
      <c r="AO952" s="70"/>
      <c r="AY952" s="129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</row>
    <row r="953">
      <c r="C953" s="70"/>
      <c r="E953" s="70"/>
      <c r="O953" s="70"/>
      <c r="Q953" s="70"/>
      <c r="X953" s="70"/>
      <c r="AA953" s="70"/>
      <c r="AC953" s="70"/>
      <c r="AD953" s="381"/>
      <c r="AM953" s="70"/>
      <c r="AN953" s="70"/>
      <c r="AO953" s="70"/>
      <c r="AY953" s="129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</row>
    <row r="954">
      <c r="C954" s="70"/>
      <c r="E954" s="70"/>
      <c r="O954" s="70"/>
      <c r="Q954" s="70"/>
      <c r="X954" s="70"/>
      <c r="AA954" s="70"/>
      <c r="AC954" s="70"/>
      <c r="AD954" s="381"/>
      <c r="AM954" s="70"/>
      <c r="AN954" s="70"/>
      <c r="AO954" s="70"/>
      <c r="AY954" s="129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</row>
    <row r="955">
      <c r="C955" s="70"/>
      <c r="E955" s="70"/>
      <c r="O955" s="70"/>
      <c r="Q955" s="70"/>
      <c r="X955" s="70"/>
      <c r="AA955" s="70"/>
      <c r="AC955" s="70"/>
      <c r="AD955" s="381"/>
      <c r="AM955" s="70"/>
      <c r="AN955" s="70"/>
      <c r="AO955" s="70"/>
      <c r="AY955" s="129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</row>
    <row r="956">
      <c r="C956" s="70"/>
      <c r="E956" s="70"/>
      <c r="O956" s="70"/>
      <c r="Q956" s="70"/>
      <c r="X956" s="70"/>
      <c r="AA956" s="70"/>
      <c r="AC956" s="70"/>
      <c r="AD956" s="381"/>
      <c r="AM956" s="70"/>
      <c r="AN956" s="70"/>
      <c r="AO956" s="70"/>
      <c r="AY956" s="129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</row>
    <row r="957">
      <c r="C957" s="70"/>
      <c r="E957" s="70"/>
      <c r="O957" s="70"/>
      <c r="Q957" s="70"/>
      <c r="X957" s="70"/>
      <c r="AA957" s="70"/>
      <c r="AC957" s="70"/>
      <c r="AD957" s="381"/>
      <c r="AM957" s="70"/>
      <c r="AN957" s="70"/>
      <c r="AO957" s="70"/>
      <c r="AY957" s="129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</row>
    <row r="958">
      <c r="C958" s="70"/>
      <c r="E958" s="70"/>
      <c r="O958" s="70"/>
      <c r="Q958" s="70"/>
      <c r="X958" s="70"/>
      <c r="AA958" s="70"/>
      <c r="AC958" s="70"/>
      <c r="AD958" s="381"/>
      <c r="AM958" s="70"/>
      <c r="AN958" s="70"/>
      <c r="AO958" s="70"/>
      <c r="AY958" s="129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</row>
    <row r="959">
      <c r="C959" s="70"/>
      <c r="E959" s="70"/>
      <c r="O959" s="70"/>
      <c r="Q959" s="70"/>
      <c r="X959" s="70"/>
      <c r="AA959" s="70"/>
      <c r="AC959" s="70"/>
      <c r="AD959" s="381"/>
      <c r="AM959" s="70"/>
      <c r="AN959" s="70"/>
      <c r="AO959" s="70"/>
      <c r="AY959" s="129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</row>
    <row r="960">
      <c r="C960" s="70"/>
      <c r="E960" s="70"/>
      <c r="O960" s="70"/>
      <c r="Q960" s="70"/>
      <c r="X960" s="70"/>
      <c r="AA960" s="70"/>
      <c r="AC960" s="70"/>
      <c r="AD960" s="381"/>
      <c r="AM960" s="70"/>
      <c r="AN960" s="70"/>
      <c r="AO960" s="70"/>
      <c r="AY960" s="129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</row>
    <row r="961">
      <c r="C961" s="70"/>
      <c r="E961" s="70"/>
      <c r="O961" s="70"/>
      <c r="Q961" s="70"/>
      <c r="X961" s="70"/>
      <c r="AA961" s="70"/>
      <c r="AC961" s="70"/>
      <c r="AD961" s="381"/>
      <c r="AM961" s="70"/>
      <c r="AN961" s="70"/>
      <c r="AO961" s="70"/>
      <c r="AY961" s="129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</row>
    <row r="962">
      <c r="C962" s="70"/>
      <c r="E962" s="70"/>
      <c r="O962" s="70"/>
      <c r="Q962" s="70"/>
      <c r="X962" s="70"/>
      <c r="AA962" s="70"/>
      <c r="AC962" s="70"/>
      <c r="AD962" s="381"/>
      <c r="AM962" s="70"/>
      <c r="AN962" s="70"/>
      <c r="AO962" s="70"/>
      <c r="AY962" s="129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</row>
    <row r="963">
      <c r="C963" s="70"/>
      <c r="E963" s="70"/>
      <c r="O963" s="70"/>
      <c r="Q963" s="70"/>
      <c r="X963" s="70"/>
      <c r="AA963" s="70"/>
      <c r="AC963" s="70"/>
      <c r="AD963" s="381"/>
      <c r="AM963" s="70"/>
      <c r="AN963" s="70"/>
      <c r="AO963" s="70"/>
      <c r="AY963" s="129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</row>
    <row r="964">
      <c r="C964" s="70"/>
      <c r="E964" s="70"/>
      <c r="O964" s="70"/>
      <c r="Q964" s="70"/>
      <c r="X964" s="70"/>
      <c r="AA964" s="70"/>
      <c r="AC964" s="70"/>
      <c r="AD964" s="381"/>
      <c r="AM964" s="70"/>
      <c r="AN964" s="70"/>
      <c r="AO964" s="70"/>
      <c r="AY964" s="129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</row>
    <row r="965">
      <c r="C965" s="70"/>
      <c r="E965" s="70"/>
      <c r="O965" s="70"/>
      <c r="Q965" s="70"/>
      <c r="X965" s="70"/>
      <c r="AA965" s="70"/>
      <c r="AC965" s="70"/>
      <c r="AD965" s="381"/>
      <c r="AM965" s="70"/>
      <c r="AN965" s="70"/>
      <c r="AO965" s="70"/>
      <c r="AY965" s="129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</row>
    <row r="966">
      <c r="C966" s="70"/>
      <c r="E966" s="70"/>
      <c r="O966" s="70"/>
      <c r="Q966" s="70"/>
      <c r="X966" s="70"/>
      <c r="AA966" s="70"/>
      <c r="AC966" s="70"/>
      <c r="AD966" s="381"/>
      <c r="AM966" s="70"/>
      <c r="AN966" s="70"/>
      <c r="AO966" s="70"/>
      <c r="AY966" s="129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</row>
    <row r="967">
      <c r="C967" s="70"/>
      <c r="E967" s="70"/>
      <c r="O967" s="70"/>
      <c r="Q967" s="70"/>
      <c r="X967" s="70"/>
      <c r="AA967" s="70"/>
      <c r="AC967" s="70"/>
      <c r="AD967" s="381"/>
      <c r="AM967" s="70"/>
      <c r="AN967" s="70"/>
      <c r="AO967" s="70"/>
      <c r="AY967" s="129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</row>
    <row r="968">
      <c r="C968" s="70"/>
      <c r="E968" s="70"/>
      <c r="O968" s="70"/>
      <c r="Q968" s="70"/>
      <c r="X968" s="70"/>
      <c r="AA968" s="70"/>
      <c r="AC968" s="70"/>
      <c r="AD968" s="381"/>
      <c r="AM968" s="70"/>
      <c r="AN968" s="70"/>
      <c r="AO968" s="70"/>
      <c r="AY968" s="129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</row>
    <row r="969">
      <c r="C969" s="70"/>
      <c r="E969" s="70"/>
      <c r="O969" s="70"/>
      <c r="Q969" s="70"/>
      <c r="X969" s="70"/>
      <c r="AA969" s="70"/>
      <c r="AC969" s="70"/>
      <c r="AD969" s="381"/>
      <c r="AM969" s="70"/>
      <c r="AN969" s="70"/>
      <c r="AO969" s="70"/>
      <c r="AY969" s="129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</row>
    <row r="970">
      <c r="C970" s="70"/>
      <c r="E970" s="70"/>
      <c r="O970" s="70"/>
      <c r="Q970" s="70"/>
      <c r="X970" s="70"/>
      <c r="AA970" s="70"/>
      <c r="AC970" s="70"/>
      <c r="AD970" s="381"/>
      <c r="AM970" s="70"/>
      <c r="AN970" s="70"/>
      <c r="AO970" s="70"/>
      <c r="AY970" s="129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</row>
    <row r="971">
      <c r="C971" s="70"/>
      <c r="E971" s="70"/>
      <c r="O971" s="70"/>
      <c r="Q971" s="70"/>
      <c r="X971" s="70"/>
      <c r="AA971" s="70"/>
      <c r="AC971" s="70"/>
      <c r="AD971" s="381"/>
      <c r="AM971" s="70"/>
      <c r="AN971" s="70"/>
      <c r="AO971" s="70"/>
      <c r="AY971" s="129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</row>
    <row r="972">
      <c r="C972" s="70"/>
      <c r="E972" s="70"/>
      <c r="O972" s="70"/>
      <c r="Q972" s="70"/>
      <c r="X972" s="70"/>
      <c r="AA972" s="70"/>
      <c r="AC972" s="70"/>
      <c r="AD972" s="381"/>
      <c r="AM972" s="70"/>
      <c r="AN972" s="70"/>
      <c r="AO972" s="70"/>
      <c r="AY972" s="129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</row>
    <row r="973">
      <c r="C973" s="70"/>
      <c r="E973" s="70"/>
      <c r="O973" s="70"/>
      <c r="Q973" s="70"/>
      <c r="X973" s="70"/>
      <c r="AA973" s="70"/>
      <c r="AC973" s="70"/>
      <c r="AD973" s="381"/>
      <c r="AM973" s="70"/>
      <c r="AN973" s="70"/>
      <c r="AO973" s="70"/>
      <c r="AY973" s="129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</row>
    <row r="974">
      <c r="C974" s="70"/>
      <c r="E974" s="70"/>
      <c r="O974" s="70"/>
      <c r="Q974" s="70"/>
      <c r="X974" s="70"/>
      <c r="AA974" s="70"/>
      <c r="AC974" s="70"/>
      <c r="AD974" s="381"/>
      <c r="AM974" s="70"/>
      <c r="AN974" s="70"/>
      <c r="AO974" s="70"/>
      <c r="AY974" s="129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</row>
    <row r="975">
      <c r="C975" s="70"/>
      <c r="E975" s="70"/>
      <c r="O975" s="70"/>
      <c r="Q975" s="70"/>
      <c r="X975" s="70"/>
      <c r="AA975" s="70"/>
      <c r="AC975" s="70"/>
      <c r="AD975" s="381"/>
      <c r="AM975" s="70"/>
      <c r="AN975" s="70"/>
      <c r="AO975" s="70"/>
      <c r="AY975" s="129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</row>
    <row r="976">
      <c r="C976" s="70"/>
      <c r="E976" s="70"/>
      <c r="O976" s="70"/>
      <c r="Q976" s="70"/>
      <c r="X976" s="70"/>
      <c r="AA976" s="70"/>
      <c r="AC976" s="70"/>
      <c r="AD976" s="381"/>
      <c r="AM976" s="70"/>
      <c r="AN976" s="70"/>
      <c r="AO976" s="70"/>
      <c r="AY976" s="129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</row>
    <row r="977">
      <c r="C977" s="70"/>
      <c r="E977" s="70"/>
      <c r="O977" s="70"/>
      <c r="Q977" s="70"/>
      <c r="X977" s="70"/>
      <c r="AA977" s="70"/>
      <c r="AC977" s="70"/>
      <c r="AD977" s="381"/>
      <c r="AM977" s="70"/>
      <c r="AN977" s="70"/>
      <c r="AO977" s="70"/>
      <c r="AY977" s="129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</row>
    <row r="978">
      <c r="C978" s="70"/>
      <c r="E978" s="70"/>
      <c r="O978" s="70"/>
      <c r="Q978" s="70"/>
      <c r="X978" s="70"/>
      <c r="AA978" s="70"/>
      <c r="AC978" s="70"/>
      <c r="AD978" s="381"/>
      <c r="AM978" s="70"/>
      <c r="AN978" s="70"/>
      <c r="AO978" s="70"/>
      <c r="AY978" s="129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</row>
    <row r="979">
      <c r="C979" s="70"/>
      <c r="E979" s="70"/>
      <c r="O979" s="70"/>
      <c r="Q979" s="70"/>
      <c r="X979" s="70"/>
      <c r="AA979" s="70"/>
      <c r="AC979" s="70"/>
      <c r="AD979" s="381"/>
      <c r="AM979" s="70"/>
      <c r="AN979" s="70"/>
      <c r="AO979" s="70"/>
      <c r="AY979" s="129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</row>
    <row r="980">
      <c r="C980" s="70"/>
      <c r="E980" s="70"/>
      <c r="O980" s="70"/>
      <c r="Q980" s="70"/>
      <c r="X980" s="70"/>
      <c r="AA980" s="70"/>
      <c r="AC980" s="70"/>
      <c r="AD980" s="381"/>
      <c r="AM980" s="70"/>
      <c r="AN980" s="70"/>
      <c r="AO980" s="70"/>
      <c r="AY980" s="129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</row>
    <row r="981">
      <c r="C981" s="70"/>
      <c r="E981" s="70"/>
      <c r="O981" s="70"/>
      <c r="Q981" s="70"/>
      <c r="X981" s="70"/>
      <c r="AA981" s="70"/>
      <c r="AC981" s="70"/>
      <c r="AD981" s="381"/>
      <c r="AM981" s="70"/>
      <c r="AN981" s="70"/>
      <c r="AO981" s="70"/>
      <c r="AY981" s="129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</row>
    <row r="982">
      <c r="C982" s="70"/>
      <c r="E982" s="70"/>
      <c r="O982" s="70"/>
      <c r="Q982" s="70"/>
      <c r="X982" s="70"/>
      <c r="AA982" s="70"/>
      <c r="AC982" s="70"/>
      <c r="AD982" s="381"/>
      <c r="AM982" s="70"/>
      <c r="AN982" s="70"/>
      <c r="AO982" s="70"/>
      <c r="AY982" s="129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</row>
    <row r="983">
      <c r="C983" s="70"/>
      <c r="E983" s="70"/>
      <c r="O983" s="70"/>
      <c r="Q983" s="70"/>
      <c r="X983" s="70"/>
      <c r="AA983" s="70"/>
      <c r="AC983" s="70"/>
      <c r="AD983" s="381"/>
      <c r="AM983" s="70"/>
      <c r="AN983" s="70"/>
      <c r="AO983" s="70"/>
      <c r="AY983" s="129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</row>
    <row r="984">
      <c r="C984" s="70"/>
      <c r="E984" s="70"/>
      <c r="O984" s="70"/>
      <c r="Q984" s="70"/>
      <c r="X984" s="70"/>
      <c r="AA984" s="70"/>
      <c r="AC984" s="70"/>
      <c r="AD984" s="381"/>
      <c r="AM984" s="70"/>
      <c r="AN984" s="70"/>
      <c r="AO984" s="70"/>
      <c r="AY984" s="129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</row>
    <row r="985">
      <c r="C985" s="70"/>
      <c r="E985" s="70"/>
      <c r="O985" s="70"/>
      <c r="Q985" s="70"/>
      <c r="X985" s="70"/>
      <c r="AA985" s="70"/>
      <c r="AC985" s="70"/>
      <c r="AD985" s="381"/>
      <c r="AM985" s="70"/>
      <c r="AN985" s="70"/>
      <c r="AO985" s="70"/>
      <c r="AY985" s="129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</row>
    <row r="986">
      <c r="C986" s="70"/>
      <c r="E986" s="70"/>
      <c r="O986" s="70"/>
      <c r="Q986" s="70"/>
      <c r="X986" s="70"/>
      <c r="AA986" s="70"/>
      <c r="AC986" s="70"/>
      <c r="AD986" s="381"/>
      <c r="AM986" s="70"/>
      <c r="AN986" s="70"/>
      <c r="AO986" s="70"/>
      <c r="AY986" s="129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</row>
    <row r="987">
      <c r="C987" s="70"/>
      <c r="E987" s="70"/>
      <c r="O987" s="70"/>
      <c r="Q987" s="70"/>
      <c r="X987" s="70"/>
      <c r="AA987" s="70"/>
      <c r="AC987" s="70"/>
      <c r="AD987" s="381"/>
      <c r="AM987" s="70"/>
      <c r="AN987" s="70"/>
      <c r="AO987" s="70"/>
      <c r="AY987" s="129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</row>
    <row r="988">
      <c r="C988" s="70"/>
      <c r="E988" s="70"/>
      <c r="O988" s="70"/>
      <c r="Q988" s="70"/>
      <c r="X988" s="70"/>
      <c r="AA988" s="70"/>
      <c r="AC988" s="70"/>
      <c r="AD988" s="381"/>
      <c r="AM988" s="70"/>
      <c r="AN988" s="70"/>
      <c r="AO988" s="70"/>
      <c r="AY988" s="129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</row>
    <row r="989">
      <c r="C989" s="70"/>
      <c r="E989" s="70"/>
      <c r="O989" s="70"/>
      <c r="Q989" s="70"/>
      <c r="X989" s="70"/>
      <c r="AA989" s="70"/>
      <c r="AC989" s="70"/>
      <c r="AD989" s="381"/>
      <c r="AM989" s="70"/>
      <c r="AN989" s="70"/>
      <c r="AO989" s="70"/>
      <c r="AY989" s="129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</row>
    <row r="990">
      <c r="C990" s="70"/>
      <c r="E990" s="70"/>
      <c r="O990" s="70"/>
      <c r="Q990" s="70"/>
      <c r="X990" s="70"/>
      <c r="AA990" s="70"/>
      <c r="AC990" s="70"/>
      <c r="AD990" s="381"/>
      <c r="AM990" s="70"/>
      <c r="AN990" s="70"/>
      <c r="AO990" s="70"/>
      <c r="AY990" s="129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</row>
    <row r="991">
      <c r="C991" s="70"/>
      <c r="E991" s="70"/>
      <c r="O991" s="70"/>
      <c r="Q991" s="70"/>
      <c r="X991" s="70"/>
      <c r="AA991" s="70"/>
      <c r="AC991" s="70"/>
      <c r="AD991" s="381"/>
      <c r="AM991" s="70"/>
      <c r="AN991" s="70"/>
      <c r="AO991" s="70"/>
      <c r="AY991" s="129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</row>
    <row r="992">
      <c r="C992" s="70"/>
      <c r="E992" s="70"/>
      <c r="O992" s="70"/>
      <c r="Q992" s="70"/>
      <c r="X992" s="70"/>
      <c r="AA992" s="70"/>
      <c r="AC992" s="70"/>
      <c r="AD992" s="381"/>
      <c r="AM992" s="70"/>
      <c r="AN992" s="70"/>
      <c r="AO992" s="70"/>
      <c r="AY992" s="129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</row>
    <row r="993">
      <c r="C993" s="70"/>
      <c r="E993" s="70"/>
      <c r="O993" s="70"/>
      <c r="Q993" s="70"/>
      <c r="X993" s="70"/>
      <c r="AA993" s="70"/>
      <c r="AC993" s="70"/>
      <c r="AD993" s="381"/>
      <c r="AM993" s="70"/>
      <c r="AN993" s="70"/>
      <c r="AO993" s="70"/>
      <c r="AY993" s="129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</row>
    <row r="994">
      <c r="C994" s="70"/>
      <c r="E994" s="70"/>
      <c r="O994" s="70"/>
      <c r="Q994" s="70"/>
      <c r="X994" s="70"/>
      <c r="AA994" s="70"/>
      <c r="AC994" s="70"/>
      <c r="AD994" s="381"/>
      <c r="AM994" s="70"/>
      <c r="AN994" s="70"/>
      <c r="AO994" s="70"/>
      <c r="AY994" s="129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</row>
    <row r="995">
      <c r="C995" s="70"/>
      <c r="E995" s="70"/>
      <c r="O995" s="70"/>
      <c r="Q995" s="70"/>
      <c r="X995" s="70"/>
      <c r="AA995" s="70"/>
      <c r="AC995" s="70"/>
      <c r="AD995" s="381"/>
      <c r="AM995" s="70"/>
      <c r="AN995" s="70"/>
      <c r="AO995" s="70"/>
      <c r="AY995" s="129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</row>
    <row r="996">
      <c r="C996" s="70"/>
      <c r="E996" s="70"/>
      <c r="O996" s="70"/>
      <c r="Q996" s="70"/>
      <c r="X996" s="70"/>
      <c r="AA996" s="70"/>
      <c r="AC996" s="70"/>
      <c r="AD996" s="381"/>
      <c r="AM996" s="70"/>
      <c r="AN996" s="70"/>
      <c r="AO996" s="70"/>
      <c r="AY996" s="129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</row>
    <row r="997">
      <c r="C997" s="70"/>
      <c r="E997" s="70"/>
      <c r="O997" s="70"/>
      <c r="Q997" s="70"/>
      <c r="X997" s="70"/>
      <c r="AA997" s="70"/>
      <c r="AC997" s="70"/>
      <c r="AD997" s="381"/>
      <c r="AM997" s="70"/>
      <c r="AN997" s="70"/>
      <c r="AO997" s="70"/>
      <c r="AY997" s="129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</row>
    <row r="998">
      <c r="C998" s="70"/>
      <c r="E998" s="70"/>
      <c r="O998" s="70"/>
      <c r="Q998" s="70"/>
      <c r="X998" s="70"/>
      <c r="AA998" s="70"/>
      <c r="AC998" s="70"/>
      <c r="AD998" s="381"/>
      <c r="AM998" s="70"/>
      <c r="AN998" s="70"/>
      <c r="AO998" s="70"/>
      <c r="AY998" s="129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</row>
    <row r="999">
      <c r="C999" s="70"/>
      <c r="E999" s="70"/>
      <c r="O999" s="70"/>
      <c r="Q999" s="70"/>
      <c r="X999" s="70"/>
      <c r="AA999" s="70"/>
      <c r="AC999" s="70"/>
      <c r="AD999" s="381"/>
      <c r="AM999" s="70"/>
      <c r="AN999" s="70"/>
      <c r="AO999" s="70"/>
      <c r="AY999" s="129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</row>
    <row r="1000">
      <c r="C1000" s="70"/>
      <c r="E1000" s="70"/>
      <c r="O1000" s="70"/>
      <c r="Q1000" s="70"/>
      <c r="X1000" s="70"/>
      <c r="AA1000" s="70"/>
      <c r="AC1000" s="70"/>
      <c r="AD1000" s="381"/>
      <c r="AM1000" s="70"/>
      <c r="AN1000" s="70"/>
      <c r="AO1000" s="70"/>
      <c r="AY1000" s="129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</row>
    <row r="1001">
      <c r="C1001" s="70"/>
      <c r="E1001" s="70"/>
      <c r="O1001" s="70"/>
      <c r="Q1001" s="70"/>
      <c r="X1001" s="70"/>
      <c r="AA1001" s="70"/>
      <c r="AC1001" s="70"/>
      <c r="AD1001" s="381"/>
      <c r="AM1001" s="70"/>
      <c r="AN1001" s="70"/>
      <c r="AO1001" s="70"/>
      <c r="AY1001" s="129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</row>
    <row r="1002">
      <c r="C1002" s="70"/>
      <c r="E1002" s="70"/>
      <c r="O1002" s="70"/>
      <c r="Q1002" s="70"/>
      <c r="X1002" s="70"/>
      <c r="AA1002" s="70"/>
      <c r="AC1002" s="70"/>
      <c r="AD1002" s="381"/>
      <c r="AM1002" s="70"/>
      <c r="AN1002" s="70"/>
      <c r="AO1002" s="70"/>
      <c r="AY1002" s="129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</row>
    <row r="1003">
      <c r="C1003" s="70"/>
      <c r="E1003" s="70"/>
      <c r="O1003" s="70"/>
      <c r="Q1003" s="70"/>
      <c r="X1003" s="70"/>
      <c r="AA1003" s="70"/>
      <c r="AC1003" s="70"/>
      <c r="AD1003" s="381"/>
      <c r="AM1003" s="70"/>
      <c r="AN1003" s="70"/>
      <c r="AO1003" s="70"/>
      <c r="AY1003" s="129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</row>
  </sheetData>
  <mergeCells count="65"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BI3:BI4"/>
    <mergeCell ref="BJ3:BJ4"/>
    <mergeCell ref="C2:N2"/>
    <mergeCell ref="O2:Z2"/>
    <mergeCell ref="AA2:AL2"/>
    <mergeCell ref="AM2:AX2"/>
    <mergeCell ref="AY2:BJ2"/>
    <mergeCell ref="C3:C4"/>
    <mergeCell ref="D3:D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15" width="6.13"/>
  </cols>
  <sheetData>
    <row r="1">
      <c r="A1" s="72"/>
      <c r="B1" s="72"/>
      <c r="C1" s="441" t="s">
        <v>617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Q1" s="441" t="s">
        <v>617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</row>
    <row r="2">
      <c r="A2" s="72"/>
      <c r="B2" s="72"/>
      <c r="C2" s="78" t="s">
        <v>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Q2" s="78" t="s">
        <v>46</v>
      </c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</row>
    <row r="3">
      <c r="A3" s="67" t="s">
        <v>47</v>
      </c>
      <c r="B3" s="67" t="s">
        <v>48</v>
      </c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  <c r="Q3" s="81" t="s">
        <v>0</v>
      </c>
      <c r="R3" s="82" t="s">
        <v>1</v>
      </c>
      <c r="S3" s="82" t="s">
        <v>2</v>
      </c>
      <c r="T3" s="82" t="s">
        <v>3</v>
      </c>
      <c r="U3" s="82" t="s">
        <v>4</v>
      </c>
      <c r="V3" s="82" t="s">
        <v>5</v>
      </c>
      <c r="W3" s="82" t="s">
        <v>6</v>
      </c>
      <c r="X3" s="82" t="s">
        <v>7</v>
      </c>
      <c r="Y3" s="82" t="s">
        <v>8</v>
      </c>
      <c r="Z3" s="82" t="s">
        <v>9</v>
      </c>
      <c r="AA3" s="82" t="s">
        <v>10</v>
      </c>
      <c r="AB3" s="82" t="s">
        <v>11</v>
      </c>
      <c r="AC3" s="83"/>
    </row>
    <row r="4">
      <c r="A4" s="72"/>
      <c r="B4" s="72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Q4" s="84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6"/>
    </row>
    <row r="5" hidden="1">
      <c r="A5" s="87" t="s">
        <v>49</v>
      </c>
      <c r="B5" s="88">
        <v>329.0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  <c r="Q5" s="89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1"/>
    </row>
    <row r="6" hidden="1">
      <c r="A6" s="87" t="s">
        <v>50</v>
      </c>
      <c r="B6" s="88">
        <v>329.0</v>
      </c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  <c r="Q6" s="89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1"/>
    </row>
    <row r="7" hidden="1">
      <c r="A7" s="87" t="s">
        <v>51</v>
      </c>
      <c r="B7" s="88">
        <v>329.0</v>
      </c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1"/>
      <c r="Q7" s="89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1"/>
    </row>
    <row r="8">
      <c r="A8" s="92" t="s">
        <v>52</v>
      </c>
      <c r="B8" s="442">
        <v>349.0</v>
      </c>
      <c r="C8" s="94">
        <f>FRANKIE!C8+FRANKIE!O8</f>
        <v>5</v>
      </c>
      <c r="D8" s="94">
        <f>FRANKIE!D8+FRANKIE!P8</f>
        <v>11</v>
      </c>
      <c r="E8" s="94">
        <f>FRANKIE!E8+FRANKIE!Q8</f>
        <v>4</v>
      </c>
      <c r="F8" s="94">
        <f>FRANKIE!F8+FRANKIE!R8</f>
        <v>2</v>
      </c>
      <c r="G8" s="97"/>
      <c r="H8" s="97"/>
      <c r="I8" s="97"/>
      <c r="J8" s="97"/>
      <c r="K8" s="97"/>
      <c r="L8" s="97"/>
      <c r="M8" s="97"/>
      <c r="N8" s="97"/>
      <c r="O8" s="91"/>
      <c r="Q8" s="121">
        <f t="shared" ref="Q8:Q100" si="1">B8*C8</f>
        <v>1745</v>
      </c>
      <c r="R8" s="121">
        <f t="shared" ref="R8:R100" si="2">B8*D8</f>
        <v>3839</v>
      </c>
      <c r="S8" s="121">
        <f t="shared" ref="S8:S100" si="3">B8*E8</f>
        <v>1396</v>
      </c>
      <c r="T8" s="121">
        <f t="shared" ref="T8:T100" si="4">B8*F8</f>
        <v>698</v>
      </c>
      <c r="U8" s="97"/>
      <c r="V8" s="97"/>
      <c r="W8" s="97"/>
      <c r="X8" s="97"/>
      <c r="Y8" s="97"/>
      <c r="Z8" s="97"/>
      <c r="AA8" s="97"/>
      <c r="AB8" s="97"/>
      <c r="AC8" s="91"/>
    </row>
    <row r="9" hidden="1">
      <c r="A9" s="98" t="s">
        <v>53</v>
      </c>
      <c r="B9" s="93">
        <v>329.0</v>
      </c>
      <c r="C9" s="94">
        <f>FRANKIE!C9+FRANKIE!O9</f>
        <v>0</v>
      </c>
      <c r="D9" s="94">
        <f>FRANKIE!D9+FRANKIE!P9</f>
        <v>0</v>
      </c>
      <c r="E9" s="94">
        <f>FRANKIE!E9+FRANKIE!Q9</f>
        <v>0</v>
      </c>
      <c r="F9" s="94">
        <f>FRANKIE!F9+FRANKIE!R9</f>
        <v>0</v>
      </c>
      <c r="G9" s="97"/>
      <c r="H9" s="97"/>
      <c r="I9" s="97"/>
      <c r="J9" s="97"/>
      <c r="K9" s="97"/>
      <c r="L9" s="97"/>
      <c r="M9" s="97"/>
      <c r="N9" s="97"/>
      <c r="O9" s="91"/>
      <c r="Q9" s="121">
        <f t="shared" si="1"/>
        <v>0</v>
      </c>
      <c r="R9" s="121">
        <f t="shared" si="2"/>
        <v>0</v>
      </c>
      <c r="S9" s="121">
        <f t="shared" si="3"/>
        <v>0</v>
      </c>
      <c r="T9" s="121">
        <f t="shared" si="4"/>
        <v>0</v>
      </c>
      <c r="U9" s="97"/>
      <c r="V9" s="97"/>
      <c r="W9" s="97"/>
      <c r="X9" s="97"/>
      <c r="Y9" s="97"/>
      <c r="Z9" s="97"/>
      <c r="AA9" s="97"/>
      <c r="AB9" s="97"/>
      <c r="AC9" s="91"/>
    </row>
    <row r="10">
      <c r="A10" s="98" t="s">
        <v>54</v>
      </c>
      <c r="B10" s="442">
        <v>349.0</v>
      </c>
      <c r="C10" s="94">
        <f>FRANKIE!C10+FRANKIE!O10</f>
        <v>6</v>
      </c>
      <c r="D10" s="94">
        <f>FRANKIE!D10+FRANKIE!P10</f>
        <v>0</v>
      </c>
      <c r="E10" s="94">
        <f>FRANKIE!E10+FRANKIE!Q10</f>
        <v>4</v>
      </c>
      <c r="F10" s="94">
        <f>FRANKIE!F10+FRANKIE!R10</f>
        <v>10</v>
      </c>
      <c r="G10" s="97"/>
      <c r="H10" s="97"/>
      <c r="I10" s="97"/>
      <c r="J10" s="97"/>
      <c r="K10" s="97"/>
      <c r="L10" s="97"/>
      <c r="M10" s="97"/>
      <c r="N10" s="97"/>
      <c r="O10" s="91"/>
      <c r="Q10" s="121">
        <f t="shared" si="1"/>
        <v>2094</v>
      </c>
      <c r="R10" s="121">
        <f t="shared" si="2"/>
        <v>0</v>
      </c>
      <c r="S10" s="121">
        <f t="shared" si="3"/>
        <v>1396</v>
      </c>
      <c r="T10" s="121">
        <f t="shared" si="4"/>
        <v>3490</v>
      </c>
      <c r="U10" s="97"/>
      <c r="V10" s="97"/>
      <c r="W10" s="97"/>
      <c r="X10" s="97"/>
      <c r="Y10" s="97"/>
      <c r="Z10" s="97"/>
      <c r="AA10" s="97"/>
      <c r="AB10" s="97"/>
      <c r="AC10" s="91"/>
    </row>
    <row r="11">
      <c r="A11" s="98" t="s">
        <v>55</v>
      </c>
      <c r="B11" s="442">
        <v>349.0</v>
      </c>
      <c r="C11" s="94">
        <f>FRANKIE!C11+FRANKIE!O11</f>
        <v>4</v>
      </c>
      <c r="D11" s="94">
        <f>FRANKIE!D11+FRANKIE!P11</f>
        <v>2</v>
      </c>
      <c r="E11" s="94">
        <f>FRANKIE!E11+FRANKIE!Q11</f>
        <v>3</v>
      </c>
      <c r="F11" s="94">
        <f>FRANKIE!F11+FRANKIE!R11</f>
        <v>2</v>
      </c>
      <c r="G11" s="97"/>
      <c r="H11" s="97"/>
      <c r="I11" s="97"/>
      <c r="J11" s="97"/>
      <c r="K11" s="97"/>
      <c r="L11" s="97"/>
      <c r="M11" s="97"/>
      <c r="N11" s="97"/>
      <c r="O11" s="91"/>
      <c r="Q11" s="121">
        <f t="shared" si="1"/>
        <v>1396</v>
      </c>
      <c r="R11" s="121">
        <f t="shared" si="2"/>
        <v>698</v>
      </c>
      <c r="S11" s="121">
        <f t="shared" si="3"/>
        <v>1047</v>
      </c>
      <c r="T11" s="121">
        <f t="shared" si="4"/>
        <v>698</v>
      </c>
      <c r="U11" s="97"/>
      <c r="V11" s="97"/>
      <c r="W11" s="97"/>
      <c r="X11" s="97"/>
      <c r="Y11" s="97"/>
      <c r="Z11" s="97"/>
      <c r="AA11" s="97"/>
      <c r="AB11" s="97"/>
      <c r="AC11" s="91"/>
    </row>
    <row r="12">
      <c r="A12" s="98" t="s">
        <v>56</v>
      </c>
      <c r="B12" s="442">
        <v>349.0</v>
      </c>
      <c r="C12" s="94">
        <f>FRANKIE!C12+FRANKIE!O12</f>
        <v>3</v>
      </c>
      <c r="D12" s="94">
        <f>FRANKIE!D12+FRANKIE!P12</f>
        <v>0</v>
      </c>
      <c r="E12" s="94">
        <f>FRANKIE!E12+FRANKIE!Q12</f>
        <v>2</v>
      </c>
      <c r="F12" s="94">
        <f>FRANKIE!F12+FRANKIE!R12</f>
        <v>3</v>
      </c>
      <c r="G12" s="97"/>
      <c r="H12" s="97"/>
      <c r="I12" s="97"/>
      <c r="J12" s="97"/>
      <c r="K12" s="97"/>
      <c r="L12" s="97"/>
      <c r="M12" s="97"/>
      <c r="N12" s="97"/>
      <c r="O12" s="91"/>
      <c r="Q12" s="121">
        <f t="shared" si="1"/>
        <v>1047</v>
      </c>
      <c r="R12" s="121">
        <f t="shared" si="2"/>
        <v>0</v>
      </c>
      <c r="S12" s="121">
        <f t="shared" si="3"/>
        <v>698</v>
      </c>
      <c r="T12" s="121">
        <f t="shared" si="4"/>
        <v>1047</v>
      </c>
      <c r="U12" s="97"/>
      <c r="V12" s="97"/>
      <c r="W12" s="97"/>
      <c r="X12" s="97"/>
      <c r="Y12" s="97"/>
      <c r="Z12" s="97"/>
      <c r="AA12" s="97"/>
      <c r="AB12" s="97"/>
      <c r="AC12" s="91"/>
    </row>
    <row r="13">
      <c r="A13" s="98" t="s">
        <v>57</v>
      </c>
      <c r="B13" s="442">
        <v>349.0</v>
      </c>
      <c r="C13" s="94">
        <f>FRANKIE!C13+FRANKIE!O13</f>
        <v>0</v>
      </c>
      <c r="D13" s="94">
        <f>FRANKIE!D13+FRANKIE!P13</f>
        <v>0</v>
      </c>
      <c r="E13" s="94">
        <f>FRANKIE!E13+FRANKIE!Q13</f>
        <v>1</v>
      </c>
      <c r="F13" s="94">
        <f>FRANKIE!F13+FRANKIE!R13</f>
        <v>1</v>
      </c>
      <c r="G13" s="97"/>
      <c r="H13" s="97"/>
      <c r="I13" s="97"/>
      <c r="J13" s="97"/>
      <c r="K13" s="97"/>
      <c r="L13" s="97"/>
      <c r="M13" s="97"/>
      <c r="N13" s="97"/>
      <c r="O13" s="91"/>
      <c r="Q13" s="121">
        <f t="shared" si="1"/>
        <v>0</v>
      </c>
      <c r="R13" s="121">
        <f t="shared" si="2"/>
        <v>0</v>
      </c>
      <c r="S13" s="121">
        <f t="shared" si="3"/>
        <v>349</v>
      </c>
      <c r="T13" s="121">
        <f t="shared" si="4"/>
        <v>349</v>
      </c>
      <c r="U13" s="97"/>
      <c r="V13" s="97"/>
      <c r="W13" s="97"/>
      <c r="X13" s="97"/>
      <c r="Y13" s="97"/>
      <c r="Z13" s="97"/>
      <c r="AA13" s="97"/>
      <c r="AB13" s="97"/>
      <c r="AC13" s="91"/>
    </row>
    <row r="14">
      <c r="A14" s="98" t="s">
        <v>58</v>
      </c>
      <c r="B14" s="442">
        <v>349.0</v>
      </c>
      <c r="C14" s="94">
        <f>FRANKIE!C14+FRANKIE!O14</f>
        <v>2</v>
      </c>
      <c r="D14" s="94">
        <f>FRANKIE!D14+FRANKIE!P14</f>
        <v>1</v>
      </c>
      <c r="E14" s="94">
        <f>FRANKIE!E14+FRANKIE!Q14</f>
        <v>0</v>
      </c>
      <c r="F14" s="94">
        <f>FRANKIE!F14+FRANKIE!R14</f>
        <v>0</v>
      </c>
      <c r="G14" s="97"/>
      <c r="H14" s="97"/>
      <c r="I14" s="97"/>
      <c r="J14" s="97"/>
      <c r="K14" s="97"/>
      <c r="L14" s="97"/>
      <c r="M14" s="97"/>
      <c r="N14" s="97"/>
      <c r="O14" s="91"/>
      <c r="Q14" s="121">
        <f t="shared" si="1"/>
        <v>698</v>
      </c>
      <c r="R14" s="121">
        <f t="shared" si="2"/>
        <v>349</v>
      </c>
      <c r="S14" s="121">
        <f t="shared" si="3"/>
        <v>0</v>
      </c>
      <c r="T14" s="121">
        <f t="shared" si="4"/>
        <v>0</v>
      </c>
      <c r="U14" s="97"/>
      <c r="V14" s="97"/>
      <c r="W14" s="97"/>
      <c r="X14" s="97"/>
      <c r="Y14" s="97"/>
      <c r="Z14" s="97"/>
      <c r="AA14" s="97"/>
      <c r="AB14" s="97"/>
      <c r="AC14" s="91"/>
    </row>
    <row r="15">
      <c r="A15" s="98" t="s">
        <v>59</v>
      </c>
      <c r="B15" s="442">
        <v>239.0</v>
      </c>
      <c r="C15" s="94">
        <f>FRANKIE!C15+FRANKIE!O15</f>
        <v>3</v>
      </c>
      <c r="D15" s="94">
        <f>FRANKIE!D15+FRANKIE!P15</f>
        <v>0</v>
      </c>
      <c r="E15" s="94">
        <f>FRANKIE!E15+FRANKIE!Q15</f>
        <v>2</v>
      </c>
      <c r="F15" s="94">
        <f>FRANKIE!F15+FRANKIE!R15</f>
        <v>1</v>
      </c>
      <c r="G15" s="97"/>
      <c r="H15" s="97"/>
      <c r="I15" s="97"/>
      <c r="J15" s="97"/>
      <c r="K15" s="97"/>
      <c r="L15" s="97"/>
      <c r="M15" s="97"/>
      <c r="N15" s="97"/>
      <c r="O15" s="91"/>
      <c r="Q15" s="121">
        <f t="shared" si="1"/>
        <v>717</v>
      </c>
      <c r="R15" s="121">
        <f t="shared" si="2"/>
        <v>0</v>
      </c>
      <c r="S15" s="121">
        <f t="shared" si="3"/>
        <v>478</v>
      </c>
      <c r="T15" s="121">
        <f t="shared" si="4"/>
        <v>239</v>
      </c>
      <c r="U15" s="97"/>
      <c r="V15" s="97"/>
      <c r="W15" s="97"/>
      <c r="X15" s="97"/>
      <c r="Y15" s="97"/>
      <c r="Z15" s="97"/>
      <c r="AA15" s="97"/>
      <c r="AB15" s="97"/>
      <c r="AC15" s="91"/>
    </row>
    <row r="16" hidden="1">
      <c r="A16" s="98" t="s">
        <v>60</v>
      </c>
      <c r="B16" s="99"/>
      <c r="C16" s="94">
        <f>FRANKIE!C16+FRANKIE!O16</f>
        <v>0</v>
      </c>
      <c r="D16" s="94">
        <f>FRANKIE!D16+FRANKIE!P16</f>
        <v>0</v>
      </c>
      <c r="E16" s="94">
        <f>FRANKIE!E16+FRANKIE!Q16</f>
        <v>0</v>
      </c>
      <c r="F16" s="94">
        <f>FRANKIE!F16+FRANKIE!R16</f>
        <v>0</v>
      </c>
      <c r="G16" s="97"/>
      <c r="H16" s="97"/>
      <c r="I16" s="97"/>
      <c r="J16" s="97"/>
      <c r="K16" s="97"/>
      <c r="L16" s="97"/>
      <c r="M16" s="97"/>
      <c r="N16" s="97"/>
      <c r="O16" s="91"/>
      <c r="Q16" s="121">
        <f t="shared" si="1"/>
        <v>0</v>
      </c>
      <c r="R16" s="121">
        <f t="shared" si="2"/>
        <v>0</v>
      </c>
      <c r="S16" s="121">
        <f t="shared" si="3"/>
        <v>0</v>
      </c>
      <c r="T16" s="121">
        <f t="shared" si="4"/>
        <v>0</v>
      </c>
      <c r="U16" s="97"/>
      <c r="V16" s="97"/>
      <c r="W16" s="97"/>
      <c r="X16" s="97"/>
      <c r="Y16" s="97"/>
      <c r="Z16" s="97"/>
      <c r="AA16" s="97"/>
      <c r="AB16" s="97"/>
      <c r="AC16" s="91"/>
    </row>
    <row r="17" hidden="1">
      <c r="A17" s="98" t="s">
        <v>61</v>
      </c>
      <c r="B17" s="99"/>
      <c r="C17" s="94">
        <f>FRANKIE!C17+FRANKIE!O17</f>
        <v>0</v>
      </c>
      <c r="D17" s="94">
        <f>FRANKIE!D17+FRANKIE!P17</f>
        <v>0</v>
      </c>
      <c r="E17" s="94">
        <f>FRANKIE!E17+FRANKIE!Q17</f>
        <v>0</v>
      </c>
      <c r="F17" s="94">
        <f>FRANKIE!F17+FRANKIE!R17</f>
        <v>0</v>
      </c>
      <c r="G17" s="97"/>
      <c r="H17" s="97"/>
      <c r="I17" s="97"/>
      <c r="J17" s="97"/>
      <c r="K17" s="97"/>
      <c r="L17" s="97"/>
      <c r="M17" s="97"/>
      <c r="N17" s="97"/>
      <c r="O17" s="91"/>
      <c r="Q17" s="121">
        <f t="shared" si="1"/>
        <v>0</v>
      </c>
      <c r="R17" s="121">
        <f t="shared" si="2"/>
        <v>0</v>
      </c>
      <c r="S17" s="121">
        <f t="shared" si="3"/>
        <v>0</v>
      </c>
      <c r="T17" s="121">
        <f t="shared" si="4"/>
        <v>0</v>
      </c>
      <c r="U17" s="97"/>
      <c r="V17" s="97"/>
      <c r="W17" s="97"/>
      <c r="X17" s="97"/>
      <c r="Y17" s="97"/>
      <c r="Z17" s="97"/>
      <c r="AA17" s="97"/>
      <c r="AB17" s="97"/>
      <c r="AC17" s="91"/>
    </row>
    <row r="18">
      <c r="A18" s="100"/>
      <c r="B18" s="99"/>
      <c r="C18" s="94">
        <f>FRANKIE!C18+FRANKIE!O18</f>
        <v>0</v>
      </c>
      <c r="D18" s="94">
        <f>FRANKIE!D18+FRANKIE!P18</f>
        <v>0</v>
      </c>
      <c r="E18" s="94">
        <f>FRANKIE!E18+FRANKIE!Q18</f>
        <v>0</v>
      </c>
      <c r="F18" s="94">
        <f>FRANKIE!F18+FRANKIE!R18</f>
        <v>0</v>
      </c>
      <c r="G18" s="97"/>
      <c r="H18" s="97"/>
      <c r="I18" s="97"/>
      <c r="J18" s="97"/>
      <c r="K18" s="97"/>
      <c r="L18" s="97"/>
      <c r="M18" s="97"/>
      <c r="N18" s="97"/>
      <c r="O18" s="91"/>
      <c r="Q18" s="121">
        <f t="shared" si="1"/>
        <v>0</v>
      </c>
      <c r="R18" s="121">
        <f t="shared" si="2"/>
        <v>0</v>
      </c>
      <c r="S18" s="121">
        <f t="shared" si="3"/>
        <v>0</v>
      </c>
      <c r="T18" s="121">
        <f t="shared" si="4"/>
        <v>0</v>
      </c>
      <c r="U18" s="97"/>
      <c r="V18" s="97"/>
      <c r="W18" s="97"/>
      <c r="X18" s="97"/>
      <c r="Y18" s="97"/>
      <c r="Z18" s="97"/>
      <c r="AA18" s="97"/>
      <c r="AB18" s="97"/>
      <c r="AC18" s="91"/>
    </row>
    <row r="19">
      <c r="A19" s="98" t="s">
        <v>62</v>
      </c>
      <c r="B19" s="442">
        <v>259.0</v>
      </c>
      <c r="C19" s="94">
        <f>FRANKIE!C19+FRANKIE!O19</f>
        <v>3</v>
      </c>
      <c r="D19" s="94">
        <f>FRANKIE!D19+FRANKIE!P19</f>
        <v>2</v>
      </c>
      <c r="E19" s="94">
        <f>FRANKIE!E19+FRANKIE!Q19</f>
        <v>1</v>
      </c>
      <c r="F19" s="94">
        <f>FRANKIE!F19+FRANKIE!R19</f>
        <v>2</v>
      </c>
      <c r="G19" s="97"/>
      <c r="H19" s="97"/>
      <c r="I19" s="97"/>
      <c r="J19" s="97"/>
      <c r="K19" s="97"/>
      <c r="L19" s="97"/>
      <c r="M19" s="97"/>
      <c r="N19" s="97"/>
      <c r="O19" s="91"/>
      <c r="Q19" s="121">
        <f t="shared" si="1"/>
        <v>777</v>
      </c>
      <c r="R19" s="121">
        <f t="shared" si="2"/>
        <v>518</v>
      </c>
      <c r="S19" s="121">
        <f t="shared" si="3"/>
        <v>259</v>
      </c>
      <c r="T19" s="121">
        <f t="shared" si="4"/>
        <v>518</v>
      </c>
      <c r="U19" s="97"/>
      <c r="V19" s="97"/>
      <c r="W19" s="97"/>
      <c r="X19" s="97"/>
      <c r="Y19" s="97"/>
      <c r="Z19" s="97"/>
      <c r="AA19" s="97"/>
      <c r="AB19" s="97"/>
      <c r="AC19" s="91"/>
    </row>
    <row r="20">
      <c r="A20" s="98" t="s">
        <v>63</v>
      </c>
      <c r="B20" s="442">
        <v>259.0</v>
      </c>
      <c r="C20" s="94">
        <f>FRANKIE!C20+FRANKIE!O20</f>
        <v>2</v>
      </c>
      <c r="D20" s="94">
        <f>FRANKIE!D20+FRANKIE!P20</f>
        <v>2</v>
      </c>
      <c r="E20" s="94">
        <f>FRANKIE!E20+FRANKIE!Q20</f>
        <v>1</v>
      </c>
      <c r="F20" s="94">
        <f>FRANKIE!F20+FRANKIE!R20</f>
        <v>3</v>
      </c>
      <c r="G20" s="97"/>
      <c r="H20" s="97"/>
      <c r="I20" s="97"/>
      <c r="J20" s="97"/>
      <c r="K20" s="97"/>
      <c r="L20" s="97"/>
      <c r="M20" s="97"/>
      <c r="N20" s="97"/>
      <c r="O20" s="91"/>
      <c r="Q20" s="121">
        <f t="shared" si="1"/>
        <v>518</v>
      </c>
      <c r="R20" s="121">
        <f t="shared" si="2"/>
        <v>518</v>
      </c>
      <c r="S20" s="121">
        <f t="shared" si="3"/>
        <v>259</v>
      </c>
      <c r="T20" s="121">
        <f t="shared" si="4"/>
        <v>777</v>
      </c>
      <c r="U20" s="97"/>
      <c r="V20" s="97"/>
      <c r="W20" s="97"/>
      <c r="X20" s="97"/>
      <c r="Y20" s="97"/>
      <c r="Z20" s="97"/>
      <c r="AA20" s="97"/>
      <c r="AB20" s="97"/>
      <c r="AC20" s="91"/>
    </row>
    <row r="21">
      <c r="A21" s="98" t="s">
        <v>64</v>
      </c>
      <c r="B21" s="442">
        <v>259.0</v>
      </c>
      <c r="C21" s="94">
        <f>FRANKIE!C21+FRANKIE!O21</f>
        <v>6</v>
      </c>
      <c r="D21" s="94">
        <f>FRANKIE!D21+FRANKIE!P21</f>
        <v>1</v>
      </c>
      <c r="E21" s="94">
        <f>FRANKIE!E21+FRANKIE!Q21</f>
        <v>1</v>
      </c>
      <c r="F21" s="94">
        <f>FRANKIE!F21+FRANKIE!R21</f>
        <v>1</v>
      </c>
      <c r="G21" s="97"/>
      <c r="H21" s="97"/>
      <c r="I21" s="97"/>
      <c r="J21" s="97"/>
      <c r="K21" s="97"/>
      <c r="L21" s="97"/>
      <c r="M21" s="97"/>
      <c r="N21" s="97"/>
      <c r="O21" s="91"/>
      <c r="Q21" s="121">
        <f t="shared" si="1"/>
        <v>1554</v>
      </c>
      <c r="R21" s="121">
        <f t="shared" si="2"/>
        <v>259</v>
      </c>
      <c r="S21" s="121">
        <f t="shared" si="3"/>
        <v>259</v>
      </c>
      <c r="T21" s="121">
        <f t="shared" si="4"/>
        <v>259</v>
      </c>
      <c r="U21" s="97"/>
      <c r="V21" s="97"/>
      <c r="W21" s="97"/>
      <c r="X21" s="97"/>
      <c r="Y21" s="97"/>
      <c r="Z21" s="97"/>
      <c r="AA21" s="97"/>
      <c r="AB21" s="97"/>
      <c r="AC21" s="91"/>
    </row>
    <row r="22">
      <c r="A22" s="98" t="s">
        <v>65</v>
      </c>
      <c r="B22" s="442">
        <v>239.0</v>
      </c>
      <c r="C22" s="94">
        <f>FRANKIE!C22+FRANKIE!O22</f>
        <v>5</v>
      </c>
      <c r="D22" s="94">
        <f>FRANKIE!D22+FRANKIE!P22</f>
        <v>3</v>
      </c>
      <c r="E22" s="94">
        <f>FRANKIE!E22+FRANKIE!Q22</f>
        <v>0</v>
      </c>
      <c r="F22" s="94">
        <f>FRANKIE!F22+FRANKIE!R22</f>
        <v>2</v>
      </c>
      <c r="G22" s="97"/>
      <c r="H22" s="97"/>
      <c r="I22" s="97"/>
      <c r="J22" s="97"/>
      <c r="K22" s="97"/>
      <c r="L22" s="97"/>
      <c r="M22" s="97"/>
      <c r="N22" s="97"/>
      <c r="O22" s="91"/>
      <c r="Q22" s="121">
        <f t="shared" si="1"/>
        <v>1195</v>
      </c>
      <c r="R22" s="121">
        <f t="shared" si="2"/>
        <v>717</v>
      </c>
      <c r="S22" s="121">
        <f t="shared" si="3"/>
        <v>0</v>
      </c>
      <c r="T22" s="121">
        <f t="shared" si="4"/>
        <v>478</v>
      </c>
      <c r="U22" s="97"/>
      <c r="V22" s="97"/>
      <c r="W22" s="97"/>
      <c r="X22" s="97"/>
      <c r="Y22" s="97"/>
      <c r="Z22" s="97"/>
      <c r="AA22" s="97"/>
      <c r="AB22" s="97"/>
      <c r="AC22" s="91"/>
    </row>
    <row r="23">
      <c r="A23" s="98" t="s">
        <v>66</v>
      </c>
      <c r="B23" s="442">
        <v>239.0</v>
      </c>
      <c r="C23" s="94">
        <f>FRANKIE!C23+FRANKIE!O23</f>
        <v>1</v>
      </c>
      <c r="D23" s="94">
        <f>FRANKIE!D23+FRANKIE!P23</f>
        <v>2</v>
      </c>
      <c r="E23" s="94">
        <f>FRANKIE!E23+FRANKIE!Q23</f>
        <v>3</v>
      </c>
      <c r="F23" s="94">
        <f>FRANKIE!F23+FRANKIE!R23</f>
        <v>0</v>
      </c>
      <c r="G23" s="97"/>
      <c r="H23" s="97"/>
      <c r="I23" s="97"/>
      <c r="J23" s="97"/>
      <c r="K23" s="97"/>
      <c r="L23" s="97"/>
      <c r="M23" s="97"/>
      <c r="N23" s="97"/>
      <c r="O23" s="91"/>
      <c r="Q23" s="121">
        <f t="shared" si="1"/>
        <v>239</v>
      </c>
      <c r="R23" s="121">
        <f t="shared" si="2"/>
        <v>478</v>
      </c>
      <c r="S23" s="121">
        <f t="shared" si="3"/>
        <v>717</v>
      </c>
      <c r="T23" s="121">
        <f t="shared" si="4"/>
        <v>0</v>
      </c>
      <c r="U23" s="97"/>
      <c r="V23" s="97"/>
      <c r="W23" s="97"/>
      <c r="X23" s="97"/>
      <c r="Y23" s="97"/>
      <c r="Z23" s="97"/>
      <c r="AA23" s="97"/>
      <c r="AB23" s="97"/>
      <c r="AC23" s="91"/>
    </row>
    <row r="24">
      <c r="A24" s="98" t="s">
        <v>67</v>
      </c>
      <c r="B24" s="442">
        <v>239.0</v>
      </c>
      <c r="C24" s="94">
        <f>FRANKIE!C24+FRANKIE!O24</f>
        <v>1</v>
      </c>
      <c r="D24" s="94">
        <f>FRANKIE!D24+FRANKIE!P24</f>
        <v>4</v>
      </c>
      <c r="E24" s="94">
        <f>FRANKIE!E24+FRANKIE!Q24</f>
        <v>1</v>
      </c>
      <c r="F24" s="94">
        <f>FRANKIE!F24+FRANKIE!R24</f>
        <v>1</v>
      </c>
      <c r="G24" s="97"/>
      <c r="H24" s="97"/>
      <c r="I24" s="97"/>
      <c r="J24" s="97"/>
      <c r="K24" s="97"/>
      <c r="L24" s="97"/>
      <c r="M24" s="97"/>
      <c r="N24" s="97"/>
      <c r="O24" s="91"/>
      <c r="Q24" s="121">
        <f t="shared" si="1"/>
        <v>239</v>
      </c>
      <c r="R24" s="121">
        <f t="shared" si="2"/>
        <v>956</v>
      </c>
      <c r="S24" s="121">
        <f t="shared" si="3"/>
        <v>239</v>
      </c>
      <c r="T24" s="121">
        <f t="shared" si="4"/>
        <v>239</v>
      </c>
      <c r="U24" s="97"/>
      <c r="V24" s="97"/>
      <c r="W24" s="97"/>
      <c r="X24" s="97"/>
      <c r="Y24" s="97"/>
      <c r="Z24" s="97"/>
      <c r="AA24" s="97"/>
      <c r="AB24" s="97"/>
      <c r="AC24" s="91"/>
    </row>
    <row r="25" hidden="1">
      <c r="A25" s="98" t="s">
        <v>68</v>
      </c>
      <c r="B25" s="93">
        <v>219.0</v>
      </c>
      <c r="C25" s="94">
        <f>FRANKIE!C25+FRANKIE!O25</f>
        <v>0</v>
      </c>
      <c r="D25" s="94">
        <f>FRANKIE!D25+FRANKIE!P25</f>
        <v>0</v>
      </c>
      <c r="E25" s="94">
        <f>FRANKIE!E25+FRANKIE!Q25</f>
        <v>0</v>
      </c>
      <c r="F25" s="94">
        <f>FRANKIE!F25+FRANKIE!R25</f>
        <v>0</v>
      </c>
      <c r="G25" s="97"/>
      <c r="H25" s="97"/>
      <c r="I25" s="97"/>
      <c r="J25" s="97"/>
      <c r="K25" s="97"/>
      <c r="L25" s="97"/>
      <c r="M25" s="97"/>
      <c r="N25" s="97"/>
      <c r="O25" s="91"/>
      <c r="Q25" s="121">
        <f t="shared" si="1"/>
        <v>0</v>
      </c>
      <c r="R25" s="121">
        <f t="shared" si="2"/>
        <v>0</v>
      </c>
      <c r="S25" s="121">
        <f t="shared" si="3"/>
        <v>0</v>
      </c>
      <c r="T25" s="121">
        <f t="shared" si="4"/>
        <v>0</v>
      </c>
      <c r="U25" s="97"/>
      <c r="V25" s="97"/>
      <c r="W25" s="97"/>
      <c r="X25" s="97"/>
      <c r="Y25" s="97"/>
      <c r="Z25" s="97"/>
      <c r="AA25" s="97"/>
      <c r="AB25" s="97"/>
      <c r="AC25" s="91"/>
    </row>
    <row r="26" hidden="1">
      <c r="A26" s="98" t="s">
        <v>69</v>
      </c>
      <c r="B26" s="93">
        <v>219.0</v>
      </c>
      <c r="C26" s="94">
        <f>FRANKIE!C26+FRANKIE!O26</f>
        <v>0</v>
      </c>
      <c r="D26" s="94">
        <f>FRANKIE!D26+FRANKIE!P26</f>
        <v>0</v>
      </c>
      <c r="E26" s="94">
        <f>FRANKIE!E26+FRANKIE!Q26</f>
        <v>0</v>
      </c>
      <c r="F26" s="94">
        <f>FRANKIE!F26+FRANKIE!R26</f>
        <v>0</v>
      </c>
      <c r="G26" s="97"/>
      <c r="H26" s="97"/>
      <c r="I26" s="97"/>
      <c r="J26" s="97"/>
      <c r="K26" s="97"/>
      <c r="L26" s="97"/>
      <c r="M26" s="97"/>
      <c r="N26" s="97"/>
      <c r="O26" s="91"/>
      <c r="Q26" s="121">
        <f t="shared" si="1"/>
        <v>0</v>
      </c>
      <c r="R26" s="121">
        <f t="shared" si="2"/>
        <v>0</v>
      </c>
      <c r="S26" s="121">
        <f t="shared" si="3"/>
        <v>0</v>
      </c>
      <c r="T26" s="121">
        <f t="shared" si="4"/>
        <v>0</v>
      </c>
      <c r="U26" s="97"/>
      <c r="V26" s="97"/>
      <c r="W26" s="97"/>
      <c r="X26" s="97"/>
      <c r="Y26" s="97"/>
      <c r="Z26" s="97"/>
      <c r="AA26" s="97"/>
      <c r="AB26" s="97"/>
      <c r="AC26" s="91"/>
    </row>
    <row r="27">
      <c r="A27" s="101" t="s">
        <v>70</v>
      </c>
      <c r="B27" s="93">
        <v>799.0</v>
      </c>
      <c r="C27" s="94">
        <f>FRANKIE!C27+FRANKIE!O27</f>
        <v>0</v>
      </c>
      <c r="D27" s="94">
        <f>FRANKIE!D27+FRANKIE!P27</f>
        <v>0</v>
      </c>
      <c r="E27" s="94">
        <f>FRANKIE!E27+FRANKIE!Q27</f>
        <v>0</v>
      </c>
      <c r="F27" s="94">
        <f>FRANKIE!F27+FRANKIE!R27</f>
        <v>0</v>
      </c>
      <c r="G27" s="97"/>
      <c r="H27" s="97"/>
      <c r="I27" s="97"/>
      <c r="J27" s="97"/>
      <c r="K27" s="97"/>
      <c r="L27" s="97"/>
      <c r="M27" s="97"/>
      <c r="N27" s="97"/>
      <c r="O27" s="91"/>
      <c r="Q27" s="121">
        <f t="shared" si="1"/>
        <v>0</v>
      </c>
      <c r="R27" s="121">
        <f t="shared" si="2"/>
        <v>0</v>
      </c>
      <c r="S27" s="121">
        <f t="shared" si="3"/>
        <v>0</v>
      </c>
      <c r="T27" s="121">
        <f t="shared" si="4"/>
        <v>0</v>
      </c>
      <c r="U27" s="97"/>
      <c r="V27" s="97"/>
      <c r="W27" s="97"/>
      <c r="X27" s="97"/>
      <c r="Y27" s="97"/>
      <c r="Z27" s="97"/>
      <c r="AA27" s="97"/>
      <c r="AB27" s="97"/>
      <c r="AC27" s="91"/>
    </row>
    <row r="28">
      <c r="A28" s="102" t="s">
        <v>71</v>
      </c>
      <c r="B28" s="442">
        <v>629.0</v>
      </c>
      <c r="C28" s="94">
        <f>FRANKIE!C28+FRANKIE!O28</f>
        <v>5</v>
      </c>
      <c r="D28" s="94">
        <f>FRANKIE!D28+FRANKIE!P28</f>
        <v>1</v>
      </c>
      <c r="E28" s="94">
        <f>FRANKIE!E28+FRANKIE!Q28</f>
        <v>0</v>
      </c>
      <c r="F28" s="94">
        <f>FRANKIE!F28+FRANKIE!R28</f>
        <v>0</v>
      </c>
      <c r="G28" s="97"/>
      <c r="H28" s="97"/>
      <c r="I28" s="97"/>
      <c r="J28" s="97"/>
      <c r="K28" s="97"/>
      <c r="L28" s="97"/>
      <c r="M28" s="97"/>
      <c r="N28" s="97"/>
      <c r="O28" s="91"/>
      <c r="Q28" s="121">
        <f t="shared" si="1"/>
        <v>3145</v>
      </c>
      <c r="R28" s="121">
        <f t="shared" si="2"/>
        <v>629</v>
      </c>
      <c r="S28" s="121">
        <f t="shared" si="3"/>
        <v>0</v>
      </c>
      <c r="T28" s="121">
        <f t="shared" si="4"/>
        <v>0</v>
      </c>
      <c r="U28" s="97"/>
      <c r="V28" s="97"/>
      <c r="W28" s="97"/>
      <c r="X28" s="97"/>
      <c r="Y28" s="97"/>
      <c r="Z28" s="97"/>
      <c r="AA28" s="97"/>
      <c r="AB28" s="97"/>
      <c r="AC28" s="91"/>
    </row>
    <row r="29">
      <c r="A29" s="101" t="s">
        <v>72</v>
      </c>
      <c r="B29" s="442">
        <v>349.0</v>
      </c>
      <c r="C29" s="94">
        <f>FRANKIE!C29+FRANKIE!O29</f>
        <v>4</v>
      </c>
      <c r="D29" s="94">
        <f>FRANKIE!D29+FRANKIE!P29</f>
        <v>4</v>
      </c>
      <c r="E29" s="94">
        <f>FRANKIE!E29+FRANKIE!Q29</f>
        <v>0</v>
      </c>
      <c r="F29" s="94">
        <f>FRANKIE!F29+FRANKIE!R29</f>
        <v>1</v>
      </c>
      <c r="G29" s="97"/>
      <c r="H29" s="97"/>
      <c r="I29" s="97"/>
      <c r="J29" s="97"/>
      <c r="K29" s="97"/>
      <c r="L29" s="97"/>
      <c r="M29" s="97"/>
      <c r="N29" s="97"/>
      <c r="O29" s="91"/>
      <c r="Q29" s="121">
        <f t="shared" si="1"/>
        <v>1396</v>
      </c>
      <c r="R29" s="121">
        <f t="shared" si="2"/>
        <v>1396</v>
      </c>
      <c r="S29" s="121">
        <f t="shared" si="3"/>
        <v>0</v>
      </c>
      <c r="T29" s="121">
        <f t="shared" si="4"/>
        <v>349</v>
      </c>
      <c r="U29" s="97"/>
      <c r="V29" s="97"/>
      <c r="W29" s="97"/>
      <c r="X29" s="97"/>
      <c r="Y29" s="97"/>
      <c r="Z29" s="97"/>
      <c r="AA29" s="97"/>
      <c r="AB29" s="97"/>
      <c r="AC29" s="91"/>
    </row>
    <row r="30">
      <c r="A30" s="101" t="s">
        <v>73</v>
      </c>
      <c r="B30" s="93">
        <v>329.0</v>
      </c>
      <c r="C30" s="94">
        <f>FRANKIE!C30+FRANKIE!O30</f>
        <v>0</v>
      </c>
      <c r="D30" s="94">
        <f>FRANKIE!D30+FRANKIE!P30</f>
        <v>0</v>
      </c>
      <c r="E30" s="94">
        <f>FRANKIE!E30+FRANKIE!Q30</f>
        <v>0</v>
      </c>
      <c r="F30" s="94">
        <f>FRANKIE!F30+FRANKIE!R30</f>
        <v>0</v>
      </c>
      <c r="G30" s="97"/>
      <c r="H30" s="97"/>
      <c r="I30" s="97"/>
      <c r="J30" s="97"/>
      <c r="K30" s="97"/>
      <c r="L30" s="97"/>
      <c r="M30" s="97"/>
      <c r="N30" s="97"/>
      <c r="O30" s="91"/>
      <c r="Q30" s="121">
        <f t="shared" si="1"/>
        <v>0</v>
      </c>
      <c r="R30" s="121">
        <f t="shared" si="2"/>
        <v>0</v>
      </c>
      <c r="S30" s="121">
        <f t="shared" si="3"/>
        <v>0</v>
      </c>
      <c r="T30" s="121">
        <f t="shared" si="4"/>
        <v>0</v>
      </c>
      <c r="U30" s="97"/>
      <c r="V30" s="97"/>
      <c r="W30" s="97"/>
      <c r="X30" s="97"/>
      <c r="Y30" s="97"/>
      <c r="Z30" s="97"/>
      <c r="AA30" s="97"/>
      <c r="AB30" s="97"/>
      <c r="AC30" s="91"/>
    </row>
    <row r="31">
      <c r="A31" s="101" t="s">
        <v>74</v>
      </c>
      <c r="B31" s="442">
        <v>239.0</v>
      </c>
      <c r="C31" s="94">
        <f>FRANKIE!C31+FRANKIE!O31</f>
        <v>4</v>
      </c>
      <c r="D31" s="94">
        <f>FRANKIE!D31+FRANKIE!P31</f>
        <v>2</v>
      </c>
      <c r="E31" s="94">
        <f>FRANKIE!E31+FRANKIE!Q31</f>
        <v>1</v>
      </c>
      <c r="F31" s="94">
        <f>FRANKIE!F31+FRANKIE!R31</f>
        <v>0</v>
      </c>
      <c r="G31" s="97"/>
      <c r="H31" s="97"/>
      <c r="I31" s="97"/>
      <c r="J31" s="97"/>
      <c r="K31" s="97"/>
      <c r="L31" s="97"/>
      <c r="M31" s="97"/>
      <c r="N31" s="97"/>
      <c r="O31" s="91"/>
      <c r="Q31" s="121">
        <f t="shared" si="1"/>
        <v>956</v>
      </c>
      <c r="R31" s="121">
        <f t="shared" si="2"/>
        <v>478</v>
      </c>
      <c r="S31" s="121">
        <f t="shared" si="3"/>
        <v>239</v>
      </c>
      <c r="T31" s="121">
        <f t="shared" si="4"/>
        <v>0</v>
      </c>
      <c r="U31" s="97"/>
      <c r="V31" s="97"/>
      <c r="W31" s="97"/>
      <c r="X31" s="97"/>
      <c r="Y31" s="97"/>
      <c r="Z31" s="97"/>
      <c r="AA31" s="97"/>
      <c r="AB31" s="97"/>
      <c r="AC31" s="91"/>
    </row>
    <row r="32">
      <c r="A32" s="101" t="s">
        <v>75</v>
      </c>
      <c r="B32" s="93">
        <v>219.0</v>
      </c>
      <c r="C32" s="94">
        <f>FRANKIE!C32+FRANKIE!O32</f>
        <v>0</v>
      </c>
      <c r="D32" s="94">
        <f>FRANKIE!D32+FRANKIE!P32</f>
        <v>0</v>
      </c>
      <c r="E32" s="94">
        <f>FRANKIE!E32+FRANKIE!Q32</f>
        <v>0</v>
      </c>
      <c r="F32" s="94">
        <f>FRANKIE!F32+FRANKIE!R32</f>
        <v>0</v>
      </c>
      <c r="G32" s="97"/>
      <c r="H32" s="97"/>
      <c r="I32" s="97"/>
      <c r="J32" s="97"/>
      <c r="K32" s="97"/>
      <c r="L32" s="97"/>
      <c r="M32" s="97"/>
      <c r="N32" s="97"/>
      <c r="O32" s="91"/>
      <c r="Q32" s="121">
        <f t="shared" si="1"/>
        <v>0</v>
      </c>
      <c r="R32" s="121">
        <f t="shared" si="2"/>
        <v>0</v>
      </c>
      <c r="S32" s="121">
        <f t="shared" si="3"/>
        <v>0</v>
      </c>
      <c r="T32" s="121">
        <f t="shared" si="4"/>
        <v>0</v>
      </c>
      <c r="U32" s="97"/>
      <c r="V32" s="97"/>
      <c r="W32" s="97"/>
      <c r="X32" s="97"/>
      <c r="Y32" s="97"/>
      <c r="Z32" s="97"/>
      <c r="AA32" s="97"/>
      <c r="AB32" s="97"/>
      <c r="AC32" s="91"/>
    </row>
    <row r="33">
      <c r="A33" s="101" t="s">
        <v>76</v>
      </c>
      <c r="B33" s="442">
        <v>459.0</v>
      </c>
      <c r="C33" s="94">
        <f>FRANKIE!C33+FRANKIE!O33</f>
        <v>2</v>
      </c>
      <c r="D33" s="94">
        <f>FRANKIE!D33+FRANKIE!P33</f>
        <v>2</v>
      </c>
      <c r="E33" s="94">
        <f>FRANKIE!E33+FRANKIE!Q33</f>
        <v>2</v>
      </c>
      <c r="F33" s="94">
        <f>FRANKIE!F33+FRANKIE!R33</f>
        <v>6</v>
      </c>
      <c r="G33" s="97"/>
      <c r="H33" s="97"/>
      <c r="I33" s="97"/>
      <c r="J33" s="97"/>
      <c r="K33" s="97"/>
      <c r="L33" s="97"/>
      <c r="M33" s="97"/>
      <c r="N33" s="97"/>
      <c r="O33" s="91"/>
      <c r="Q33" s="121">
        <f t="shared" si="1"/>
        <v>918</v>
      </c>
      <c r="R33" s="121">
        <f t="shared" si="2"/>
        <v>918</v>
      </c>
      <c r="S33" s="121">
        <f t="shared" si="3"/>
        <v>918</v>
      </c>
      <c r="T33" s="121">
        <f t="shared" si="4"/>
        <v>2754</v>
      </c>
      <c r="U33" s="97"/>
      <c r="V33" s="97"/>
      <c r="W33" s="97"/>
      <c r="X33" s="97"/>
      <c r="Y33" s="97"/>
      <c r="Z33" s="97"/>
      <c r="AA33" s="97"/>
      <c r="AB33" s="97"/>
      <c r="AC33" s="91"/>
    </row>
    <row r="34">
      <c r="A34" s="101" t="s">
        <v>77</v>
      </c>
      <c r="B34" s="93">
        <v>899.0</v>
      </c>
      <c r="C34" s="94">
        <f>FRANKIE!C34+FRANKIE!O34</f>
        <v>0</v>
      </c>
      <c r="D34" s="94">
        <f>FRANKIE!D34+FRANKIE!P34</f>
        <v>0</v>
      </c>
      <c r="E34" s="94">
        <f>FRANKIE!E34+FRANKIE!Q34</f>
        <v>0</v>
      </c>
      <c r="F34" s="94">
        <f>FRANKIE!F34+FRANKIE!R34</f>
        <v>0</v>
      </c>
      <c r="G34" s="97"/>
      <c r="H34" s="97"/>
      <c r="I34" s="97"/>
      <c r="J34" s="97"/>
      <c r="K34" s="97"/>
      <c r="L34" s="97"/>
      <c r="M34" s="97"/>
      <c r="N34" s="97"/>
      <c r="O34" s="91"/>
      <c r="Q34" s="121">
        <f t="shared" si="1"/>
        <v>0</v>
      </c>
      <c r="R34" s="121">
        <f t="shared" si="2"/>
        <v>0</v>
      </c>
      <c r="S34" s="121">
        <f t="shared" si="3"/>
        <v>0</v>
      </c>
      <c r="T34" s="121">
        <f t="shared" si="4"/>
        <v>0</v>
      </c>
      <c r="U34" s="97"/>
      <c r="V34" s="97"/>
      <c r="W34" s="97"/>
      <c r="X34" s="97"/>
      <c r="Y34" s="97"/>
      <c r="Z34" s="97"/>
      <c r="AA34" s="97"/>
      <c r="AB34" s="97"/>
      <c r="AC34" s="91"/>
    </row>
    <row r="35">
      <c r="A35" s="101" t="s">
        <v>78</v>
      </c>
      <c r="B35" s="442">
        <v>569.0</v>
      </c>
      <c r="C35" s="94">
        <f>FRANKIE!C35+FRANKIE!O35</f>
        <v>2</v>
      </c>
      <c r="D35" s="94">
        <f>FRANKIE!D35+FRANKIE!P35</f>
        <v>0</v>
      </c>
      <c r="E35" s="94">
        <f>FRANKIE!E35+FRANKIE!Q35</f>
        <v>1</v>
      </c>
      <c r="F35" s="94">
        <f>FRANKIE!F35+FRANKIE!R35</f>
        <v>1</v>
      </c>
      <c r="G35" s="97"/>
      <c r="H35" s="97"/>
      <c r="I35" s="97"/>
      <c r="J35" s="97"/>
      <c r="K35" s="97"/>
      <c r="L35" s="97"/>
      <c r="M35" s="97"/>
      <c r="N35" s="97"/>
      <c r="O35" s="91"/>
      <c r="Q35" s="121">
        <f t="shared" si="1"/>
        <v>1138</v>
      </c>
      <c r="R35" s="121">
        <f t="shared" si="2"/>
        <v>0</v>
      </c>
      <c r="S35" s="121">
        <f t="shared" si="3"/>
        <v>569</v>
      </c>
      <c r="T35" s="121">
        <f t="shared" si="4"/>
        <v>569</v>
      </c>
      <c r="U35" s="97"/>
      <c r="V35" s="97"/>
      <c r="W35" s="97"/>
      <c r="X35" s="97"/>
      <c r="Y35" s="97"/>
      <c r="Z35" s="97"/>
      <c r="AA35" s="97"/>
      <c r="AB35" s="97"/>
      <c r="AC35" s="91"/>
    </row>
    <row r="36">
      <c r="A36" s="101" t="s">
        <v>79</v>
      </c>
      <c r="B36" s="442">
        <v>569.0</v>
      </c>
      <c r="C36" s="94">
        <f>FRANKIE!C36+FRANKIE!O36</f>
        <v>0</v>
      </c>
      <c r="D36" s="94">
        <f>FRANKIE!D36+FRANKIE!P36</f>
        <v>0</v>
      </c>
      <c r="E36" s="94">
        <f>FRANKIE!E36+FRANKIE!Q36</f>
        <v>2</v>
      </c>
      <c r="F36" s="94">
        <f>FRANKIE!F36+FRANKIE!R36</f>
        <v>0</v>
      </c>
      <c r="G36" s="97"/>
      <c r="H36" s="97"/>
      <c r="I36" s="97"/>
      <c r="J36" s="97"/>
      <c r="K36" s="97"/>
      <c r="L36" s="97"/>
      <c r="M36" s="97"/>
      <c r="N36" s="97"/>
      <c r="O36" s="91"/>
      <c r="Q36" s="121">
        <f t="shared" si="1"/>
        <v>0</v>
      </c>
      <c r="R36" s="121">
        <f t="shared" si="2"/>
        <v>0</v>
      </c>
      <c r="S36" s="121">
        <f t="shared" si="3"/>
        <v>1138</v>
      </c>
      <c r="T36" s="121">
        <f t="shared" si="4"/>
        <v>0</v>
      </c>
      <c r="U36" s="97"/>
      <c r="V36" s="97"/>
      <c r="W36" s="97"/>
      <c r="X36" s="97"/>
      <c r="Y36" s="97"/>
      <c r="Z36" s="97"/>
      <c r="AA36" s="97"/>
      <c r="AB36" s="97"/>
      <c r="AC36" s="91"/>
    </row>
    <row r="37">
      <c r="A37" s="101" t="s">
        <v>80</v>
      </c>
      <c r="B37" s="442">
        <v>569.0</v>
      </c>
      <c r="C37" s="94">
        <f>FRANKIE!C37+FRANKIE!O37</f>
        <v>0</v>
      </c>
      <c r="D37" s="94">
        <f>FRANKIE!D37+FRANKIE!P37</f>
        <v>0</v>
      </c>
      <c r="E37" s="94">
        <f>FRANKIE!E37+FRANKIE!Q37</f>
        <v>0</v>
      </c>
      <c r="F37" s="94">
        <f>FRANKIE!F37+FRANKIE!R37</f>
        <v>0</v>
      </c>
      <c r="G37" s="97"/>
      <c r="H37" s="97"/>
      <c r="I37" s="97"/>
      <c r="J37" s="97"/>
      <c r="K37" s="97"/>
      <c r="L37" s="97"/>
      <c r="M37" s="97"/>
      <c r="N37" s="97"/>
      <c r="O37" s="91"/>
      <c r="Q37" s="121">
        <f t="shared" si="1"/>
        <v>0</v>
      </c>
      <c r="R37" s="121">
        <f t="shared" si="2"/>
        <v>0</v>
      </c>
      <c r="S37" s="121">
        <f t="shared" si="3"/>
        <v>0</v>
      </c>
      <c r="T37" s="121">
        <f t="shared" si="4"/>
        <v>0</v>
      </c>
      <c r="U37" s="97"/>
      <c r="V37" s="97"/>
      <c r="W37" s="97"/>
      <c r="X37" s="97"/>
      <c r="Y37" s="97"/>
      <c r="Z37" s="97"/>
      <c r="AA37" s="97"/>
      <c r="AB37" s="97"/>
      <c r="AC37" s="91"/>
    </row>
    <row r="38">
      <c r="A38" s="102" t="s">
        <v>81</v>
      </c>
      <c r="B38" s="93">
        <v>799.0</v>
      </c>
      <c r="C38" s="94">
        <f>FRANKIE!C38+FRANKIE!O38</f>
        <v>0</v>
      </c>
      <c r="D38" s="94">
        <f>FRANKIE!D38+FRANKIE!P38</f>
        <v>0</v>
      </c>
      <c r="E38" s="94">
        <f>FRANKIE!E38+FRANKIE!Q38</f>
        <v>0</v>
      </c>
      <c r="F38" s="94">
        <f>FRANKIE!F38+FRANKIE!R38</f>
        <v>0</v>
      </c>
      <c r="G38" s="97"/>
      <c r="H38" s="97"/>
      <c r="I38" s="97"/>
      <c r="J38" s="97"/>
      <c r="K38" s="97"/>
      <c r="L38" s="97"/>
      <c r="M38" s="97"/>
      <c r="N38" s="97"/>
      <c r="O38" s="91"/>
      <c r="Q38" s="121">
        <f t="shared" si="1"/>
        <v>0</v>
      </c>
      <c r="R38" s="121">
        <f t="shared" si="2"/>
        <v>0</v>
      </c>
      <c r="S38" s="121">
        <f t="shared" si="3"/>
        <v>0</v>
      </c>
      <c r="T38" s="121">
        <f t="shared" si="4"/>
        <v>0</v>
      </c>
      <c r="U38" s="97"/>
      <c r="V38" s="97"/>
      <c r="W38" s="97"/>
      <c r="X38" s="97"/>
      <c r="Y38" s="97"/>
      <c r="Z38" s="97"/>
      <c r="AA38" s="97"/>
      <c r="AB38" s="97"/>
      <c r="AC38" s="91"/>
    </row>
    <row r="39">
      <c r="A39" s="102" t="s">
        <v>82</v>
      </c>
      <c r="B39" s="93">
        <v>799.0</v>
      </c>
      <c r="C39" s="94">
        <f>FRANKIE!C39+FRANKIE!O39</f>
        <v>0</v>
      </c>
      <c r="D39" s="94">
        <f>FRANKIE!D39+FRANKIE!P39</f>
        <v>0</v>
      </c>
      <c r="E39" s="94">
        <f>FRANKIE!E39+FRANKIE!Q39</f>
        <v>0</v>
      </c>
      <c r="F39" s="94">
        <f>FRANKIE!F39+FRANKIE!R39</f>
        <v>0</v>
      </c>
      <c r="G39" s="97"/>
      <c r="H39" s="97"/>
      <c r="I39" s="97"/>
      <c r="J39" s="97"/>
      <c r="K39" s="97"/>
      <c r="L39" s="97"/>
      <c r="M39" s="97"/>
      <c r="N39" s="97"/>
      <c r="O39" s="91"/>
      <c r="Q39" s="121">
        <f t="shared" si="1"/>
        <v>0</v>
      </c>
      <c r="R39" s="121">
        <f t="shared" si="2"/>
        <v>0</v>
      </c>
      <c r="S39" s="121">
        <f t="shared" si="3"/>
        <v>0</v>
      </c>
      <c r="T39" s="121">
        <f t="shared" si="4"/>
        <v>0</v>
      </c>
      <c r="U39" s="97"/>
      <c r="V39" s="97"/>
      <c r="W39" s="97"/>
      <c r="X39" s="97"/>
      <c r="Y39" s="97"/>
      <c r="Z39" s="97"/>
      <c r="AA39" s="97"/>
      <c r="AB39" s="97"/>
      <c r="AC39" s="91"/>
    </row>
    <row r="40">
      <c r="A40" s="101" t="s">
        <v>83</v>
      </c>
      <c r="B40" s="442">
        <v>459.0</v>
      </c>
      <c r="C40" s="94">
        <f>FRANKIE!C40+FRANKIE!O40</f>
        <v>1</v>
      </c>
      <c r="D40" s="94">
        <f>FRANKIE!D40+FRANKIE!P40</f>
        <v>1</v>
      </c>
      <c r="E40" s="94">
        <f>FRANKIE!E40+FRANKIE!Q40</f>
        <v>0</v>
      </c>
      <c r="F40" s="94">
        <f>FRANKIE!F40+FRANKIE!R40</f>
        <v>1</v>
      </c>
      <c r="G40" s="97"/>
      <c r="H40" s="97"/>
      <c r="I40" s="97"/>
      <c r="J40" s="97"/>
      <c r="K40" s="97"/>
      <c r="L40" s="97"/>
      <c r="M40" s="97"/>
      <c r="N40" s="97"/>
      <c r="O40" s="91"/>
      <c r="Q40" s="121">
        <f t="shared" si="1"/>
        <v>459</v>
      </c>
      <c r="R40" s="121">
        <f t="shared" si="2"/>
        <v>459</v>
      </c>
      <c r="S40" s="121">
        <f t="shared" si="3"/>
        <v>0</v>
      </c>
      <c r="T40" s="121">
        <f t="shared" si="4"/>
        <v>459</v>
      </c>
      <c r="U40" s="97"/>
      <c r="V40" s="97"/>
      <c r="W40" s="97"/>
      <c r="X40" s="97"/>
      <c r="Y40" s="97"/>
      <c r="Z40" s="97"/>
      <c r="AA40" s="97"/>
      <c r="AB40" s="97"/>
      <c r="AC40" s="91"/>
    </row>
    <row r="41">
      <c r="A41" s="101" t="s">
        <v>84</v>
      </c>
      <c r="B41" s="442">
        <v>459.0</v>
      </c>
      <c r="C41" s="94">
        <f>FRANKIE!C41+FRANKIE!O41</f>
        <v>0</v>
      </c>
      <c r="D41" s="94">
        <f>FRANKIE!D41+FRANKIE!P41</f>
        <v>0</v>
      </c>
      <c r="E41" s="94">
        <f>FRANKIE!E41+FRANKIE!Q41</f>
        <v>0</v>
      </c>
      <c r="F41" s="94">
        <f>FRANKIE!F41+FRANKIE!R41</f>
        <v>4</v>
      </c>
      <c r="G41" s="97"/>
      <c r="H41" s="97"/>
      <c r="I41" s="97"/>
      <c r="J41" s="97"/>
      <c r="K41" s="97"/>
      <c r="L41" s="97"/>
      <c r="M41" s="97"/>
      <c r="N41" s="97"/>
      <c r="O41" s="91"/>
      <c r="Q41" s="121">
        <f t="shared" si="1"/>
        <v>0</v>
      </c>
      <c r="R41" s="121">
        <f t="shared" si="2"/>
        <v>0</v>
      </c>
      <c r="S41" s="121">
        <f t="shared" si="3"/>
        <v>0</v>
      </c>
      <c r="T41" s="121">
        <f t="shared" si="4"/>
        <v>1836</v>
      </c>
      <c r="U41" s="97"/>
      <c r="V41" s="97"/>
      <c r="W41" s="97"/>
      <c r="X41" s="97"/>
      <c r="Y41" s="97"/>
      <c r="Z41" s="97"/>
      <c r="AA41" s="97"/>
      <c r="AB41" s="97"/>
      <c r="AC41" s="91"/>
    </row>
    <row r="42">
      <c r="A42" s="101" t="s">
        <v>85</v>
      </c>
      <c r="B42" s="93">
        <v>60.0</v>
      </c>
      <c r="C42" s="94">
        <f>FRANKIE!C42+FRANKIE!O42</f>
        <v>0</v>
      </c>
      <c r="D42" s="94">
        <f>FRANKIE!D42+FRANKIE!P42</f>
        <v>0</v>
      </c>
      <c r="E42" s="94">
        <f>FRANKIE!E42+FRANKIE!Q42</f>
        <v>0</v>
      </c>
      <c r="F42" s="94">
        <f>FRANKIE!F42+FRANKIE!R42</f>
        <v>0</v>
      </c>
      <c r="G42" s="97"/>
      <c r="H42" s="97"/>
      <c r="I42" s="97"/>
      <c r="J42" s="97"/>
      <c r="K42" s="97"/>
      <c r="L42" s="97"/>
      <c r="M42" s="97"/>
      <c r="N42" s="97"/>
      <c r="O42" s="91"/>
      <c r="Q42" s="121">
        <f t="shared" si="1"/>
        <v>0</v>
      </c>
      <c r="R42" s="121">
        <f t="shared" si="2"/>
        <v>0</v>
      </c>
      <c r="S42" s="121">
        <f t="shared" si="3"/>
        <v>0</v>
      </c>
      <c r="T42" s="121">
        <f t="shared" si="4"/>
        <v>0</v>
      </c>
      <c r="U42" s="97"/>
      <c r="V42" s="97"/>
      <c r="W42" s="97"/>
      <c r="X42" s="97"/>
      <c r="Y42" s="97"/>
      <c r="Z42" s="97"/>
      <c r="AA42" s="97"/>
      <c r="AB42" s="97"/>
      <c r="AC42" s="91"/>
    </row>
    <row r="43">
      <c r="A43" s="101" t="s">
        <v>86</v>
      </c>
      <c r="B43" s="442">
        <v>629.0</v>
      </c>
      <c r="C43" s="94">
        <f>FRANKIE!C43+FRANKIE!O43</f>
        <v>10</v>
      </c>
      <c r="D43" s="94">
        <f>FRANKIE!D43+FRANKIE!P43</f>
        <v>3</v>
      </c>
      <c r="E43" s="94">
        <f>FRANKIE!E43+FRANKIE!Q43</f>
        <v>6</v>
      </c>
      <c r="F43" s="94">
        <f>FRANKIE!F43+FRANKIE!R43</f>
        <v>2</v>
      </c>
      <c r="G43" s="97"/>
      <c r="H43" s="97"/>
      <c r="I43" s="97"/>
      <c r="J43" s="97"/>
      <c r="K43" s="97"/>
      <c r="L43" s="97"/>
      <c r="M43" s="97"/>
      <c r="N43" s="97"/>
      <c r="O43" s="91"/>
      <c r="Q43" s="121">
        <f t="shared" si="1"/>
        <v>6290</v>
      </c>
      <c r="R43" s="121">
        <f t="shared" si="2"/>
        <v>1887</v>
      </c>
      <c r="S43" s="121">
        <f t="shared" si="3"/>
        <v>3774</v>
      </c>
      <c r="T43" s="121">
        <f t="shared" si="4"/>
        <v>1258</v>
      </c>
      <c r="U43" s="97"/>
      <c r="V43" s="97"/>
      <c r="W43" s="97"/>
      <c r="X43" s="97"/>
      <c r="Y43" s="97"/>
      <c r="Z43" s="97"/>
      <c r="AA43" s="97"/>
      <c r="AB43" s="97"/>
      <c r="AC43" s="91"/>
    </row>
    <row r="44">
      <c r="A44" s="101" t="s">
        <v>87</v>
      </c>
      <c r="B44" s="442">
        <v>399.0</v>
      </c>
      <c r="C44" s="94">
        <f>FRANKIE!C44+FRANKIE!O44</f>
        <v>0</v>
      </c>
      <c r="D44" s="94">
        <f>FRANKIE!D44+FRANKIE!P44</f>
        <v>0</v>
      </c>
      <c r="E44" s="94">
        <f>FRANKIE!E44+FRANKIE!Q44</f>
        <v>1</v>
      </c>
      <c r="F44" s="94">
        <f>FRANKIE!F44+FRANKIE!R44</f>
        <v>0</v>
      </c>
      <c r="G44" s="97"/>
      <c r="H44" s="97"/>
      <c r="I44" s="97"/>
      <c r="J44" s="97"/>
      <c r="K44" s="97"/>
      <c r="L44" s="97"/>
      <c r="M44" s="97"/>
      <c r="N44" s="97"/>
      <c r="O44" s="91"/>
      <c r="Q44" s="121">
        <f t="shared" si="1"/>
        <v>0</v>
      </c>
      <c r="R44" s="121">
        <f t="shared" si="2"/>
        <v>0</v>
      </c>
      <c r="S44" s="121">
        <f t="shared" si="3"/>
        <v>399</v>
      </c>
      <c r="T44" s="121">
        <f t="shared" si="4"/>
        <v>0</v>
      </c>
      <c r="U44" s="97"/>
      <c r="V44" s="97"/>
      <c r="W44" s="97"/>
      <c r="X44" s="97"/>
      <c r="Y44" s="97"/>
      <c r="Z44" s="97"/>
      <c r="AA44" s="97"/>
      <c r="AB44" s="97"/>
      <c r="AC44" s="91"/>
    </row>
    <row r="45">
      <c r="A45" s="101" t="s">
        <v>88</v>
      </c>
      <c r="B45" s="442">
        <v>399.0</v>
      </c>
      <c r="C45" s="94">
        <f>FRANKIE!C45+FRANKIE!O45</f>
        <v>5</v>
      </c>
      <c r="D45" s="94">
        <f>FRANKIE!D45+FRANKIE!P45</f>
        <v>2</v>
      </c>
      <c r="E45" s="94">
        <f>FRANKIE!E45+FRANKIE!Q45</f>
        <v>2</v>
      </c>
      <c r="F45" s="94">
        <f>FRANKIE!F45+FRANKIE!R45</f>
        <v>0</v>
      </c>
      <c r="G45" s="97"/>
      <c r="H45" s="97"/>
      <c r="I45" s="97"/>
      <c r="J45" s="97"/>
      <c r="K45" s="97"/>
      <c r="L45" s="97"/>
      <c r="M45" s="97"/>
      <c r="N45" s="97"/>
      <c r="O45" s="91"/>
      <c r="Q45" s="121">
        <f t="shared" si="1"/>
        <v>1995</v>
      </c>
      <c r="R45" s="121">
        <f t="shared" si="2"/>
        <v>798</v>
      </c>
      <c r="S45" s="121">
        <f t="shared" si="3"/>
        <v>798</v>
      </c>
      <c r="T45" s="121">
        <f t="shared" si="4"/>
        <v>0</v>
      </c>
      <c r="U45" s="97"/>
      <c r="V45" s="97"/>
      <c r="W45" s="97"/>
      <c r="X45" s="97"/>
      <c r="Y45" s="97"/>
      <c r="Z45" s="97"/>
      <c r="AA45" s="97"/>
      <c r="AB45" s="97"/>
      <c r="AC45" s="91"/>
    </row>
    <row r="46">
      <c r="A46" s="101" t="s">
        <v>89</v>
      </c>
      <c r="B46" s="93">
        <v>1299.0</v>
      </c>
      <c r="C46" s="94">
        <f>FRANKIE!C46+FRANKIE!O46</f>
        <v>0</v>
      </c>
      <c r="D46" s="94">
        <f>FRANKIE!D46+FRANKIE!P46</f>
        <v>0</v>
      </c>
      <c r="E46" s="94">
        <f>FRANKIE!E46+FRANKIE!Q46</f>
        <v>0</v>
      </c>
      <c r="F46" s="94">
        <f>FRANKIE!F46+FRANKIE!R46</f>
        <v>0</v>
      </c>
      <c r="G46" s="97"/>
      <c r="H46" s="97"/>
      <c r="I46" s="97"/>
      <c r="J46" s="97"/>
      <c r="K46" s="97"/>
      <c r="L46" s="97"/>
      <c r="M46" s="97"/>
      <c r="N46" s="97"/>
      <c r="O46" s="91"/>
      <c r="Q46" s="121">
        <f t="shared" si="1"/>
        <v>0</v>
      </c>
      <c r="R46" s="121">
        <f t="shared" si="2"/>
        <v>0</v>
      </c>
      <c r="S46" s="121">
        <f t="shared" si="3"/>
        <v>0</v>
      </c>
      <c r="T46" s="121">
        <f t="shared" si="4"/>
        <v>0</v>
      </c>
      <c r="U46" s="97"/>
      <c r="V46" s="97"/>
      <c r="W46" s="97"/>
      <c r="X46" s="97"/>
      <c r="Y46" s="97"/>
      <c r="Z46" s="97"/>
      <c r="AA46" s="97"/>
      <c r="AB46" s="97"/>
      <c r="AC46" s="91"/>
    </row>
    <row r="47">
      <c r="A47" s="67" t="s">
        <v>90</v>
      </c>
      <c r="B47" s="93">
        <v>1299.0</v>
      </c>
      <c r="C47" s="94">
        <f>FRANKIE!C47+FRANKIE!O47</f>
        <v>0</v>
      </c>
      <c r="D47" s="94">
        <f>FRANKIE!D47+FRANKIE!P47</f>
        <v>0</v>
      </c>
      <c r="E47" s="94">
        <f>FRANKIE!E47+FRANKIE!Q47</f>
        <v>0</v>
      </c>
      <c r="F47" s="94">
        <f>FRANKIE!F47+FRANKIE!R47</f>
        <v>0</v>
      </c>
      <c r="G47" s="97"/>
      <c r="H47" s="97"/>
      <c r="I47" s="97"/>
      <c r="J47" s="97"/>
      <c r="K47" s="97"/>
      <c r="L47" s="97"/>
      <c r="M47" s="97"/>
      <c r="N47" s="97"/>
      <c r="O47" s="91"/>
      <c r="Q47" s="121">
        <f t="shared" si="1"/>
        <v>0</v>
      </c>
      <c r="R47" s="121">
        <f t="shared" si="2"/>
        <v>0</v>
      </c>
      <c r="S47" s="121">
        <f t="shared" si="3"/>
        <v>0</v>
      </c>
      <c r="T47" s="121">
        <f t="shared" si="4"/>
        <v>0</v>
      </c>
      <c r="U47" s="97"/>
      <c r="V47" s="97"/>
      <c r="W47" s="97"/>
      <c r="X47" s="97"/>
      <c r="Y47" s="97"/>
      <c r="Z47" s="97"/>
      <c r="AA47" s="97"/>
      <c r="AB47" s="97"/>
      <c r="AC47" s="91"/>
    </row>
    <row r="48">
      <c r="A48" s="101" t="s">
        <v>91</v>
      </c>
      <c r="B48" s="103">
        <v>0.0</v>
      </c>
      <c r="C48" s="94">
        <f>FRANKIE!C48+FRANKIE!O48</f>
        <v>0</v>
      </c>
      <c r="D48" s="94">
        <f>FRANKIE!D48+FRANKIE!P48</f>
        <v>0</v>
      </c>
      <c r="E48" s="94">
        <f>FRANKIE!E48+FRANKIE!Q48</f>
        <v>0</v>
      </c>
      <c r="F48" s="94">
        <f>FRANKIE!F48+FRANKIE!R48</f>
        <v>0</v>
      </c>
      <c r="G48" s="97"/>
      <c r="H48" s="97"/>
      <c r="I48" s="97"/>
      <c r="J48" s="97"/>
      <c r="K48" s="97"/>
      <c r="L48" s="97"/>
      <c r="M48" s="97"/>
      <c r="N48" s="97"/>
      <c r="O48" s="91"/>
      <c r="Q48" s="121">
        <f t="shared" si="1"/>
        <v>0</v>
      </c>
      <c r="R48" s="121">
        <f t="shared" si="2"/>
        <v>0</v>
      </c>
      <c r="S48" s="121">
        <f t="shared" si="3"/>
        <v>0</v>
      </c>
      <c r="T48" s="121">
        <f t="shared" si="4"/>
        <v>0</v>
      </c>
      <c r="U48" s="97"/>
      <c r="V48" s="97"/>
      <c r="W48" s="97"/>
      <c r="X48" s="97"/>
      <c r="Y48" s="97"/>
      <c r="Z48" s="97"/>
      <c r="AA48" s="97"/>
      <c r="AB48" s="97"/>
      <c r="AC48" s="91"/>
    </row>
    <row r="49">
      <c r="A49" s="104"/>
      <c r="B49" s="105"/>
      <c r="C49" s="94">
        <f>FRANKIE!C49+FRANKIE!O49</f>
        <v>0</v>
      </c>
      <c r="D49" s="94">
        <f>FRANKIE!D49+FRANKIE!P49</f>
        <v>0</v>
      </c>
      <c r="E49" s="94">
        <f>FRANKIE!E49+FRANKIE!Q49</f>
        <v>0</v>
      </c>
      <c r="F49" s="94">
        <f>FRANKIE!F49+FRANKIE!R49</f>
        <v>0</v>
      </c>
      <c r="G49" s="97"/>
      <c r="H49" s="97"/>
      <c r="I49" s="97"/>
      <c r="J49" s="97"/>
      <c r="K49" s="97"/>
      <c r="L49" s="97"/>
      <c r="M49" s="97"/>
      <c r="N49" s="97"/>
      <c r="O49" s="91"/>
      <c r="Q49" s="121">
        <f t="shared" si="1"/>
        <v>0</v>
      </c>
      <c r="R49" s="121">
        <f t="shared" si="2"/>
        <v>0</v>
      </c>
      <c r="S49" s="121">
        <f t="shared" si="3"/>
        <v>0</v>
      </c>
      <c r="T49" s="121">
        <f t="shared" si="4"/>
        <v>0</v>
      </c>
      <c r="U49" s="97"/>
      <c r="V49" s="97"/>
      <c r="W49" s="97"/>
      <c r="X49" s="97"/>
      <c r="Y49" s="97"/>
      <c r="Z49" s="97"/>
      <c r="AA49" s="97"/>
      <c r="AB49" s="97"/>
      <c r="AC49" s="91"/>
    </row>
    <row r="50">
      <c r="A50" s="102" t="s">
        <v>92</v>
      </c>
      <c r="B50" s="447">
        <v>629.0</v>
      </c>
      <c r="C50" s="94">
        <f>FRANKIE!C50+FRANKIE!O50</f>
        <v>4</v>
      </c>
      <c r="D50" s="94">
        <f>FRANKIE!D50+FRANKIE!P50</f>
        <v>6</v>
      </c>
      <c r="E50" s="94">
        <f>FRANKIE!E50+FRANKIE!Q50</f>
        <v>1</v>
      </c>
      <c r="F50" s="94">
        <f>FRANKIE!F50+FRANKIE!R50</f>
        <v>5</v>
      </c>
      <c r="G50" s="97"/>
      <c r="H50" s="97"/>
      <c r="I50" s="97"/>
      <c r="J50" s="97"/>
      <c r="K50" s="97"/>
      <c r="L50" s="97"/>
      <c r="M50" s="97"/>
      <c r="N50" s="97"/>
      <c r="O50" s="91"/>
      <c r="Q50" s="121">
        <f t="shared" si="1"/>
        <v>2516</v>
      </c>
      <c r="R50" s="121">
        <f t="shared" si="2"/>
        <v>3774</v>
      </c>
      <c r="S50" s="121">
        <f t="shared" si="3"/>
        <v>629</v>
      </c>
      <c r="T50" s="121">
        <f t="shared" si="4"/>
        <v>3145</v>
      </c>
      <c r="U50" s="97"/>
      <c r="V50" s="97"/>
      <c r="W50" s="97"/>
      <c r="X50" s="97"/>
      <c r="Y50" s="97"/>
      <c r="Z50" s="97"/>
      <c r="AA50" s="97"/>
      <c r="AB50" s="97"/>
      <c r="AC50" s="91"/>
    </row>
    <row r="51">
      <c r="A51" s="102" t="s">
        <v>93</v>
      </c>
      <c r="B51" s="447">
        <v>629.0</v>
      </c>
      <c r="C51" s="94">
        <f>FRANKIE!C51+FRANKIE!O51</f>
        <v>0</v>
      </c>
      <c r="D51" s="94">
        <f>FRANKIE!D51+FRANKIE!P51</f>
        <v>4</v>
      </c>
      <c r="E51" s="94">
        <f>FRANKIE!E51+FRANKIE!Q51</f>
        <v>4</v>
      </c>
      <c r="F51" s="94">
        <f>FRANKIE!F51+FRANKIE!R51</f>
        <v>0</v>
      </c>
      <c r="G51" s="97"/>
      <c r="H51" s="97"/>
      <c r="I51" s="97"/>
      <c r="J51" s="97"/>
      <c r="K51" s="97"/>
      <c r="L51" s="97"/>
      <c r="M51" s="97"/>
      <c r="N51" s="97"/>
      <c r="O51" s="91"/>
      <c r="Q51" s="121">
        <f t="shared" si="1"/>
        <v>0</v>
      </c>
      <c r="R51" s="121">
        <f t="shared" si="2"/>
        <v>2516</v>
      </c>
      <c r="S51" s="121">
        <f t="shared" si="3"/>
        <v>2516</v>
      </c>
      <c r="T51" s="121">
        <f t="shared" si="4"/>
        <v>0</v>
      </c>
      <c r="U51" s="97"/>
      <c r="V51" s="97"/>
      <c r="W51" s="97"/>
      <c r="X51" s="97"/>
      <c r="Y51" s="97"/>
      <c r="Z51" s="97"/>
      <c r="AA51" s="97"/>
      <c r="AB51" s="97"/>
      <c r="AC51" s="91"/>
    </row>
    <row r="52">
      <c r="A52" s="102" t="s">
        <v>94</v>
      </c>
      <c r="B52" s="447">
        <v>349.0</v>
      </c>
      <c r="C52" s="94">
        <f>FRANKIE!C52+FRANKIE!O52</f>
        <v>0</v>
      </c>
      <c r="D52" s="94">
        <f>FRANKIE!D52+FRANKIE!P52</f>
        <v>0</v>
      </c>
      <c r="E52" s="94">
        <f>FRANKIE!E52+FRANKIE!Q52</f>
        <v>0</v>
      </c>
      <c r="F52" s="94">
        <f>FRANKIE!F52+FRANKIE!R52</f>
        <v>0</v>
      </c>
      <c r="G52" s="97"/>
      <c r="H52" s="97"/>
      <c r="I52" s="97"/>
      <c r="J52" s="97"/>
      <c r="K52" s="97"/>
      <c r="L52" s="97"/>
      <c r="M52" s="97"/>
      <c r="N52" s="97"/>
      <c r="O52" s="91"/>
      <c r="Q52" s="121">
        <f t="shared" si="1"/>
        <v>0</v>
      </c>
      <c r="R52" s="121">
        <f t="shared" si="2"/>
        <v>0</v>
      </c>
      <c r="S52" s="121">
        <f t="shared" si="3"/>
        <v>0</v>
      </c>
      <c r="T52" s="121">
        <f t="shared" si="4"/>
        <v>0</v>
      </c>
      <c r="U52" s="97"/>
      <c r="V52" s="97"/>
      <c r="W52" s="97"/>
      <c r="X52" s="97"/>
      <c r="Y52" s="97"/>
      <c r="Z52" s="97"/>
      <c r="AA52" s="97"/>
      <c r="AB52" s="97"/>
      <c r="AC52" s="91"/>
    </row>
    <row r="53">
      <c r="A53" s="102" t="s">
        <v>95</v>
      </c>
      <c r="B53" s="93">
        <v>199.0</v>
      </c>
      <c r="C53" s="94">
        <f>FRANKIE!C53+FRANKIE!O53</f>
        <v>0</v>
      </c>
      <c r="D53" s="94">
        <f>FRANKIE!D53+FRANKIE!P53</f>
        <v>0</v>
      </c>
      <c r="E53" s="94">
        <f>FRANKIE!E53+FRANKIE!Q53</f>
        <v>0</v>
      </c>
      <c r="F53" s="94">
        <f>FRANKIE!F53+FRANKIE!R53</f>
        <v>0</v>
      </c>
      <c r="G53" s="97"/>
      <c r="H53" s="97"/>
      <c r="I53" s="97"/>
      <c r="J53" s="97"/>
      <c r="K53" s="97"/>
      <c r="L53" s="97"/>
      <c r="M53" s="97"/>
      <c r="N53" s="97"/>
      <c r="O53" s="91"/>
      <c r="Q53" s="121">
        <f t="shared" si="1"/>
        <v>0</v>
      </c>
      <c r="R53" s="121">
        <f t="shared" si="2"/>
        <v>0</v>
      </c>
      <c r="S53" s="121">
        <f t="shared" si="3"/>
        <v>0</v>
      </c>
      <c r="T53" s="121">
        <f t="shared" si="4"/>
        <v>0</v>
      </c>
      <c r="U53" s="97"/>
      <c r="V53" s="97"/>
      <c r="W53" s="97"/>
      <c r="X53" s="97"/>
      <c r="Y53" s="97"/>
      <c r="Z53" s="97"/>
      <c r="AA53" s="97"/>
      <c r="AB53" s="97"/>
      <c r="AC53" s="91"/>
    </row>
    <row r="54">
      <c r="A54" s="102" t="s">
        <v>96</v>
      </c>
      <c r="B54" s="93">
        <v>199.0</v>
      </c>
      <c r="C54" s="94">
        <f>FRANKIE!C54+FRANKIE!O54</f>
        <v>0</v>
      </c>
      <c r="D54" s="94">
        <f>FRANKIE!D54+FRANKIE!P54</f>
        <v>0</v>
      </c>
      <c r="E54" s="94">
        <f>FRANKIE!E54+FRANKIE!Q54</f>
        <v>0</v>
      </c>
      <c r="F54" s="94">
        <f>FRANKIE!F54+FRANKIE!R54</f>
        <v>0</v>
      </c>
      <c r="G54" s="97"/>
      <c r="H54" s="97"/>
      <c r="I54" s="97"/>
      <c r="J54" s="97"/>
      <c r="K54" s="97"/>
      <c r="L54" s="97"/>
      <c r="M54" s="97"/>
      <c r="N54" s="97"/>
      <c r="O54" s="91"/>
      <c r="Q54" s="121">
        <f t="shared" si="1"/>
        <v>0</v>
      </c>
      <c r="R54" s="121">
        <f t="shared" si="2"/>
        <v>0</v>
      </c>
      <c r="S54" s="121">
        <f t="shared" si="3"/>
        <v>0</v>
      </c>
      <c r="T54" s="121">
        <f t="shared" si="4"/>
        <v>0</v>
      </c>
      <c r="U54" s="97"/>
      <c r="V54" s="97"/>
      <c r="W54" s="97"/>
      <c r="X54" s="97"/>
      <c r="Y54" s="97"/>
      <c r="Z54" s="97"/>
      <c r="AA54" s="97"/>
      <c r="AB54" s="97"/>
      <c r="AC54" s="91"/>
    </row>
    <row r="55">
      <c r="A55" s="67" t="s">
        <v>97</v>
      </c>
      <c r="B55" s="93">
        <v>599.0</v>
      </c>
      <c r="C55" s="94">
        <f>FRANKIE!C55+FRANKIE!O55</f>
        <v>0</v>
      </c>
      <c r="D55" s="94">
        <f>FRANKIE!D55+FRANKIE!P55</f>
        <v>0</v>
      </c>
      <c r="E55" s="94">
        <f>FRANKIE!E55+FRANKIE!Q55</f>
        <v>0</v>
      </c>
      <c r="F55" s="94">
        <f>FRANKIE!F55+FRANKIE!R55</f>
        <v>0</v>
      </c>
      <c r="G55" s="97"/>
      <c r="H55" s="97"/>
      <c r="I55" s="97"/>
      <c r="J55" s="97"/>
      <c r="K55" s="97"/>
      <c r="L55" s="97"/>
      <c r="M55" s="97"/>
      <c r="N55" s="97"/>
      <c r="O55" s="91"/>
      <c r="Q55" s="121">
        <f t="shared" si="1"/>
        <v>0</v>
      </c>
      <c r="R55" s="121">
        <f t="shared" si="2"/>
        <v>0</v>
      </c>
      <c r="S55" s="121">
        <f t="shared" si="3"/>
        <v>0</v>
      </c>
      <c r="T55" s="121">
        <f t="shared" si="4"/>
        <v>0</v>
      </c>
      <c r="U55" s="97"/>
      <c r="V55" s="97"/>
      <c r="W55" s="97"/>
      <c r="X55" s="97"/>
      <c r="Y55" s="97"/>
      <c r="Z55" s="97"/>
      <c r="AA55" s="97"/>
      <c r="AB55" s="97"/>
      <c r="AC55" s="91"/>
    </row>
    <row r="56">
      <c r="A56" s="102" t="s">
        <v>98</v>
      </c>
      <c r="B56" s="93">
        <v>1499.0</v>
      </c>
      <c r="C56" s="94">
        <f>FRANKIE!C56+FRANKIE!O56</f>
        <v>0</v>
      </c>
      <c r="D56" s="94">
        <f>FRANKIE!D56+FRANKIE!P56</f>
        <v>0</v>
      </c>
      <c r="E56" s="94">
        <f>FRANKIE!E56+FRANKIE!Q56</f>
        <v>0</v>
      </c>
      <c r="F56" s="94">
        <f>FRANKIE!F56+FRANKIE!R56</f>
        <v>0</v>
      </c>
      <c r="G56" s="97"/>
      <c r="H56" s="97"/>
      <c r="I56" s="97"/>
      <c r="J56" s="97"/>
      <c r="K56" s="97"/>
      <c r="L56" s="97"/>
      <c r="M56" s="97"/>
      <c r="N56" s="97"/>
      <c r="O56" s="91"/>
      <c r="Q56" s="121">
        <f t="shared" si="1"/>
        <v>0</v>
      </c>
      <c r="R56" s="121">
        <f t="shared" si="2"/>
        <v>0</v>
      </c>
      <c r="S56" s="121">
        <f t="shared" si="3"/>
        <v>0</v>
      </c>
      <c r="T56" s="121">
        <f t="shared" si="4"/>
        <v>0</v>
      </c>
      <c r="U56" s="97"/>
      <c r="V56" s="97"/>
      <c r="W56" s="97"/>
      <c r="X56" s="97"/>
      <c r="Y56" s="97"/>
      <c r="Z56" s="97"/>
      <c r="AA56" s="97"/>
      <c r="AB56" s="97"/>
      <c r="AC56" s="91"/>
    </row>
    <row r="57">
      <c r="A57" s="104"/>
      <c r="B57" s="99"/>
      <c r="C57" s="94">
        <f>FRANKIE!C57+FRANKIE!O57</f>
        <v>0</v>
      </c>
      <c r="D57" s="94">
        <f>FRANKIE!D57+FRANKIE!P57</f>
        <v>0</v>
      </c>
      <c r="E57" s="94">
        <f>FRANKIE!E57+FRANKIE!Q57</f>
        <v>0</v>
      </c>
      <c r="F57" s="94">
        <f>FRANKIE!F57+FRANKIE!R57</f>
        <v>0</v>
      </c>
      <c r="G57" s="97"/>
      <c r="H57" s="97"/>
      <c r="I57" s="97"/>
      <c r="J57" s="97"/>
      <c r="K57" s="97"/>
      <c r="L57" s="97"/>
      <c r="M57" s="97"/>
      <c r="N57" s="97"/>
      <c r="O57" s="91"/>
      <c r="Q57" s="121">
        <f t="shared" si="1"/>
        <v>0</v>
      </c>
      <c r="R57" s="121">
        <f t="shared" si="2"/>
        <v>0</v>
      </c>
      <c r="S57" s="121">
        <f t="shared" si="3"/>
        <v>0</v>
      </c>
      <c r="T57" s="121">
        <f t="shared" si="4"/>
        <v>0</v>
      </c>
      <c r="U57" s="97"/>
      <c r="V57" s="97"/>
      <c r="W57" s="97"/>
      <c r="X57" s="97"/>
      <c r="Y57" s="97"/>
      <c r="Z57" s="97"/>
      <c r="AA57" s="97"/>
      <c r="AB57" s="97"/>
      <c r="AC57" s="91"/>
    </row>
    <row r="58">
      <c r="A58" s="102" t="s">
        <v>99</v>
      </c>
      <c r="B58" s="93">
        <v>329.0</v>
      </c>
      <c r="C58" s="94">
        <f>FRANKIE!C58+FRANKIE!O58</f>
        <v>1</v>
      </c>
      <c r="D58" s="94">
        <f>FRANKIE!D58+FRANKIE!P58</f>
        <v>0</v>
      </c>
      <c r="E58" s="94">
        <f>FRANKIE!E58+FRANKIE!Q58</f>
        <v>0</v>
      </c>
      <c r="F58" s="94">
        <f>FRANKIE!F58+FRANKIE!R58</f>
        <v>0</v>
      </c>
      <c r="G58" s="97"/>
      <c r="H58" s="97"/>
      <c r="I58" s="97"/>
      <c r="J58" s="97"/>
      <c r="K58" s="97"/>
      <c r="L58" s="97"/>
      <c r="M58" s="97"/>
      <c r="N58" s="97"/>
      <c r="O58" s="91"/>
      <c r="Q58" s="121">
        <f t="shared" si="1"/>
        <v>329</v>
      </c>
      <c r="R58" s="121">
        <f t="shared" si="2"/>
        <v>0</v>
      </c>
      <c r="S58" s="121">
        <f t="shared" si="3"/>
        <v>0</v>
      </c>
      <c r="T58" s="121">
        <f t="shared" si="4"/>
        <v>0</v>
      </c>
      <c r="U58" s="97"/>
      <c r="V58" s="97"/>
      <c r="W58" s="97"/>
      <c r="X58" s="97"/>
      <c r="Y58" s="97"/>
      <c r="Z58" s="97"/>
      <c r="AA58" s="97"/>
      <c r="AB58" s="97"/>
      <c r="AC58" s="91"/>
    </row>
    <row r="59">
      <c r="A59" s="102" t="s">
        <v>100</v>
      </c>
      <c r="B59" s="93">
        <v>329.0</v>
      </c>
      <c r="C59" s="94">
        <f>FRANKIE!C59+FRANKIE!O59</f>
        <v>2</v>
      </c>
      <c r="D59" s="94">
        <f>FRANKIE!D59+FRANKIE!P59</f>
        <v>0</v>
      </c>
      <c r="E59" s="94">
        <f>FRANKIE!E59+FRANKIE!Q59</f>
        <v>0</v>
      </c>
      <c r="F59" s="94">
        <f>FRANKIE!F59+FRANKIE!R59</f>
        <v>0</v>
      </c>
      <c r="G59" s="97"/>
      <c r="H59" s="97"/>
      <c r="I59" s="97"/>
      <c r="J59" s="97"/>
      <c r="K59" s="97"/>
      <c r="L59" s="97"/>
      <c r="M59" s="97"/>
      <c r="N59" s="97"/>
      <c r="O59" s="91"/>
      <c r="Q59" s="121">
        <f t="shared" si="1"/>
        <v>658</v>
      </c>
      <c r="R59" s="121">
        <f t="shared" si="2"/>
        <v>0</v>
      </c>
      <c r="S59" s="121">
        <f t="shared" si="3"/>
        <v>0</v>
      </c>
      <c r="T59" s="121">
        <f t="shared" si="4"/>
        <v>0</v>
      </c>
      <c r="U59" s="97"/>
      <c r="V59" s="97"/>
      <c r="W59" s="97"/>
      <c r="X59" s="97"/>
      <c r="Y59" s="97"/>
      <c r="Z59" s="97"/>
      <c r="AA59" s="97"/>
      <c r="AB59" s="97"/>
      <c r="AC59" s="91"/>
    </row>
    <row r="60">
      <c r="A60" s="102" t="s">
        <v>101</v>
      </c>
      <c r="B60" s="93">
        <v>329.0</v>
      </c>
      <c r="C60" s="94">
        <f>FRANKIE!C60+FRANKIE!O60</f>
        <v>7</v>
      </c>
      <c r="D60" s="94">
        <f>FRANKIE!D60+FRANKIE!P60</f>
        <v>2</v>
      </c>
      <c r="E60" s="94">
        <f>FRANKIE!E60+FRANKIE!Q60</f>
        <v>0</v>
      </c>
      <c r="F60" s="94">
        <f>FRANKIE!F60+FRANKIE!R60</f>
        <v>0</v>
      </c>
      <c r="G60" s="97"/>
      <c r="H60" s="97"/>
      <c r="I60" s="97"/>
      <c r="J60" s="97"/>
      <c r="K60" s="97"/>
      <c r="L60" s="97"/>
      <c r="M60" s="97"/>
      <c r="N60" s="97"/>
      <c r="O60" s="91"/>
      <c r="Q60" s="121">
        <f t="shared" si="1"/>
        <v>2303</v>
      </c>
      <c r="R60" s="121">
        <f t="shared" si="2"/>
        <v>658</v>
      </c>
      <c r="S60" s="121">
        <f t="shared" si="3"/>
        <v>0</v>
      </c>
      <c r="T60" s="121">
        <f t="shared" si="4"/>
        <v>0</v>
      </c>
      <c r="U60" s="97"/>
      <c r="V60" s="97"/>
      <c r="W60" s="97"/>
      <c r="X60" s="97"/>
      <c r="Y60" s="97"/>
      <c r="Z60" s="97"/>
      <c r="AA60" s="97"/>
      <c r="AB60" s="97"/>
      <c r="AC60" s="91"/>
    </row>
    <row r="61">
      <c r="A61" s="102" t="s">
        <v>102</v>
      </c>
      <c r="B61" s="93">
        <v>249.0</v>
      </c>
      <c r="C61" s="94">
        <f>FRANKIE!C61+FRANKIE!O61</f>
        <v>0</v>
      </c>
      <c r="D61" s="94">
        <f>FRANKIE!D61+FRANKIE!P61</f>
        <v>1</v>
      </c>
      <c r="E61" s="94">
        <f>FRANKIE!E61+FRANKIE!Q61</f>
        <v>1</v>
      </c>
      <c r="F61" s="94">
        <f>FRANKIE!F61+FRANKIE!R61</f>
        <v>0</v>
      </c>
      <c r="G61" s="97"/>
      <c r="H61" s="97"/>
      <c r="I61" s="97"/>
      <c r="J61" s="97"/>
      <c r="K61" s="97"/>
      <c r="L61" s="97"/>
      <c r="M61" s="97"/>
      <c r="N61" s="97"/>
      <c r="O61" s="91"/>
      <c r="Q61" s="121">
        <f t="shared" si="1"/>
        <v>0</v>
      </c>
      <c r="R61" s="121">
        <f t="shared" si="2"/>
        <v>249</v>
      </c>
      <c r="S61" s="121">
        <f t="shared" si="3"/>
        <v>249</v>
      </c>
      <c r="T61" s="121">
        <f t="shared" si="4"/>
        <v>0</v>
      </c>
      <c r="U61" s="97"/>
      <c r="V61" s="97"/>
      <c r="W61" s="97"/>
      <c r="X61" s="97"/>
      <c r="Y61" s="97"/>
      <c r="Z61" s="97"/>
      <c r="AA61" s="97"/>
      <c r="AB61" s="97"/>
      <c r="AC61" s="91"/>
    </row>
    <row r="62">
      <c r="A62" s="102" t="s">
        <v>103</v>
      </c>
      <c r="B62" s="93">
        <v>439.0</v>
      </c>
      <c r="C62" s="94">
        <f>FRANKIE!C62+FRANKIE!O62</f>
        <v>0</v>
      </c>
      <c r="D62" s="94">
        <f>FRANKIE!D62+FRANKIE!P62</f>
        <v>0</v>
      </c>
      <c r="E62" s="94">
        <f>FRANKIE!E62+FRANKIE!Q62</f>
        <v>0</v>
      </c>
      <c r="F62" s="94">
        <f>FRANKIE!F62+FRANKIE!R62</f>
        <v>2</v>
      </c>
      <c r="G62" s="97"/>
      <c r="H62" s="97"/>
      <c r="I62" s="97"/>
      <c r="J62" s="97"/>
      <c r="K62" s="97"/>
      <c r="L62" s="97"/>
      <c r="M62" s="97"/>
      <c r="N62" s="97"/>
      <c r="O62" s="91"/>
      <c r="Q62" s="121">
        <f t="shared" si="1"/>
        <v>0</v>
      </c>
      <c r="R62" s="121">
        <f t="shared" si="2"/>
        <v>0</v>
      </c>
      <c r="S62" s="121">
        <f t="shared" si="3"/>
        <v>0</v>
      </c>
      <c r="T62" s="121">
        <f t="shared" si="4"/>
        <v>878</v>
      </c>
      <c r="U62" s="97"/>
      <c r="V62" s="97"/>
      <c r="W62" s="97"/>
      <c r="X62" s="97"/>
      <c r="Y62" s="97"/>
      <c r="Z62" s="97"/>
      <c r="AA62" s="97"/>
      <c r="AB62" s="97"/>
      <c r="AC62" s="91"/>
    </row>
    <row r="63">
      <c r="A63" s="102" t="s">
        <v>104</v>
      </c>
      <c r="B63" s="93">
        <v>439.0</v>
      </c>
      <c r="C63" s="94">
        <f>FRANKIE!C63+FRANKIE!O63</f>
        <v>0</v>
      </c>
      <c r="D63" s="94">
        <f>FRANKIE!D63+FRANKIE!P63</f>
        <v>0</v>
      </c>
      <c r="E63" s="94">
        <f>FRANKIE!E63+FRANKIE!Q63</f>
        <v>0</v>
      </c>
      <c r="F63" s="94">
        <f>FRANKIE!F63+FRANKIE!R63</f>
        <v>1</v>
      </c>
      <c r="G63" s="97"/>
      <c r="H63" s="97"/>
      <c r="I63" s="97"/>
      <c r="J63" s="97"/>
      <c r="K63" s="97"/>
      <c r="L63" s="97"/>
      <c r="M63" s="97"/>
      <c r="N63" s="97"/>
      <c r="O63" s="91"/>
      <c r="Q63" s="121">
        <f t="shared" si="1"/>
        <v>0</v>
      </c>
      <c r="R63" s="121">
        <f t="shared" si="2"/>
        <v>0</v>
      </c>
      <c r="S63" s="121">
        <f t="shared" si="3"/>
        <v>0</v>
      </c>
      <c r="T63" s="121">
        <f t="shared" si="4"/>
        <v>439</v>
      </c>
      <c r="U63" s="97"/>
      <c r="V63" s="97"/>
      <c r="W63" s="97"/>
      <c r="X63" s="97"/>
      <c r="Y63" s="97"/>
      <c r="Z63" s="97"/>
      <c r="AA63" s="97"/>
      <c r="AB63" s="97"/>
      <c r="AC63" s="91"/>
    </row>
    <row r="64">
      <c r="A64" s="102" t="s">
        <v>105</v>
      </c>
      <c r="B64" s="93">
        <v>439.0</v>
      </c>
      <c r="C64" s="94">
        <f>FRANKIE!C64+FRANKIE!O64</f>
        <v>1</v>
      </c>
      <c r="D64" s="94">
        <f>FRANKIE!D64+FRANKIE!P64</f>
        <v>1</v>
      </c>
      <c r="E64" s="94">
        <f>FRANKIE!E64+FRANKIE!Q64</f>
        <v>0</v>
      </c>
      <c r="F64" s="94">
        <f>FRANKIE!F64+FRANKIE!R64</f>
        <v>2</v>
      </c>
      <c r="G64" s="97"/>
      <c r="H64" s="97"/>
      <c r="I64" s="97"/>
      <c r="J64" s="97"/>
      <c r="K64" s="97"/>
      <c r="L64" s="97"/>
      <c r="M64" s="97"/>
      <c r="N64" s="97"/>
      <c r="O64" s="91"/>
      <c r="Q64" s="121">
        <f t="shared" si="1"/>
        <v>439</v>
      </c>
      <c r="R64" s="121">
        <f t="shared" si="2"/>
        <v>439</v>
      </c>
      <c r="S64" s="121">
        <f t="shared" si="3"/>
        <v>0</v>
      </c>
      <c r="T64" s="121">
        <f t="shared" si="4"/>
        <v>878</v>
      </c>
      <c r="U64" s="97"/>
      <c r="V64" s="97"/>
      <c r="W64" s="97"/>
      <c r="X64" s="97"/>
      <c r="Y64" s="97"/>
      <c r="Z64" s="97"/>
      <c r="AA64" s="97"/>
      <c r="AB64" s="97"/>
      <c r="AC64" s="91"/>
    </row>
    <row r="65">
      <c r="A65" s="102" t="s">
        <v>106</v>
      </c>
      <c r="B65" s="93">
        <v>799.0</v>
      </c>
      <c r="C65" s="94">
        <f>FRANKIE!C65+FRANKIE!O65</f>
        <v>0</v>
      </c>
      <c r="D65" s="94">
        <f>FRANKIE!D65+FRANKIE!P65</f>
        <v>0</v>
      </c>
      <c r="E65" s="94">
        <f>FRANKIE!E65+FRANKIE!Q65</f>
        <v>0</v>
      </c>
      <c r="F65" s="94">
        <f>FRANKIE!F65+FRANKIE!R65</f>
        <v>0</v>
      </c>
      <c r="G65" s="97"/>
      <c r="H65" s="97"/>
      <c r="I65" s="97"/>
      <c r="J65" s="97"/>
      <c r="K65" s="97"/>
      <c r="L65" s="97"/>
      <c r="M65" s="97"/>
      <c r="N65" s="97"/>
      <c r="O65" s="91"/>
      <c r="Q65" s="121">
        <f t="shared" si="1"/>
        <v>0</v>
      </c>
      <c r="R65" s="121">
        <f t="shared" si="2"/>
        <v>0</v>
      </c>
      <c r="S65" s="121">
        <f t="shared" si="3"/>
        <v>0</v>
      </c>
      <c r="T65" s="121">
        <f t="shared" si="4"/>
        <v>0</v>
      </c>
      <c r="U65" s="97"/>
      <c r="V65" s="97"/>
      <c r="W65" s="97"/>
      <c r="X65" s="97"/>
      <c r="Y65" s="97"/>
      <c r="Z65" s="97"/>
      <c r="AA65" s="97"/>
      <c r="AB65" s="97"/>
      <c r="AC65" s="91"/>
    </row>
    <row r="66">
      <c r="A66" s="102" t="s">
        <v>107</v>
      </c>
      <c r="B66" s="93">
        <v>799.0</v>
      </c>
      <c r="C66" s="94">
        <f>FRANKIE!C66+FRANKIE!O66</f>
        <v>0</v>
      </c>
      <c r="D66" s="94">
        <f>FRANKIE!D66+FRANKIE!P66</f>
        <v>0</v>
      </c>
      <c r="E66" s="94">
        <f>FRANKIE!E66+FRANKIE!Q66</f>
        <v>0</v>
      </c>
      <c r="F66" s="94">
        <f>FRANKIE!F66+FRANKIE!R66</f>
        <v>0</v>
      </c>
      <c r="G66" s="97"/>
      <c r="H66" s="97"/>
      <c r="I66" s="97"/>
      <c r="J66" s="97"/>
      <c r="K66" s="97"/>
      <c r="L66" s="97"/>
      <c r="M66" s="97"/>
      <c r="N66" s="97"/>
      <c r="O66" s="91"/>
      <c r="Q66" s="121">
        <f t="shared" si="1"/>
        <v>0</v>
      </c>
      <c r="R66" s="121">
        <f t="shared" si="2"/>
        <v>0</v>
      </c>
      <c r="S66" s="121">
        <f t="shared" si="3"/>
        <v>0</v>
      </c>
      <c r="T66" s="121">
        <f t="shared" si="4"/>
        <v>0</v>
      </c>
      <c r="U66" s="97"/>
      <c r="V66" s="97"/>
      <c r="W66" s="97"/>
      <c r="X66" s="97"/>
      <c r="Y66" s="97"/>
      <c r="Z66" s="97"/>
      <c r="AA66" s="97"/>
      <c r="AB66" s="97"/>
      <c r="AC66" s="91"/>
    </row>
    <row r="67">
      <c r="A67" s="102" t="s">
        <v>108</v>
      </c>
      <c r="B67" s="93">
        <v>799.0</v>
      </c>
      <c r="C67" s="94">
        <f>FRANKIE!C67+FRANKIE!O67</f>
        <v>0</v>
      </c>
      <c r="D67" s="94">
        <f>FRANKIE!D67+FRANKIE!P67</f>
        <v>0</v>
      </c>
      <c r="E67" s="94">
        <f>FRANKIE!E67+FRANKIE!Q67</f>
        <v>0</v>
      </c>
      <c r="F67" s="94">
        <f>FRANKIE!F67+FRANKIE!R67</f>
        <v>0</v>
      </c>
      <c r="G67" s="97"/>
      <c r="H67" s="97"/>
      <c r="I67" s="97"/>
      <c r="J67" s="97"/>
      <c r="K67" s="97"/>
      <c r="L67" s="97"/>
      <c r="M67" s="97"/>
      <c r="N67" s="97"/>
      <c r="O67" s="91"/>
      <c r="Q67" s="121">
        <f t="shared" si="1"/>
        <v>0</v>
      </c>
      <c r="R67" s="121">
        <f t="shared" si="2"/>
        <v>0</v>
      </c>
      <c r="S67" s="121">
        <f t="shared" si="3"/>
        <v>0</v>
      </c>
      <c r="T67" s="121">
        <f t="shared" si="4"/>
        <v>0</v>
      </c>
      <c r="U67" s="97"/>
      <c r="V67" s="97"/>
      <c r="W67" s="97"/>
      <c r="X67" s="97"/>
      <c r="Y67" s="97"/>
      <c r="Z67" s="97"/>
      <c r="AA67" s="97"/>
      <c r="AB67" s="97"/>
      <c r="AC67" s="91"/>
    </row>
    <row r="68">
      <c r="A68" s="102" t="s">
        <v>109</v>
      </c>
      <c r="B68" s="96">
        <v>1299.0</v>
      </c>
      <c r="C68" s="94">
        <f>FRANKIE!C68+FRANKIE!O68</f>
        <v>0</v>
      </c>
      <c r="D68" s="94">
        <f>FRANKIE!D68+FRANKIE!P68</f>
        <v>0</v>
      </c>
      <c r="E68" s="94">
        <f>FRANKIE!E68+FRANKIE!Q68</f>
        <v>0</v>
      </c>
      <c r="F68" s="94">
        <f>FRANKIE!F68+FRANKIE!R68</f>
        <v>0</v>
      </c>
      <c r="G68" s="97"/>
      <c r="H68" s="97"/>
      <c r="I68" s="97"/>
      <c r="J68" s="97"/>
      <c r="K68" s="97"/>
      <c r="L68" s="97"/>
      <c r="M68" s="97"/>
      <c r="N68" s="97"/>
      <c r="O68" s="91"/>
      <c r="Q68" s="121">
        <f t="shared" si="1"/>
        <v>0</v>
      </c>
      <c r="R68" s="121">
        <f t="shared" si="2"/>
        <v>0</v>
      </c>
      <c r="S68" s="121">
        <f t="shared" si="3"/>
        <v>0</v>
      </c>
      <c r="T68" s="121">
        <f t="shared" si="4"/>
        <v>0</v>
      </c>
      <c r="U68" s="97"/>
      <c r="V68" s="97"/>
      <c r="W68" s="97"/>
      <c r="X68" s="97"/>
      <c r="Y68" s="97"/>
      <c r="Z68" s="97"/>
      <c r="AA68" s="97"/>
      <c r="AB68" s="97"/>
      <c r="AC68" s="91"/>
    </row>
    <row r="69">
      <c r="A69" s="102" t="s">
        <v>110</v>
      </c>
      <c r="B69" s="96">
        <v>1299.0</v>
      </c>
      <c r="C69" s="94">
        <f>FRANKIE!C69+FRANKIE!O69</f>
        <v>0</v>
      </c>
      <c r="D69" s="94">
        <f>FRANKIE!D69+FRANKIE!P69</f>
        <v>0</v>
      </c>
      <c r="E69" s="94">
        <f>FRANKIE!E69+FRANKIE!Q69</f>
        <v>0</v>
      </c>
      <c r="F69" s="94">
        <f>FRANKIE!F69+FRANKIE!R69</f>
        <v>0</v>
      </c>
      <c r="G69" s="97"/>
      <c r="H69" s="97"/>
      <c r="I69" s="97"/>
      <c r="J69" s="97"/>
      <c r="K69" s="97"/>
      <c r="L69" s="97"/>
      <c r="M69" s="97"/>
      <c r="N69" s="97"/>
      <c r="O69" s="91"/>
      <c r="Q69" s="121">
        <f t="shared" si="1"/>
        <v>0</v>
      </c>
      <c r="R69" s="121">
        <f t="shared" si="2"/>
        <v>0</v>
      </c>
      <c r="S69" s="121">
        <f t="shared" si="3"/>
        <v>0</v>
      </c>
      <c r="T69" s="121">
        <f t="shared" si="4"/>
        <v>0</v>
      </c>
      <c r="U69" s="97"/>
      <c r="V69" s="97"/>
      <c r="W69" s="97"/>
      <c r="X69" s="97"/>
      <c r="Y69" s="97"/>
      <c r="Z69" s="97"/>
      <c r="AA69" s="97"/>
      <c r="AB69" s="97"/>
      <c r="AC69" s="91"/>
    </row>
    <row r="70">
      <c r="A70" s="101" t="s">
        <v>111</v>
      </c>
      <c r="B70" s="96">
        <v>1299.0</v>
      </c>
      <c r="C70" s="94">
        <f>FRANKIE!C70+FRANKIE!O70</f>
        <v>0</v>
      </c>
      <c r="D70" s="94">
        <f>FRANKIE!D70+FRANKIE!P70</f>
        <v>0</v>
      </c>
      <c r="E70" s="94">
        <f>FRANKIE!E70+FRANKIE!Q70</f>
        <v>0</v>
      </c>
      <c r="F70" s="94">
        <f>FRANKIE!F70+FRANKIE!R70</f>
        <v>0</v>
      </c>
      <c r="G70" s="97"/>
      <c r="H70" s="97"/>
      <c r="I70" s="97"/>
      <c r="J70" s="97"/>
      <c r="K70" s="97"/>
      <c r="L70" s="97"/>
      <c r="M70" s="97"/>
      <c r="N70" s="97"/>
      <c r="O70" s="91"/>
      <c r="Q70" s="121">
        <f t="shared" si="1"/>
        <v>0</v>
      </c>
      <c r="R70" s="121">
        <f t="shared" si="2"/>
        <v>0</v>
      </c>
      <c r="S70" s="121">
        <f t="shared" si="3"/>
        <v>0</v>
      </c>
      <c r="T70" s="121">
        <f t="shared" si="4"/>
        <v>0</v>
      </c>
      <c r="U70" s="97"/>
      <c r="V70" s="97"/>
      <c r="W70" s="97"/>
      <c r="X70" s="97"/>
      <c r="Y70" s="97"/>
      <c r="Z70" s="97"/>
      <c r="AA70" s="97"/>
      <c r="AB70" s="97"/>
      <c r="AC70" s="91"/>
    </row>
    <row r="71">
      <c r="A71" s="101" t="s">
        <v>112</v>
      </c>
      <c r="B71" s="93">
        <v>609.0</v>
      </c>
      <c r="C71" s="94">
        <f>FRANKIE!C71+FRANKIE!O71</f>
        <v>3</v>
      </c>
      <c r="D71" s="94">
        <f>FRANKIE!D71+FRANKIE!P71</f>
        <v>0</v>
      </c>
      <c r="E71" s="94">
        <f>FRANKIE!E71+FRANKIE!Q71</f>
        <v>1</v>
      </c>
      <c r="F71" s="94">
        <f>FRANKIE!F71+FRANKIE!R71</f>
        <v>0</v>
      </c>
      <c r="G71" s="97"/>
      <c r="H71" s="97"/>
      <c r="I71" s="97"/>
      <c r="J71" s="97"/>
      <c r="K71" s="97"/>
      <c r="L71" s="97"/>
      <c r="M71" s="97"/>
      <c r="N71" s="97"/>
      <c r="O71" s="91"/>
      <c r="Q71" s="121">
        <f t="shared" si="1"/>
        <v>1827</v>
      </c>
      <c r="R71" s="121">
        <f t="shared" si="2"/>
        <v>0</v>
      </c>
      <c r="S71" s="121">
        <f t="shared" si="3"/>
        <v>609</v>
      </c>
      <c r="T71" s="121">
        <f t="shared" si="4"/>
        <v>0</v>
      </c>
      <c r="U71" s="97"/>
      <c r="V71" s="97"/>
      <c r="W71" s="97"/>
      <c r="X71" s="97"/>
      <c r="Y71" s="97"/>
      <c r="Z71" s="97"/>
      <c r="AA71" s="97"/>
      <c r="AB71" s="97"/>
      <c r="AC71" s="91"/>
    </row>
    <row r="72">
      <c r="A72" s="101" t="s">
        <v>113</v>
      </c>
      <c r="B72" s="107">
        <v>999.0</v>
      </c>
      <c r="C72" s="94">
        <f>FRANKIE!C72+FRANKIE!O72</f>
        <v>1</v>
      </c>
      <c r="D72" s="94">
        <f>FRANKIE!D72+FRANKIE!P72</f>
        <v>0</v>
      </c>
      <c r="E72" s="94">
        <f>FRANKIE!E72+FRANKIE!Q72</f>
        <v>0</v>
      </c>
      <c r="F72" s="94">
        <f>FRANKIE!F72+FRANKIE!R72</f>
        <v>0</v>
      </c>
      <c r="G72" s="97"/>
      <c r="H72" s="97"/>
      <c r="I72" s="97"/>
      <c r="J72" s="97"/>
      <c r="K72" s="97"/>
      <c r="L72" s="97"/>
      <c r="M72" s="97"/>
      <c r="N72" s="97"/>
      <c r="O72" s="91"/>
      <c r="Q72" s="121">
        <f t="shared" si="1"/>
        <v>999</v>
      </c>
      <c r="R72" s="121">
        <f t="shared" si="2"/>
        <v>0</v>
      </c>
      <c r="S72" s="121">
        <f t="shared" si="3"/>
        <v>0</v>
      </c>
      <c r="T72" s="121">
        <f t="shared" si="4"/>
        <v>0</v>
      </c>
      <c r="U72" s="97"/>
      <c r="V72" s="97"/>
      <c r="W72" s="97"/>
      <c r="X72" s="97"/>
      <c r="Y72" s="97"/>
      <c r="Z72" s="97"/>
      <c r="AA72" s="97"/>
      <c r="AB72" s="97"/>
      <c r="AC72" s="91"/>
    </row>
    <row r="73">
      <c r="A73" s="101" t="s">
        <v>114</v>
      </c>
      <c r="B73" s="107">
        <v>999.0</v>
      </c>
      <c r="C73" s="94">
        <f>FRANKIE!C73+FRANKIE!O73</f>
        <v>3</v>
      </c>
      <c r="D73" s="94">
        <f>FRANKIE!D73+FRANKIE!P73</f>
        <v>0</v>
      </c>
      <c r="E73" s="94">
        <f>FRANKIE!E73+FRANKIE!Q73</f>
        <v>2</v>
      </c>
      <c r="F73" s="94">
        <f>FRANKIE!F73+FRANKIE!R73</f>
        <v>1</v>
      </c>
      <c r="G73" s="97"/>
      <c r="H73" s="97"/>
      <c r="I73" s="97"/>
      <c r="J73" s="97"/>
      <c r="K73" s="97"/>
      <c r="L73" s="97"/>
      <c r="M73" s="97"/>
      <c r="N73" s="97"/>
      <c r="O73" s="91"/>
      <c r="Q73" s="121">
        <f t="shared" si="1"/>
        <v>2997</v>
      </c>
      <c r="R73" s="121">
        <f t="shared" si="2"/>
        <v>0</v>
      </c>
      <c r="S73" s="121">
        <f t="shared" si="3"/>
        <v>1998</v>
      </c>
      <c r="T73" s="121">
        <f t="shared" si="4"/>
        <v>999</v>
      </c>
      <c r="U73" s="97"/>
      <c r="V73" s="97"/>
      <c r="W73" s="97"/>
      <c r="X73" s="97"/>
      <c r="Y73" s="97"/>
      <c r="Z73" s="97"/>
      <c r="AA73" s="97"/>
      <c r="AB73" s="97"/>
      <c r="AC73" s="91"/>
    </row>
    <row r="74">
      <c r="A74" s="101" t="s">
        <v>115</v>
      </c>
      <c r="B74" s="107">
        <v>999.0</v>
      </c>
      <c r="C74" s="94">
        <f>FRANKIE!C74+FRANKIE!O74</f>
        <v>0</v>
      </c>
      <c r="D74" s="94">
        <f>FRANKIE!D74+FRANKIE!P74</f>
        <v>2</v>
      </c>
      <c r="E74" s="94">
        <f>FRANKIE!E74+FRANKIE!Q74</f>
        <v>0</v>
      </c>
      <c r="F74" s="94">
        <f>FRANKIE!F74+FRANKIE!R74</f>
        <v>0</v>
      </c>
      <c r="G74" s="97"/>
      <c r="H74" s="97"/>
      <c r="I74" s="97"/>
      <c r="J74" s="97"/>
      <c r="K74" s="97"/>
      <c r="L74" s="97"/>
      <c r="M74" s="97"/>
      <c r="N74" s="97"/>
      <c r="O74" s="91"/>
      <c r="Q74" s="121">
        <f t="shared" si="1"/>
        <v>0</v>
      </c>
      <c r="R74" s="121">
        <f t="shared" si="2"/>
        <v>1998</v>
      </c>
      <c r="S74" s="121">
        <f t="shared" si="3"/>
        <v>0</v>
      </c>
      <c r="T74" s="121">
        <f t="shared" si="4"/>
        <v>0</v>
      </c>
      <c r="U74" s="97"/>
      <c r="V74" s="97"/>
      <c r="W74" s="97"/>
      <c r="X74" s="97"/>
      <c r="Y74" s="97"/>
      <c r="Z74" s="97"/>
      <c r="AA74" s="97"/>
      <c r="AB74" s="97"/>
      <c r="AC74" s="91"/>
    </row>
    <row r="75">
      <c r="A75" s="101" t="s">
        <v>116</v>
      </c>
      <c r="B75" s="108"/>
      <c r="C75" s="94">
        <f>FRANKIE!C75+FRANKIE!O75</f>
        <v>0</v>
      </c>
      <c r="D75" s="94">
        <f>FRANKIE!D75+FRANKIE!P75</f>
        <v>0</v>
      </c>
      <c r="E75" s="94">
        <f>FRANKIE!E75+FRANKIE!Q75</f>
        <v>0</v>
      </c>
      <c r="F75" s="94">
        <f>FRANKIE!F75+FRANKIE!R75</f>
        <v>0</v>
      </c>
      <c r="G75" s="97"/>
      <c r="H75" s="97"/>
      <c r="I75" s="97"/>
      <c r="J75" s="97"/>
      <c r="K75" s="97"/>
      <c r="L75" s="97"/>
      <c r="M75" s="97"/>
      <c r="N75" s="97"/>
      <c r="O75" s="91"/>
      <c r="Q75" s="121">
        <f t="shared" si="1"/>
        <v>0</v>
      </c>
      <c r="R75" s="121">
        <f t="shared" si="2"/>
        <v>0</v>
      </c>
      <c r="S75" s="121">
        <f t="shared" si="3"/>
        <v>0</v>
      </c>
      <c r="T75" s="121">
        <f t="shared" si="4"/>
        <v>0</v>
      </c>
      <c r="U75" s="97"/>
      <c r="V75" s="97"/>
      <c r="W75" s="97"/>
      <c r="X75" s="97"/>
      <c r="Y75" s="97"/>
      <c r="Z75" s="97"/>
      <c r="AA75" s="97"/>
      <c r="AB75" s="97"/>
      <c r="AC75" s="91"/>
    </row>
    <row r="76">
      <c r="A76" s="109"/>
      <c r="B76" s="108"/>
      <c r="C76" s="94">
        <f>FRANKIE!C76+FRANKIE!O76</f>
        <v>0</v>
      </c>
      <c r="D76" s="94">
        <f>FRANKIE!D76+FRANKIE!P76</f>
        <v>0</v>
      </c>
      <c r="E76" s="94">
        <f>FRANKIE!E76+FRANKIE!Q76</f>
        <v>0</v>
      </c>
      <c r="F76" s="94">
        <f>FRANKIE!F76+FRANKIE!R76</f>
        <v>0</v>
      </c>
      <c r="G76" s="97"/>
      <c r="H76" s="97"/>
      <c r="I76" s="97"/>
      <c r="J76" s="97"/>
      <c r="K76" s="97"/>
      <c r="L76" s="97"/>
      <c r="M76" s="97"/>
      <c r="N76" s="97"/>
      <c r="O76" s="91"/>
      <c r="Q76" s="121">
        <f t="shared" si="1"/>
        <v>0</v>
      </c>
      <c r="R76" s="121">
        <f t="shared" si="2"/>
        <v>0</v>
      </c>
      <c r="S76" s="121">
        <f t="shared" si="3"/>
        <v>0</v>
      </c>
      <c r="T76" s="121">
        <f t="shared" si="4"/>
        <v>0</v>
      </c>
      <c r="U76" s="97"/>
      <c r="V76" s="97"/>
      <c r="W76" s="97"/>
      <c r="X76" s="97"/>
      <c r="Y76" s="97"/>
      <c r="Z76" s="97"/>
      <c r="AA76" s="97"/>
      <c r="AB76" s="97"/>
      <c r="AC76" s="91"/>
    </row>
    <row r="77">
      <c r="A77" s="110" t="s">
        <v>117</v>
      </c>
      <c r="B77" s="96">
        <v>379.0</v>
      </c>
      <c r="C77" s="94">
        <f>FRANKIE!C77+FRANKIE!O77</f>
        <v>0</v>
      </c>
      <c r="D77" s="94">
        <f>FRANKIE!D77+FRANKIE!P77</f>
        <v>0</v>
      </c>
      <c r="E77" s="94">
        <f>FRANKIE!E77+FRANKIE!Q77</f>
        <v>0</v>
      </c>
      <c r="F77" s="94">
        <f>FRANKIE!F77+FRANKIE!R77</f>
        <v>0</v>
      </c>
      <c r="G77" s="97"/>
      <c r="H77" s="97"/>
      <c r="I77" s="97"/>
      <c r="J77" s="97"/>
      <c r="K77" s="97"/>
      <c r="L77" s="97"/>
      <c r="M77" s="97"/>
      <c r="N77" s="97"/>
      <c r="O77" s="91"/>
      <c r="Q77" s="121">
        <f t="shared" si="1"/>
        <v>0</v>
      </c>
      <c r="R77" s="121">
        <f t="shared" si="2"/>
        <v>0</v>
      </c>
      <c r="S77" s="121">
        <f t="shared" si="3"/>
        <v>0</v>
      </c>
      <c r="T77" s="121">
        <f t="shared" si="4"/>
        <v>0</v>
      </c>
      <c r="U77" s="97"/>
      <c r="V77" s="97"/>
      <c r="W77" s="97"/>
      <c r="X77" s="97"/>
      <c r="Y77" s="97"/>
      <c r="Z77" s="97"/>
      <c r="AA77" s="97"/>
      <c r="AB77" s="97"/>
      <c r="AC77" s="91"/>
    </row>
    <row r="78">
      <c r="A78" s="110" t="s">
        <v>118</v>
      </c>
      <c r="B78" s="96">
        <v>799.0</v>
      </c>
      <c r="C78" s="94">
        <f>FRANKIE!C78+FRANKIE!O78</f>
        <v>0</v>
      </c>
      <c r="D78" s="94">
        <f>FRANKIE!D78+FRANKIE!P78</f>
        <v>0</v>
      </c>
      <c r="E78" s="94">
        <f>FRANKIE!E78+FRANKIE!Q78</f>
        <v>0</v>
      </c>
      <c r="F78" s="94">
        <f>FRANKIE!F78+FRANKIE!R78</f>
        <v>0</v>
      </c>
      <c r="G78" s="97"/>
      <c r="H78" s="97"/>
      <c r="I78" s="97"/>
      <c r="J78" s="97"/>
      <c r="K78" s="97"/>
      <c r="L78" s="97"/>
      <c r="M78" s="97"/>
      <c r="N78" s="97"/>
      <c r="O78" s="91"/>
      <c r="Q78" s="121">
        <f t="shared" si="1"/>
        <v>0</v>
      </c>
      <c r="R78" s="121">
        <f t="shared" si="2"/>
        <v>0</v>
      </c>
      <c r="S78" s="121">
        <f t="shared" si="3"/>
        <v>0</v>
      </c>
      <c r="T78" s="121">
        <f t="shared" si="4"/>
        <v>0</v>
      </c>
      <c r="U78" s="97"/>
      <c r="V78" s="97"/>
      <c r="W78" s="97"/>
      <c r="X78" s="97"/>
      <c r="Y78" s="97"/>
      <c r="Z78" s="97"/>
      <c r="AA78" s="97"/>
      <c r="AB78" s="97"/>
      <c r="AC78" s="91"/>
    </row>
    <row r="79">
      <c r="A79" s="110" t="s">
        <v>119</v>
      </c>
      <c r="B79" s="96">
        <v>439.0</v>
      </c>
      <c r="C79" s="94">
        <f>FRANKIE!C79+FRANKIE!O79</f>
        <v>0</v>
      </c>
      <c r="D79" s="94">
        <f>FRANKIE!D79+FRANKIE!P79</f>
        <v>0</v>
      </c>
      <c r="E79" s="94">
        <f>FRANKIE!E79+FRANKIE!Q79</f>
        <v>0</v>
      </c>
      <c r="F79" s="94">
        <f>FRANKIE!F79+FRANKIE!R79</f>
        <v>0</v>
      </c>
      <c r="G79" s="97"/>
      <c r="H79" s="97"/>
      <c r="I79" s="97"/>
      <c r="J79" s="97"/>
      <c r="K79" s="97"/>
      <c r="L79" s="97"/>
      <c r="M79" s="97"/>
      <c r="N79" s="97"/>
      <c r="O79" s="91"/>
      <c r="Q79" s="121">
        <f t="shared" si="1"/>
        <v>0</v>
      </c>
      <c r="R79" s="121">
        <f t="shared" si="2"/>
        <v>0</v>
      </c>
      <c r="S79" s="121">
        <f t="shared" si="3"/>
        <v>0</v>
      </c>
      <c r="T79" s="121">
        <f t="shared" si="4"/>
        <v>0</v>
      </c>
      <c r="U79" s="97"/>
      <c r="V79" s="97"/>
      <c r="W79" s="97"/>
      <c r="X79" s="97"/>
      <c r="Y79" s="97"/>
      <c r="Z79" s="97"/>
      <c r="AA79" s="97"/>
      <c r="AB79" s="97"/>
      <c r="AC79" s="91"/>
    </row>
    <row r="80">
      <c r="A80" s="110" t="s">
        <v>120</v>
      </c>
      <c r="B80" s="96">
        <v>599.0</v>
      </c>
      <c r="C80" s="94">
        <f>FRANKIE!C80+FRANKIE!O80</f>
        <v>0</v>
      </c>
      <c r="D80" s="94">
        <f>FRANKIE!D80+FRANKIE!P80</f>
        <v>0</v>
      </c>
      <c r="E80" s="94">
        <f>FRANKIE!E80+FRANKIE!Q80</f>
        <v>0</v>
      </c>
      <c r="F80" s="94">
        <f>FRANKIE!F80+FRANKIE!R80</f>
        <v>0</v>
      </c>
      <c r="G80" s="97"/>
      <c r="H80" s="97"/>
      <c r="I80" s="97"/>
      <c r="J80" s="97"/>
      <c r="K80" s="97"/>
      <c r="L80" s="97"/>
      <c r="M80" s="97"/>
      <c r="N80" s="97"/>
      <c r="O80" s="91"/>
      <c r="Q80" s="121">
        <f t="shared" si="1"/>
        <v>0</v>
      </c>
      <c r="R80" s="121">
        <f t="shared" si="2"/>
        <v>0</v>
      </c>
      <c r="S80" s="121">
        <f t="shared" si="3"/>
        <v>0</v>
      </c>
      <c r="T80" s="121">
        <f t="shared" si="4"/>
        <v>0</v>
      </c>
      <c r="U80" s="97"/>
      <c r="V80" s="97"/>
      <c r="W80" s="97"/>
      <c r="X80" s="97"/>
      <c r="Y80" s="97"/>
      <c r="Z80" s="97"/>
      <c r="AA80" s="97"/>
      <c r="AB80" s="97"/>
      <c r="AC80" s="91"/>
    </row>
    <row r="81">
      <c r="A81" s="110" t="s">
        <v>121</v>
      </c>
      <c r="B81" s="96">
        <v>229.0</v>
      </c>
      <c r="C81" s="94">
        <f>FRANKIE!C81+FRANKIE!O81</f>
        <v>1</v>
      </c>
      <c r="D81" s="94">
        <f>FRANKIE!D81+FRANKIE!P81</f>
        <v>3</v>
      </c>
      <c r="E81" s="94">
        <f>FRANKIE!E81+FRANKIE!Q81</f>
        <v>0</v>
      </c>
      <c r="F81" s="94">
        <f>FRANKIE!F81+FRANKIE!R81</f>
        <v>0</v>
      </c>
      <c r="G81" s="97"/>
      <c r="H81" s="97"/>
      <c r="I81" s="97"/>
      <c r="J81" s="97"/>
      <c r="K81" s="97"/>
      <c r="L81" s="97"/>
      <c r="M81" s="97"/>
      <c r="N81" s="97"/>
      <c r="O81" s="91"/>
      <c r="Q81" s="121">
        <f t="shared" si="1"/>
        <v>229</v>
      </c>
      <c r="R81" s="121">
        <f t="shared" si="2"/>
        <v>687</v>
      </c>
      <c r="S81" s="121">
        <f t="shared" si="3"/>
        <v>0</v>
      </c>
      <c r="T81" s="121">
        <f t="shared" si="4"/>
        <v>0</v>
      </c>
      <c r="U81" s="97"/>
      <c r="V81" s="97"/>
      <c r="W81" s="97"/>
      <c r="X81" s="97"/>
      <c r="Y81" s="97"/>
      <c r="Z81" s="97"/>
      <c r="AA81" s="97"/>
      <c r="AB81" s="97"/>
      <c r="AC81" s="91"/>
    </row>
    <row r="82">
      <c r="A82" s="110" t="s">
        <v>122</v>
      </c>
      <c r="B82" s="96">
        <v>219.0</v>
      </c>
      <c r="C82" s="94">
        <f>FRANKIE!C82+FRANKIE!O82</f>
        <v>1</v>
      </c>
      <c r="D82" s="94">
        <f>FRANKIE!D82+FRANKIE!P82</f>
        <v>0</v>
      </c>
      <c r="E82" s="94">
        <f>FRANKIE!E82+FRANKIE!Q82</f>
        <v>3</v>
      </c>
      <c r="F82" s="94">
        <f>FRANKIE!F82+FRANKIE!R82</f>
        <v>0</v>
      </c>
      <c r="G82" s="97"/>
      <c r="H82" s="97"/>
      <c r="I82" s="97"/>
      <c r="J82" s="97"/>
      <c r="K82" s="97"/>
      <c r="L82" s="97"/>
      <c r="M82" s="97"/>
      <c r="N82" s="97"/>
      <c r="O82" s="91"/>
      <c r="Q82" s="121">
        <f t="shared" si="1"/>
        <v>219</v>
      </c>
      <c r="R82" s="121">
        <f t="shared" si="2"/>
        <v>0</v>
      </c>
      <c r="S82" s="121">
        <f t="shared" si="3"/>
        <v>657</v>
      </c>
      <c r="T82" s="121">
        <f t="shared" si="4"/>
        <v>0</v>
      </c>
      <c r="U82" s="97"/>
      <c r="V82" s="97"/>
      <c r="W82" s="97"/>
      <c r="X82" s="97"/>
      <c r="Y82" s="97"/>
      <c r="Z82" s="97"/>
      <c r="AA82" s="97"/>
      <c r="AB82" s="97"/>
      <c r="AC82" s="91"/>
    </row>
    <row r="83" hidden="1">
      <c r="A83" s="110" t="s">
        <v>123</v>
      </c>
      <c r="B83" s="96">
        <v>1299.0</v>
      </c>
      <c r="C83" s="94">
        <f>FRANKIE!C83+FRANKIE!O83</f>
        <v>0</v>
      </c>
      <c r="D83" s="94">
        <f>FRANKIE!D83+FRANKIE!P83</f>
        <v>0</v>
      </c>
      <c r="E83" s="94">
        <f>FRANKIE!E83+FRANKIE!Q83</f>
        <v>0</v>
      </c>
      <c r="F83" s="94">
        <f>FRANKIE!F83+FRANKIE!R83</f>
        <v>0</v>
      </c>
      <c r="G83" s="97"/>
      <c r="H83" s="97"/>
      <c r="I83" s="97"/>
      <c r="J83" s="97"/>
      <c r="K83" s="97"/>
      <c r="L83" s="97"/>
      <c r="M83" s="97"/>
      <c r="N83" s="97"/>
      <c r="O83" s="91"/>
      <c r="Q83" s="121">
        <f t="shared" si="1"/>
        <v>0</v>
      </c>
      <c r="R83" s="121">
        <f t="shared" si="2"/>
        <v>0</v>
      </c>
      <c r="S83" s="121">
        <f t="shared" si="3"/>
        <v>0</v>
      </c>
      <c r="T83" s="121">
        <f t="shared" si="4"/>
        <v>0</v>
      </c>
      <c r="U83" s="97"/>
      <c r="V83" s="97"/>
      <c r="W83" s="97"/>
      <c r="X83" s="97"/>
      <c r="Y83" s="97"/>
      <c r="Z83" s="97"/>
      <c r="AA83" s="97"/>
      <c r="AB83" s="97"/>
      <c r="AC83" s="91"/>
    </row>
    <row r="84" hidden="1">
      <c r="A84" s="102" t="s">
        <v>124</v>
      </c>
      <c r="B84" s="96">
        <v>1299.0</v>
      </c>
      <c r="C84" s="94">
        <f>FRANKIE!C84+FRANKIE!O84</f>
        <v>0</v>
      </c>
      <c r="D84" s="94">
        <f>FRANKIE!D84+FRANKIE!P84</f>
        <v>0</v>
      </c>
      <c r="E84" s="94">
        <f>FRANKIE!E84+FRANKIE!Q84</f>
        <v>0</v>
      </c>
      <c r="F84" s="94">
        <f>FRANKIE!F84+FRANKIE!R84</f>
        <v>0</v>
      </c>
      <c r="G84" s="97"/>
      <c r="H84" s="97"/>
      <c r="I84" s="97"/>
      <c r="J84" s="97"/>
      <c r="K84" s="97"/>
      <c r="L84" s="97"/>
      <c r="M84" s="97"/>
      <c r="N84" s="97"/>
      <c r="O84" s="91"/>
      <c r="Q84" s="121">
        <f t="shared" si="1"/>
        <v>0</v>
      </c>
      <c r="R84" s="121">
        <f t="shared" si="2"/>
        <v>0</v>
      </c>
      <c r="S84" s="121">
        <f t="shared" si="3"/>
        <v>0</v>
      </c>
      <c r="T84" s="121">
        <f t="shared" si="4"/>
        <v>0</v>
      </c>
      <c r="U84" s="97"/>
      <c r="V84" s="97"/>
      <c r="W84" s="97"/>
      <c r="X84" s="97"/>
      <c r="Y84" s="97"/>
      <c r="Z84" s="97"/>
      <c r="AA84" s="97"/>
      <c r="AB84" s="97"/>
      <c r="AC84" s="91"/>
    </row>
    <row r="85" hidden="1">
      <c r="A85" s="111" t="s">
        <v>125</v>
      </c>
      <c r="B85" s="96">
        <v>1299.0</v>
      </c>
      <c r="C85" s="94">
        <f>FRANKIE!C85+FRANKIE!O85</f>
        <v>0</v>
      </c>
      <c r="D85" s="94">
        <f>FRANKIE!D85+FRANKIE!P85</f>
        <v>0</v>
      </c>
      <c r="E85" s="94">
        <f>FRANKIE!E85+FRANKIE!Q85</f>
        <v>0</v>
      </c>
      <c r="F85" s="94">
        <f>FRANKIE!F85+FRANKIE!R85</f>
        <v>0</v>
      </c>
      <c r="G85" s="97"/>
      <c r="H85" s="97"/>
      <c r="I85" s="97"/>
      <c r="J85" s="97"/>
      <c r="K85" s="97"/>
      <c r="L85" s="97"/>
      <c r="M85" s="97"/>
      <c r="N85" s="97"/>
      <c r="O85" s="91"/>
      <c r="Q85" s="121">
        <f t="shared" si="1"/>
        <v>0</v>
      </c>
      <c r="R85" s="121">
        <f t="shared" si="2"/>
        <v>0</v>
      </c>
      <c r="S85" s="121">
        <f t="shared" si="3"/>
        <v>0</v>
      </c>
      <c r="T85" s="121">
        <f t="shared" si="4"/>
        <v>0</v>
      </c>
      <c r="U85" s="97"/>
      <c r="V85" s="97"/>
      <c r="W85" s="97"/>
      <c r="X85" s="97"/>
      <c r="Y85" s="97"/>
      <c r="Z85" s="97"/>
      <c r="AA85" s="97"/>
      <c r="AB85" s="97"/>
      <c r="AC85" s="91"/>
    </row>
    <row r="86" hidden="1">
      <c r="A86" s="112" t="s">
        <v>126</v>
      </c>
      <c r="B86" s="96">
        <v>1299.0</v>
      </c>
      <c r="C86" s="94">
        <f>FRANKIE!C86+FRANKIE!O86</f>
        <v>0</v>
      </c>
      <c r="D86" s="94">
        <f>FRANKIE!D86+FRANKIE!P86</f>
        <v>0</v>
      </c>
      <c r="E86" s="94">
        <f>FRANKIE!E86+FRANKIE!Q86</f>
        <v>0</v>
      </c>
      <c r="F86" s="94">
        <f>FRANKIE!F86+FRANKIE!R86</f>
        <v>0</v>
      </c>
      <c r="G86" s="97"/>
      <c r="H86" s="97"/>
      <c r="I86" s="97"/>
      <c r="J86" s="97"/>
      <c r="K86" s="97"/>
      <c r="L86" s="97"/>
      <c r="M86" s="97"/>
      <c r="N86" s="97"/>
      <c r="O86" s="91"/>
      <c r="Q86" s="121">
        <f t="shared" si="1"/>
        <v>0</v>
      </c>
      <c r="R86" s="121">
        <f t="shared" si="2"/>
        <v>0</v>
      </c>
      <c r="S86" s="121">
        <f t="shared" si="3"/>
        <v>0</v>
      </c>
      <c r="T86" s="121">
        <f t="shared" si="4"/>
        <v>0</v>
      </c>
      <c r="U86" s="97"/>
      <c r="V86" s="97"/>
      <c r="W86" s="97"/>
      <c r="X86" s="97"/>
      <c r="Y86" s="97"/>
      <c r="Z86" s="97"/>
      <c r="AA86" s="97"/>
      <c r="AB86" s="97"/>
      <c r="AC86" s="91"/>
    </row>
    <row r="87" hidden="1">
      <c r="A87" s="113"/>
      <c r="B87" s="114"/>
      <c r="C87" s="94">
        <f>FRANKIE!C87+FRANKIE!O87</f>
        <v>0</v>
      </c>
      <c r="D87" s="94">
        <f>FRANKIE!D87+FRANKIE!P87</f>
        <v>0</v>
      </c>
      <c r="E87" s="94">
        <f>FRANKIE!E87+FRANKIE!Q87</f>
        <v>0</v>
      </c>
      <c r="F87" s="94">
        <f>FRANKIE!F87+FRANKIE!R87</f>
        <v>0</v>
      </c>
      <c r="G87" s="97"/>
      <c r="H87" s="97"/>
      <c r="I87" s="97"/>
      <c r="J87" s="97"/>
      <c r="K87" s="97"/>
      <c r="L87" s="97"/>
      <c r="M87" s="97"/>
      <c r="N87" s="97"/>
      <c r="O87" s="91"/>
      <c r="Q87" s="121">
        <f t="shared" si="1"/>
        <v>0</v>
      </c>
      <c r="R87" s="121">
        <f t="shared" si="2"/>
        <v>0</v>
      </c>
      <c r="S87" s="121">
        <f t="shared" si="3"/>
        <v>0</v>
      </c>
      <c r="T87" s="121">
        <f t="shared" si="4"/>
        <v>0</v>
      </c>
      <c r="U87" s="97"/>
      <c r="V87" s="97"/>
      <c r="W87" s="97"/>
      <c r="X87" s="97"/>
      <c r="Y87" s="97"/>
      <c r="Z87" s="97"/>
      <c r="AA87" s="97"/>
      <c r="AB87" s="97"/>
      <c r="AC87" s="91"/>
    </row>
    <row r="88" hidden="1">
      <c r="A88" s="94" t="s">
        <v>127</v>
      </c>
      <c r="B88" s="96">
        <v>679.0</v>
      </c>
      <c r="C88" s="94">
        <f>FRANKIE!C88+FRANKIE!O88</f>
        <v>0</v>
      </c>
      <c r="D88" s="94">
        <f>FRANKIE!D88+FRANKIE!P88</f>
        <v>0</v>
      </c>
      <c r="E88" s="94">
        <f>FRANKIE!E88+FRANKIE!Q88</f>
        <v>0</v>
      </c>
      <c r="F88" s="94">
        <f>FRANKIE!F88+FRANKIE!R88</f>
        <v>0</v>
      </c>
      <c r="G88" s="97"/>
      <c r="H88" s="97"/>
      <c r="I88" s="97"/>
      <c r="J88" s="97"/>
      <c r="K88" s="97"/>
      <c r="L88" s="97"/>
      <c r="M88" s="97"/>
      <c r="N88" s="97"/>
      <c r="O88" s="91"/>
      <c r="Q88" s="121">
        <f t="shared" si="1"/>
        <v>0</v>
      </c>
      <c r="R88" s="121">
        <f t="shared" si="2"/>
        <v>0</v>
      </c>
      <c r="S88" s="121">
        <f t="shared" si="3"/>
        <v>0</v>
      </c>
      <c r="T88" s="121">
        <f t="shared" si="4"/>
        <v>0</v>
      </c>
      <c r="U88" s="97"/>
      <c r="V88" s="97"/>
      <c r="W88" s="97"/>
      <c r="X88" s="97"/>
      <c r="Y88" s="97"/>
      <c r="Z88" s="97"/>
      <c r="AA88" s="97"/>
      <c r="AB88" s="97"/>
      <c r="AC88" s="91"/>
    </row>
    <row r="89" hidden="1">
      <c r="A89" s="94" t="s">
        <v>128</v>
      </c>
      <c r="B89" s="96">
        <v>679.0</v>
      </c>
      <c r="C89" s="94">
        <f>FRANKIE!C89+FRANKIE!O89</f>
        <v>0</v>
      </c>
      <c r="D89" s="94">
        <f>FRANKIE!D89+FRANKIE!P89</f>
        <v>0</v>
      </c>
      <c r="E89" s="94">
        <f>FRANKIE!E89+FRANKIE!Q89</f>
        <v>0</v>
      </c>
      <c r="F89" s="94">
        <f>FRANKIE!F89+FRANKIE!R89</f>
        <v>0</v>
      </c>
      <c r="G89" s="97"/>
      <c r="H89" s="97"/>
      <c r="I89" s="97"/>
      <c r="J89" s="97"/>
      <c r="K89" s="97"/>
      <c r="L89" s="97"/>
      <c r="M89" s="97"/>
      <c r="N89" s="97"/>
      <c r="O89" s="91"/>
      <c r="Q89" s="121">
        <f t="shared" si="1"/>
        <v>0</v>
      </c>
      <c r="R89" s="121">
        <f t="shared" si="2"/>
        <v>0</v>
      </c>
      <c r="S89" s="121">
        <f t="shared" si="3"/>
        <v>0</v>
      </c>
      <c r="T89" s="121">
        <f t="shared" si="4"/>
        <v>0</v>
      </c>
      <c r="U89" s="97"/>
      <c r="V89" s="97"/>
      <c r="W89" s="97"/>
      <c r="X89" s="97"/>
      <c r="Y89" s="97"/>
      <c r="Z89" s="97"/>
      <c r="AA89" s="97"/>
      <c r="AB89" s="97"/>
      <c r="AC89" s="91"/>
    </row>
    <row r="90" hidden="1">
      <c r="A90" s="94" t="s">
        <v>129</v>
      </c>
      <c r="B90" s="96">
        <v>679.0</v>
      </c>
      <c r="C90" s="94">
        <f>FRANKIE!C90+FRANKIE!O90</f>
        <v>0</v>
      </c>
      <c r="D90" s="94">
        <f>FRANKIE!D90+FRANKIE!P90</f>
        <v>0</v>
      </c>
      <c r="E90" s="94">
        <f>FRANKIE!E90+FRANKIE!Q90</f>
        <v>0</v>
      </c>
      <c r="F90" s="94">
        <f>FRANKIE!F90+FRANKIE!R90</f>
        <v>0</v>
      </c>
      <c r="G90" s="97"/>
      <c r="H90" s="97"/>
      <c r="I90" s="97"/>
      <c r="J90" s="97"/>
      <c r="K90" s="97"/>
      <c r="L90" s="97"/>
      <c r="M90" s="97"/>
      <c r="N90" s="97"/>
      <c r="O90" s="91"/>
      <c r="Q90" s="121">
        <f t="shared" si="1"/>
        <v>0</v>
      </c>
      <c r="R90" s="121">
        <f t="shared" si="2"/>
        <v>0</v>
      </c>
      <c r="S90" s="121">
        <f t="shared" si="3"/>
        <v>0</v>
      </c>
      <c r="T90" s="121">
        <f t="shared" si="4"/>
        <v>0</v>
      </c>
      <c r="U90" s="97"/>
      <c r="V90" s="97"/>
      <c r="W90" s="97"/>
      <c r="X90" s="97"/>
      <c r="Y90" s="97"/>
      <c r="Z90" s="97"/>
      <c r="AA90" s="97"/>
      <c r="AB90" s="97"/>
      <c r="AC90" s="91"/>
    </row>
    <row r="91" hidden="1">
      <c r="A91" s="115"/>
      <c r="B91" s="116"/>
      <c r="C91" s="94">
        <f>FRANKIE!C91+FRANKIE!O91</f>
        <v>0</v>
      </c>
      <c r="D91" s="94">
        <f>FRANKIE!D91+FRANKIE!P91</f>
        <v>0</v>
      </c>
      <c r="E91" s="94">
        <f>FRANKIE!E91+FRANKIE!Q91</f>
        <v>0</v>
      </c>
      <c r="F91" s="94">
        <f>FRANKIE!F91+FRANKIE!R91</f>
        <v>0</v>
      </c>
      <c r="G91" s="97"/>
      <c r="H91" s="97"/>
      <c r="I91" s="97"/>
      <c r="J91" s="97"/>
      <c r="K91" s="97"/>
      <c r="L91" s="97"/>
      <c r="M91" s="97"/>
      <c r="N91" s="97"/>
      <c r="O91" s="91"/>
      <c r="Q91" s="121">
        <f t="shared" si="1"/>
        <v>0</v>
      </c>
      <c r="R91" s="121">
        <f t="shared" si="2"/>
        <v>0</v>
      </c>
      <c r="S91" s="121">
        <f t="shared" si="3"/>
        <v>0</v>
      </c>
      <c r="T91" s="121">
        <f t="shared" si="4"/>
        <v>0</v>
      </c>
      <c r="U91" s="97"/>
      <c r="V91" s="97"/>
      <c r="W91" s="97"/>
      <c r="X91" s="97"/>
      <c r="Y91" s="97"/>
      <c r="Z91" s="97"/>
      <c r="AA91" s="97"/>
      <c r="AB91" s="97"/>
      <c r="AC91" s="91"/>
    </row>
    <row r="92" hidden="1">
      <c r="A92" s="94" t="s">
        <v>130</v>
      </c>
      <c r="B92" s="96">
        <v>490.0</v>
      </c>
      <c r="C92" s="94">
        <f>FRANKIE!C92+FRANKIE!O92</f>
        <v>0</v>
      </c>
      <c r="D92" s="94">
        <f>FRANKIE!D92+FRANKIE!P92</f>
        <v>0</v>
      </c>
      <c r="E92" s="94">
        <f>FRANKIE!E92+FRANKIE!Q92</f>
        <v>0</v>
      </c>
      <c r="F92" s="94">
        <f>FRANKIE!F92+FRANKIE!R92</f>
        <v>0</v>
      </c>
      <c r="G92" s="97"/>
      <c r="H92" s="97"/>
      <c r="I92" s="97"/>
      <c r="J92" s="97"/>
      <c r="K92" s="97"/>
      <c r="L92" s="97"/>
      <c r="M92" s="97"/>
      <c r="N92" s="97"/>
      <c r="O92" s="91"/>
      <c r="Q92" s="121">
        <f t="shared" si="1"/>
        <v>0</v>
      </c>
      <c r="R92" s="121">
        <f t="shared" si="2"/>
        <v>0</v>
      </c>
      <c r="S92" s="121">
        <f t="shared" si="3"/>
        <v>0</v>
      </c>
      <c r="T92" s="121">
        <f t="shared" si="4"/>
        <v>0</v>
      </c>
      <c r="U92" s="97"/>
      <c r="V92" s="97"/>
      <c r="W92" s="97"/>
      <c r="X92" s="97"/>
      <c r="Y92" s="97"/>
      <c r="Z92" s="97"/>
      <c r="AA92" s="97"/>
      <c r="AB92" s="97"/>
      <c r="AC92" s="91"/>
    </row>
    <row r="93" hidden="1">
      <c r="A93" s="94" t="s">
        <v>131</v>
      </c>
      <c r="B93" s="96">
        <v>490.0</v>
      </c>
      <c r="C93" s="94">
        <f>FRANKIE!C93+FRANKIE!O93</f>
        <v>0</v>
      </c>
      <c r="D93" s="94">
        <f>FRANKIE!D93+FRANKIE!P93</f>
        <v>0</v>
      </c>
      <c r="E93" s="94">
        <f>FRANKIE!E93+FRANKIE!Q93</f>
        <v>0</v>
      </c>
      <c r="F93" s="94">
        <f>FRANKIE!F93+FRANKIE!R93</f>
        <v>0</v>
      </c>
      <c r="G93" s="97"/>
      <c r="H93" s="97"/>
      <c r="I93" s="97"/>
      <c r="J93" s="97"/>
      <c r="K93" s="97"/>
      <c r="L93" s="97"/>
      <c r="M93" s="97"/>
      <c r="N93" s="97"/>
      <c r="O93" s="91"/>
      <c r="Q93" s="121">
        <f t="shared" si="1"/>
        <v>0</v>
      </c>
      <c r="R93" s="121">
        <f t="shared" si="2"/>
        <v>0</v>
      </c>
      <c r="S93" s="121">
        <f t="shared" si="3"/>
        <v>0</v>
      </c>
      <c r="T93" s="121">
        <f t="shared" si="4"/>
        <v>0</v>
      </c>
      <c r="U93" s="97"/>
      <c r="V93" s="97"/>
      <c r="W93" s="97"/>
      <c r="X93" s="97"/>
      <c r="Y93" s="97"/>
      <c r="Z93" s="97"/>
      <c r="AA93" s="97"/>
      <c r="AB93" s="97"/>
      <c r="AC93" s="91"/>
    </row>
    <row r="94" hidden="1">
      <c r="A94" s="94" t="s">
        <v>132</v>
      </c>
      <c r="B94" s="96">
        <v>450.0</v>
      </c>
      <c r="C94" s="94">
        <f>FRANKIE!C94+FRANKIE!O94</f>
        <v>0</v>
      </c>
      <c r="D94" s="94">
        <f>FRANKIE!D94+FRANKIE!P94</f>
        <v>0</v>
      </c>
      <c r="E94" s="94">
        <f>FRANKIE!E94+FRANKIE!Q94</f>
        <v>0</v>
      </c>
      <c r="F94" s="94">
        <f>FRANKIE!F94+FRANKIE!R94</f>
        <v>0</v>
      </c>
      <c r="G94" s="97"/>
      <c r="H94" s="97"/>
      <c r="I94" s="97"/>
      <c r="J94" s="97"/>
      <c r="K94" s="97"/>
      <c r="L94" s="97"/>
      <c r="M94" s="97"/>
      <c r="N94" s="97"/>
      <c r="O94" s="91"/>
      <c r="Q94" s="121">
        <f t="shared" si="1"/>
        <v>0</v>
      </c>
      <c r="R94" s="121">
        <f t="shared" si="2"/>
        <v>0</v>
      </c>
      <c r="S94" s="121">
        <f t="shared" si="3"/>
        <v>0</v>
      </c>
      <c r="T94" s="121">
        <f t="shared" si="4"/>
        <v>0</v>
      </c>
      <c r="U94" s="97"/>
      <c r="V94" s="97"/>
      <c r="W94" s="97"/>
      <c r="X94" s="97"/>
      <c r="Y94" s="97"/>
      <c r="Z94" s="97"/>
      <c r="AA94" s="97"/>
      <c r="AB94" s="97"/>
      <c r="AC94" s="91"/>
    </row>
    <row r="95" hidden="1">
      <c r="A95" s="117" t="s">
        <v>133</v>
      </c>
      <c r="B95" s="118">
        <v>450.0</v>
      </c>
      <c r="C95" s="94">
        <f>FRANKIE!C95+FRANKIE!O95</f>
        <v>0</v>
      </c>
      <c r="D95" s="94">
        <f>FRANKIE!D95+FRANKIE!P95</f>
        <v>0</v>
      </c>
      <c r="E95" s="94">
        <f>FRANKIE!E95+FRANKIE!Q95</f>
        <v>0</v>
      </c>
      <c r="F95" s="94">
        <f>FRANKIE!F95+FRANKIE!R95</f>
        <v>0</v>
      </c>
      <c r="G95" s="97"/>
      <c r="H95" s="97"/>
      <c r="I95" s="97"/>
      <c r="J95" s="97"/>
      <c r="K95" s="97"/>
      <c r="L95" s="97"/>
      <c r="M95" s="97"/>
      <c r="N95" s="97"/>
      <c r="O95" s="91"/>
      <c r="Q95" s="121">
        <f t="shared" si="1"/>
        <v>0</v>
      </c>
      <c r="R95" s="121">
        <f t="shared" si="2"/>
        <v>0</v>
      </c>
      <c r="S95" s="121">
        <f t="shared" si="3"/>
        <v>0</v>
      </c>
      <c r="T95" s="121">
        <f t="shared" si="4"/>
        <v>0</v>
      </c>
      <c r="U95" s="97"/>
      <c r="V95" s="97"/>
      <c r="W95" s="97"/>
      <c r="X95" s="97"/>
      <c r="Y95" s="97"/>
      <c r="Z95" s="97"/>
      <c r="AA95" s="97"/>
      <c r="AB95" s="97"/>
      <c r="AC95" s="91"/>
    </row>
    <row r="96">
      <c r="A96" s="119"/>
      <c r="B96" s="120"/>
      <c r="C96" s="94">
        <f>FRANKIE!C96+FRANKIE!O96</f>
        <v>0</v>
      </c>
      <c r="D96" s="94">
        <f>FRANKIE!D96+FRANKIE!P96</f>
        <v>0</v>
      </c>
      <c r="E96" s="94">
        <f>FRANKIE!E96+FRANKIE!Q96</f>
        <v>0</v>
      </c>
      <c r="F96" s="94">
        <f>FRANKIE!F96+FRANKIE!R96</f>
        <v>0</v>
      </c>
      <c r="G96" s="97"/>
      <c r="H96" s="97"/>
      <c r="I96" s="97"/>
      <c r="J96" s="97"/>
      <c r="K96" s="97"/>
      <c r="L96" s="97"/>
      <c r="M96" s="97"/>
      <c r="N96" s="97"/>
      <c r="O96" s="91"/>
      <c r="Q96" s="121">
        <f t="shared" si="1"/>
        <v>0</v>
      </c>
      <c r="R96" s="121">
        <f t="shared" si="2"/>
        <v>0</v>
      </c>
      <c r="S96" s="121">
        <f t="shared" si="3"/>
        <v>0</v>
      </c>
      <c r="T96" s="121">
        <f t="shared" si="4"/>
        <v>0</v>
      </c>
      <c r="U96" s="97"/>
      <c r="V96" s="97"/>
      <c r="W96" s="97"/>
      <c r="X96" s="97"/>
      <c r="Y96" s="97"/>
      <c r="Z96" s="97"/>
      <c r="AA96" s="97"/>
      <c r="AB96" s="97"/>
      <c r="AC96" s="91"/>
    </row>
    <row r="97">
      <c r="A97" s="121" t="s">
        <v>134</v>
      </c>
      <c r="B97" s="118">
        <v>1054.0</v>
      </c>
      <c r="C97" s="94">
        <f>FRANKIE!C97+FRANKIE!O97</f>
        <v>0</v>
      </c>
      <c r="D97" s="94">
        <f>FRANKIE!D97+FRANKIE!P97</f>
        <v>0</v>
      </c>
      <c r="E97" s="94">
        <f>FRANKIE!E97+FRANKIE!Q97</f>
        <v>0</v>
      </c>
      <c r="F97" s="94">
        <f>FRANKIE!F97+FRANKIE!R97</f>
        <v>0</v>
      </c>
      <c r="G97" s="122"/>
      <c r="H97" s="97"/>
      <c r="I97" s="97"/>
      <c r="J97" s="97"/>
      <c r="K97" s="97"/>
      <c r="L97" s="97"/>
      <c r="M97" s="97"/>
      <c r="N97" s="97"/>
      <c r="O97" s="91"/>
      <c r="Q97" s="121">
        <f t="shared" si="1"/>
        <v>0</v>
      </c>
      <c r="R97" s="121">
        <f t="shared" si="2"/>
        <v>0</v>
      </c>
      <c r="S97" s="121">
        <f t="shared" si="3"/>
        <v>0</v>
      </c>
      <c r="T97" s="121">
        <f t="shared" si="4"/>
        <v>0</v>
      </c>
      <c r="U97" s="122"/>
      <c r="V97" s="97"/>
      <c r="W97" s="97"/>
      <c r="X97" s="97"/>
      <c r="Y97" s="97"/>
      <c r="Z97" s="97"/>
      <c r="AA97" s="97"/>
      <c r="AB97" s="97"/>
      <c r="AC97" s="91"/>
    </row>
    <row r="98">
      <c r="A98" s="249" t="s">
        <v>266</v>
      </c>
      <c r="B98" s="344">
        <v>349.0</v>
      </c>
      <c r="C98" s="94">
        <f>FRANKIE!C98+FRANKIE!O98</f>
        <v>0</v>
      </c>
      <c r="D98" s="94">
        <f>FRANKIE!D98+FRANKIE!P98</f>
        <v>0</v>
      </c>
      <c r="E98" s="94">
        <f>FRANKIE!E98+FRANKIE!Q98</f>
        <v>10</v>
      </c>
      <c r="F98" s="94">
        <f>FRANKIE!F98+FRANKIE!R98</f>
        <v>8</v>
      </c>
      <c r="G98" s="120"/>
      <c r="H98" s="450"/>
      <c r="I98" s="450"/>
      <c r="J98" s="449"/>
      <c r="K98" s="449"/>
      <c r="L98" s="449"/>
      <c r="M98" s="449"/>
      <c r="N98" s="449"/>
      <c r="O98" s="83"/>
      <c r="Q98" s="121">
        <f t="shared" si="1"/>
        <v>0</v>
      </c>
      <c r="R98" s="121">
        <f t="shared" si="2"/>
        <v>0</v>
      </c>
      <c r="S98" s="121">
        <f t="shared" si="3"/>
        <v>3490</v>
      </c>
      <c r="T98" s="121">
        <f t="shared" si="4"/>
        <v>2792</v>
      </c>
      <c r="U98" s="120"/>
      <c r="V98" s="450"/>
      <c r="W98" s="450"/>
      <c r="X98" s="449"/>
      <c r="Y98" s="449"/>
      <c r="Z98" s="449"/>
      <c r="AA98" s="449"/>
      <c r="AB98" s="449"/>
      <c r="AC98" s="83"/>
    </row>
    <row r="99">
      <c r="A99" s="249" t="s">
        <v>267</v>
      </c>
      <c r="B99" s="344">
        <v>459.0</v>
      </c>
      <c r="C99" s="94">
        <f>FRANKIE!C99+FRANKIE!O99</f>
        <v>0</v>
      </c>
      <c r="D99" s="94">
        <f>FRANKIE!D99+FRANKIE!P99</f>
        <v>0</v>
      </c>
      <c r="E99" s="94">
        <f>FRANKIE!E99+FRANKIE!Q99</f>
        <v>0</v>
      </c>
      <c r="F99" s="94">
        <f>FRANKIE!F99+FRANKIE!R99</f>
        <v>1</v>
      </c>
      <c r="G99" s="120"/>
      <c r="H99" s="450"/>
      <c r="I99" s="450"/>
      <c r="J99" s="449"/>
      <c r="K99" s="449"/>
      <c r="L99" s="449"/>
      <c r="M99" s="449"/>
      <c r="N99" s="449"/>
      <c r="O99" s="83"/>
      <c r="Q99" s="121">
        <f t="shared" si="1"/>
        <v>0</v>
      </c>
      <c r="R99" s="121">
        <f t="shared" si="2"/>
        <v>0</v>
      </c>
      <c r="S99" s="121">
        <f t="shared" si="3"/>
        <v>0</v>
      </c>
      <c r="T99" s="121">
        <f t="shared" si="4"/>
        <v>459</v>
      </c>
      <c r="U99" s="120"/>
      <c r="V99" s="450"/>
      <c r="W99" s="450"/>
      <c r="X99" s="449"/>
      <c r="Y99" s="449"/>
      <c r="Z99" s="449"/>
      <c r="AA99" s="449"/>
      <c r="AB99" s="449"/>
      <c r="AC99" s="83"/>
    </row>
    <row r="100">
      <c r="A100" s="249" t="s">
        <v>268</v>
      </c>
      <c r="B100" s="344">
        <v>799.0</v>
      </c>
      <c r="C100" s="94">
        <f>FRANKIE!C100+FRANKIE!O100</f>
        <v>0</v>
      </c>
      <c r="D100" s="94">
        <f>FRANKIE!D100+FRANKIE!P100</f>
        <v>0</v>
      </c>
      <c r="E100" s="94">
        <f>FRANKIE!E100+FRANKIE!Q100</f>
        <v>0</v>
      </c>
      <c r="F100" s="94">
        <f>FRANKIE!F100+FRANKIE!R100</f>
        <v>0</v>
      </c>
      <c r="G100" s="120"/>
      <c r="H100" s="450"/>
      <c r="I100" s="450"/>
      <c r="J100" s="449"/>
      <c r="K100" s="449"/>
      <c r="L100" s="449"/>
      <c r="M100" s="449"/>
      <c r="N100" s="449"/>
      <c r="O100" s="83"/>
      <c r="Q100" s="121">
        <f t="shared" si="1"/>
        <v>0</v>
      </c>
      <c r="R100" s="121">
        <f t="shared" si="2"/>
        <v>0</v>
      </c>
      <c r="S100" s="121">
        <f t="shared" si="3"/>
        <v>0</v>
      </c>
      <c r="T100" s="121">
        <f t="shared" si="4"/>
        <v>0</v>
      </c>
      <c r="U100" s="120"/>
      <c r="V100" s="450"/>
      <c r="W100" s="450"/>
      <c r="X100" s="449"/>
      <c r="Y100" s="449"/>
      <c r="Z100" s="449"/>
      <c r="AA100" s="449"/>
      <c r="AB100" s="449"/>
      <c r="AC100" s="83"/>
    </row>
    <row r="101">
      <c r="A101" s="123" t="s">
        <v>135</v>
      </c>
      <c r="B101" s="124"/>
      <c r="C101" s="125"/>
      <c r="D101" s="125"/>
      <c r="E101" s="125"/>
      <c r="F101" s="126"/>
      <c r="G101" s="124"/>
      <c r="H101" s="127"/>
      <c r="I101" s="127"/>
      <c r="J101" s="125"/>
      <c r="K101" s="125"/>
      <c r="L101" s="125"/>
      <c r="M101" s="125"/>
      <c r="N101" s="125"/>
      <c r="O101" s="128"/>
      <c r="Q101" s="125"/>
      <c r="R101" s="125"/>
      <c r="S101" s="125"/>
      <c r="T101" s="126"/>
      <c r="U101" s="124"/>
      <c r="V101" s="127"/>
      <c r="W101" s="127"/>
      <c r="X101" s="125"/>
      <c r="Y101" s="125"/>
      <c r="Z101" s="125"/>
      <c r="AA101" s="125"/>
      <c r="AB101" s="125"/>
      <c r="AC101" s="128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Q102" s="283">
        <f>FRANKIE!C102+FRANKIE!O102</f>
        <v>43772</v>
      </c>
      <c r="R102" s="283">
        <f>FRANKIE!D102+FRANKIE!P102</f>
        <v>26867</v>
      </c>
      <c r="S102" s="283">
        <f>FRANKIE!E102+FRANKIE!Q102</f>
        <v>26400</v>
      </c>
      <c r="T102" s="283">
        <f>FRANKIE!F102+FRANKIE!R102</f>
        <v>26327</v>
      </c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</sheetData>
  <mergeCells count="30">
    <mergeCell ref="U3:U4"/>
    <mergeCell ref="V3:V4"/>
    <mergeCell ref="W3:W4"/>
    <mergeCell ref="X3:X4"/>
    <mergeCell ref="Y3:Y4"/>
    <mergeCell ref="Z3:Z4"/>
    <mergeCell ref="AA3:AA4"/>
    <mergeCell ref="AB3:AB4"/>
    <mergeCell ref="C1:O1"/>
    <mergeCell ref="Q1:AC1"/>
    <mergeCell ref="C2:O2"/>
    <mergeCell ref="Q2:AC2"/>
    <mergeCell ref="C3:C4"/>
    <mergeCell ref="D3:D4"/>
    <mergeCell ref="E3:E4"/>
    <mergeCell ref="AC3:A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S3:S4"/>
    <mergeCell ref="T3:T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38"/>
    <col customWidth="1" min="3" max="3" width="8.13"/>
    <col customWidth="1" min="4" max="5" width="6.75"/>
    <col customWidth="1" min="6" max="6" width="8.13"/>
    <col customWidth="1" min="7" max="14" width="6.75"/>
    <col customWidth="1" min="15" max="15" width="9.0"/>
    <col customWidth="1" min="16" max="17" width="6.75"/>
    <col customWidth="1" min="18" max="18" width="9.0"/>
    <col customWidth="1" min="19" max="26" width="6.75"/>
  </cols>
  <sheetData>
    <row r="1">
      <c r="C1" s="129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0"/>
      <c r="P1" s="70"/>
    </row>
    <row r="2">
      <c r="A2" s="536"/>
      <c r="B2" s="537"/>
      <c r="C2" s="369" t="s">
        <v>596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4"/>
      <c r="O2" s="132" t="s">
        <v>618</v>
      </c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4"/>
      <c r="AA2" s="135"/>
      <c r="AB2" s="136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</row>
    <row r="3" ht="33.75" customHeight="1">
      <c r="A3" s="296" t="s">
        <v>47</v>
      </c>
      <c r="B3" s="297" t="s">
        <v>48</v>
      </c>
      <c r="C3" s="538" t="s">
        <v>0</v>
      </c>
      <c r="D3" s="538" t="s">
        <v>1</v>
      </c>
      <c r="E3" s="538" t="s">
        <v>2</v>
      </c>
      <c r="F3" s="538" t="s">
        <v>3</v>
      </c>
      <c r="G3" s="538" t="s">
        <v>4</v>
      </c>
      <c r="H3" s="538" t="s">
        <v>5</v>
      </c>
      <c r="I3" s="538" t="s">
        <v>6</v>
      </c>
      <c r="J3" s="538" t="s">
        <v>7</v>
      </c>
      <c r="K3" s="538" t="s">
        <v>8</v>
      </c>
      <c r="L3" s="538" t="s">
        <v>9</v>
      </c>
      <c r="M3" s="538" t="s">
        <v>10</v>
      </c>
      <c r="N3" s="538" t="s">
        <v>11</v>
      </c>
      <c r="O3" s="299" t="s">
        <v>0</v>
      </c>
      <c r="P3" s="299" t="s">
        <v>1</v>
      </c>
      <c r="Q3" s="299" t="s">
        <v>2</v>
      </c>
      <c r="R3" s="299" t="s">
        <v>3</v>
      </c>
      <c r="S3" s="299" t="s">
        <v>4</v>
      </c>
      <c r="T3" s="299" t="s">
        <v>5</v>
      </c>
      <c r="U3" s="299" t="s">
        <v>6</v>
      </c>
      <c r="V3" s="299" t="s">
        <v>7</v>
      </c>
      <c r="W3" s="299" t="s">
        <v>8</v>
      </c>
      <c r="X3" s="299" t="s">
        <v>9</v>
      </c>
      <c r="Y3" s="299" t="s">
        <v>10</v>
      </c>
      <c r="Z3" s="299" t="s">
        <v>11</v>
      </c>
      <c r="AA3" s="147"/>
      <c r="AB3" s="148"/>
    </row>
    <row r="4">
      <c r="A4" s="160"/>
      <c r="B4" s="160"/>
      <c r="C4" s="539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84"/>
      <c r="AB4" s="86"/>
    </row>
    <row r="5" hidden="1">
      <c r="A5" s="167" t="s">
        <v>49</v>
      </c>
      <c r="B5" s="168">
        <v>329.0</v>
      </c>
      <c r="C5" s="314"/>
      <c r="D5" s="170"/>
      <c r="E5" s="170"/>
      <c r="F5" s="170"/>
      <c r="G5" s="171"/>
      <c r="H5" s="171"/>
      <c r="I5" s="171"/>
      <c r="J5" s="171"/>
      <c r="K5" s="171"/>
      <c r="L5" s="171"/>
      <c r="M5" s="171"/>
      <c r="N5" s="186"/>
      <c r="O5" s="314"/>
      <c r="P5" s="541"/>
      <c r="Q5" s="170"/>
      <c r="R5" s="170"/>
      <c r="S5" s="171"/>
      <c r="T5" s="171"/>
      <c r="U5" s="171"/>
      <c r="V5" s="171"/>
      <c r="W5" s="171"/>
      <c r="X5" s="171"/>
      <c r="Y5" s="171"/>
      <c r="Z5" s="186"/>
      <c r="AA5" s="178"/>
      <c r="AB5" s="173"/>
    </row>
    <row r="6" hidden="1">
      <c r="A6" s="101" t="s">
        <v>50</v>
      </c>
      <c r="B6" s="187">
        <v>329.0</v>
      </c>
      <c r="C6" s="317"/>
      <c r="D6" s="188"/>
      <c r="E6" s="188"/>
      <c r="F6" s="188"/>
      <c r="G6" s="171"/>
      <c r="H6" s="171"/>
      <c r="I6" s="171"/>
      <c r="J6" s="171"/>
      <c r="K6" s="171"/>
      <c r="L6" s="171"/>
      <c r="M6" s="171"/>
      <c r="N6" s="186"/>
      <c r="O6" s="317"/>
      <c r="P6" s="542"/>
      <c r="Q6" s="188"/>
      <c r="R6" s="188"/>
      <c r="S6" s="171"/>
      <c r="T6" s="171"/>
      <c r="U6" s="171"/>
      <c r="V6" s="171"/>
      <c r="W6" s="171"/>
      <c r="X6" s="171"/>
      <c r="Y6" s="171"/>
      <c r="Z6" s="186"/>
      <c r="AA6" s="178"/>
      <c r="AB6" s="173"/>
    </row>
    <row r="7" hidden="1">
      <c r="A7" s="101" t="s">
        <v>51</v>
      </c>
      <c r="B7" s="187">
        <v>329.0</v>
      </c>
      <c r="C7" s="317"/>
      <c r="D7" s="188"/>
      <c r="E7" s="188"/>
      <c r="F7" s="188"/>
      <c r="G7" s="171"/>
      <c r="H7" s="171"/>
      <c r="I7" s="171"/>
      <c r="J7" s="171"/>
      <c r="K7" s="171"/>
      <c r="L7" s="171"/>
      <c r="M7" s="171"/>
      <c r="N7" s="186"/>
      <c r="O7" s="317"/>
      <c r="P7" s="542"/>
      <c r="Q7" s="188"/>
      <c r="R7" s="188"/>
      <c r="S7" s="171"/>
      <c r="T7" s="171"/>
      <c r="U7" s="171"/>
      <c r="V7" s="171"/>
      <c r="W7" s="171"/>
      <c r="X7" s="171"/>
      <c r="Y7" s="171"/>
      <c r="Z7" s="186"/>
      <c r="AA7" s="178"/>
      <c r="AB7" s="173"/>
    </row>
    <row r="8">
      <c r="A8" s="101" t="s">
        <v>52</v>
      </c>
      <c r="B8" s="442">
        <v>349.0</v>
      </c>
      <c r="C8" s="317"/>
      <c r="D8" s="194">
        <v>8.0</v>
      </c>
      <c r="E8" s="188"/>
      <c r="F8" s="188"/>
      <c r="G8" s="171"/>
      <c r="H8" s="171"/>
      <c r="I8" s="171"/>
      <c r="J8" s="171"/>
      <c r="K8" s="171"/>
      <c r="L8" s="171"/>
      <c r="M8" s="171"/>
      <c r="N8" s="186"/>
      <c r="O8" s="323">
        <v>5.0</v>
      </c>
      <c r="P8" s="543">
        <v>3.0</v>
      </c>
      <c r="Q8" s="194">
        <v>4.0</v>
      </c>
      <c r="R8" s="194">
        <v>2.0</v>
      </c>
      <c r="S8" s="171"/>
      <c r="T8" s="171"/>
      <c r="U8" s="195"/>
      <c r="V8" s="171"/>
      <c r="W8" s="171"/>
      <c r="X8" s="171"/>
      <c r="Y8" s="171"/>
      <c r="Z8" s="186"/>
      <c r="AA8" s="178"/>
      <c r="AB8" s="173"/>
    </row>
    <row r="9" hidden="1">
      <c r="A9" s="101" t="s">
        <v>53</v>
      </c>
      <c r="B9" s="442">
        <v>349.0</v>
      </c>
      <c r="C9" s="317"/>
      <c r="D9" s="188"/>
      <c r="E9" s="188"/>
      <c r="F9" s="188"/>
      <c r="G9" s="171"/>
      <c r="H9" s="171"/>
      <c r="I9" s="171"/>
      <c r="J9" s="171"/>
      <c r="K9" s="171"/>
      <c r="L9" s="171"/>
      <c r="M9" s="171"/>
      <c r="N9" s="186"/>
      <c r="O9" s="317"/>
      <c r="P9" s="542"/>
      <c r="Q9" s="188"/>
      <c r="R9" s="188"/>
      <c r="S9" s="171"/>
      <c r="T9" s="171"/>
      <c r="U9" s="171"/>
      <c r="V9" s="171"/>
      <c r="W9" s="171"/>
      <c r="X9" s="171"/>
      <c r="Y9" s="171"/>
      <c r="Z9" s="186"/>
      <c r="AA9" s="178"/>
      <c r="AB9" s="173"/>
    </row>
    <row r="10">
      <c r="A10" s="101" t="s">
        <v>54</v>
      </c>
      <c r="B10" s="442">
        <v>349.0</v>
      </c>
      <c r="C10" s="544"/>
      <c r="D10" s="545"/>
      <c r="E10" s="194">
        <v>3.0</v>
      </c>
      <c r="F10" s="194">
        <v>9.0</v>
      </c>
      <c r="G10" s="171"/>
      <c r="H10" s="171"/>
      <c r="I10" s="171"/>
      <c r="J10" s="171"/>
      <c r="K10" s="171"/>
      <c r="L10" s="171"/>
      <c r="M10" s="171"/>
      <c r="N10" s="186"/>
      <c r="O10" s="323">
        <v>6.0</v>
      </c>
      <c r="P10" s="542"/>
      <c r="Q10" s="194">
        <v>1.0</v>
      </c>
      <c r="R10" s="194">
        <v>1.0</v>
      </c>
      <c r="S10" s="171"/>
      <c r="T10" s="171"/>
      <c r="U10" s="195"/>
      <c r="V10" s="171"/>
      <c r="W10" s="171"/>
      <c r="X10" s="195"/>
      <c r="Y10" s="195"/>
      <c r="Z10" s="186"/>
      <c r="AA10" s="178"/>
      <c r="AB10" s="173"/>
    </row>
    <row r="11">
      <c r="A11" s="101" t="s">
        <v>55</v>
      </c>
      <c r="B11" s="442">
        <v>349.0</v>
      </c>
      <c r="C11" s="317"/>
      <c r="D11" s="188"/>
      <c r="E11" s="194">
        <v>2.0</v>
      </c>
      <c r="F11" s="188"/>
      <c r="G11" s="171"/>
      <c r="H11" s="171"/>
      <c r="I11" s="171"/>
      <c r="J11" s="171"/>
      <c r="K11" s="171"/>
      <c r="L11" s="171"/>
      <c r="M11" s="171"/>
      <c r="N11" s="186"/>
      <c r="O11" s="323">
        <v>4.0</v>
      </c>
      <c r="P11" s="543">
        <v>2.0</v>
      </c>
      <c r="Q11" s="194">
        <v>1.0</v>
      </c>
      <c r="R11" s="194">
        <v>2.0</v>
      </c>
      <c r="S11" s="171"/>
      <c r="T11" s="171"/>
      <c r="U11" s="195"/>
      <c r="V11" s="171"/>
      <c r="W11" s="171"/>
      <c r="X11" s="171"/>
      <c r="Y11" s="171"/>
      <c r="Z11" s="186"/>
      <c r="AA11" s="178"/>
      <c r="AB11" s="173"/>
    </row>
    <row r="12">
      <c r="A12" s="101" t="s">
        <v>56</v>
      </c>
      <c r="B12" s="442">
        <v>349.0</v>
      </c>
      <c r="C12" s="544"/>
      <c r="D12" s="545"/>
      <c r="E12" s="194">
        <v>1.0</v>
      </c>
      <c r="F12" s="194">
        <v>3.0</v>
      </c>
      <c r="G12" s="171"/>
      <c r="H12" s="171"/>
      <c r="I12" s="171"/>
      <c r="J12" s="171"/>
      <c r="K12" s="171"/>
      <c r="L12" s="171"/>
      <c r="M12" s="171"/>
      <c r="N12" s="186"/>
      <c r="O12" s="323">
        <v>3.0</v>
      </c>
      <c r="P12" s="542"/>
      <c r="Q12" s="194">
        <v>1.0</v>
      </c>
      <c r="R12" s="188"/>
      <c r="S12" s="171"/>
      <c r="T12" s="171"/>
      <c r="U12" s="195"/>
      <c r="V12" s="171"/>
      <c r="W12" s="171"/>
      <c r="X12" s="171"/>
      <c r="Y12" s="171"/>
      <c r="Z12" s="186"/>
      <c r="AA12" s="178"/>
      <c r="AB12" s="173"/>
    </row>
    <row r="13">
      <c r="A13" s="101" t="s">
        <v>57</v>
      </c>
      <c r="B13" s="442">
        <v>349.0</v>
      </c>
      <c r="C13" s="317"/>
      <c r="D13" s="188"/>
      <c r="E13" s="188"/>
      <c r="F13" s="188"/>
      <c r="G13" s="171"/>
      <c r="H13" s="171"/>
      <c r="I13" s="171"/>
      <c r="J13" s="171"/>
      <c r="K13" s="171"/>
      <c r="L13" s="171"/>
      <c r="M13" s="171"/>
      <c r="N13" s="186"/>
      <c r="O13" s="317"/>
      <c r="P13" s="542"/>
      <c r="Q13" s="194">
        <v>1.0</v>
      </c>
      <c r="R13" s="194">
        <v>1.0</v>
      </c>
      <c r="S13" s="171"/>
      <c r="T13" s="171"/>
      <c r="U13" s="195"/>
      <c r="V13" s="171"/>
      <c r="W13" s="195"/>
      <c r="X13" s="171"/>
      <c r="Y13" s="171"/>
      <c r="Z13" s="186"/>
      <c r="AA13" s="178"/>
      <c r="AB13" s="173"/>
    </row>
    <row r="14">
      <c r="A14" s="101" t="s">
        <v>58</v>
      </c>
      <c r="B14" s="442">
        <v>349.0</v>
      </c>
      <c r="C14" s="323">
        <v>2.0</v>
      </c>
      <c r="D14" s="194">
        <v>1.0</v>
      </c>
      <c r="E14" s="188"/>
      <c r="F14" s="188"/>
      <c r="G14" s="171"/>
      <c r="H14" s="171"/>
      <c r="I14" s="171"/>
      <c r="J14" s="171"/>
      <c r="K14" s="171"/>
      <c r="L14" s="171"/>
      <c r="M14" s="171"/>
      <c r="N14" s="186"/>
      <c r="O14" s="317"/>
      <c r="P14" s="542"/>
      <c r="Q14" s="188"/>
      <c r="R14" s="188"/>
      <c r="S14" s="171"/>
      <c r="T14" s="171"/>
      <c r="U14" s="195"/>
      <c r="V14" s="171"/>
      <c r="W14" s="171"/>
      <c r="X14" s="171"/>
      <c r="Y14" s="171"/>
      <c r="Z14" s="186"/>
      <c r="AA14" s="178"/>
      <c r="AB14" s="173"/>
    </row>
    <row r="15">
      <c r="A15" s="101" t="s">
        <v>59</v>
      </c>
      <c r="B15" s="442">
        <v>239.0</v>
      </c>
      <c r="C15" s="323">
        <v>3.0</v>
      </c>
      <c r="D15" s="188"/>
      <c r="E15" s="194">
        <v>2.0</v>
      </c>
      <c r="F15" s="194">
        <v>1.0</v>
      </c>
      <c r="G15" s="171"/>
      <c r="H15" s="171"/>
      <c r="I15" s="171"/>
      <c r="J15" s="171"/>
      <c r="K15" s="171"/>
      <c r="L15" s="171"/>
      <c r="M15" s="171"/>
      <c r="N15" s="186"/>
      <c r="O15" s="317"/>
      <c r="P15" s="542"/>
      <c r="Q15" s="188"/>
      <c r="R15" s="188"/>
      <c r="S15" s="171"/>
      <c r="T15" s="171"/>
      <c r="U15" s="171"/>
      <c r="V15" s="171"/>
      <c r="W15" s="171"/>
      <c r="X15" s="171"/>
      <c r="Y15" s="171"/>
      <c r="Z15" s="186"/>
      <c r="AA15" s="178"/>
      <c r="AB15" s="173"/>
    </row>
    <row r="16" hidden="1">
      <c r="A16" s="101" t="s">
        <v>60</v>
      </c>
      <c r="B16" s="99"/>
      <c r="C16" s="317"/>
      <c r="D16" s="188"/>
      <c r="E16" s="188"/>
      <c r="F16" s="188"/>
      <c r="G16" s="171"/>
      <c r="H16" s="171"/>
      <c r="I16" s="171"/>
      <c r="J16" s="171"/>
      <c r="K16" s="171"/>
      <c r="L16" s="171"/>
      <c r="M16" s="171"/>
      <c r="N16" s="186"/>
      <c r="O16" s="317"/>
      <c r="P16" s="542"/>
      <c r="Q16" s="188"/>
      <c r="R16" s="188"/>
      <c r="S16" s="171"/>
      <c r="T16" s="171"/>
      <c r="U16" s="171"/>
      <c r="V16" s="171"/>
      <c r="W16" s="171"/>
      <c r="X16" s="171"/>
      <c r="Y16" s="171"/>
      <c r="Z16" s="186"/>
      <c r="AA16" s="178"/>
      <c r="AB16" s="173"/>
    </row>
    <row r="17" hidden="1">
      <c r="A17" s="101" t="s">
        <v>61</v>
      </c>
      <c r="B17" s="99"/>
      <c r="C17" s="317"/>
      <c r="D17" s="188"/>
      <c r="E17" s="188"/>
      <c r="F17" s="188"/>
      <c r="G17" s="171"/>
      <c r="H17" s="171"/>
      <c r="I17" s="171"/>
      <c r="J17" s="171"/>
      <c r="K17" s="171"/>
      <c r="L17" s="171"/>
      <c r="M17" s="171"/>
      <c r="N17" s="186"/>
      <c r="O17" s="317"/>
      <c r="P17" s="542"/>
      <c r="Q17" s="188"/>
      <c r="R17" s="188"/>
      <c r="S17" s="171"/>
      <c r="T17" s="171"/>
      <c r="U17" s="171"/>
      <c r="V17" s="171"/>
      <c r="W17" s="171"/>
      <c r="X17" s="171"/>
      <c r="Y17" s="171"/>
      <c r="Z17" s="186"/>
      <c r="AA17" s="178"/>
      <c r="AB17" s="173"/>
    </row>
    <row r="18">
      <c r="A18" s="109"/>
      <c r="B18" s="99"/>
      <c r="C18" s="317"/>
      <c r="D18" s="188"/>
      <c r="E18" s="188"/>
      <c r="F18" s="188"/>
      <c r="G18" s="171"/>
      <c r="H18" s="171"/>
      <c r="I18" s="171"/>
      <c r="J18" s="171"/>
      <c r="K18" s="171"/>
      <c r="L18" s="171"/>
      <c r="M18" s="171"/>
      <c r="N18" s="186"/>
      <c r="O18" s="317"/>
      <c r="P18" s="542"/>
      <c r="Q18" s="188"/>
      <c r="R18" s="188"/>
      <c r="S18" s="171"/>
      <c r="T18" s="171"/>
      <c r="U18" s="171"/>
      <c r="V18" s="171"/>
      <c r="W18" s="171"/>
      <c r="X18" s="171"/>
      <c r="Y18" s="171"/>
      <c r="Z18" s="186"/>
      <c r="AA18" s="178"/>
      <c r="AB18" s="173"/>
    </row>
    <row r="19">
      <c r="A19" s="101" t="s">
        <v>62</v>
      </c>
      <c r="B19" s="442">
        <v>259.0</v>
      </c>
      <c r="C19" s="323">
        <v>2.0</v>
      </c>
      <c r="D19" s="194">
        <v>1.0</v>
      </c>
      <c r="E19" s="545"/>
      <c r="F19" s="194">
        <v>2.0</v>
      </c>
      <c r="G19" s="171"/>
      <c r="H19" s="171"/>
      <c r="I19" s="171"/>
      <c r="J19" s="171"/>
      <c r="K19" s="171"/>
      <c r="L19" s="171"/>
      <c r="M19" s="171"/>
      <c r="N19" s="186"/>
      <c r="O19" s="323">
        <v>1.0</v>
      </c>
      <c r="P19" s="543">
        <v>1.0</v>
      </c>
      <c r="Q19" s="194">
        <v>1.0</v>
      </c>
      <c r="R19" s="188"/>
      <c r="S19" s="171"/>
      <c r="T19" s="171"/>
      <c r="U19" s="171"/>
      <c r="V19" s="171"/>
      <c r="W19" s="171"/>
      <c r="X19" s="171"/>
      <c r="Y19" s="171"/>
      <c r="Z19" s="186"/>
      <c r="AA19" s="178"/>
      <c r="AB19" s="173"/>
    </row>
    <row r="20">
      <c r="A20" s="101" t="s">
        <v>63</v>
      </c>
      <c r="B20" s="442">
        <v>259.0</v>
      </c>
      <c r="C20" s="544"/>
      <c r="D20" s="545"/>
      <c r="E20" s="194">
        <v>1.0</v>
      </c>
      <c r="F20" s="545"/>
      <c r="G20" s="171"/>
      <c r="H20" s="171"/>
      <c r="I20" s="171"/>
      <c r="J20" s="171"/>
      <c r="K20" s="171"/>
      <c r="L20" s="171"/>
      <c r="M20" s="171"/>
      <c r="N20" s="186"/>
      <c r="O20" s="323">
        <v>2.0</v>
      </c>
      <c r="P20" s="543">
        <v>2.0</v>
      </c>
      <c r="Q20" s="188"/>
      <c r="R20" s="194">
        <v>3.0</v>
      </c>
      <c r="S20" s="171"/>
      <c r="T20" s="171"/>
      <c r="U20" s="171"/>
      <c r="V20" s="171"/>
      <c r="W20" s="171"/>
      <c r="X20" s="171"/>
      <c r="Y20" s="171"/>
      <c r="Z20" s="186"/>
      <c r="AA20" s="178"/>
      <c r="AB20" s="173"/>
    </row>
    <row r="21">
      <c r="A21" s="101" t="s">
        <v>64</v>
      </c>
      <c r="B21" s="442">
        <v>259.0</v>
      </c>
      <c r="C21" s="323">
        <v>2.0</v>
      </c>
      <c r="D21" s="194">
        <v>1.0</v>
      </c>
      <c r="E21" s="194">
        <v>1.0</v>
      </c>
      <c r="F21" s="194">
        <v>1.0</v>
      </c>
      <c r="G21" s="171"/>
      <c r="H21" s="171"/>
      <c r="I21" s="171"/>
      <c r="J21" s="171"/>
      <c r="K21" s="171"/>
      <c r="L21" s="171"/>
      <c r="M21" s="171"/>
      <c r="N21" s="186"/>
      <c r="O21" s="323">
        <v>4.0</v>
      </c>
      <c r="P21" s="542"/>
      <c r="Q21" s="188"/>
      <c r="R21" s="188"/>
      <c r="S21" s="171"/>
      <c r="T21" s="171"/>
      <c r="U21" s="171"/>
      <c r="V21" s="171"/>
      <c r="W21" s="171"/>
      <c r="X21" s="171"/>
      <c r="Y21" s="171"/>
      <c r="Z21" s="186"/>
      <c r="AA21" s="178"/>
      <c r="AB21" s="173"/>
    </row>
    <row r="22">
      <c r="A22" s="101" t="s">
        <v>65</v>
      </c>
      <c r="B22" s="442">
        <v>239.0</v>
      </c>
      <c r="C22" s="323">
        <v>2.0</v>
      </c>
      <c r="D22" s="194">
        <v>1.0</v>
      </c>
      <c r="E22" s="545"/>
      <c r="F22" s="545"/>
      <c r="G22" s="171"/>
      <c r="H22" s="171"/>
      <c r="I22" s="171"/>
      <c r="J22" s="171"/>
      <c r="K22" s="171"/>
      <c r="L22" s="171"/>
      <c r="M22" s="171"/>
      <c r="N22" s="186"/>
      <c r="O22" s="323">
        <v>3.0</v>
      </c>
      <c r="P22" s="543">
        <v>2.0</v>
      </c>
      <c r="Q22" s="188"/>
      <c r="R22" s="194">
        <v>2.0</v>
      </c>
      <c r="S22" s="171"/>
      <c r="T22" s="171"/>
      <c r="U22" s="171"/>
      <c r="V22" s="171"/>
      <c r="W22" s="171"/>
      <c r="X22" s="171"/>
      <c r="Y22" s="171"/>
      <c r="Z22" s="186"/>
      <c r="AA22" s="178"/>
      <c r="AB22" s="173"/>
    </row>
    <row r="23">
      <c r="A23" s="101" t="s">
        <v>66</v>
      </c>
      <c r="B23" s="442">
        <v>239.0</v>
      </c>
      <c r="C23" s="317"/>
      <c r="D23" s="188"/>
      <c r="E23" s="194">
        <v>2.0</v>
      </c>
      <c r="F23" s="188"/>
      <c r="G23" s="171"/>
      <c r="H23" s="171"/>
      <c r="I23" s="171"/>
      <c r="J23" s="171"/>
      <c r="K23" s="171"/>
      <c r="L23" s="171"/>
      <c r="M23" s="171"/>
      <c r="N23" s="186"/>
      <c r="O23" s="323">
        <v>1.0</v>
      </c>
      <c r="P23" s="543">
        <v>2.0</v>
      </c>
      <c r="Q23" s="194">
        <v>1.0</v>
      </c>
      <c r="R23" s="188"/>
      <c r="S23" s="171"/>
      <c r="T23" s="171"/>
      <c r="U23" s="171"/>
      <c r="V23" s="171"/>
      <c r="W23" s="171"/>
      <c r="X23" s="171"/>
      <c r="Y23" s="171"/>
      <c r="Z23" s="186"/>
      <c r="AA23" s="178"/>
      <c r="AB23" s="173"/>
    </row>
    <row r="24">
      <c r="A24" s="101" t="s">
        <v>67</v>
      </c>
      <c r="B24" s="442">
        <v>239.0</v>
      </c>
      <c r="C24" s="323">
        <v>1.0</v>
      </c>
      <c r="D24" s="194">
        <v>2.0</v>
      </c>
      <c r="E24" s="545"/>
      <c r="F24" s="545"/>
      <c r="G24" s="171"/>
      <c r="H24" s="171"/>
      <c r="I24" s="171"/>
      <c r="J24" s="171"/>
      <c r="K24" s="171"/>
      <c r="L24" s="171"/>
      <c r="M24" s="171"/>
      <c r="N24" s="186"/>
      <c r="O24" s="323"/>
      <c r="P24" s="543">
        <v>2.0</v>
      </c>
      <c r="Q24" s="194">
        <v>1.0</v>
      </c>
      <c r="R24" s="194">
        <v>1.0</v>
      </c>
      <c r="S24" s="171"/>
      <c r="T24" s="171"/>
      <c r="U24" s="171"/>
      <c r="V24" s="171"/>
      <c r="W24" s="171"/>
      <c r="X24" s="171"/>
      <c r="Y24" s="171"/>
      <c r="Z24" s="186"/>
      <c r="AA24" s="178"/>
      <c r="AB24" s="173"/>
    </row>
    <row r="25" hidden="1">
      <c r="A25" s="101" t="s">
        <v>68</v>
      </c>
      <c r="B25" s="93">
        <v>219.0</v>
      </c>
      <c r="C25" s="317"/>
      <c r="D25" s="188"/>
      <c r="E25" s="188"/>
      <c r="F25" s="188"/>
      <c r="G25" s="171"/>
      <c r="H25" s="171"/>
      <c r="I25" s="171"/>
      <c r="J25" s="171"/>
      <c r="K25" s="171"/>
      <c r="L25" s="171"/>
      <c r="M25" s="171"/>
      <c r="N25" s="186"/>
      <c r="O25" s="317"/>
      <c r="P25" s="542"/>
      <c r="Q25" s="188"/>
      <c r="R25" s="188"/>
      <c r="S25" s="171"/>
      <c r="T25" s="171"/>
      <c r="U25" s="171"/>
      <c r="V25" s="171"/>
      <c r="W25" s="171"/>
      <c r="X25" s="171"/>
      <c r="Y25" s="171"/>
      <c r="Z25" s="186"/>
      <c r="AA25" s="178"/>
      <c r="AB25" s="173"/>
    </row>
    <row r="26" hidden="1">
      <c r="A26" s="101" t="s">
        <v>69</v>
      </c>
      <c r="B26" s="93">
        <v>219.0</v>
      </c>
      <c r="C26" s="317"/>
      <c r="D26" s="188"/>
      <c r="E26" s="188"/>
      <c r="F26" s="188"/>
      <c r="G26" s="171"/>
      <c r="H26" s="171"/>
      <c r="I26" s="171"/>
      <c r="J26" s="171"/>
      <c r="K26" s="171"/>
      <c r="L26" s="171"/>
      <c r="M26" s="171"/>
      <c r="N26" s="186"/>
      <c r="O26" s="317"/>
      <c r="P26" s="542"/>
      <c r="Q26" s="188"/>
      <c r="R26" s="188"/>
      <c r="S26" s="171"/>
      <c r="T26" s="171"/>
      <c r="U26" s="171"/>
      <c r="V26" s="171"/>
      <c r="W26" s="171"/>
      <c r="X26" s="171"/>
      <c r="Y26" s="171"/>
      <c r="Z26" s="186"/>
      <c r="AA26" s="178"/>
      <c r="AB26" s="173"/>
    </row>
    <row r="27">
      <c r="A27" s="101" t="s">
        <v>70</v>
      </c>
      <c r="B27" s="93">
        <v>799.0</v>
      </c>
      <c r="C27" s="317"/>
      <c r="D27" s="188"/>
      <c r="E27" s="188"/>
      <c r="F27" s="188"/>
      <c r="G27" s="171"/>
      <c r="H27" s="171"/>
      <c r="I27" s="171"/>
      <c r="J27" s="171"/>
      <c r="K27" s="171"/>
      <c r="L27" s="171"/>
      <c r="M27" s="171"/>
      <c r="N27" s="186"/>
      <c r="O27" s="317"/>
      <c r="P27" s="542"/>
      <c r="Q27" s="188"/>
      <c r="R27" s="188"/>
      <c r="S27" s="171"/>
      <c r="T27" s="171"/>
      <c r="U27" s="195"/>
      <c r="V27" s="171"/>
      <c r="W27" s="171"/>
      <c r="X27" s="171"/>
      <c r="Y27" s="171"/>
      <c r="Z27" s="186"/>
      <c r="AA27" s="178"/>
      <c r="AB27" s="173"/>
    </row>
    <row r="28">
      <c r="A28" s="102" t="s">
        <v>71</v>
      </c>
      <c r="B28" s="442">
        <v>629.0</v>
      </c>
      <c r="C28" s="323">
        <v>4.0</v>
      </c>
      <c r="D28" s="188"/>
      <c r="E28" s="188"/>
      <c r="F28" s="188"/>
      <c r="G28" s="171"/>
      <c r="H28" s="171"/>
      <c r="I28" s="171"/>
      <c r="J28" s="171"/>
      <c r="K28" s="171"/>
      <c r="L28" s="171"/>
      <c r="M28" s="171"/>
      <c r="N28" s="186"/>
      <c r="O28" s="323">
        <v>1.0</v>
      </c>
      <c r="P28" s="543">
        <v>1.0</v>
      </c>
      <c r="Q28" s="188"/>
      <c r="R28" s="188"/>
      <c r="S28" s="171"/>
      <c r="T28" s="171"/>
      <c r="U28" s="171"/>
      <c r="V28" s="171"/>
      <c r="W28" s="195"/>
      <c r="X28" s="171"/>
      <c r="Y28" s="171"/>
      <c r="Z28" s="213"/>
      <c r="AA28" s="178"/>
      <c r="AB28" s="173"/>
    </row>
    <row r="29">
      <c r="A29" s="101" t="s">
        <v>72</v>
      </c>
      <c r="B29" s="442">
        <v>349.0</v>
      </c>
      <c r="C29" s="317"/>
      <c r="D29" s="188"/>
      <c r="E29" s="188"/>
      <c r="F29" s="188"/>
      <c r="G29" s="171"/>
      <c r="H29" s="171"/>
      <c r="I29" s="171"/>
      <c r="J29" s="171"/>
      <c r="K29" s="171"/>
      <c r="L29" s="171"/>
      <c r="M29" s="171"/>
      <c r="N29" s="186"/>
      <c r="O29" s="323">
        <v>4.0</v>
      </c>
      <c r="P29" s="543">
        <v>4.0</v>
      </c>
      <c r="Q29" s="188"/>
      <c r="R29" s="194">
        <v>1.0</v>
      </c>
      <c r="S29" s="171"/>
      <c r="T29" s="171"/>
      <c r="U29" s="195"/>
      <c r="V29" s="171"/>
      <c r="W29" s="171"/>
      <c r="X29" s="171"/>
      <c r="Y29" s="171"/>
      <c r="Z29" s="186"/>
      <c r="AA29" s="178"/>
      <c r="AB29" s="173"/>
    </row>
    <row r="30">
      <c r="A30" s="101" t="s">
        <v>73</v>
      </c>
      <c r="B30" s="442">
        <v>349.0</v>
      </c>
      <c r="C30" s="317"/>
      <c r="D30" s="188"/>
      <c r="E30" s="188"/>
      <c r="F30" s="188"/>
      <c r="G30" s="171"/>
      <c r="H30" s="171"/>
      <c r="I30" s="171"/>
      <c r="J30" s="171"/>
      <c r="K30" s="171"/>
      <c r="L30" s="171"/>
      <c r="M30" s="171"/>
      <c r="N30" s="186"/>
      <c r="O30" s="317"/>
      <c r="P30" s="542"/>
      <c r="Q30" s="188"/>
      <c r="R30" s="188"/>
      <c r="S30" s="171"/>
      <c r="T30" s="171"/>
      <c r="U30" s="171"/>
      <c r="V30" s="171"/>
      <c r="W30" s="171"/>
      <c r="X30" s="171"/>
      <c r="Y30" s="171"/>
      <c r="Z30" s="186"/>
      <c r="AA30" s="178"/>
      <c r="AB30" s="173"/>
    </row>
    <row r="31">
      <c r="A31" s="101" t="s">
        <v>74</v>
      </c>
      <c r="B31" s="442">
        <v>239.0</v>
      </c>
      <c r="C31" s="323">
        <v>1.0</v>
      </c>
      <c r="D31" s="545"/>
      <c r="E31" s="545"/>
      <c r="F31" s="545"/>
      <c r="G31" s="171"/>
      <c r="H31" s="171"/>
      <c r="I31" s="171"/>
      <c r="J31" s="171"/>
      <c r="K31" s="171"/>
      <c r="L31" s="171"/>
      <c r="M31" s="171"/>
      <c r="N31" s="186"/>
      <c r="O31" s="323">
        <v>3.0</v>
      </c>
      <c r="P31" s="543">
        <v>2.0</v>
      </c>
      <c r="Q31" s="194">
        <v>1.0</v>
      </c>
      <c r="R31" s="188"/>
      <c r="S31" s="171"/>
      <c r="T31" s="171"/>
      <c r="U31" s="171"/>
      <c r="V31" s="171"/>
      <c r="W31" s="171"/>
      <c r="X31" s="171"/>
      <c r="Y31" s="171"/>
      <c r="Z31" s="186"/>
      <c r="AA31" s="178"/>
      <c r="AB31" s="173"/>
    </row>
    <row r="32">
      <c r="A32" s="101" t="s">
        <v>75</v>
      </c>
      <c r="B32" s="442">
        <v>239.0</v>
      </c>
      <c r="C32" s="317"/>
      <c r="D32" s="188"/>
      <c r="E32" s="188"/>
      <c r="F32" s="188"/>
      <c r="G32" s="171"/>
      <c r="H32" s="171"/>
      <c r="I32" s="171"/>
      <c r="J32" s="171"/>
      <c r="K32" s="171"/>
      <c r="L32" s="171"/>
      <c r="M32" s="171"/>
      <c r="N32" s="186"/>
      <c r="O32" s="317"/>
      <c r="P32" s="542"/>
      <c r="Q32" s="188"/>
      <c r="R32" s="188"/>
      <c r="S32" s="171"/>
      <c r="T32" s="171"/>
      <c r="U32" s="171"/>
      <c r="V32" s="171"/>
      <c r="W32" s="171"/>
      <c r="X32" s="171"/>
      <c r="Y32" s="171"/>
      <c r="Z32" s="186"/>
      <c r="AA32" s="178"/>
      <c r="AB32" s="173"/>
    </row>
    <row r="33">
      <c r="A33" s="101" t="s">
        <v>76</v>
      </c>
      <c r="B33" s="442">
        <v>459.0</v>
      </c>
      <c r="C33" s="317"/>
      <c r="D33" s="194">
        <v>1.0</v>
      </c>
      <c r="E33" s="194">
        <v>2.0</v>
      </c>
      <c r="F33" s="194">
        <v>6.0</v>
      </c>
      <c r="G33" s="171"/>
      <c r="H33" s="171"/>
      <c r="I33" s="171"/>
      <c r="J33" s="171"/>
      <c r="K33" s="171"/>
      <c r="L33" s="171"/>
      <c r="M33" s="171"/>
      <c r="N33" s="186"/>
      <c r="O33" s="323">
        <v>2.0</v>
      </c>
      <c r="P33" s="543">
        <v>1.0</v>
      </c>
      <c r="Q33" s="188"/>
      <c r="R33" s="188"/>
      <c r="S33" s="171"/>
      <c r="T33" s="171"/>
      <c r="U33" s="171"/>
      <c r="V33" s="171"/>
      <c r="W33" s="171"/>
      <c r="X33" s="171"/>
      <c r="Y33" s="171"/>
      <c r="Z33" s="186"/>
      <c r="AA33" s="178"/>
      <c r="AB33" s="173"/>
    </row>
    <row r="34">
      <c r="A34" s="101" t="s">
        <v>77</v>
      </c>
      <c r="B34" s="93">
        <v>899.0</v>
      </c>
      <c r="C34" s="317"/>
      <c r="D34" s="188"/>
      <c r="E34" s="188"/>
      <c r="F34" s="188"/>
      <c r="G34" s="171"/>
      <c r="H34" s="171"/>
      <c r="I34" s="171"/>
      <c r="J34" s="171"/>
      <c r="K34" s="171"/>
      <c r="L34" s="171"/>
      <c r="M34" s="171"/>
      <c r="N34" s="186"/>
      <c r="O34" s="317"/>
      <c r="P34" s="542"/>
      <c r="Q34" s="178"/>
      <c r="R34" s="188"/>
      <c r="S34" s="171"/>
      <c r="T34" s="171"/>
      <c r="U34" s="171"/>
      <c r="V34" s="171"/>
      <c r="W34" s="171"/>
      <c r="X34" s="171"/>
      <c r="Y34" s="171"/>
      <c r="Z34" s="186"/>
      <c r="AA34" s="178"/>
      <c r="AB34" s="173"/>
    </row>
    <row r="35">
      <c r="A35" s="101" t="s">
        <v>78</v>
      </c>
      <c r="B35" s="442">
        <v>569.0</v>
      </c>
      <c r="C35" s="323">
        <v>2.0</v>
      </c>
      <c r="D35" s="188"/>
      <c r="E35" s="194">
        <v>1.0</v>
      </c>
      <c r="F35" s="194">
        <v>1.0</v>
      </c>
      <c r="G35" s="171"/>
      <c r="H35" s="171"/>
      <c r="I35" s="171"/>
      <c r="J35" s="171"/>
      <c r="K35" s="171"/>
      <c r="L35" s="171"/>
      <c r="M35" s="171"/>
      <c r="N35" s="186"/>
      <c r="O35" s="317"/>
      <c r="P35" s="178"/>
      <c r="Q35" s="188"/>
      <c r="R35" s="188"/>
      <c r="S35" s="171"/>
      <c r="T35" s="195"/>
      <c r="U35" s="171"/>
      <c r="V35" s="171"/>
      <c r="W35" s="171"/>
      <c r="X35" s="171"/>
      <c r="Y35" s="171"/>
      <c r="Z35" s="186"/>
      <c r="AA35" s="178"/>
      <c r="AB35" s="173"/>
    </row>
    <row r="36">
      <c r="A36" s="101" t="s">
        <v>79</v>
      </c>
      <c r="B36" s="93">
        <v>549.0</v>
      </c>
      <c r="C36" s="317"/>
      <c r="D36" s="188"/>
      <c r="E36" s="194">
        <v>2.0</v>
      </c>
      <c r="F36" s="188"/>
      <c r="G36" s="171"/>
      <c r="H36" s="171"/>
      <c r="I36" s="171"/>
      <c r="J36" s="171"/>
      <c r="K36" s="171"/>
      <c r="L36" s="171"/>
      <c r="M36" s="171"/>
      <c r="N36" s="186"/>
      <c r="O36" s="317"/>
      <c r="P36" s="178"/>
      <c r="Q36" s="188"/>
      <c r="R36" s="188"/>
      <c r="S36" s="171"/>
      <c r="T36" s="171"/>
      <c r="U36" s="171"/>
      <c r="V36" s="171"/>
      <c r="W36" s="171"/>
      <c r="X36" s="171"/>
      <c r="Y36" s="171"/>
      <c r="Z36" s="186"/>
      <c r="AA36" s="178"/>
      <c r="AB36" s="173"/>
    </row>
    <row r="37">
      <c r="A37" s="101" t="s">
        <v>80</v>
      </c>
      <c r="B37" s="93">
        <v>549.0</v>
      </c>
      <c r="C37" s="317"/>
      <c r="D37" s="188"/>
      <c r="E37" s="188"/>
      <c r="F37" s="188"/>
      <c r="G37" s="171"/>
      <c r="H37" s="171"/>
      <c r="I37" s="171"/>
      <c r="J37" s="171"/>
      <c r="K37" s="171"/>
      <c r="L37" s="171"/>
      <c r="M37" s="171"/>
      <c r="N37" s="186"/>
      <c r="O37" s="317"/>
      <c r="P37" s="542"/>
      <c r="Q37" s="188"/>
      <c r="R37" s="188"/>
      <c r="S37" s="171"/>
      <c r="T37" s="171"/>
      <c r="U37" s="171"/>
      <c r="V37" s="171"/>
      <c r="W37" s="171"/>
      <c r="X37" s="171"/>
      <c r="Y37" s="171"/>
      <c r="Z37" s="186"/>
      <c r="AA37" s="178"/>
      <c r="AB37" s="173"/>
    </row>
    <row r="38">
      <c r="A38" s="102" t="s">
        <v>81</v>
      </c>
      <c r="B38" s="93">
        <v>799.0</v>
      </c>
      <c r="C38" s="317"/>
      <c r="D38" s="188"/>
      <c r="E38" s="188"/>
      <c r="F38" s="188"/>
      <c r="G38" s="171"/>
      <c r="H38" s="171"/>
      <c r="I38" s="171"/>
      <c r="J38" s="171"/>
      <c r="K38" s="171"/>
      <c r="L38" s="171"/>
      <c r="M38" s="171"/>
      <c r="N38" s="186"/>
      <c r="O38" s="317"/>
      <c r="P38" s="542"/>
      <c r="Q38" s="188"/>
      <c r="R38" s="188"/>
      <c r="S38" s="171"/>
      <c r="T38" s="171"/>
      <c r="U38" s="171"/>
      <c r="V38" s="171"/>
      <c r="W38" s="171"/>
      <c r="X38" s="171"/>
      <c r="Y38" s="171"/>
      <c r="Z38" s="186"/>
      <c r="AA38" s="178"/>
      <c r="AB38" s="173"/>
    </row>
    <row r="39">
      <c r="A39" s="102" t="s">
        <v>82</v>
      </c>
      <c r="B39" s="93">
        <v>799.0</v>
      </c>
      <c r="C39" s="317"/>
      <c r="D39" s="188"/>
      <c r="E39" s="188"/>
      <c r="F39" s="188"/>
      <c r="G39" s="171"/>
      <c r="H39" s="171"/>
      <c r="I39" s="171"/>
      <c r="J39" s="171"/>
      <c r="K39" s="171"/>
      <c r="L39" s="171"/>
      <c r="M39" s="171"/>
      <c r="N39" s="186"/>
      <c r="O39" s="317"/>
      <c r="P39" s="542"/>
      <c r="Q39" s="188"/>
      <c r="R39" s="188"/>
      <c r="S39" s="171"/>
      <c r="T39" s="171"/>
      <c r="U39" s="195"/>
      <c r="V39" s="171"/>
      <c r="W39" s="171"/>
      <c r="X39" s="171"/>
      <c r="Y39" s="171"/>
      <c r="Z39" s="186"/>
      <c r="AA39" s="178"/>
      <c r="AB39" s="173"/>
    </row>
    <row r="40">
      <c r="A40" s="101" t="s">
        <v>83</v>
      </c>
      <c r="B40" s="93">
        <v>439.0</v>
      </c>
      <c r="C40" s="317"/>
      <c r="D40" s="194">
        <v>1.0</v>
      </c>
      <c r="E40" s="188"/>
      <c r="F40" s="188"/>
      <c r="G40" s="171"/>
      <c r="H40" s="171"/>
      <c r="I40" s="171"/>
      <c r="J40" s="171"/>
      <c r="K40" s="171"/>
      <c r="L40" s="171"/>
      <c r="M40" s="171"/>
      <c r="N40" s="186"/>
      <c r="O40" s="323">
        <v>1.0</v>
      </c>
      <c r="P40" s="542"/>
      <c r="Q40" s="188"/>
      <c r="R40" s="194">
        <v>1.0</v>
      </c>
      <c r="S40" s="171"/>
      <c r="T40" s="171"/>
      <c r="U40" s="171"/>
      <c r="V40" s="171"/>
      <c r="W40" s="171"/>
      <c r="X40" s="171"/>
      <c r="Y40" s="171"/>
      <c r="Z40" s="186"/>
      <c r="AA40" s="178"/>
      <c r="AB40" s="173"/>
    </row>
    <row r="41">
      <c r="A41" s="101" t="s">
        <v>84</v>
      </c>
      <c r="B41" s="93">
        <v>439.0</v>
      </c>
      <c r="C41" s="317"/>
      <c r="D41" s="188"/>
      <c r="E41" s="188"/>
      <c r="F41" s="194">
        <v>4.0</v>
      </c>
      <c r="G41" s="171"/>
      <c r="H41" s="171"/>
      <c r="I41" s="171"/>
      <c r="J41" s="171"/>
      <c r="K41" s="171"/>
      <c r="L41" s="171"/>
      <c r="M41" s="171"/>
      <c r="N41" s="186"/>
      <c r="O41" s="317"/>
      <c r="P41" s="542"/>
      <c r="Q41" s="188"/>
      <c r="R41" s="188"/>
      <c r="S41" s="171"/>
      <c r="T41" s="171"/>
      <c r="U41" s="171"/>
      <c r="V41" s="171"/>
      <c r="W41" s="171"/>
      <c r="X41" s="171"/>
      <c r="Y41" s="171"/>
      <c r="Z41" s="186"/>
      <c r="AA41" s="178"/>
      <c r="AB41" s="173"/>
    </row>
    <row r="42">
      <c r="A42" s="101" t="s">
        <v>85</v>
      </c>
      <c r="B42" s="93">
        <v>60.0</v>
      </c>
      <c r="C42" s="317"/>
      <c r="D42" s="188"/>
      <c r="E42" s="188"/>
      <c r="F42" s="188"/>
      <c r="G42" s="171"/>
      <c r="H42" s="171"/>
      <c r="I42" s="171"/>
      <c r="J42" s="171"/>
      <c r="K42" s="171"/>
      <c r="L42" s="171"/>
      <c r="M42" s="171"/>
      <c r="N42" s="186"/>
      <c r="O42" s="317"/>
      <c r="P42" s="542"/>
      <c r="Q42" s="188"/>
      <c r="R42" s="188"/>
      <c r="S42" s="171"/>
      <c r="T42" s="171"/>
      <c r="U42" s="171"/>
      <c r="V42" s="171"/>
      <c r="W42" s="171"/>
      <c r="X42" s="171"/>
      <c r="Y42" s="171"/>
      <c r="Z42" s="186"/>
      <c r="AA42" s="178"/>
      <c r="AB42" s="173"/>
    </row>
    <row r="43">
      <c r="A43" s="101" t="s">
        <v>86</v>
      </c>
      <c r="B43" s="93">
        <v>609.0</v>
      </c>
      <c r="C43" s="212">
        <v>7.0</v>
      </c>
      <c r="D43" s="215"/>
      <c r="E43" s="217">
        <v>5.0</v>
      </c>
      <c r="F43" s="217">
        <v>2.0</v>
      </c>
      <c r="G43" s="171"/>
      <c r="H43" s="171"/>
      <c r="I43" s="171"/>
      <c r="J43" s="171"/>
      <c r="K43" s="171"/>
      <c r="L43" s="171"/>
      <c r="M43" s="171"/>
      <c r="N43" s="186"/>
      <c r="O43" s="212">
        <v>3.0</v>
      </c>
      <c r="P43" s="321">
        <v>3.0</v>
      </c>
      <c r="Q43" s="217">
        <v>1.0</v>
      </c>
      <c r="R43" s="215"/>
      <c r="S43" s="171"/>
      <c r="T43" s="171"/>
      <c r="U43" s="171"/>
      <c r="V43" s="171"/>
      <c r="W43" s="171"/>
      <c r="X43" s="171"/>
      <c r="Y43" s="171"/>
      <c r="Z43" s="186"/>
      <c r="AA43" s="200"/>
      <c r="AB43" s="173"/>
    </row>
    <row r="44">
      <c r="A44" s="101" t="s">
        <v>87</v>
      </c>
      <c r="B44" s="93">
        <v>379.0</v>
      </c>
      <c r="C44" s="329"/>
      <c r="D44" s="215"/>
      <c r="E44" s="217">
        <v>1.0</v>
      </c>
      <c r="F44" s="215"/>
      <c r="G44" s="171"/>
      <c r="H44" s="171"/>
      <c r="I44" s="171"/>
      <c r="J44" s="171"/>
      <c r="K44" s="171"/>
      <c r="L44" s="171"/>
      <c r="M44" s="171"/>
      <c r="N44" s="186"/>
      <c r="O44" s="329"/>
      <c r="P44" s="327"/>
      <c r="Q44" s="215"/>
      <c r="R44" s="215"/>
      <c r="S44" s="171"/>
      <c r="T44" s="171"/>
      <c r="U44" s="171"/>
      <c r="V44" s="171"/>
      <c r="W44" s="171"/>
      <c r="X44" s="171"/>
      <c r="Y44" s="171"/>
      <c r="Z44" s="186"/>
      <c r="AA44" s="200"/>
      <c r="AB44" s="173"/>
    </row>
    <row r="45">
      <c r="A45" s="101" t="s">
        <v>88</v>
      </c>
      <c r="B45" s="93">
        <v>379.0</v>
      </c>
      <c r="C45" s="212">
        <v>4.0</v>
      </c>
      <c r="D45" s="217">
        <v>1.0</v>
      </c>
      <c r="E45" s="217">
        <v>1.0</v>
      </c>
      <c r="F45" s="215"/>
      <c r="G45" s="171"/>
      <c r="H45" s="171"/>
      <c r="I45" s="171"/>
      <c r="J45" s="171"/>
      <c r="K45" s="171"/>
      <c r="L45" s="171"/>
      <c r="M45" s="171"/>
      <c r="N45" s="186"/>
      <c r="O45" s="212">
        <v>1.0</v>
      </c>
      <c r="P45" s="321">
        <v>1.0</v>
      </c>
      <c r="Q45" s="217">
        <v>1.0</v>
      </c>
      <c r="R45" s="215"/>
      <c r="S45" s="171"/>
      <c r="T45" s="171"/>
      <c r="U45" s="171"/>
      <c r="V45" s="171"/>
      <c r="W45" s="171"/>
      <c r="X45" s="171"/>
      <c r="Y45" s="171"/>
      <c r="Z45" s="186"/>
      <c r="AA45" s="200"/>
      <c r="AB45" s="173"/>
    </row>
    <row r="46">
      <c r="A46" s="101" t="s">
        <v>89</v>
      </c>
      <c r="B46" s="93">
        <v>1299.0</v>
      </c>
      <c r="C46" s="329"/>
      <c r="D46" s="215"/>
      <c r="E46" s="215"/>
      <c r="F46" s="215"/>
      <c r="G46" s="171"/>
      <c r="H46" s="171"/>
      <c r="I46" s="171"/>
      <c r="J46" s="171"/>
      <c r="K46" s="171"/>
      <c r="L46" s="171"/>
      <c r="M46" s="171"/>
      <c r="N46" s="186"/>
      <c r="O46" s="329"/>
      <c r="P46" s="327"/>
      <c r="Q46" s="215"/>
      <c r="R46" s="215"/>
      <c r="S46" s="171"/>
      <c r="T46" s="171"/>
      <c r="U46" s="171"/>
      <c r="V46" s="171"/>
      <c r="W46" s="171"/>
      <c r="X46" s="171"/>
      <c r="Y46" s="171"/>
      <c r="Z46" s="186"/>
      <c r="AA46" s="200"/>
      <c r="AB46" s="173"/>
    </row>
    <row r="47">
      <c r="A47" s="67" t="s">
        <v>90</v>
      </c>
      <c r="B47" s="93">
        <v>1299.0</v>
      </c>
      <c r="C47" s="329"/>
      <c r="D47" s="215"/>
      <c r="E47" s="215"/>
      <c r="F47" s="215"/>
      <c r="G47" s="171"/>
      <c r="H47" s="171"/>
      <c r="I47" s="171"/>
      <c r="J47" s="171"/>
      <c r="K47" s="171"/>
      <c r="L47" s="171"/>
      <c r="M47" s="171"/>
      <c r="N47" s="186"/>
      <c r="O47" s="329"/>
      <c r="P47" s="327"/>
      <c r="Q47" s="215"/>
      <c r="R47" s="215"/>
      <c r="S47" s="171"/>
      <c r="T47" s="171"/>
      <c r="U47" s="171"/>
      <c r="V47" s="171"/>
      <c r="W47" s="171"/>
      <c r="X47" s="171"/>
      <c r="Y47" s="171"/>
      <c r="Z47" s="186"/>
      <c r="AA47" s="200"/>
      <c r="AB47" s="173"/>
    </row>
    <row r="48">
      <c r="A48" s="101" t="s">
        <v>91</v>
      </c>
      <c r="B48" s="103">
        <v>0.0</v>
      </c>
      <c r="C48" s="329"/>
      <c r="D48" s="215"/>
      <c r="E48" s="215"/>
      <c r="F48" s="215"/>
      <c r="G48" s="171"/>
      <c r="H48" s="171"/>
      <c r="I48" s="171"/>
      <c r="J48" s="171"/>
      <c r="K48" s="171"/>
      <c r="L48" s="171"/>
      <c r="M48" s="171"/>
      <c r="N48" s="186"/>
      <c r="O48" s="329"/>
      <c r="P48" s="327"/>
      <c r="Q48" s="215"/>
      <c r="R48" s="215"/>
      <c r="S48" s="171"/>
      <c r="T48" s="171"/>
      <c r="U48" s="171"/>
      <c r="V48" s="171"/>
      <c r="W48" s="171"/>
      <c r="X48" s="171"/>
      <c r="Y48" s="171"/>
      <c r="Z48" s="186"/>
      <c r="AA48" s="200"/>
      <c r="AB48" s="173"/>
    </row>
    <row r="49">
      <c r="A49" s="104"/>
      <c r="B49" s="105"/>
      <c r="C49" s="329"/>
      <c r="D49" s="215"/>
      <c r="E49" s="215"/>
      <c r="F49" s="215"/>
      <c r="G49" s="171"/>
      <c r="H49" s="171"/>
      <c r="I49" s="171"/>
      <c r="J49" s="171"/>
      <c r="K49" s="171"/>
      <c r="L49" s="171"/>
      <c r="M49" s="171"/>
      <c r="N49" s="186"/>
      <c r="O49" s="329"/>
      <c r="P49" s="327"/>
      <c r="Q49" s="215"/>
      <c r="R49" s="215"/>
      <c r="S49" s="171"/>
      <c r="T49" s="171"/>
      <c r="U49" s="171"/>
      <c r="V49" s="171"/>
      <c r="W49" s="171"/>
      <c r="X49" s="171"/>
      <c r="Y49" s="171"/>
      <c r="Z49" s="186"/>
      <c r="AA49" s="200"/>
      <c r="AB49" s="173"/>
    </row>
    <row r="50">
      <c r="A50" s="102" t="s">
        <v>92</v>
      </c>
      <c r="B50" s="106">
        <v>609.0</v>
      </c>
      <c r="C50" s="212">
        <v>4.0</v>
      </c>
      <c r="D50" s="217">
        <v>2.0</v>
      </c>
      <c r="E50" s="217">
        <v>1.0</v>
      </c>
      <c r="F50" s="217">
        <v>3.0</v>
      </c>
      <c r="G50" s="171"/>
      <c r="H50" s="171"/>
      <c r="I50" s="171"/>
      <c r="J50" s="171"/>
      <c r="K50" s="171"/>
      <c r="L50" s="171"/>
      <c r="M50" s="171"/>
      <c r="N50" s="186"/>
      <c r="O50" s="212"/>
      <c r="P50" s="321">
        <v>4.0</v>
      </c>
      <c r="Q50" s="215"/>
      <c r="R50" s="217">
        <v>2.0</v>
      </c>
      <c r="S50" s="171"/>
      <c r="T50" s="171"/>
      <c r="U50" s="171"/>
      <c r="V50" s="171"/>
      <c r="W50" s="171"/>
      <c r="X50" s="171"/>
      <c r="Y50" s="171"/>
      <c r="Z50" s="213"/>
      <c r="AA50" s="200"/>
      <c r="AB50" s="173"/>
    </row>
    <row r="51">
      <c r="A51" s="102" t="s">
        <v>93</v>
      </c>
      <c r="B51" s="93">
        <v>609.0</v>
      </c>
      <c r="C51" s="329"/>
      <c r="D51" s="217">
        <v>2.0</v>
      </c>
      <c r="E51" s="217">
        <v>3.0</v>
      </c>
      <c r="F51" s="215"/>
      <c r="G51" s="171"/>
      <c r="H51" s="171"/>
      <c r="I51" s="171"/>
      <c r="J51" s="171"/>
      <c r="K51" s="171"/>
      <c r="L51" s="171"/>
      <c r="M51" s="171"/>
      <c r="N51" s="186"/>
      <c r="O51" s="329"/>
      <c r="P51" s="321">
        <v>2.0</v>
      </c>
      <c r="Q51" s="217">
        <v>1.0</v>
      </c>
      <c r="R51" s="215"/>
      <c r="S51" s="171"/>
      <c r="T51" s="171"/>
      <c r="U51" s="171"/>
      <c r="V51" s="171"/>
      <c r="W51" s="171"/>
      <c r="X51" s="171"/>
      <c r="Y51" s="171"/>
      <c r="Z51" s="213"/>
      <c r="AA51" s="200"/>
      <c r="AB51" s="173"/>
    </row>
    <row r="52">
      <c r="A52" s="102" t="s">
        <v>94</v>
      </c>
      <c r="B52" s="93">
        <v>329.0</v>
      </c>
      <c r="C52" s="329"/>
      <c r="D52" s="215"/>
      <c r="E52" s="215"/>
      <c r="F52" s="215"/>
      <c r="G52" s="171"/>
      <c r="H52" s="171"/>
      <c r="I52" s="171"/>
      <c r="J52" s="171"/>
      <c r="K52" s="171"/>
      <c r="L52" s="171"/>
      <c r="M52" s="171"/>
      <c r="N52" s="186"/>
      <c r="O52" s="329"/>
      <c r="P52" s="327"/>
      <c r="Q52" s="215"/>
      <c r="R52" s="215"/>
      <c r="S52" s="171"/>
      <c r="T52" s="171"/>
      <c r="U52" s="195"/>
      <c r="V52" s="171"/>
      <c r="W52" s="171"/>
      <c r="X52" s="171"/>
      <c r="Y52" s="171"/>
      <c r="Z52" s="186"/>
      <c r="AA52" s="200"/>
      <c r="AB52" s="173"/>
    </row>
    <row r="53" hidden="1">
      <c r="A53" s="102" t="s">
        <v>95</v>
      </c>
      <c r="B53" s="93">
        <v>199.0</v>
      </c>
      <c r="C53" s="329"/>
      <c r="D53" s="215"/>
      <c r="E53" s="215"/>
      <c r="F53" s="215"/>
      <c r="G53" s="171"/>
      <c r="H53" s="171"/>
      <c r="I53" s="171"/>
      <c r="J53" s="171"/>
      <c r="K53" s="171"/>
      <c r="L53" s="171"/>
      <c r="M53" s="171"/>
      <c r="N53" s="186"/>
      <c r="O53" s="329"/>
      <c r="P53" s="327"/>
      <c r="Q53" s="215"/>
      <c r="R53" s="215"/>
      <c r="S53" s="171"/>
      <c r="T53" s="171"/>
      <c r="U53" s="171"/>
      <c r="V53" s="171"/>
      <c r="W53" s="171"/>
      <c r="X53" s="171"/>
      <c r="Y53" s="171"/>
      <c r="Z53" s="186"/>
      <c r="AA53" s="200"/>
      <c r="AB53" s="173"/>
    </row>
    <row r="54" hidden="1">
      <c r="A54" s="102" t="s">
        <v>96</v>
      </c>
      <c r="B54" s="93">
        <v>199.0</v>
      </c>
      <c r="C54" s="329"/>
      <c r="D54" s="215"/>
      <c r="E54" s="215"/>
      <c r="F54" s="215"/>
      <c r="G54" s="171"/>
      <c r="H54" s="171"/>
      <c r="I54" s="171"/>
      <c r="J54" s="171"/>
      <c r="K54" s="171"/>
      <c r="L54" s="171"/>
      <c r="M54" s="171"/>
      <c r="N54" s="186"/>
      <c r="O54" s="329"/>
      <c r="P54" s="327"/>
      <c r="Q54" s="215"/>
      <c r="R54" s="215"/>
      <c r="S54" s="171"/>
      <c r="T54" s="171"/>
      <c r="U54" s="171"/>
      <c r="V54" s="171"/>
      <c r="W54" s="171"/>
      <c r="X54" s="171"/>
      <c r="Y54" s="171"/>
      <c r="Z54" s="186"/>
      <c r="AA54" s="200"/>
      <c r="AB54" s="173"/>
    </row>
    <row r="55" hidden="1">
      <c r="A55" s="67" t="s">
        <v>97</v>
      </c>
      <c r="B55" s="93">
        <v>599.0</v>
      </c>
      <c r="C55" s="329"/>
      <c r="D55" s="215"/>
      <c r="E55" s="215"/>
      <c r="F55" s="215"/>
      <c r="G55" s="171"/>
      <c r="H55" s="171"/>
      <c r="I55" s="171"/>
      <c r="J55" s="171"/>
      <c r="K55" s="171"/>
      <c r="L55" s="171"/>
      <c r="M55" s="171"/>
      <c r="N55" s="186"/>
      <c r="O55" s="329"/>
      <c r="P55" s="327"/>
      <c r="Q55" s="215"/>
      <c r="R55" s="215"/>
      <c r="S55" s="171"/>
      <c r="T55" s="171"/>
      <c r="U55" s="171"/>
      <c r="V55" s="171"/>
      <c r="W55" s="171"/>
      <c r="X55" s="171"/>
      <c r="Y55" s="171"/>
      <c r="Z55" s="186"/>
      <c r="AA55" s="200"/>
      <c r="AB55" s="173"/>
    </row>
    <row r="56" hidden="1">
      <c r="A56" s="102" t="s">
        <v>98</v>
      </c>
      <c r="B56" s="93">
        <v>1499.0</v>
      </c>
      <c r="C56" s="329"/>
      <c r="D56" s="215"/>
      <c r="E56" s="215"/>
      <c r="F56" s="215"/>
      <c r="G56" s="171"/>
      <c r="H56" s="171"/>
      <c r="I56" s="171"/>
      <c r="J56" s="171"/>
      <c r="K56" s="171"/>
      <c r="L56" s="171"/>
      <c r="M56" s="171"/>
      <c r="N56" s="186"/>
      <c r="O56" s="329"/>
      <c r="P56" s="327"/>
      <c r="Q56" s="215"/>
      <c r="R56" s="215"/>
      <c r="S56" s="171"/>
      <c r="T56" s="171"/>
      <c r="U56" s="171"/>
      <c r="V56" s="171"/>
      <c r="W56" s="171"/>
      <c r="X56" s="171"/>
      <c r="Y56" s="171"/>
      <c r="Z56" s="186"/>
      <c r="AA56" s="200"/>
      <c r="AB56" s="173"/>
    </row>
    <row r="57">
      <c r="A57" s="104"/>
      <c r="B57" s="99"/>
      <c r="C57" s="329"/>
      <c r="D57" s="215"/>
      <c r="E57" s="215"/>
      <c r="F57" s="215"/>
      <c r="G57" s="171"/>
      <c r="H57" s="171"/>
      <c r="I57" s="171"/>
      <c r="J57" s="171"/>
      <c r="K57" s="171"/>
      <c r="L57" s="171"/>
      <c r="M57" s="171"/>
      <c r="N57" s="186"/>
      <c r="O57" s="329"/>
      <c r="P57" s="327"/>
      <c r="Q57" s="215"/>
      <c r="R57" s="215"/>
      <c r="S57" s="171"/>
      <c r="T57" s="171"/>
      <c r="U57" s="171"/>
      <c r="V57" s="171"/>
      <c r="W57" s="171"/>
      <c r="X57" s="171"/>
      <c r="Y57" s="171"/>
      <c r="Z57" s="186"/>
      <c r="AA57" s="200"/>
      <c r="AB57" s="173"/>
    </row>
    <row r="58">
      <c r="A58" s="102" t="s">
        <v>99</v>
      </c>
      <c r="B58" s="93">
        <v>329.0</v>
      </c>
      <c r="C58" s="212">
        <v>1.0</v>
      </c>
      <c r="D58" s="215"/>
      <c r="E58" s="215"/>
      <c r="F58" s="215"/>
      <c r="G58" s="171"/>
      <c r="H58" s="171"/>
      <c r="I58" s="171"/>
      <c r="J58" s="171"/>
      <c r="K58" s="171"/>
      <c r="L58" s="171"/>
      <c r="M58" s="171"/>
      <c r="N58" s="186"/>
      <c r="O58" s="329"/>
      <c r="P58" s="327"/>
      <c r="Q58" s="215"/>
      <c r="R58" s="215"/>
      <c r="S58" s="171"/>
      <c r="T58" s="171"/>
      <c r="U58" s="195"/>
      <c r="V58" s="171"/>
      <c r="W58" s="171"/>
      <c r="X58" s="171"/>
      <c r="Y58" s="171"/>
      <c r="Z58" s="186"/>
      <c r="AA58" s="200"/>
      <c r="AB58" s="173"/>
    </row>
    <row r="59">
      <c r="A59" s="102" t="s">
        <v>100</v>
      </c>
      <c r="B59" s="93">
        <v>329.0</v>
      </c>
      <c r="C59" s="212">
        <v>2.0</v>
      </c>
      <c r="D59" s="215"/>
      <c r="E59" s="215"/>
      <c r="F59" s="215"/>
      <c r="G59" s="171"/>
      <c r="H59" s="171"/>
      <c r="I59" s="171"/>
      <c r="J59" s="171"/>
      <c r="K59" s="171"/>
      <c r="L59" s="171"/>
      <c r="M59" s="171"/>
      <c r="N59" s="186"/>
      <c r="O59" s="329"/>
      <c r="P59" s="327"/>
      <c r="Q59" s="215"/>
      <c r="R59" s="215"/>
      <c r="S59" s="171"/>
      <c r="T59" s="171"/>
      <c r="U59" s="195"/>
      <c r="V59" s="171"/>
      <c r="W59" s="171"/>
      <c r="X59" s="171"/>
      <c r="Y59" s="171"/>
      <c r="Z59" s="186"/>
      <c r="AA59" s="200"/>
      <c r="AB59" s="173"/>
    </row>
    <row r="60">
      <c r="A60" s="102" t="s">
        <v>101</v>
      </c>
      <c r="B60" s="93">
        <v>329.0</v>
      </c>
      <c r="C60" s="212">
        <v>5.0</v>
      </c>
      <c r="D60" s="217">
        <v>1.0</v>
      </c>
      <c r="E60" s="215"/>
      <c r="F60" s="215"/>
      <c r="G60" s="171"/>
      <c r="H60" s="171"/>
      <c r="I60" s="171"/>
      <c r="J60" s="171"/>
      <c r="K60" s="171"/>
      <c r="L60" s="171"/>
      <c r="M60" s="171"/>
      <c r="N60" s="186"/>
      <c r="O60" s="212">
        <v>2.0</v>
      </c>
      <c r="P60" s="321">
        <v>1.0</v>
      </c>
      <c r="Q60" s="215"/>
      <c r="R60" s="215"/>
      <c r="S60" s="171"/>
      <c r="T60" s="171"/>
      <c r="U60" s="195"/>
      <c r="V60" s="171"/>
      <c r="W60" s="171"/>
      <c r="X60" s="171"/>
      <c r="Y60" s="171"/>
      <c r="Z60" s="186"/>
      <c r="AA60" s="200"/>
      <c r="AB60" s="173"/>
    </row>
    <row r="61">
      <c r="A61" s="102" t="s">
        <v>102</v>
      </c>
      <c r="B61" s="93">
        <v>249.0</v>
      </c>
      <c r="C61" s="329"/>
      <c r="D61" s="215"/>
      <c r="E61" s="217">
        <v>1.0</v>
      </c>
      <c r="F61" s="215"/>
      <c r="G61" s="171"/>
      <c r="H61" s="171"/>
      <c r="I61" s="171"/>
      <c r="J61" s="171"/>
      <c r="K61" s="171"/>
      <c r="L61" s="171"/>
      <c r="M61" s="171"/>
      <c r="N61" s="186"/>
      <c r="O61" s="329"/>
      <c r="P61" s="321">
        <v>1.0</v>
      </c>
      <c r="Q61" s="215"/>
      <c r="R61" s="215"/>
      <c r="S61" s="171"/>
      <c r="T61" s="171"/>
      <c r="U61" s="171"/>
      <c r="V61" s="171"/>
      <c r="W61" s="171"/>
      <c r="X61" s="171"/>
      <c r="Y61" s="171"/>
      <c r="Z61" s="186"/>
      <c r="AA61" s="200"/>
      <c r="AB61" s="173"/>
    </row>
    <row r="62">
      <c r="A62" s="102" t="s">
        <v>103</v>
      </c>
      <c r="B62" s="93">
        <v>439.0</v>
      </c>
      <c r="C62" s="329"/>
      <c r="D62" s="215"/>
      <c r="E62" s="215"/>
      <c r="F62" s="217">
        <v>2.0</v>
      </c>
      <c r="G62" s="171"/>
      <c r="H62" s="171"/>
      <c r="I62" s="171"/>
      <c r="J62" s="171"/>
      <c r="K62" s="171"/>
      <c r="L62" s="171"/>
      <c r="M62" s="171"/>
      <c r="N62" s="186"/>
      <c r="O62" s="329"/>
      <c r="P62" s="200"/>
      <c r="Q62" s="215"/>
      <c r="R62" s="215"/>
      <c r="S62" s="171"/>
      <c r="T62" s="171"/>
      <c r="U62" s="171"/>
      <c r="V62" s="171"/>
      <c r="W62" s="171"/>
      <c r="X62" s="171"/>
      <c r="Y62" s="171"/>
      <c r="Z62" s="186"/>
      <c r="AA62" s="200"/>
      <c r="AB62" s="173"/>
    </row>
    <row r="63">
      <c r="A63" s="102" t="s">
        <v>104</v>
      </c>
      <c r="B63" s="93">
        <v>439.0</v>
      </c>
      <c r="C63" s="329"/>
      <c r="D63" s="215"/>
      <c r="E63" s="215"/>
      <c r="F63" s="215"/>
      <c r="G63" s="171"/>
      <c r="H63" s="171"/>
      <c r="I63" s="171"/>
      <c r="J63" s="171"/>
      <c r="K63" s="171"/>
      <c r="L63" s="171"/>
      <c r="M63" s="171"/>
      <c r="N63" s="186"/>
      <c r="O63" s="329"/>
      <c r="P63" s="327"/>
      <c r="Q63" s="215"/>
      <c r="R63" s="217">
        <v>1.0</v>
      </c>
      <c r="S63" s="171"/>
      <c r="T63" s="171"/>
      <c r="U63" s="171"/>
      <c r="V63" s="171"/>
      <c r="W63" s="171"/>
      <c r="X63" s="171"/>
      <c r="Y63" s="171"/>
      <c r="Z63" s="186"/>
      <c r="AA63" s="200"/>
      <c r="AB63" s="173"/>
    </row>
    <row r="64">
      <c r="A64" s="102" t="s">
        <v>105</v>
      </c>
      <c r="B64" s="93">
        <v>439.0</v>
      </c>
      <c r="C64" s="212">
        <v>1.0</v>
      </c>
      <c r="D64" s="217">
        <v>1.0</v>
      </c>
      <c r="E64" s="215"/>
      <c r="F64" s="217">
        <v>2.0</v>
      </c>
      <c r="G64" s="171"/>
      <c r="H64" s="171"/>
      <c r="I64" s="171"/>
      <c r="J64" s="171"/>
      <c r="K64" s="171"/>
      <c r="L64" s="171"/>
      <c r="M64" s="171"/>
      <c r="N64" s="186"/>
      <c r="O64" s="329"/>
      <c r="P64" s="327"/>
      <c r="Q64" s="215"/>
      <c r="R64" s="215"/>
      <c r="S64" s="171"/>
      <c r="T64" s="171"/>
      <c r="U64" s="171"/>
      <c r="V64" s="171"/>
      <c r="W64" s="171"/>
      <c r="X64" s="171"/>
      <c r="Y64" s="171"/>
      <c r="Z64" s="186"/>
      <c r="AA64" s="200"/>
      <c r="AB64" s="173"/>
    </row>
    <row r="65" hidden="1">
      <c r="A65" s="102" t="s">
        <v>106</v>
      </c>
      <c r="B65" s="93">
        <v>799.0</v>
      </c>
      <c r="C65" s="329"/>
      <c r="D65" s="215"/>
      <c r="E65" s="215"/>
      <c r="F65" s="215"/>
      <c r="G65" s="171"/>
      <c r="H65" s="171"/>
      <c r="I65" s="171"/>
      <c r="J65" s="171"/>
      <c r="K65" s="171"/>
      <c r="L65" s="171"/>
      <c r="M65" s="171"/>
      <c r="N65" s="186"/>
      <c r="O65" s="329"/>
      <c r="P65" s="327"/>
      <c r="Q65" s="215"/>
      <c r="R65" s="215"/>
      <c r="S65" s="171"/>
      <c r="T65" s="171"/>
      <c r="U65" s="171"/>
      <c r="V65" s="171"/>
      <c r="W65" s="171"/>
      <c r="X65" s="171"/>
      <c r="Y65" s="171"/>
      <c r="Z65" s="186"/>
      <c r="AA65" s="200"/>
      <c r="AB65" s="173"/>
    </row>
    <row r="66" hidden="1">
      <c r="A66" s="102" t="s">
        <v>107</v>
      </c>
      <c r="B66" s="93">
        <v>799.0</v>
      </c>
      <c r="C66" s="329"/>
      <c r="D66" s="215"/>
      <c r="E66" s="215"/>
      <c r="F66" s="215"/>
      <c r="G66" s="171"/>
      <c r="H66" s="171"/>
      <c r="I66" s="171"/>
      <c r="J66" s="171"/>
      <c r="K66" s="171"/>
      <c r="L66" s="171"/>
      <c r="M66" s="171"/>
      <c r="N66" s="186"/>
      <c r="O66" s="329"/>
      <c r="P66" s="327"/>
      <c r="Q66" s="215"/>
      <c r="R66" s="215"/>
      <c r="S66" s="171"/>
      <c r="T66" s="171"/>
      <c r="U66" s="195"/>
      <c r="V66" s="171"/>
      <c r="W66" s="171"/>
      <c r="X66" s="171"/>
      <c r="Y66" s="171"/>
      <c r="Z66" s="186"/>
      <c r="AA66" s="200"/>
      <c r="AB66" s="173"/>
    </row>
    <row r="67" hidden="1">
      <c r="A67" s="102" t="s">
        <v>108</v>
      </c>
      <c r="B67" s="93">
        <v>799.0</v>
      </c>
      <c r="C67" s="329"/>
      <c r="D67" s="215"/>
      <c r="E67" s="215"/>
      <c r="F67" s="215"/>
      <c r="G67" s="171"/>
      <c r="H67" s="171"/>
      <c r="I67" s="171"/>
      <c r="J67" s="171"/>
      <c r="K67" s="171"/>
      <c r="L67" s="171"/>
      <c r="M67" s="171"/>
      <c r="N67" s="186"/>
      <c r="O67" s="329"/>
      <c r="P67" s="327"/>
      <c r="Q67" s="215"/>
      <c r="R67" s="215"/>
      <c r="S67" s="171"/>
      <c r="T67" s="171"/>
      <c r="U67" s="171"/>
      <c r="V67" s="171"/>
      <c r="W67" s="171"/>
      <c r="X67" s="171"/>
      <c r="Y67" s="171"/>
      <c r="Z67" s="186"/>
      <c r="AA67" s="200"/>
      <c r="AB67" s="173"/>
    </row>
    <row r="68" hidden="1">
      <c r="A68" s="102" t="s">
        <v>109</v>
      </c>
      <c r="B68" s="96">
        <v>1299.0</v>
      </c>
      <c r="C68" s="329"/>
      <c r="D68" s="215"/>
      <c r="E68" s="215"/>
      <c r="F68" s="215"/>
      <c r="G68" s="171"/>
      <c r="H68" s="171"/>
      <c r="I68" s="171"/>
      <c r="J68" s="171"/>
      <c r="K68" s="171"/>
      <c r="L68" s="171"/>
      <c r="M68" s="171"/>
      <c r="N68" s="186"/>
      <c r="O68" s="329"/>
      <c r="P68" s="327"/>
      <c r="Q68" s="215"/>
      <c r="R68" s="215"/>
      <c r="S68" s="171"/>
      <c r="T68" s="171"/>
      <c r="U68" s="171"/>
      <c r="V68" s="171"/>
      <c r="W68" s="171"/>
      <c r="X68" s="171"/>
      <c r="Y68" s="171"/>
      <c r="Z68" s="186"/>
      <c r="AA68" s="200"/>
      <c r="AB68" s="173"/>
    </row>
    <row r="69" hidden="1">
      <c r="A69" s="102" t="s">
        <v>110</v>
      </c>
      <c r="B69" s="96">
        <v>1299.0</v>
      </c>
      <c r="C69" s="329"/>
      <c r="D69" s="215"/>
      <c r="E69" s="215"/>
      <c r="F69" s="215"/>
      <c r="G69" s="171"/>
      <c r="H69" s="171"/>
      <c r="I69" s="171"/>
      <c r="J69" s="171"/>
      <c r="K69" s="171"/>
      <c r="L69" s="171"/>
      <c r="M69" s="171"/>
      <c r="N69" s="186"/>
      <c r="O69" s="329"/>
      <c r="P69" s="327"/>
      <c r="Q69" s="215"/>
      <c r="R69" s="215"/>
      <c r="S69" s="171"/>
      <c r="T69" s="171"/>
      <c r="U69" s="171"/>
      <c r="V69" s="171"/>
      <c r="W69" s="171"/>
      <c r="X69" s="171"/>
      <c r="Y69" s="171"/>
      <c r="Z69" s="186"/>
      <c r="AA69" s="200"/>
      <c r="AB69" s="173"/>
    </row>
    <row r="70" hidden="1">
      <c r="A70" s="101" t="s">
        <v>111</v>
      </c>
      <c r="B70" s="96">
        <v>1299.0</v>
      </c>
      <c r="C70" s="329"/>
      <c r="D70" s="215"/>
      <c r="E70" s="215"/>
      <c r="F70" s="215"/>
      <c r="G70" s="171"/>
      <c r="H70" s="171"/>
      <c r="I70" s="171"/>
      <c r="J70" s="171"/>
      <c r="K70" s="171"/>
      <c r="L70" s="171"/>
      <c r="M70" s="171"/>
      <c r="N70" s="186"/>
      <c r="O70" s="329"/>
      <c r="P70" s="327"/>
      <c r="Q70" s="215"/>
      <c r="R70" s="215"/>
      <c r="S70" s="171"/>
      <c r="T70" s="171"/>
      <c r="U70" s="171"/>
      <c r="V70" s="171"/>
      <c r="W70" s="171"/>
      <c r="X70" s="171"/>
      <c r="Y70" s="171"/>
      <c r="Z70" s="186"/>
      <c r="AA70" s="200"/>
      <c r="AB70" s="173"/>
    </row>
    <row r="71">
      <c r="A71" s="101" t="s">
        <v>112</v>
      </c>
      <c r="B71" s="442">
        <v>629.0</v>
      </c>
      <c r="C71" s="329"/>
      <c r="D71" s="215"/>
      <c r="E71" s="215"/>
      <c r="F71" s="215"/>
      <c r="G71" s="171"/>
      <c r="H71" s="171"/>
      <c r="I71" s="171"/>
      <c r="J71" s="171"/>
      <c r="K71" s="171"/>
      <c r="L71" s="171"/>
      <c r="M71" s="171"/>
      <c r="N71" s="186"/>
      <c r="O71" s="212">
        <v>3.0</v>
      </c>
      <c r="P71" s="327"/>
      <c r="Q71" s="217">
        <v>1.0</v>
      </c>
      <c r="R71" s="215"/>
      <c r="S71" s="171"/>
      <c r="T71" s="171"/>
      <c r="U71" s="171"/>
      <c r="V71" s="171"/>
      <c r="W71" s="171"/>
      <c r="X71" s="171"/>
      <c r="Y71" s="171"/>
      <c r="Z71" s="186"/>
      <c r="AA71" s="200"/>
      <c r="AB71" s="173"/>
    </row>
    <row r="72">
      <c r="A72" s="101" t="s">
        <v>113</v>
      </c>
      <c r="B72" s="187">
        <v>1599.0</v>
      </c>
      <c r="C72" s="329"/>
      <c r="D72" s="215"/>
      <c r="E72" s="215"/>
      <c r="F72" s="215"/>
      <c r="G72" s="171"/>
      <c r="H72" s="171"/>
      <c r="I72" s="171"/>
      <c r="J72" s="171"/>
      <c r="K72" s="171"/>
      <c r="L72" s="171"/>
      <c r="M72" s="171"/>
      <c r="N72" s="186"/>
      <c r="O72" s="212">
        <v>1.0</v>
      </c>
      <c r="P72" s="327"/>
      <c r="Q72" s="215"/>
      <c r="R72" s="215"/>
      <c r="S72" s="171"/>
      <c r="T72" s="171"/>
      <c r="U72" s="171"/>
      <c r="V72" s="171"/>
      <c r="W72" s="171"/>
      <c r="X72" s="171"/>
      <c r="Y72" s="171"/>
      <c r="Z72" s="186"/>
      <c r="AA72" s="200"/>
      <c r="AB72" s="173"/>
    </row>
    <row r="73">
      <c r="A73" s="101" t="s">
        <v>114</v>
      </c>
      <c r="B73" s="224">
        <v>1599.0</v>
      </c>
      <c r="C73" s="212">
        <v>1.0</v>
      </c>
      <c r="D73" s="215"/>
      <c r="E73" s="215"/>
      <c r="F73" s="215"/>
      <c r="G73" s="171"/>
      <c r="H73" s="171"/>
      <c r="I73" s="171"/>
      <c r="J73" s="171"/>
      <c r="K73" s="171"/>
      <c r="L73" s="171"/>
      <c r="M73" s="171"/>
      <c r="N73" s="186"/>
      <c r="O73" s="212">
        <v>2.0</v>
      </c>
      <c r="P73" s="327"/>
      <c r="Q73" s="217">
        <v>2.0</v>
      </c>
      <c r="R73" s="217">
        <v>1.0</v>
      </c>
      <c r="S73" s="171"/>
      <c r="T73" s="171"/>
      <c r="U73" s="171"/>
      <c r="V73" s="171"/>
      <c r="W73" s="171"/>
      <c r="X73" s="171"/>
      <c r="Y73" s="171"/>
      <c r="Z73" s="186"/>
      <c r="AA73" s="200"/>
      <c r="AB73" s="173"/>
    </row>
    <row r="74">
      <c r="A74" s="101" t="s">
        <v>115</v>
      </c>
      <c r="B74" s="225">
        <v>1599.0</v>
      </c>
      <c r="C74" s="329"/>
      <c r="D74" s="215"/>
      <c r="E74" s="215"/>
      <c r="F74" s="215"/>
      <c r="G74" s="171"/>
      <c r="H74" s="171"/>
      <c r="I74" s="171"/>
      <c r="J74" s="171"/>
      <c r="K74" s="171"/>
      <c r="L74" s="171"/>
      <c r="M74" s="171"/>
      <c r="N74" s="186"/>
      <c r="O74" s="329"/>
      <c r="P74" s="321">
        <v>2.0</v>
      </c>
      <c r="Q74" s="215"/>
      <c r="R74" s="215"/>
      <c r="S74" s="171"/>
      <c r="T74" s="171"/>
      <c r="U74" s="171"/>
      <c r="V74" s="171"/>
      <c r="W74" s="171"/>
      <c r="X74" s="171"/>
      <c r="Y74" s="171"/>
      <c r="Z74" s="186"/>
      <c r="AA74" s="200"/>
      <c r="AB74" s="173"/>
    </row>
    <row r="75">
      <c r="A75" s="101" t="s">
        <v>116</v>
      </c>
      <c r="B75" s="108"/>
      <c r="C75" s="329"/>
      <c r="D75" s="215"/>
      <c r="E75" s="215"/>
      <c r="F75" s="116"/>
      <c r="G75" s="171"/>
      <c r="H75" s="171"/>
      <c r="I75" s="171"/>
      <c r="J75" s="171"/>
      <c r="K75" s="171"/>
      <c r="L75" s="171"/>
      <c r="M75" s="171"/>
      <c r="N75" s="186"/>
      <c r="O75" s="329"/>
      <c r="P75" s="327"/>
      <c r="Q75" s="215"/>
      <c r="R75" s="116"/>
      <c r="S75" s="171"/>
      <c r="T75" s="171"/>
      <c r="U75" s="171"/>
      <c r="V75" s="171"/>
      <c r="W75" s="171"/>
      <c r="X75" s="171"/>
      <c r="Y75" s="171"/>
      <c r="Z75" s="186"/>
      <c r="AA75" s="200"/>
      <c r="AB75" s="173"/>
    </row>
    <row r="76">
      <c r="A76" s="109"/>
      <c r="B76" s="108"/>
      <c r="C76" s="329"/>
      <c r="D76" s="215"/>
      <c r="E76" s="215"/>
      <c r="F76" s="116"/>
      <c r="G76" s="171"/>
      <c r="H76" s="171"/>
      <c r="I76" s="171"/>
      <c r="J76" s="171"/>
      <c r="K76" s="171"/>
      <c r="L76" s="171"/>
      <c r="M76" s="171"/>
      <c r="N76" s="186"/>
      <c r="O76" s="329"/>
      <c r="P76" s="327"/>
      <c r="Q76" s="215"/>
      <c r="R76" s="116"/>
      <c r="S76" s="171"/>
      <c r="T76" s="171"/>
      <c r="U76" s="171"/>
      <c r="V76" s="171"/>
      <c r="W76" s="171"/>
      <c r="X76" s="171"/>
      <c r="Y76" s="171"/>
      <c r="Z76" s="186"/>
      <c r="AA76" s="200"/>
      <c r="AB76" s="173"/>
    </row>
    <row r="77">
      <c r="A77" s="110" t="s">
        <v>117</v>
      </c>
      <c r="B77" s="96">
        <v>379.0</v>
      </c>
      <c r="C77" s="329"/>
      <c r="D77" s="215"/>
      <c r="E77" s="215"/>
      <c r="F77" s="116"/>
      <c r="G77" s="171"/>
      <c r="H77" s="171"/>
      <c r="I77" s="171"/>
      <c r="J77" s="171"/>
      <c r="K77" s="171"/>
      <c r="L77" s="171"/>
      <c r="M77" s="171"/>
      <c r="N77" s="186"/>
      <c r="O77" s="329"/>
      <c r="P77" s="327"/>
      <c r="Q77" s="215"/>
      <c r="R77" s="116"/>
      <c r="S77" s="171"/>
      <c r="T77" s="171"/>
      <c r="U77" s="171"/>
      <c r="V77" s="171"/>
      <c r="W77" s="171"/>
      <c r="X77" s="171"/>
      <c r="Y77" s="171"/>
      <c r="Z77" s="186"/>
      <c r="AA77" s="200"/>
      <c r="AB77" s="173"/>
    </row>
    <row r="78" hidden="1">
      <c r="A78" s="110" t="s">
        <v>118</v>
      </c>
      <c r="B78" s="96">
        <v>799.0</v>
      </c>
      <c r="C78" s="329"/>
      <c r="D78" s="215"/>
      <c r="E78" s="215"/>
      <c r="F78" s="116"/>
      <c r="G78" s="171"/>
      <c r="H78" s="171"/>
      <c r="I78" s="171"/>
      <c r="J78" s="171"/>
      <c r="K78" s="171"/>
      <c r="L78" s="171"/>
      <c r="M78" s="171"/>
      <c r="N78" s="186"/>
      <c r="O78" s="329"/>
      <c r="P78" s="327"/>
      <c r="Q78" s="215"/>
      <c r="R78" s="116"/>
      <c r="S78" s="171"/>
      <c r="T78" s="171"/>
      <c r="U78" s="171"/>
      <c r="V78" s="171"/>
      <c r="W78" s="171"/>
      <c r="X78" s="171"/>
      <c r="Y78" s="171"/>
      <c r="Z78" s="186"/>
      <c r="AA78" s="200"/>
      <c r="AB78" s="173"/>
    </row>
    <row r="79">
      <c r="A79" s="110" t="s">
        <v>119</v>
      </c>
      <c r="B79" s="96">
        <v>439.0</v>
      </c>
      <c r="C79" s="329"/>
      <c r="D79" s="215"/>
      <c r="E79" s="215"/>
      <c r="F79" s="116"/>
      <c r="G79" s="171"/>
      <c r="H79" s="171"/>
      <c r="I79" s="171"/>
      <c r="J79" s="171"/>
      <c r="K79" s="171"/>
      <c r="L79" s="171"/>
      <c r="M79" s="171"/>
      <c r="N79" s="186"/>
      <c r="O79" s="329"/>
      <c r="P79" s="327"/>
      <c r="Q79" s="215"/>
      <c r="R79" s="116"/>
      <c r="S79" s="171"/>
      <c r="T79" s="171"/>
      <c r="U79" s="171"/>
      <c r="V79" s="171"/>
      <c r="W79" s="171"/>
      <c r="X79" s="171"/>
      <c r="Y79" s="171"/>
      <c r="Z79" s="186"/>
      <c r="AA79" s="200"/>
      <c r="AB79" s="173"/>
    </row>
    <row r="80" hidden="1">
      <c r="A80" s="110" t="s">
        <v>120</v>
      </c>
      <c r="B80" s="96">
        <v>599.0</v>
      </c>
      <c r="C80" s="329"/>
      <c r="D80" s="215"/>
      <c r="E80" s="215"/>
      <c r="F80" s="116"/>
      <c r="G80" s="171"/>
      <c r="H80" s="171"/>
      <c r="I80" s="171"/>
      <c r="J80" s="171"/>
      <c r="K80" s="171"/>
      <c r="L80" s="171"/>
      <c r="M80" s="171"/>
      <c r="N80" s="186"/>
      <c r="O80" s="329"/>
      <c r="P80" s="327"/>
      <c r="Q80" s="215"/>
      <c r="R80" s="116"/>
      <c r="S80" s="171"/>
      <c r="T80" s="171"/>
      <c r="U80" s="171"/>
      <c r="V80" s="171"/>
      <c r="W80" s="171"/>
      <c r="X80" s="171"/>
      <c r="Y80" s="171"/>
      <c r="Z80" s="186"/>
      <c r="AA80" s="200"/>
      <c r="AB80" s="173"/>
    </row>
    <row r="81">
      <c r="A81" s="110" t="s">
        <v>121</v>
      </c>
      <c r="B81" s="96">
        <v>229.0</v>
      </c>
      <c r="C81" s="212">
        <v>1.0</v>
      </c>
      <c r="D81" s="217">
        <v>1.0</v>
      </c>
      <c r="E81" s="215"/>
      <c r="F81" s="116"/>
      <c r="G81" s="171"/>
      <c r="H81" s="171"/>
      <c r="I81" s="171"/>
      <c r="J81" s="171"/>
      <c r="K81" s="171"/>
      <c r="L81" s="171"/>
      <c r="M81" s="171"/>
      <c r="N81" s="186"/>
      <c r="O81" s="329"/>
      <c r="P81" s="321">
        <v>2.0</v>
      </c>
      <c r="Q81" s="215"/>
      <c r="R81" s="116"/>
      <c r="S81" s="171"/>
      <c r="T81" s="171"/>
      <c r="U81" s="171"/>
      <c r="V81" s="195"/>
      <c r="W81" s="171"/>
      <c r="X81" s="195"/>
      <c r="Y81" s="195"/>
      <c r="Z81" s="186"/>
      <c r="AA81" s="200"/>
      <c r="AB81" s="173"/>
    </row>
    <row r="82">
      <c r="A82" s="110" t="s">
        <v>122</v>
      </c>
      <c r="B82" s="96">
        <v>219.0</v>
      </c>
      <c r="C82" s="212">
        <v>1.0</v>
      </c>
      <c r="D82" s="215"/>
      <c r="E82" s="217">
        <v>3.0</v>
      </c>
      <c r="F82" s="116"/>
      <c r="G82" s="171"/>
      <c r="H82" s="171"/>
      <c r="I82" s="171"/>
      <c r="J82" s="171"/>
      <c r="K82" s="171"/>
      <c r="L82" s="171"/>
      <c r="M82" s="171"/>
      <c r="N82" s="186"/>
      <c r="O82" s="329"/>
      <c r="P82" s="327"/>
      <c r="Q82" s="215"/>
      <c r="R82" s="116"/>
      <c r="S82" s="171"/>
      <c r="T82" s="171"/>
      <c r="U82" s="171"/>
      <c r="V82" s="171"/>
      <c r="W82" s="171"/>
      <c r="X82" s="171"/>
      <c r="Y82" s="171"/>
      <c r="Z82" s="186"/>
      <c r="AA82" s="200"/>
      <c r="AB82" s="173"/>
    </row>
    <row r="83" hidden="1">
      <c r="A83" s="110" t="s">
        <v>123</v>
      </c>
      <c r="B83" s="96">
        <v>1299.0</v>
      </c>
      <c r="C83" s="329"/>
      <c r="D83" s="215"/>
      <c r="E83" s="215"/>
      <c r="F83" s="116"/>
      <c r="G83" s="171"/>
      <c r="H83" s="171"/>
      <c r="I83" s="171"/>
      <c r="J83" s="171"/>
      <c r="K83" s="171"/>
      <c r="L83" s="171"/>
      <c r="M83" s="171"/>
      <c r="N83" s="186"/>
      <c r="O83" s="329"/>
      <c r="P83" s="327"/>
      <c r="Q83" s="215"/>
      <c r="R83" s="116"/>
      <c r="S83" s="171"/>
      <c r="T83" s="171"/>
      <c r="U83" s="171"/>
      <c r="V83" s="171"/>
      <c r="W83" s="171"/>
      <c r="X83" s="171"/>
      <c r="Y83" s="171"/>
      <c r="Z83" s="186"/>
      <c r="AA83" s="200"/>
      <c r="AB83" s="173"/>
    </row>
    <row r="84" hidden="1">
      <c r="A84" s="102" t="s">
        <v>124</v>
      </c>
      <c r="B84" s="96">
        <v>1299.0</v>
      </c>
      <c r="C84" s="329"/>
      <c r="D84" s="215"/>
      <c r="E84" s="215"/>
      <c r="F84" s="116"/>
      <c r="G84" s="171"/>
      <c r="H84" s="171"/>
      <c r="I84" s="171"/>
      <c r="J84" s="171"/>
      <c r="K84" s="171"/>
      <c r="L84" s="171"/>
      <c r="M84" s="171"/>
      <c r="N84" s="186"/>
      <c r="O84" s="329"/>
      <c r="P84" s="327"/>
      <c r="Q84" s="215"/>
      <c r="R84" s="116"/>
      <c r="S84" s="171"/>
      <c r="T84" s="171"/>
      <c r="U84" s="171"/>
      <c r="V84" s="171"/>
      <c r="W84" s="171"/>
      <c r="X84" s="171"/>
      <c r="Y84" s="171"/>
      <c r="Z84" s="186"/>
      <c r="AA84" s="200"/>
      <c r="AB84" s="173"/>
    </row>
    <row r="85" hidden="1">
      <c r="A85" s="111" t="s">
        <v>125</v>
      </c>
      <c r="B85" s="96">
        <v>1299.0</v>
      </c>
      <c r="C85" s="329"/>
      <c r="D85" s="215"/>
      <c r="E85" s="215"/>
      <c r="F85" s="116"/>
      <c r="G85" s="171"/>
      <c r="H85" s="171"/>
      <c r="I85" s="171"/>
      <c r="J85" s="171"/>
      <c r="K85" s="171"/>
      <c r="L85" s="171"/>
      <c r="M85" s="171"/>
      <c r="N85" s="186"/>
      <c r="O85" s="329"/>
      <c r="P85" s="327"/>
      <c r="Q85" s="215"/>
      <c r="R85" s="116"/>
      <c r="S85" s="171"/>
      <c r="T85" s="171"/>
      <c r="U85" s="171"/>
      <c r="V85" s="171"/>
      <c r="W85" s="171"/>
      <c r="X85" s="171"/>
      <c r="Y85" s="171"/>
      <c r="Z85" s="186"/>
      <c r="AA85" s="200"/>
      <c r="AB85" s="173"/>
    </row>
    <row r="86" hidden="1">
      <c r="A86" s="112" t="s">
        <v>126</v>
      </c>
      <c r="B86" s="96">
        <v>1299.0</v>
      </c>
      <c r="C86" s="334"/>
      <c r="D86" s="227"/>
      <c r="E86" s="227"/>
      <c r="F86" s="120"/>
      <c r="G86" s="228"/>
      <c r="H86" s="228"/>
      <c r="I86" s="228"/>
      <c r="J86" s="228"/>
      <c r="K86" s="228"/>
      <c r="L86" s="228"/>
      <c r="M86" s="228"/>
      <c r="N86" s="186"/>
      <c r="O86" s="334"/>
      <c r="P86" s="333"/>
      <c r="Q86" s="227"/>
      <c r="R86" s="120"/>
      <c r="S86" s="228"/>
      <c r="T86" s="228"/>
      <c r="U86" s="228"/>
      <c r="V86" s="228"/>
      <c r="W86" s="228"/>
      <c r="X86" s="228"/>
      <c r="Y86" s="228"/>
      <c r="Z86" s="186"/>
      <c r="AA86" s="200"/>
      <c r="AB86" s="173"/>
    </row>
    <row r="87" hidden="1">
      <c r="A87" s="113"/>
      <c r="B87" s="114"/>
      <c r="C87" s="329"/>
      <c r="D87" s="215"/>
      <c r="E87" s="215"/>
      <c r="F87" s="116"/>
      <c r="G87" s="171"/>
      <c r="H87" s="171"/>
      <c r="I87" s="171"/>
      <c r="J87" s="171"/>
      <c r="K87" s="171"/>
      <c r="L87" s="171"/>
      <c r="M87" s="171"/>
      <c r="N87" s="186"/>
      <c r="O87" s="329"/>
      <c r="P87" s="327"/>
      <c r="Q87" s="215"/>
      <c r="R87" s="116"/>
      <c r="S87" s="171"/>
      <c r="T87" s="171"/>
      <c r="U87" s="171"/>
      <c r="V87" s="171"/>
      <c r="W87" s="171"/>
      <c r="X87" s="171"/>
      <c r="Y87" s="171"/>
      <c r="Z87" s="186"/>
      <c r="AA87" s="200"/>
      <c r="AB87" s="173"/>
    </row>
    <row r="88" hidden="1">
      <c r="A88" s="94" t="s">
        <v>127</v>
      </c>
      <c r="B88" s="96">
        <v>679.0</v>
      </c>
      <c r="C88" s="329"/>
      <c r="D88" s="230"/>
      <c r="E88" s="230"/>
      <c r="F88" s="231"/>
      <c r="G88" s="232"/>
      <c r="H88" s="232"/>
      <c r="I88" s="232"/>
      <c r="J88" s="232"/>
      <c r="K88" s="232"/>
      <c r="L88" s="232"/>
      <c r="M88" s="232"/>
      <c r="N88" s="186"/>
      <c r="O88" s="329"/>
      <c r="P88" s="335"/>
      <c r="Q88" s="230"/>
      <c r="R88" s="231"/>
      <c r="S88" s="232"/>
      <c r="T88" s="232"/>
      <c r="U88" s="232"/>
      <c r="V88" s="232"/>
      <c r="W88" s="232"/>
      <c r="X88" s="232"/>
      <c r="Y88" s="232"/>
      <c r="Z88" s="186"/>
      <c r="AA88" s="200"/>
      <c r="AB88" s="173"/>
    </row>
    <row r="89" hidden="1">
      <c r="A89" s="94" t="s">
        <v>128</v>
      </c>
      <c r="B89" s="96">
        <v>679.0</v>
      </c>
      <c r="C89" s="208"/>
      <c r="D89" s="230"/>
      <c r="E89" s="230"/>
      <c r="F89" s="231"/>
      <c r="G89" s="232"/>
      <c r="H89" s="232"/>
      <c r="I89" s="232"/>
      <c r="J89" s="232"/>
      <c r="K89" s="232"/>
      <c r="L89" s="232"/>
      <c r="M89" s="232"/>
      <c r="N89" s="186"/>
      <c r="O89" s="208"/>
      <c r="P89" s="335"/>
      <c r="Q89" s="230"/>
      <c r="R89" s="231"/>
      <c r="S89" s="232"/>
      <c r="T89" s="232"/>
      <c r="U89" s="232"/>
      <c r="V89" s="232"/>
      <c r="W89" s="232"/>
      <c r="X89" s="232"/>
      <c r="Y89" s="232"/>
      <c r="Z89" s="186"/>
      <c r="AA89" s="200"/>
      <c r="AB89" s="173"/>
    </row>
    <row r="90" hidden="1">
      <c r="A90" s="94" t="s">
        <v>129</v>
      </c>
      <c r="B90" s="96">
        <v>679.0</v>
      </c>
      <c r="C90" s="208"/>
      <c r="D90" s="230"/>
      <c r="E90" s="230"/>
      <c r="F90" s="231"/>
      <c r="G90" s="232"/>
      <c r="H90" s="232"/>
      <c r="I90" s="232"/>
      <c r="J90" s="232"/>
      <c r="K90" s="232"/>
      <c r="L90" s="232"/>
      <c r="M90" s="232"/>
      <c r="N90" s="186"/>
      <c r="O90" s="208"/>
      <c r="P90" s="335"/>
      <c r="Q90" s="230"/>
      <c r="R90" s="231"/>
      <c r="S90" s="232"/>
      <c r="T90" s="232"/>
      <c r="U90" s="232"/>
      <c r="V90" s="232"/>
      <c r="W90" s="232"/>
      <c r="X90" s="232"/>
      <c r="Y90" s="232"/>
      <c r="Z90" s="186"/>
      <c r="AA90" s="200"/>
      <c r="AB90" s="173"/>
    </row>
    <row r="91" hidden="1">
      <c r="A91" s="115"/>
      <c r="B91" s="116"/>
      <c r="C91" s="208"/>
      <c r="D91" s="230"/>
      <c r="E91" s="230"/>
      <c r="F91" s="231"/>
      <c r="G91" s="232"/>
      <c r="H91" s="232"/>
      <c r="I91" s="232"/>
      <c r="J91" s="232"/>
      <c r="K91" s="232"/>
      <c r="L91" s="232"/>
      <c r="M91" s="232"/>
      <c r="N91" s="186"/>
      <c r="O91" s="208"/>
      <c r="P91" s="335"/>
      <c r="Q91" s="230"/>
      <c r="R91" s="231"/>
      <c r="S91" s="232"/>
      <c r="T91" s="232"/>
      <c r="U91" s="232"/>
      <c r="V91" s="232"/>
      <c r="W91" s="232"/>
      <c r="X91" s="232"/>
      <c r="Y91" s="232"/>
      <c r="Z91" s="186"/>
      <c r="AA91" s="200"/>
      <c r="AB91" s="173"/>
    </row>
    <row r="92" hidden="1">
      <c r="A92" s="94" t="s">
        <v>130</v>
      </c>
      <c r="B92" s="96">
        <v>490.0</v>
      </c>
      <c r="C92" s="208"/>
      <c r="D92" s="230"/>
      <c r="E92" s="230"/>
      <c r="F92" s="231"/>
      <c r="G92" s="232"/>
      <c r="H92" s="232"/>
      <c r="I92" s="232"/>
      <c r="J92" s="232"/>
      <c r="K92" s="232"/>
      <c r="L92" s="232"/>
      <c r="M92" s="232"/>
      <c r="N92" s="186"/>
      <c r="O92" s="208"/>
      <c r="P92" s="335"/>
      <c r="Q92" s="230"/>
      <c r="R92" s="231"/>
      <c r="S92" s="232"/>
      <c r="T92" s="232"/>
      <c r="U92" s="232"/>
      <c r="V92" s="232"/>
      <c r="W92" s="232"/>
      <c r="X92" s="232"/>
      <c r="Y92" s="232"/>
      <c r="Z92" s="186"/>
      <c r="AA92" s="200"/>
      <c r="AB92" s="173"/>
    </row>
    <row r="93" hidden="1">
      <c r="A93" s="94" t="s">
        <v>131</v>
      </c>
      <c r="B93" s="96">
        <v>490.0</v>
      </c>
      <c r="C93" s="208"/>
      <c r="D93" s="230"/>
      <c r="E93" s="230"/>
      <c r="F93" s="231"/>
      <c r="G93" s="232"/>
      <c r="H93" s="232"/>
      <c r="I93" s="232"/>
      <c r="J93" s="232"/>
      <c r="K93" s="232"/>
      <c r="L93" s="232"/>
      <c r="M93" s="232"/>
      <c r="N93" s="186"/>
      <c r="O93" s="208"/>
      <c r="P93" s="335"/>
      <c r="Q93" s="230"/>
      <c r="R93" s="231"/>
      <c r="S93" s="232"/>
      <c r="T93" s="232"/>
      <c r="U93" s="232"/>
      <c r="V93" s="232"/>
      <c r="W93" s="232"/>
      <c r="X93" s="232"/>
      <c r="Y93" s="232"/>
      <c r="Z93" s="186"/>
      <c r="AA93" s="200"/>
      <c r="AB93" s="173"/>
    </row>
    <row r="94" hidden="1">
      <c r="A94" s="94" t="s">
        <v>132</v>
      </c>
      <c r="B94" s="96">
        <v>450.0</v>
      </c>
      <c r="C94" s="208"/>
      <c r="D94" s="230"/>
      <c r="E94" s="230"/>
      <c r="F94" s="231"/>
      <c r="G94" s="232"/>
      <c r="H94" s="232"/>
      <c r="I94" s="232"/>
      <c r="J94" s="232"/>
      <c r="K94" s="232"/>
      <c r="L94" s="232"/>
      <c r="M94" s="232"/>
      <c r="N94" s="186"/>
      <c r="O94" s="208"/>
      <c r="P94" s="335"/>
      <c r="Q94" s="230"/>
      <c r="R94" s="231"/>
      <c r="S94" s="232"/>
      <c r="T94" s="232"/>
      <c r="U94" s="232"/>
      <c r="V94" s="232"/>
      <c r="W94" s="232"/>
      <c r="X94" s="232"/>
      <c r="Y94" s="232"/>
      <c r="Z94" s="186"/>
      <c r="AA94" s="200"/>
      <c r="AB94" s="173"/>
    </row>
    <row r="95" hidden="1">
      <c r="A95" s="117" t="s">
        <v>265</v>
      </c>
      <c r="B95" s="118">
        <v>450.0</v>
      </c>
      <c r="C95" s="208"/>
      <c r="D95" s="230"/>
      <c r="E95" s="230"/>
      <c r="F95" s="231"/>
      <c r="G95" s="232"/>
      <c r="H95" s="232"/>
      <c r="I95" s="232"/>
      <c r="J95" s="232"/>
      <c r="K95" s="232"/>
      <c r="L95" s="232"/>
      <c r="M95" s="232"/>
      <c r="N95" s="186"/>
      <c r="O95" s="208"/>
      <c r="P95" s="335"/>
      <c r="Q95" s="230"/>
      <c r="R95" s="231"/>
      <c r="S95" s="232"/>
      <c r="T95" s="232"/>
      <c r="U95" s="232"/>
      <c r="V95" s="232"/>
      <c r="W95" s="232"/>
      <c r="X95" s="232"/>
      <c r="Y95" s="232"/>
      <c r="Z95" s="186"/>
      <c r="AA95" s="200"/>
      <c r="AB95" s="173"/>
    </row>
    <row r="96" hidden="1">
      <c r="A96" s="234"/>
      <c r="B96" s="120"/>
      <c r="C96" s="208"/>
      <c r="D96" s="235"/>
      <c r="E96" s="235"/>
      <c r="F96" s="236"/>
      <c r="G96" s="237"/>
      <c r="H96" s="237"/>
      <c r="I96" s="237"/>
      <c r="J96" s="237"/>
      <c r="K96" s="237"/>
      <c r="L96" s="237"/>
      <c r="M96" s="237"/>
      <c r="N96" s="418"/>
      <c r="O96" s="208"/>
      <c r="P96" s="337"/>
      <c r="Q96" s="235"/>
      <c r="R96" s="236"/>
      <c r="S96" s="237"/>
      <c r="T96" s="237"/>
      <c r="U96" s="237"/>
      <c r="V96" s="237"/>
      <c r="W96" s="237"/>
      <c r="X96" s="237"/>
      <c r="Y96" s="237"/>
      <c r="Z96" s="418"/>
      <c r="AA96" s="208"/>
      <c r="AB96" s="173"/>
    </row>
    <row r="97" hidden="1">
      <c r="A97" s="372" t="s">
        <v>134</v>
      </c>
      <c r="B97" s="118">
        <v>1054.0</v>
      </c>
      <c r="C97" s="373"/>
      <c r="D97" s="113"/>
      <c r="E97" s="113"/>
      <c r="F97" s="113"/>
      <c r="G97" s="113"/>
      <c r="H97" s="113"/>
      <c r="I97" s="113"/>
      <c r="J97" s="113"/>
      <c r="K97" s="113"/>
      <c r="L97" s="113"/>
      <c r="M97" s="440"/>
      <c r="N97" s="440"/>
      <c r="O97" s="373"/>
      <c r="P97" s="374"/>
      <c r="Q97" s="113"/>
      <c r="R97" s="113"/>
      <c r="S97" s="113"/>
      <c r="T97" s="113"/>
      <c r="U97" s="113"/>
      <c r="V97" s="113"/>
      <c r="W97" s="113"/>
      <c r="X97" s="113"/>
      <c r="Y97" s="440"/>
      <c r="Z97" s="440"/>
      <c r="AA97" s="373"/>
      <c r="AB97" s="173"/>
    </row>
    <row r="98">
      <c r="A98" s="249" t="s">
        <v>266</v>
      </c>
      <c r="B98" s="344">
        <v>329.0</v>
      </c>
      <c r="C98" s="378"/>
      <c r="D98" s="379"/>
      <c r="E98" s="546">
        <v>10.0</v>
      </c>
      <c r="F98" s="546">
        <v>4.0</v>
      </c>
      <c r="G98" s="379"/>
      <c r="H98" s="379"/>
      <c r="I98" s="379"/>
      <c r="J98" s="379"/>
      <c r="K98" s="379"/>
      <c r="L98" s="379"/>
      <c r="M98" s="382"/>
      <c r="N98" s="382"/>
      <c r="O98" s="378"/>
      <c r="P98" s="379"/>
      <c r="Q98" s="379"/>
      <c r="R98" s="546">
        <v>4.0</v>
      </c>
      <c r="S98" s="379"/>
      <c r="T98" s="379"/>
      <c r="U98" s="379"/>
      <c r="V98" s="379"/>
      <c r="W98" s="379"/>
      <c r="X98" s="379"/>
      <c r="Y98" s="382"/>
      <c r="Z98" s="382"/>
      <c r="AA98" s="378"/>
      <c r="AB98" s="213"/>
      <c r="AC98" s="381"/>
      <c r="AD98" s="381"/>
      <c r="AE98" s="381"/>
      <c r="AF98" s="381"/>
      <c r="AG98" s="381"/>
      <c r="AH98" s="381"/>
      <c r="AI98" s="381"/>
      <c r="AJ98" s="381"/>
      <c r="AK98" s="381"/>
      <c r="AL98" s="381"/>
      <c r="AM98" s="381"/>
    </row>
    <row r="99">
      <c r="A99" s="249" t="s">
        <v>267</v>
      </c>
      <c r="B99" s="344">
        <v>439.0</v>
      </c>
      <c r="C99" s="378"/>
      <c r="D99" s="379"/>
      <c r="E99" s="379"/>
      <c r="F99" s="546">
        <v>1.0</v>
      </c>
      <c r="G99" s="379"/>
      <c r="H99" s="379"/>
      <c r="I99" s="379"/>
      <c r="J99" s="379"/>
      <c r="K99" s="379"/>
      <c r="L99" s="379"/>
      <c r="M99" s="382"/>
      <c r="N99" s="382"/>
      <c r="O99" s="378"/>
      <c r="P99" s="379"/>
      <c r="Q99" s="379"/>
      <c r="R99" s="379"/>
      <c r="S99" s="379"/>
      <c r="T99" s="379"/>
      <c r="U99" s="379"/>
      <c r="V99" s="379"/>
      <c r="W99" s="379"/>
      <c r="X99" s="379"/>
      <c r="Y99" s="382"/>
      <c r="Z99" s="382"/>
      <c r="AA99" s="378"/>
      <c r="AB99" s="213"/>
      <c r="AC99" s="381"/>
      <c r="AD99" s="381"/>
      <c r="AE99" s="381"/>
      <c r="AF99" s="381"/>
      <c r="AG99" s="381"/>
      <c r="AH99" s="381"/>
      <c r="AI99" s="381"/>
      <c r="AJ99" s="381"/>
      <c r="AK99" s="381"/>
      <c r="AL99" s="381"/>
      <c r="AM99" s="381"/>
    </row>
    <row r="100">
      <c r="A100" s="249" t="s">
        <v>268</v>
      </c>
      <c r="B100" s="344">
        <v>799.0</v>
      </c>
      <c r="C100" s="378"/>
      <c r="D100" s="379"/>
      <c r="E100" s="379"/>
      <c r="F100" s="379"/>
      <c r="G100" s="379"/>
      <c r="H100" s="379"/>
      <c r="I100" s="379"/>
      <c r="J100" s="379"/>
      <c r="K100" s="379"/>
      <c r="L100" s="379"/>
      <c r="M100" s="382"/>
      <c r="N100" s="382"/>
      <c r="O100" s="378"/>
      <c r="P100" s="379"/>
      <c r="Q100" s="379"/>
      <c r="R100" s="379"/>
      <c r="S100" s="379"/>
      <c r="T100" s="379"/>
      <c r="U100" s="379"/>
      <c r="V100" s="379"/>
      <c r="W100" s="379"/>
      <c r="X100" s="379"/>
      <c r="Y100" s="382"/>
      <c r="Z100" s="382"/>
      <c r="AA100" s="378"/>
      <c r="AB100" s="213"/>
      <c r="AC100" s="381"/>
      <c r="AD100" s="381"/>
      <c r="AE100" s="381"/>
      <c r="AF100" s="381"/>
      <c r="AG100" s="381"/>
      <c r="AH100" s="381"/>
      <c r="AI100" s="381"/>
      <c r="AJ100" s="381"/>
      <c r="AK100" s="381"/>
      <c r="AL100" s="381"/>
      <c r="AM100" s="381"/>
    </row>
    <row r="101">
      <c r="A101" s="351" t="s">
        <v>135</v>
      </c>
      <c r="B101" s="124"/>
      <c r="C101" s="352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2"/>
      <c r="P101" s="358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  <c r="AA101" s="352"/>
      <c r="AB101" s="173"/>
    </row>
    <row r="102">
      <c r="A102" s="283"/>
      <c r="B102" s="280"/>
      <c r="C102" s="291">
        <f t="shared" ref="C102:D102" si="1">SUM(C8:C14)*349+SUM(C15)*239+SUM(C19:C21)*259+SUM(C22:C24)*239+SUM(C28)*629+SUM(C29:C30)*349+SUM(C31:C32)*239+SUM(C33)*459+SUM(C35:C37)*569+SUM(C40:C41)*459+SUM(C43)*629+SUM(C44:C45)*399+SUM(C46:C47)*1299+SUM(C50:C51)*629+SUM(C52)*349+SUM(C58:C60)*349++SUM(C61)*269+SUM(C62:C64)*459+SUM(C61)*269+SUM(C71)*609++SUM(C72:C74)*1619+SUM(C77)*399+SUM(C79)*459+SUM(C81)*249+SUM(C82)*239</f>
        <v>20934</v>
      </c>
      <c r="D102" s="291">
        <f t="shared" si="1"/>
        <v>9266</v>
      </c>
      <c r="E102" s="532">
        <v>17128.0</v>
      </c>
      <c r="F102" s="291">
        <f>SUM(F8:F14)*349+SUM(F15)*239+SUM(F19:F21)*259+SUM(F22:F24)*239+SUM(F28)*629+SUM(F29:F30)*349+SUM(F31:F32)*239+SUM(F33)*459+SUM(F35:F37)*569+SUM(F40:F41)*459+SUM(F43)*629+SUM(F44:F45)*399+SUM(F46:F47)*1299+SUM(F50:F51)*629+SUM(F52)*349+SUM(F58:F60)*349++SUM(F61)*269+SUM(F62:F64)*459+SUM(F61)*269+SUM(F71)*609++SUM(F72:F74)*1619+SUM(F77)*399+SUM(F79)*459+SUM(F81)*249+SUM(F82)*239+sum(F98)*349+sum(F99)*459</f>
        <v>17199</v>
      </c>
      <c r="G102" s="291">
        <f t="shared" ref="G102:O102" si="2">SUM(G8:G14)*349+SUM(G15)*239+SUM(G19:G21)*259+SUM(G22:G24)*239+SUM(G28)*629+SUM(G29:G30)*349+SUM(G31:G32)*239+SUM(G33)*459+SUM(G35:G37)*569+SUM(G40:G41)*459+SUM(G43)*629+SUM(G44:G45)*399+SUM(G46:G47)*1299+SUM(G50:G51)*629+SUM(G52)*349+SUM(G58:G60)*349++SUM(G61)*269+SUM(G62:G64)*459+SUM(G61)*269+SUM(G71)*609++SUM(G72:G74)*1619+SUM(G77)*399+SUM(G79)*459+SUM(G81)*249+SUM(G82)*239</f>
        <v>0</v>
      </c>
      <c r="H102" s="291">
        <f t="shared" si="2"/>
        <v>0</v>
      </c>
      <c r="I102" s="291">
        <f t="shared" si="2"/>
        <v>0</v>
      </c>
      <c r="J102" s="291">
        <f t="shared" si="2"/>
        <v>0</v>
      </c>
      <c r="K102" s="291">
        <f t="shared" si="2"/>
        <v>0</v>
      </c>
      <c r="L102" s="291">
        <f t="shared" si="2"/>
        <v>0</v>
      </c>
      <c r="M102" s="291">
        <f t="shared" si="2"/>
        <v>0</v>
      </c>
      <c r="N102" s="291">
        <f t="shared" si="2"/>
        <v>0</v>
      </c>
      <c r="O102" s="291">
        <f t="shared" si="2"/>
        <v>22838</v>
      </c>
      <c r="P102" s="291">
        <f>SUM(P8:P14)*349+SUM(P15)*239+SUM(P19:P21)*259+SUM(P22:P24)*239+SUM(P28)*629+SUM(P29:P30)*349+SUM(P31:P32)*239+SUM(P33)*459+SUM(P35:P37)*569+SUM(P40:P41)*459+SUM(P43)*629+SUM(P44:P45)*399+SUM(P46:P47)*1299+SUM(P50:P51)*629+SUM(P52)*349+SUM(P58:P60)*349++SUM(P61)*269+SUM(P62:P64)*459+SUM(P61)*269+SUM(P71)*629++SUM(P72:P74)*1619+SUM(P77)*399+SUM(P79)*459+SUM(P81)*249+SUM(P82)*239</f>
        <v>17601</v>
      </c>
      <c r="Q102" s="291">
        <f>SUM(Q8:Q14)*349+SUM(Q15)*239+SUM(Q19:Q21)*259+SUM(Q22:Q24)*239+SUM(Q28)*629+SUM(Q29:Q30)*349+SUM(Q31:Q32)*239+SUM(Q33)*459+SUM(Q35:Q37)*569+SUM(Q40:Q41)*459+SUM(Q43)*629+SUM(Q44:Q45)*399+SUM(Q46:Q47)*1299+SUM(Q50:Q51)*629+SUM(Q52)*349+SUM(Q58:Q60)*349++SUM(Q61)*269+SUM(Q62:Q64)*459+SUM(Q61)*269+SUM(Q71)*609++SUM(Q72:Q74)*1619+SUM(Q77)*399+SUM(Q79)*459+SUM(Q81)*249+SUM(Q82)*239</f>
        <v>9272</v>
      </c>
      <c r="R102" s="291">
        <f>SUM(R8:R14)*349+SUM(R15)*239+SUM(R19:R21)*259+SUM(R22:R24)*239+SUM(R28)*629+SUM(R29:R30)*349+SUM(R31:R32)*239+SUM(R33)*459+SUM(R35:R37)*569+SUM(R40:R41)*459+SUM(R43)*629+SUM(R44:R45)*399+SUM(R46:R47)*1299+SUM(R50:R51)*629+SUM(R52)*349+SUM(R58:R60)*349++SUM(R61)*269+SUM(R62:R64)*459+SUM(R61)*269+SUM(R71)*609++SUM(R72:R74)*1619+SUM(R77)*399+SUM(R79)*459+SUM(R81)*249+SUM(R82)*239+sum(R98)*349</f>
        <v>9128</v>
      </c>
      <c r="S102" s="291">
        <f t="shared" ref="S102:Z102" si="3">SUM(S8:S14)*349+SUM(S15)*239+SUM(S19:S21)*259+SUM(S22:S24)*239+SUM(S28)*629+SUM(S29:S30)*349+SUM(S31:S32)*239+SUM(S33)*459+SUM(S35:S37)*569+SUM(S40:S41)*459+SUM(S43)*629+SUM(S44:S45)*399+SUM(S46:S47)*1299+SUM(S50:S51)*629+SUM(S52)*349+SUM(S58:S60)*349++SUM(S61)*269+SUM(S62:S64)*459+SUM(S61)*269+SUM(S71)*609++SUM(S72:S74)*1619+SUM(S77)*399+SUM(S79)*459+SUM(S81)*249+SUM(S82)*239</f>
        <v>0</v>
      </c>
      <c r="T102" s="291">
        <f t="shared" si="3"/>
        <v>0</v>
      </c>
      <c r="U102" s="291">
        <f t="shared" si="3"/>
        <v>0</v>
      </c>
      <c r="V102" s="291">
        <f t="shared" si="3"/>
        <v>0</v>
      </c>
      <c r="W102" s="291">
        <f t="shared" si="3"/>
        <v>0</v>
      </c>
      <c r="X102" s="291">
        <f t="shared" si="3"/>
        <v>0</v>
      </c>
      <c r="Y102" s="291">
        <f t="shared" si="3"/>
        <v>0</v>
      </c>
      <c r="Z102" s="291">
        <f t="shared" si="3"/>
        <v>0</v>
      </c>
      <c r="AA102" s="277"/>
      <c r="AB102" s="277"/>
    </row>
    <row r="103">
      <c r="A103" s="72"/>
      <c r="B103" s="280"/>
      <c r="C103" s="129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0"/>
      <c r="P103" s="70"/>
    </row>
    <row r="104">
      <c r="A104" s="284" t="s">
        <v>270</v>
      </c>
      <c r="C104" s="129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0"/>
      <c r="P104" s="70"/>
    </row>
    <row r="105">
      <c r="A105" s="283"/>
      <c r="B105" s="284" t="s">
        <v>271</v>
      </c>
      <c r="C105" s="129"/>
      <c r="D105" s="72"/>
      <c r="E105" s="72"/>
      <c r="F105" s="72"/>
      <c r="G105" s="283">
        <f>17199-F102</f>
        <v>0</v>
      </c>
      <c r="H105" s="72"/>
      <c r="I105" s="72"/>
      <c r="J105" s="72"/>
      <c r="K105" s="72"/>
      <c r="L105" s="72"/>
      <c r="M105" s="72"/>
      <c r="N105" s="72"/>
      <c r="O105" s="70"/>
      <c r="P105" s="70"/>
    </row>
    <row r="106">
      <c r="A106" s="286" t="s">
        <v>272</v>
      </c>
      <c r="C106" s="129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0"/>
      <c r="P106" s="70"/>
    </row>
    <row r="107">
      <c r="A107" s="286" t="s">
        <v>273</v>
      </c>
      <c r="C107" s="129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0"/>
      <c r="P107" s="70"/>
    </row>
    <row r="108">
      <c r="A108" s="287" t="s">
        <v>274</v>
      </c>
      <c r="B108" s="288"/>
      <c r="C108" s="129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0"/>
      <c r="P108" s="70"/>
    </row>
    <row r="109">
      <c r="A109" s="291" t="s">
        <v>275</v>
      </c>
      <c r="C109" s="129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0"/>
      <c r="P109" s="70"/>
    </row>
    <row r="110">
      <c r="A110" s="72"/>
      <c r="B110" s="280"/>
      <c r="C110" s="129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0"/>
      <c r="P110" s="70"/>
    </row>
    <row r="111">
      <c r="A111" s="291">
        <f>C102+O102</f>
        <v>43772</v>
      </c>
      <c r="B111" s="243" t="s">
        <v>136</v>
      </c>
      <c r="C111" s="129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0"/>
      <c r="P111" s="70"/>
    </row>
    <row r="112">
      <c r="A112" s="291">
        <f>D102+P102</f>
        <v>26867</v>
      </c>
      <c r="B112" s="243" t="s">
        <v>276</v>
      </c>
      <c r="C112" s="129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0"/>
      <c r="P112" s="70"/>
    </row>
    <row r="113">
      <c r="A113" s="291">
        <f>E102+Q102</f>
        <v>26400</v>
      </c>
      <c r="B113" s="243" t="s">
        <v>277</v>
      </c>
      <c r="C113" s="129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0"/>
      <c r="P113" s="70"/>
    </row>
    <row r="114">
      <c r="A114" s="291" t="str">
        <f>FE102</f>
        <v/>
      </c>
      <c r="B114" s="243" t="s">
        <v>278</v>
      </c>
      <c r="C114" s="129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0"/>
      <c r="P114" s="70"/>
    </row>
    <row r="115">
      <c r="A115" s="291" t="str">
        <f>GT102</f>
        <v/>
      </c>
      <c r="B115" s="243" t="s">
        <v>4</v>
      </c>
      <c r="C115" s="129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0"/>
      <c r="P115" s="70"/>
    </row>
    <row r="116">
      <c r="A116" s="291" t="str">
        <f>ID102</f>
        <v/>
      </c>
      <c r="B116" s="243" t="s">
        <v>279</v>
      </c>
      <c r="C116" s="129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0"/>
      <c r="P116" s="70"/>
    </row>
    <row r="117">
      <c r="A117" s="291" t="str">
        <f>JT102</f>
        <v/>
      </c>
      <c r="B117" s="243" t="s">
        <v>280</v>
      </c>
      <c r="C117" s="129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0"/>
      <c r="P117" s="70"/>
    </row>
    <row r="118">
      <c r="A118" s="291" t="str">
        <f>LO102</f>
        <v/>
      </c>
      <c r="B118" s="243" t="s">
        <v>281</v>
      </c>
      <c r="C118" s="129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0"/>
      <c r="P118" s="70"/>
    </row>
    <row r="119">
      <c r="A119" s="291" t="str">
        <f>NL102</f>
        <v/>
      </c>
      <c r="B119" s="243" t="s">
        <v>282</v>
      </c>
      <c r="C119" s="129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0"/>
      <c r="P119" s="70"/>
    </row>
    <row r="120">
      <c r="A120" s="291" t="str">
        <f>OW102</f>
        <v/>
      </c>
      <c r="B120" s="243" t="s">
        <v>283</v>
      </c>
      <c r="C120" s="129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0"/>
      <c r="P120" s="70"/>
    </row>
    <row r="121">
      <c r="A121" s="291" t="str">
        <f>QQ102</f>
        <v/>
      </c>
      <c r="B121" s="243" t="s">
        <v>284</v>
      </c>
      <c r="C121" s="129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0"/>
      <c r="P121" s="70"/>
    </row>
    <row r="122">
      <c r="A122" s="290" t="str">
        <f>ARP103</f>
        <v/>
      </c>
      <c r="B122" s="292" t="s">
        <v>285</v>
      </c>
      <c r="C122" s="129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0"/>
      <c r="P122" s="70"/>
    </row>
    <row r="123">
      <c r="A123" s="291">
        <f>sum(A111:A119)</f>
        <v>97039</v>
      </c>
      <c r="B123" s="280"/>
      <c r="C123" s="129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0"/>
      <c r="P123" s="70"/>
    </row>
    <row r="124">
      <c r="A124" s="72"/>
      <c r="B124" s="280"/>
      <c r="C124" s="129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0"/>
      <c r="P124" s="70"/>
    </row>
    <row r="125">
      <c r="A125" s="72"/>
      <c r="B125" s="280"/>
      <c r="C125" s="129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0"/>
      <c r="P125" s="70"/>
    </row>
    <row r="126">
      <c r="C126" s="129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0"/>
      <c r="P126" s="70"/>
    </row>
    <row r="127">
      <c r="C127" s="129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0"/>
      <c r="P127" s="70"/>
    </row>
    <row r="128">
      <c r="C128" s="129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0"/>
      <c r="P128" s="70"/>
    </row>
    <row r="129">
      <c r="C129" s="129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0"/>
      <c r="P129" s="70"/>
    </row>
    <row r="130">
      <c r="C130" s="129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0"/>
      <c r="P130" s="70"/>
    </row>
    <row r="131">
      <c r="C131" s="129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0"/>
      <c r="P131" s="70"/>
    </row>
    <row r="132">
      <c r="C132" s="129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0"/>
      <c r="P132" s="70"/>
    </row>
    <row r="133">
      <c r="C133" s="129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0"/>
      <c r="P133" s="70"/>
    </row>
    <row r="134">
      <c r="C134" s="129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0"/>
      <c r="P134" s="70"/>
    </row>
    <row r="135">
      <c r="C135" s="129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0"/>
      <c r="P135" s="70"/>
    </row>
    <row r="136">
      <c r="C136" s="129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0"/>
      <c r="P136" s="70"/>
    </row>
    <row r="137">
      <c r="C137" s="129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0"/>
      <c r="P137" s="70"/>
    </row>
    <row r="138">
      <c r="C138" s="129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0"/>
      <c r="P138" s="70"/>
    </row>
    <row r="139">
      <c r="C139" s="129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0"/>
      <c r="P139" s="70"/>
    </row>
    <row r="140">
      <c r="C140" s="129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0"/>
      <c r="P140" s="70"/>
    </row>
    <row r="141">
      <c r="C141" s="129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0"/>
      <c r="P141" s="70"/>
    </row>
    <row r="142">
      <c r="C142" s="129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0"/>
      <c r="P142" s="70"/>
    </row>
    <row r="143">
      <c r="C143" s="129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0"/>
      <c r="P143" s="70"/>
    </row>
    <row r="144">
      <c r="C144" s="129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0"/>
      <c r="P144" s="70"/>
    </row>
    <row r="145">
      <c r="C145" s="129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0"/>
      <c r="P145" s="70"/>
    </row>
    <row r="146">
      <c r="C146" s="129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0"/>
      <c r="P146" s="70"/>
    </row>
    <row r="147">
      <c r="C147" s="129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0"/>
      <c r="P147" s="70"/>
    </row>
    <row r="148">
      <c r="C148" s="129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0"/>
      <c r="P148" s="70"/>
    </row>
    <row r="149">
      <c r="C149" s="129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0"/>
      <c r="P149" s="70"/>
    </row>
    <row r="150">
      <c r="C150" s="129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0"/>
      <c r="P150" s="70"/>
    </row>
    <row r="151">
      <c r="C151" s="129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0"/>
      <c r="P151" s="70"/>
    </row>
    <row r="152">
      <c r="C152" s="129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0"/>
      <c r="P152" s="70"/>
    </row>
    <row r="153">
      <c r="C153" s="129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0"/>
      <c r="P153" s="70"/>
    </row>
    <row r="154">
      <c r="C154" s="129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0"/>
      <c r="P154" s="70"/>
    </row>
    <row r="155">
      <c r="C155" s="129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0"/>
      <c r="P155" s="70"/>
    </row>
    <row r="156">
      <c r="C156" s="129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0"/>
      <c r="P156" s="70"/>
    </row>
    <row r="157">
      <c r="C157" s="129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0"/>
      <c r="P157" s="70"/>
    </row>
    <row r="158">
      <c r="C158" s="129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0"/>
      <c r="P158" s="70"/>
    </row>
    <row r="159">
      <c r="C159" s="129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0"/>
      <c r="P159" s="70"/>
    </row>
    <row r="160">
      <c r="C160" s="129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0"/>
      <c r="P160" s="70"/>
    </row>
    <row r="161">
      <c r="C161" s="129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0"/>
      <c r="P161" s="70"/>
    </row>
    <row r="162">
      <c r="C162" s="129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0"/>
      <c r="P162" s="70"/>
    </row>
    <row r="163">
      <c r="C163" s="129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0"/>
      <c r="P163" s="70"/>
    </row>
    <row r="164">
      <c r="C164" s="129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0"/>
      <c r="P164" s="70"/>
    </row>
    <row r="165">
      <c r="C165" s="129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0"/>
      <c r="P165" s="70"/>
    </row>
    <row r="166">
      <c r="C166" s="129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0"/>
      <c r="P166" s="70"/>
    </row>
    <row r="167">
      <c r="C167" s="129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0"/>
      <c r="P167" s="70"/>
    </row>
    <row r="168">
      <c r="C168" s="129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0"/>
      <c r="P168" s="70"/>
    </row>
    <row r="169">
      <c r="C169" s="129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0"/>
      <c r="P169" s="70"/>
    </row>
    <row r="170">
      <c r="C170" s="129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0"/>
      <c r="P170" s="70"/>
    </row>
    <row r="171">
      <c r="C171" s="129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0"/>
      <c r="P171" s="70"/>
    </row>
    <row r="172">
      <c r="C172" s="129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0"/>
      <c r="P172" s="70"/>
    </row>
    <row r="173">
      <c r="C173" s="129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0"/>
      <c r="P173" s="70"/>
    </row>
    <row r="174">
      <c r="C174" s="129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0"/>
      <c r="P174" s="70"/>
    </row>
    <row r="175">
      <c r="C175" s="129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0"/>
      <c r="P175" s="70"/>
    </row>
    <row r="176">
      <c r="C176" s="129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0"/>
      <c r="P176" s="70"/>
    </row>
    <row r="177">
      <c r="C177" s="129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0"/>
      <c r="P177" s="70"/>
    </row>
    <row r="178">
      <c r="C178" s="129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0"/>
      <c r="P178" s="70"/>
    </row>
    <row r="179">
      <c r="C179" s="129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0"/>
      <c r="P179" s="70"/>
    </row>
    <row r="180">
      <c r="C180" s="129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0"/>
      <c r="P180" s="70"/>
    </row>
    <row r="181">
      <c r="C181" s="129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0"/>
      <c r="P181" s="70"/>
    </row>
    <row r="182">
      <c r="C182" s="129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0"/>
      <c r="P182" s="70"/>
    </row>
    <row r="183">
      <c r="C183" s="129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0"/>
      <c r="P183" s="70"/>
    </row>
    <row r="184">
      <c r="C184" s="129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0"/>
      <c r="P184" s="70"/>
    </row>
    <row r="185">
      <c r="C185" s="129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0"/>
      <c r="P185" s="70"/>
    </row>
    <row r="186">
      <c r="C186" s="129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0"/>
      <c r="P186" s="70"/>
    </row>
    <row r="187">
      <c r="C187" s="129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0"/>
      <c r="P187" s="70"/>
    </row>
    <row r="188">
      <c r="C188" s="129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0"/>
      <c r="P188" s="70"/>
    </row>
    <row r="189">
      <c r="C189" s="129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0"/>
      <c r="P189" s="70"/>
    </row>
    <row r="190">
      <c r="C190" s="129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0"/>
      <c r="P190" s="70"/>
    </row>
    <row r="191">
      <c r="C191" s="129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0"/>
      <c r="P191" s="70"/>
    </row>
    <row r="192">
      <c r="C192" s="129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0"/>
      <c r="P192" s="70"/>
    </row>
    <row r="193">
      <c r="C193" s="129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0"/>
      <c r="P193" s="70"/>
    </row>
    <row r="194">
      <c r="C194" s="129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0"/>
      <c r="P194" s="70"/>
    </row>
    <row r="195">
      <c r="C195" s="129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0"/>
      <c r="P195" s="70"/>
    </row>
    <row r="196">
      <c r="C196" s="129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0"/>
      <c r="P196" s="70"/>
    </row>
    <row r="197">
      <c r="C197" s="129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0"/>
      <c r="P197" s="70"/>
    </row>
    <row r="198">
      <c r="C198" s="129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0"/>
      <c r="P198" s="70"/>
    </row>
    <row r="199">
      <c r="C199" s="129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0"/>
      <c r="P199" s="70"/>
    </row>
    <row r="200">
      <c r="C200" s="129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0"/>
      <c r="P200" s="70"/>
    </row>
    <row r="201">
      <c r="C201" s="129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0"/>
      <c r="P201" s="70"/>
    </row>
    <row r="202">
      <c r="C202" s="129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0"/>
      <c r="P202" s="70"/>
    </row>
    <row r="203">
      <c r="C203" s="129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0"/>
      <c r="P203" s="70"/>
    </row>
    <row r="204">
      <c r="C204" s="129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0"/>
      <c r="P204" s="70"/>
    </row>
    <row r="205">
      <c r="C205" s="129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0"/>
      <c r="P205" s="70"/>
    </row>
    <row r="206">
      <c r="C206" s="129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0"/>
      <c r="P206" s="70"/>
    </row>
    <row r="207">
      <c r="C207" s="129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0"/>
      <c r="P207" s="70"/>
    </row>
    <row r="208">
      <c r="C208" s="129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0"/>
      <c r="P208" s="70"/>
    </row>
    <row r="209">
      <c r="C209" s="129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0"/>
      <c r="P209" s="70"/>
    </row>
    <row r="210">
      <c r="C210" s="129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0"/>
      <c r="P210" s="70"/>
    </row>
    <row r="211">
      <c r="C211" s="129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0"/>
      <c r="P211" s="70"/>
    </row>
    <row r="212">
      <c r="C212" s="129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0"/>
      <c r="P212" s="70"/>
    </row>
    <row r="213">
      <c r="C213" s="129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0"/>
      <c r="P213" s="70"/>
    </row>
    <row r="214">
      <c r="C214" s="129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0"/>
      <c r="P214" s="70"/>
    </row>
    <row r="215">
      <c r="C215" s="129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0"/>
      <c r="P215" s="70"/>
    </row>
    <row r="216">
      <c r="C216" s="129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0"/>
      <c r="P216" s="70"/>
    </row>
    <row r="217">
      <c r="C217" s="129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0"/>
      <c r="P217" s="70"/>
    </row>
    <row r="218">
      <c r="C218" s="129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0"/>
      <c r="P218" s="70"/>
    </row>
    <row r="219">
      <c r="C219" s="129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0"/>
      <c r="P219" s="70"/>
    </row>
    <row r="220">
      <c r="C220" s="129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0"/>
      <c r="P220" s="70"/>
    </row>
    <row r="221">
      <c r="C221" s="129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0"/>
      <c r="P221" s="70"/>
    </row>
    <row r="222">
      <c r="C222" s="129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0"/>
      <c r="P222" s="70"/>
    </row>
    <row r="223">
      <c r="C223" s="129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0"/>
      <c r="P223" s="70"/>
    </row>
    <row r="224">
      <c r="C224" s="129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0"/>
      <c r="P224" s="70"/>
    </row>
    <row r="225">
      <c r="C225" s="129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0"/>
      <c r="P225" s="70"/>
    </row>
    <row r="226">
      <c r="C226" s="129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0"/>
      <c r="P226" s="70"/>
    </row>
    <row r="227">
      <c r="C227" s="129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0"/>
      <c r="P227" s="70"/>
    </row>
    <row r="228">
      <c r="C228" s="129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0"/>
      <c r="P228" s="70"/>
    </row>
    <row r="229">
      <c r="C229" s="129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0"/>
      <c r="P229" s="70"/>
    </row>
    <row r="230">
      <c r="C230" s="129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0"/>
      <c r="P230" s="70"/>
    </row>
    <row r="231">
      <c r="C231" s="129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0"/>
      <c r="P231" s="70"/>
    </row>
    <row r="232">
      <c r="C232" s="129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0"/>
      <c r="P232" s="70"/>
    </row>
    <row r="233">
      <c r="C233" s="129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0"/>
      <c r="P233" s="70"/>
    </row>
    <row r="234">
      <c r="C234" s="129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0"/>
      <c r="P234" s="70"/>
    </row>
    <row r="235">
      <c r="C235" s="129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0"/>
      <c r="P235" s="70"/>
    </row>
    <row r="236">
      <c r="C236" s="129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0"/>
      <c r="P236" s="70"/>
    </row>
    <row r="237">
      <c r="C237" s="129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0"/>
      <c r="P237" s="70"/>
    </row>
    <row r="238">
      <c r="C238" s="129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0"/>
      <c r="P238" s="70"/>
    </row>
    <row r="239">
      <c r="C239" s="129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0"/>
      <c r="P239" s="70"/>
    </row>
    <row r="240">
      <c r="C240" s="129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0"/>
      <c r="P240" s="70"/>
    </row>
    <row r="241">
      <c r="C241" s="129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0"/>
      <c r="P241" s="70"/>
    </row>
    <row r="242">
      <c r="C242" s="129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0"/>
      <c r="P242" s="70"/>
    </row>
    <row r="243">
      <c r="C243" s="129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0"/>
      <c r="P243" s="70"/>
    </row>
    <row r="244">
      <c r="C244" s="129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0"/>
      <c r="P244" s="70"/>
    </row>
    <row r="245">
      <c r="C245" s="129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0"/>
      <c r="P245" s="70"/>
    </row>
    <row r="246">
      <c r="C246" s="129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0"/>
      <c r="P246" s="70"/>
    </row>
    <row r="247">
      <c r="C247" s="129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0"/>
      <c r="P247" s="70"/>
    </row>
    <row r="248">
      <c r="C248" s="129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0"/>
      <c r="P248" s="70"/>
    </row>
    <row r="249">
      <c r="C249" s="129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0"/>
      <c r="P249" s="70"/>
    </row>
    <row r="250">
      <c r="C250" s="129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0"/>
      <c r="P250" s="70"/>
    </row>
    <row r="251">
      <c r="C251" s="129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0"/>
      <c r="P251" s="70"/>
    </row>
    <row r="252">
      <c r="C252" s="129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0"/>
      <c r="P252" s="70"/>
    </row>
    <row r="253">
      <c r="C253" s="129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0"/>
      <c r="P253" s="70"/>
    </row>
    <row r="254">
      <c r="C254" s="129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0"/>
      <c r="P254" s="70"/>
    </row>
    <row r="255">
      <c r="C255" s="129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0"/>
      <c r="P255" s="70"/>
    </row>
    <row r="256">
      <c r="C256" s="129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0"/>
      <c r="P256" s="70"/>
    </row>
    <row r="257">
      <c r="C257" s="129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0"/>
      <c r="P257" s="70"/>
    </row>
    <row r="258">
      <c r="C258" s="129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0"/>
      <c r="P258" s="70"/>
    </row>
    <row r="259">
      <c r="C259" s="129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0"/>
      <c r="P259" s="70"/>
    </row>
    <row r="260">
      <c r="C260" s="129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0"/>
      <c r="P260" s="70"/>
    </row>
    <row r="261">
      <c r="C261" s="129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0"/>
      <c r="P261" s="70"/>
    </row>
    <row r="262">
      <c r="C262" s="129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0"/>
      <c r="P262" s="70"/>
    </row>
    <row r="263">
      <c r="C263" s="129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0"/>
      <c r="P263" s="70"/>
    </row>
    <row r="264">
      <c r="C264" s="129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0"/>
      <c r="P264" s="70"/>
    </row>
    <row r="265">
      <c r="C265" s="129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0"/>
      <c r="P265" s="70"/>
    </row>
    <row r="266">
      <c r="C266" s="129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0"/>
      <c r="P266" s="70"/>
    </row>
    <row r="267">
      <c r="C267" s="129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0"/>
      <c r="P267" s="70"/>
    </row>
    <row r="268">
      <c r="C268" s="129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0"/>
      <c r="P268" s="70"/>
    </row>
    <row r="269">
      <c r="C269" s="129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0"/>
      <c r="P269" s="70"/>
    </row>
    <row r="270">
      <c r="C270" s="129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0"/>
      <c r="P270" s="70"/>
    </row>
    <row r="271">
      <c r="C271" s="129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0"/>
      <c r="P271" s="70"/>
    </row>
    <row r="272">
      <c r="C272" s="129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0"/>
      <c r="P272" s="70"/>
    </row>
    <row r="273">
      <c r="C273" s="129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0"/>
      <c r="P273" s="70"/>
    </row>
    <row r="274">
      <c r="C274" s="129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0"/>
      <c r="P274" s="70"/>
    </row>
    <row r="275">
      <c r="C275" s="129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0"/>
      <c r="P275" s="70"/>
    </row>
    <row r="276">
      <c r="C276" s="129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0"/>
      <c r="P276" s="70"/>
    </row>
    <row r="277">
      <c r="C277" s="129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0"/>
      <c r="P277" s="70"/>
    </row>
    <row r="278">
      <c r="C278" s="129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0"/>
      <c r="P278" s="70"/>
    </row>
    <row r="279">
      <c r="C279" s="129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0"/>
      <c r="P279" s="70"/>
    </row>
    <row r="280">
      <c r="C280" s="129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0"/>
      <c r="P280" s="70"/>
    </row>
    <row r="281">
      <c r="C281" s="129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0"/>
      <c r="P281" s="70"/>
    </row>
    <row r="282">
      <c r="C282" s="129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0"/>
      <c r="P282" s="70"/>
    </row>
    <row r="283">
      <c r="C283" s="129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0"/>
      <c r="P283" s="70"/>
    </row>
    <row r="284">
      <c r="C284" s="129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0"/>
      <c r="P284" s="70"/>
    </row>
    <row r="285">
      <c r="C285" s="129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0"/>
      <c r="P285" s="70"/>
    </row>
    <row r="286">
      <c r="C286" s="129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0"/>
      <c r="P286" s="70"/>
    </row>
    <row r="287">
      <c r="C287" s="129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0"/>
      <c r="P287" s="70"/>
    </row>
    <row r="288">
      <c r="C288" s="129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0"/>
      <c r="P288" s="70"/>
    </row>
    <row r="289">
      <c r="C289" s="129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0"/>
      <c r="P289" s="70"/>
    </row>
    <row r="290">
      <c r="C290" s="129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0"/>
      <c r="P290" s="70"/>
    </row>
    <row r="291">
      <c r="C291" s="129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0"/>
      <c r="P291" s="70"/>
    </row>
    <row r="292">
      <c r="C292" s="129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0"/>
      <c r="P292" s="70"/>
    </row>
    <row r="293">
      <c r="C293" s="129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0"/>
      <c r="P293" s="70"/>
    </row>
    <row r="294">
      <c r="C294" s="129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0"/>
      <c r="P294" s="70"/>
    </row>
    <row r="295">
      <c r="C295" s="129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0"/>
      <c r="P295" s="70"/>
    </row>
    <row r="296">
      <c r="C296" s="129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0"/>
      <c r="P296" s="70"/>
    </row>
    <row r="297">
      <c r="C297" s="129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0"/>
      <c r="P297" s="70"/>
    </row>
    <row r="298">
      <c r="C298" s="129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0"/>
      <c r="P298" s="70"/>
    </row>
    <row r="299">
      <c r="C299" s="129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0"/>
      <c r="P299" s="70"/>
    </row>
    <row r="300">
      <c r="C300" s="129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0"/>
      <c r="P300" s="70"/>
    </row>
    <row r="301">
      <c r="C301" s="129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0"/>
      <c r="P301" s="70"/>
    </row>
    <row r="302">
      <c r="C302" s="129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0"/>
      <c r="P302" s="70"/>
    </row>
    <row r="303">
      <c r="C303" s="129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0"/>
      <c r="P303" s="70"/>
    </row>
    <row r="304">
      <c r="C304" s="129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0"/>
      <c r="P304" s="70"/>
    </row>
    <row r="305">
      <c r="C305" s="129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0"/>
      <c r="P305" s="70"/>
    </row>
    <row r="306">
      <c r="C306" s="129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0"/>
      <c r="P306" s="70"/>
    </row>
    <row r="307">
      <c r="C307" s="129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0"/>
      <c r="P307" s="70"/>
    </row>
    <row r="308">
      <c r="C308" s="129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0"/>
      <c r="P308" s="70"/>
    </row>
    <row r="309">
      <c r="C309" s="129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0"/>
      <c r="P309" s="70"/>
    </row>
    <row r="310">
      <c r="C310" s="129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0"/>
      <c r="P310" s="70"/>
    </row>
    <row r="311">
      <c r="C311" s="129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0"/>
      <c r="P311" s="70"/>
    </row>
    <row r="312">
      <c r="C312" s="129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0"/>
      <c r="P312" s="70"/>
    </row>
    <row r="313">
      <c r="C313" s="129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0"/>
      <c r="P313" s="70"/>
    </row>
    <row r="314">
      <c r="C314" s="129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0"/>
      <c r="P314" s="70"/>
    </row>
    <row r="315">
      <c r="C315" s="129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0"/>
      <c r="P315" s="70"/>
    </row>
    <row r="316">
      <c r="C316" s="129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0"/>
      <c r="P316" s="70"/>
    </row>
    <row r="317">
      <c r="C317" s="129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0"/>
      <c r="P317" s="70"/>
    </row>
    <row r="318">
      <c r="C318" s="129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0"/>
      <c r="P318" s="70"/>
    </row>
    <row r="319">
      <c r="C319" s="129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0"/>
      <c r="P319" s="70"/>
    </row>
    <row r="320">
      <c r="C320" s="129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0"/>
      <c r="P320" s="70"/>
    </row>
    <row r="321">
      <c r="C321" s="129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0"/>
      <c r="P321" s="70"/>
    </row>
    <row r="322">
      <c r="C322" s="129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0"/>
      <c r="P322" s="70"/>
    </row>
    <row r="323">
      <c r="C323" s="129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0"/>
      <c r="P323" s="70"/>
    </row>
    <row r="324">
      <c r="C324" s="129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0"/>
      <c r="P324" s="70"/>
    </row>
    <row r="325">
      <c r="C325" s="129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0"/>
      <c r="P325" s="70"/>
    </row>
    <row r="326">
      <c r="C326" s="129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0"/>
      <c r="P326" s="70"/>
    </row>
    <row r="327">
      <c r="C327" s="129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0"/>
      <c r="P327" s="70"/>
    </row>
    <row r="328">
      <c r="C328" s="129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0"/>
      <c r="P328" s="70"/>
    </row>
    <row r="329">
      <c r="C329" s="129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0"/>
      <c r="P329" s="70"/>
    </row>
    <row r="330">
      <c r="C330" s="129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0"/>
      <c r="P330" s="70"/>
    </row>
    <row r="331">
      <c r="C331" s="129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0"/>
      <c r="P331" s="70"/>
    </row>
    <row r="332">
      <c r="C332" s="129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0"/>
      <c r="P332" s="70"/>
    </row>
    <row r="333">
      <c r="C333" s="129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0"/>
      <c r="P333" s="70"/>
    </row>
    <row r="334">
      <c r="C334" s="129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0"/>
      <c r="P334" s="70"/>
    </row>
    <row r="335">
      <c r="C335" s="129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0"/>
      <c r="P335" s="70"/>
    </row>
    <row r="336">
      <c r="C336" s="129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0"/>
      <c r="P336" s="70"/>
    </row>
    <row r="337">
      <c r="C337" s="129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0"/>
      <c r="P337" s="70"/>
    </row>
    <row r="338">
      <c r="C338" s="129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0"/>
      <c r="P338" s="70"/>
    </row>
    <row r="339">
      <c r="C339" s="129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0"/>
      <c r="P339" s="70"/>
    </row>
    <row r="340">
      <c r="C340" s="129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0"/>
      <c r="P340" s="70"/>
    </row>
    <row r="341">
      <c r="C341" s="129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0"/>
      <c r="P341" s="70"/>
    </row>
    <row r="342">
      <c r="C342" s="129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0"/>
      <c r="P342" s="70"/>
    </row>
    <row r="343">
      <c r="C343" s="129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0"/>
      <c r="P343" s="70"/>
    </row>
    <row r="344">
      <c r="C344" s="129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0"/>
      <c r="P344" s="70"/>
    </row>
    <row r="345">
      <c r="C345" s="129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0"/>
      <c r="P345" s="70"/>
    </row>
    <row r="346">
      <c r="C346" s="129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0"/>
      <c r="P346" s="70"/>
    </row>
    <row r="347">
      <c r="C347" s="129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0"/>
      <c r="P347" s="70"/>
    </row>
    <row r="348">
      <c r="C348" s="129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0"/>
      <c r="P348" s="70"/>
    </row>
    <row r="349">
      <c r="C349" s="129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0"/>
      <c r="P349" s="70"/>
    </row>
    <row r="350">
      <c r="C350" s="129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0"/>
      <c r="P350" s="70"/>
    </row>
    <row r="351">
      <c r="C351" s="129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0"/>
      <c r="P351" s="70"/>
    </row>
    <row r="352">
      <c r="C352" s="129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0"/>
      <c r="P352" s="70"/>
    </row>
    <row r="353">
      <c r="C353" s="129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0"/>
      <c r="P353" s="70"/>
    </row>
    <row r="354">
      <c r="C354" s="129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0"/>
      <c r="P354" s="70"/>
    </row>
    <row r="355">
      <c r="C355" s="129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0"/>
      <c r="P355" s="70"/>
    </row>
    <row r="356">
      <c r="C356" s="129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0"/>
      <c r="P356" s="70"/>
    </row>
    <row r="357">
      <c r="C357" s="129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0"/>
      <c r="P357" s="70"/>
    </row>
    <row r="358">
      <c r="C358" s="129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0"/>
      <c r="P358" s="70"/>
    </row>
    <row r="359">
      <c r="C359" s="129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0"/>
      <c r="P359" s="70"/>
    </row>
    <row r="360">
      <c r="C360" s="129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0"/>
      <c r="P360" s="70"/>
    </row>
    <row r="361">
      <c r="C361" s="129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0"/>
      <c r="P361" s="70"/>
    </row>
    <row r="362">
      <c r="C362" s="129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0"/>
      <c r="P362" s="70"/>
    </row>
    <row r="363">
      <c r="C363" s="129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0"/>
      <c r="P363" s="70"/>
    </row>
    <row r="364">
      <c r="C364" s="129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0"/>
      <c r="P364" s="70"/>
    </row>
    <row r="365">
      <c r="C365" s="129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0"/>
      <c r="P365" s="70"/>
    </row>
    <row r="366">
      <c r="C366" s="129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0"/>
      <c r="P366" s="70"/>
    </row>
    <row r="367">
      <c r="C367" s="129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0"/>
      <c r="P367" s="70"/>
    </row>
    <row r="368">
      <c r="C368" s="129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0"/>
      <c r="P368" s="70"/>
    </row>
    <row r="369">
      <c r="C369" s="129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0"/>
      <c r="P369" s="70"/>
    </row>
    <row r="370">
      <c r="C370" s="129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0"/>
      <c r="P370" s="70"/>
    </row>
    <row r="371">
      <c r="C371" s="129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0"/>
      <c r="P371" s="70"/>
    </row>
    <row r="372">
      <c r="C372" s="129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0"/>
      <c r="P372" s="70"/>
    </row>
    <row r="373">
      <c r="C373" s="129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0"/>
      <c r="P373" s="70"/>
    </row>
    <row r="374">
      <c r="C374" s="129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0"/>
      <c r="P374" s="70"/>
    </row>
    <row r="375">
      <c r="C375" s="129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0"/>
      <c r="P375" s="70"/>
    </row>
    <row r="376">
      <c r="C376" s="129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0"/>
      <c r="P376" s="70"/>
    </row>
    <row r="377">
      <c r="C377" s="129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0"/>
      <c r="P377" s="70"/>
    </row>
    <row r="378">
      <c r="C378" s="129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0"/>
      <c r="P378" s="70"/>
    </row>
    <row r="379">
      <c r="C379" s="129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0"/>
      <c r="P379" s="70"/>
    </row>
    <row r="380">
      <c r="C380" s="129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0"/>
      <c r="P380" s="70"/>
    </row>
    <row r="381">
      <c r="C381" s="129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0"/>
      <c r="P381" s="70"/>
    </row>
    <row r="382">
      <c r="C382" s="129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0"/>
      <c r="P382" s="70"/>
    </row>
    <row r="383">
      <c r="C383" s="129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0"/>
      <c r="P383" s="70"/>
    </row>
    <row r="384">
      <c r="C384" s="129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0"/>
      <c r="P384" s="70"/>
    </row>
    <row r="385">
      <c r="C385" s="129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0"/>
      <c r="P385" s="70"/>
    </row>
    <row r="386">
      <c r="C386" s="129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0"/>
      <c r="P386" s="70"/>
    </row>
    <row r="387">
      <c r="C387" s="129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0"/>
      <c r="P387" s="70"/>
    </row>
    <row r="388">
      <c r="C388" s="129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0"/>
      <c r="P388" s="70"/>
    </row>
    <row r="389">
      <c r="C389" s="129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0"/>
      <c r="P389" s="70"/>
    </row>
    <row r="390">
      <c r="C390" s="129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0"/>
      <c r="P390" s="70"/>
    </row>
    <row r="391">
      <c r="C391" s="129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0"/>
      <c r="P391" s="70"/>
    </row>
    <row r="392">
      <c r="C392" s="129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0"/>
      <c r="P392" s="70"/>
    </row>
    <row r="393">
      <c r="C393" s="129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0"/>
      <c r="P393" s="70"/>
    </row>
    <row r="394">
      <c r="C394" s="129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0"/>
      <c r="P394" s="70"/>
    </row>
    <row r="395">
      <c r="C395" s="129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0"/>
      <c r="P395" s="70"/>
    </row>
    <row r="396">
      <c r="C396" s="129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0"/>
      <c r="P396" s="70"/>
    </row>
    <row r="397">
      <c r="C397" s="129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0"/>
      <c r="P397" s="70"/>
    </row>
    <row r="398">
      <c r="C398" s="129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0"/>
      <c r="P398" s="70"/>
    </row>
    <row r="399">
      <c r="C399" s="129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0"/>
      <c r="P399" s="70"/>
    </row>
    <row r="400">
      <c r="C400" s="129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0"/>
      <c r="P400" s="70"/>
    </row>
    <row r="401">
      <c r="C401" s="129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0"/>
      <c r="P401" s="70"/>
    </row>
    <row r="402">
      <c r="C402" s="129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0"/>
      <c r="P402" s="70"/>
    </row>
    <row r="403">
      <c r="C403" s="129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0"/>
      <c r="P403" s="70"/>
    </row>
    <row r="404">
      <c r="C404" s="129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0"/>
      <c r="P404" s="70"/>
    </row>
    <row r="405">
      <c r="C405" s="129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0"/>
      <c r="P405" s="70"/>
    </row>
    <row r="406">
      <c r="C406" s="129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0"/>
      <c r="P406" s="70"/>
    </row>
    <row r="407">
      <c r="C407" s="129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0"/>
      <c r="P407" s="70"/>
    </row>
    <row r="408">
      <c r="C408" s="129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0"/>
      <c r="P408" s="70"/>
    </row>
    <row r="409">
      <c r="C409" s="129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0"/>
      <c r="P409" s="70"/>
    </row>
    <row r="410">
      <c r="C410" s="129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0"/>
      <c r="P410" s="70"/>
    </row>
    <row r="411">
      <c r="C411" s="129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0"/>
      <c r="P411" s="70"/>
    </row>
    <row r="412">
      <c r="C412" s="129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0"/>
      <c r="P412" s="70"/>
    </row>
    <row r="413">
      <c r="C413" s="129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0"/>
      <c r="P413" s="70"/>
    </row>
    <row r="414">
      <c r="C414" s="129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0"/>
      <c r="P414" s="70"/>
    </row>
    <row r="415">
      <c r="C415" s="129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0"/>
      <c r="P415" s="70"/>
    </row>
    <row r="416">
      <c r="C416" s="129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0"/>
      <c r="P416" s="70"/>
    </row>
    <row r="417">
      <c r="C417" s="129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0"/>
      <c r="P417" s="70"/>
    </row>
    <row r="418">
      <c r="C418" s="129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0"/>
      <c r="P418" s="70"/>
    </row>
    <row r="419">
      <c r="C419" s="129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0"/>
      <c r="P419" s="70"/>
    </row>
    <row r="420">
      <c r="C420" s="129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0"/>
      <c r="P420" s="70"/>
    </row>
    <row r="421">
      <c r="C421" s="129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0"/>
      <c r="P421" s="70"/>
    </row>
    <row r="422">
      <c r="C422" s="129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0"/>
      <c r="P422" s="70"/>
    </row>
    <row r="423">
      <c r="C423" s="129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0"/>
      <c r="P423" s="70"/>
    </row>
    <row r="424">
      <c r="C424" s="129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0"/>
      <c r="P424" s="70"/>
    </row>
    <row r="425">
      <c r="C425" s="129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0"/>
      <c r="P425" s="70"/>
    </row>
    <row r="426">
      <c r="C426" s="129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0"/>
      <c r="P426" s="70"/>
    </row>
    <row r="427">
      <c r="C427" s="129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0"/>
      <c r="P427" s="70"/>
    </row>
    <row r="428">
      <c r="C428" s="129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0"/>
      <c r="P428" s="70"/>
    </row>
    <row r="429">
      <c r="C429" s="129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0"/>
      <c r="P429" s="70"/>
    </row>
    <row r="430">
      <c r="C430" s="129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0"/>
      <c r="P430" s="70"/>
    </row>
    <row r="431">
      <c r="C431" s="129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0"/>
      <c r="P431" s="70"/>
    </row>
    <row r="432">
      <c r="C432" s="129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0"/>
      <c r="P432" s="70"/>
    </row>
    <row r="433">
      <c r="C433" s="129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0"/>
      <c r="P433" s="70"/>
    </row>
    <row r="434">
      <c r="C434" s="129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0"/>
      <c r="P434" s="70"/>
    </row>
    <row r="435">
      <c r="C435" s="129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0"/>
      <c r="P435" s="70"/>
    </row>
    <row r="436">
      <c r="C436" s="129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0"/>
      <c r="P436" s="70"/>
    </row>
    <row r="437">
      <c r="C437" s="129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0"/>
      <c r="P437" s="70"/>
    </row>
    <row r="438">
      <c r="C438" s="129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0"/>
      <c r="P438" s="70"/>
    </row>
    <row r="439">
      <c r="C439" s="129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0"/>
      <c r="P439" s="70"/>
    </row>
    <row r="440">
      <c r="C440" s="129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0"/>
      <c r="P440" s="70"/>
    </row>
    <row r="441">
      <c r="C441" s="129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0"/>
      <c r="P441" s="70"/>
    </row>
    <row r="442">
      <c r="C442" s="129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0"/>
      <c r="P442" s="70"/>
    </row>
    <row r="443">
      <c r="C443" s="129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0"/>
      <c r="P443" s="70"/>
    </row>
    <row r="444">
      <c r="C444" s="129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0"/>
      <c r="P444" s="70"/>
    </row>
    <row r="445">
      <c r="C445" s="129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0"/>
      <c r="P445" s="70"/>
    </row>
    <row r="446">
      <c r="C446" s="129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0"/>
      <c r="P446" s="70"/>
    </row>
    <row r="447">
      <c r="C447" s="129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0"/>
      <c r="P447" s="70"/>
    </row>
    <row r="448">
      <c r="C448" s="129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0"/>
      <c r="P448" s="70"/>
    </row>
    <row r="449">
      <c r="C449" s="129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0"/>
      <c r="P449" s="70"/>
    </row>
    <row r="450">
      <c r="C450" s="129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0"/>
      <c r="P450" s="70"/>
    </row>
    <row r="451">
      <c r="C451" s="129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0"/>
      <c r="P451" s="70"/>
    </row>
    <row r="452">
      <c r="C452" s="129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0"/>
      <c r="P452" s="70"/>
    </row>
    <row r="453">
      <c r="C453" s="129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0"/>
      <c r="P453" s="70"/>
    </row>
    <row r="454">
      <c r="C454" s="129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0"/>
      <c r="P454" s="70"/>
    </row>
    <row r="455">
      <c r="C455" s="129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0"/>
      <c r="P455" s="70"/>
    </row>
    <row r="456">
      <c r="C456" s="129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0"/>
      <c r="P456" s="70"/>
    </row>
    <row r="457">
      <c r="C457" s="129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0"/>
      <c r="P457" s="70"/>
    </row>
    <row r="458">
      <c r="C458" s="129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0"/>
      <c r="P458" s="70"/>
    </row>
    <row r="459">
      <c r="C459" s="129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0"/>
      <c r="P459" s="70"/>
    </row>
    <row r="460">
      <c r="C460" s="129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0"/>
      <c r="P460" s="70"/>
    </row>
    <row r="461">
      <c r="C461" s="129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0"/>
      <c r="P461" s="70"/>
    </row>
    <row r="462">
      <c r="C462" s="129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0"/>
      <c r="P462" s="70"/>
    </row>
    <row r="463">
      <c r="C463" s="129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0"/>
      <c r="P463" s="70"/>
    </row>
    <row r="464">
      <c r="C464" s="129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0"/>
      <c r="P464" s="70"/>
    </row>
    <row r="465">
      <c r="C465" s="129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0"/>
      <c r="P465" s="70"/>
    </row>
    <row r="466">
      <c r="C466" s="129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0"/>
      <c r="P466" s="70"/>
    </row>
    <row r="467">
      <c r="C467" s="129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0"/>
      <c r="P467" s="70"/>
    </row>
    <row r="468">
      <c r="C468" s="129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0"/>
      <c r="P468" s="70"/>
    </row>
    <row r="469">
      <c r="C469" s="129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0"/>
      <c r="P469" s="70"/>
    </row>
    <row r="470">
      <c r="C470" s="129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0"/>
      <c r="P470" s="70"/>
    </row>
    <row r="471">
      <c r="C471" s="129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0"/>
      <c r="P471" s="70"/>
    </row>
    <row r="472">
      <c r="C472" s="129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0"/>
      <c r="P472" s="70"/>
    </row>
    <row r="473">
      <c r="C473" s="129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0"/>
      <c r="P473" s="70"/>
    </row>
    <row r="474">
      <c r="C474" s="129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0"/>
      <c r="P474" s="70"/>
    </row>
    <row r="475">
      <c r="C475" s="129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0"/>
      <c r="P475" s="70"/>
    </row>
    <row r="476">
      <c r="C476" s="129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0"/>
      <c r="P476" s="70"/>
    </row>
    <row r="477">
      <c r="C477" s="129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0"/>
      <c r="P477" s="70"/>
    </row>
    <row r="478">
      <c r="C478" s="129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0"/>
      <c r="P478" s="70"/>
    </row>
    <row r="479">
      <c r="C479" s="129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0"/>
      <c r="P479" s="70"/>
    </row>
    <row r="480">
      <c r="C480" s="129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0"/>
      <c r="P480" s="70"/>
    </row>
    <row r="481">
      <c r="C481" s="129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0"/>
      <c r="P481" s="70"/>
    </row>
    <row r="482">
      <c r="C482" s="129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0"/>
      <c r="P482" s="70"/>
    </row>
    <row r="483">
      <c r="C483" s="129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0"/>
      <c r="P483" s="70"/>
    </row>
    <row r="484">
      <c r="C484" s="129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0"/>
      <c r="P484" s="70"/>
    </row>
    <row r="485">
      <c r="C485" s="129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0"/>
      <c r="P485" s="70"/>
    </row>
    <row r="486">
      <c r="C486" s="129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0"/>
      <c r="P486" s="70"/>
    </row>
    <row r="487">
      <c r="C487" s="129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0"/>
      <c r="P487" s="70"/>
    </row>
    <row r="488">
      <c r="C488" s="129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0"/>
      <c r="P488" s="70"/>
    </row>
    <row r="489">
      <c r="C489" s="129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0"/>
      <c r="P489" s="70"/>
    </row>
    <row r="490">
      <c r="C490" s="129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0"/>
      <c r="P490" s="70"/>
    </row>
    <row r="491">
      <c r="C491" s="129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0"/>
      <c r="P491" s="70"/>
    </row>
    <row r="492">
      <c r="C492" s="129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0"/>
      <c r="P492" s="70"/>
    </row>
    <row r="493">
      <c r="C493" s="129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0"/>
      <c r="P493" s="70"/>
    </row>
    <row r="494">
      <c r="C494" s="129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0"/>
      <c r="P494" s="70"/>
    </row>
    <row r="495">
      <c r="C495" s="129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0"/>
      <c r="P495" s="70"/>
    </row>
    <row r="496">
      <c r="C496" s="129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0"/>
      <c r="P496" s="70"/>
    </row>
    <row r="497">
      <c r="C497" s="129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0"/>
      <c r="P497" s="70"/>
    </row>
    <row r="498">
      <c r="C498" s="129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0"/>
      <c r="P498" s="70"/>
    </row>
    <row r="499">
      <c r="C499" s="129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0"/>
      <c r="P499" s="70"/>
    </row>
    <row r="500">
      <c r="C500" s="129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0"/>
      <c r="P500" s="70"/>
    </row>
    <row r="501">
      <c r="C501" s="129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0"/>
      <c r="P501" s="70"/>
    </row>
    <row r="502">
      <c r="C502" s="129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0"/>
      <c r="P502" s="70"/>
    </row>
    <row r="503">
      <c r="C503" s="129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0"/>
      <c r="P503" s="70"/>
    </row>
    <row r="504">
      <c r="C504" s="129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0"/>
      <c r="P504" s="70"/>
    </row>
    <row r="505">
      <c r="C505" s="129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0"/>
      <c r="P505" s="70"/>
    </row>
    <row r="506">
      <c r="C506" s="129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0"/>
      <c r="P506" s="70"/>
    </row>
    <row r="507">
      <c r="C507" s="129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0"/>
      <c r="P507" s="70"/>
    </row>
    <row r="508">
      <c r="C508" s="129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0"/>
      <c r="P508" s="70"/>
    </row>
    <row r="509">
      <c r="C509" s="129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0"/>
      <c r="P509" s="70"/>
    </row>
    <row r="510">
      <c r="C510" s="129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0"/>
      <c r="P510" s="70"/>
    </row>
    <row r="511">
      <c r="C511" s="129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0"/>
      <c r="P511" s="70"/>
    </row>
    <row r="512">
      <c r="C512" s="129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0"/>
      <c r="P512" s="70"/>
    </row>
    <row r="513">
      <c r="C513" s="129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0"/>
      <c r="P513" s="70"/>
    </row>
    <row r="514">
      <c r="C514" s="129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0"/>
      <c r="P514" s="70"/>
    </row>
    <row r="515">
      <c r="C515" s="129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0"/>
      <c r="P515" s="70"/>
    </row>
    <row r="516">
      <c r="C516" s="129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0"/>
      <c r="P516" s="70"/>
    </row>
    <row r="517">
      <c r="C517" s="129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0"/>
      <c r="P517" s="70"/>
    </row>
    <row r="518">
      <c r="C518" s="129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0"/>
      <c r="P518" s="70"/>
    </row>
    <row r="519">
      <c r="C519" s="129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0"/>
      <c r="P519" s="70"/>
    </row>
    <row r="520">
      <c r="C520" s="129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0"/>
      <c r="P520" s="70"/>
    </row>
    <row r="521">
      <c r="C521" s="129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0"/>
      <c r="P521" s="70"/>
    </row>
    <row r="522">
      <c r="C522" s="129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0"/>
      <c r="P522" s="70"/>
    </row>
    <row r="523">
      <c r="C523" s="129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0"/>
      <c r="P523" s="70"/>
    </row>
    <row r="524">
      <c r="C524" s="129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0"/>
      <c r="P524" s="70"/>
    </row>
    <row r="525">
      <c r="C525" s="129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0"/>
      <c r="P525" s="70"/>
    </row>
    <row r="526">
      <c r="C526" s="129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0"/>
      <c r="P526" s="70"/>
    </row>
    <row r="527">
      <c r="C527" s="129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0"/>
      <c r="P527" s="70"/>
    </row>
    <row r="528">
      <c r="C528" s="129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0"/>
      <c r="P528" s="70"/>
    </row>
    <row r="529">
      <c r="C529" s="129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0"/>
      <c r="P529" s="70"/>
    </row>
    <row r="530">
      <c r="C530" s="129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0"/>
      <c r="P530" s="70"/>
    </row>
    <row r="531">
      <c r="C531" s="129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0"/>
      <c r="P531" s="70"/>
    </row>
    <row r="532">
      <c r="C532" s="129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0"/>
      <c r="P532" s="70"/>
    </row>
    <row r="533">
      <c r="C533" s="129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0"/>
      <c r="P533" s="70"/>
    </row>
    <row r="534">
      <c r="C534" s="129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0"/>
      <c r="P534" s="70"/>
    </row>
    <row r="535">
      <c r="C535" s="129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0"/>
      <c r="P535" s="70"/>
    </row>
    <row r="536">
      <c r="C536" s="129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0"/>
      <c r="P536" s="70"/>
    </row>
    <row r="537">
      <c r="C537" s="129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0"/>
      <c r="P537" s="70"/>
    </row>
    <row r="538">
      <c r="C538" s="129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0"/>
      <c r="P538" s="70"/>
    </row>
    <row r="539">
      <c r="C539" s="129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0"/>
      <c r="P539" s="70"/>
    </row>
    <row r="540">
      <c r="C540" s="129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0"/>
      <c r="P540" s="70"/>
    </row>
    <row r="541">
      <c r="C541" s="129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0"/>
      <c r="P541" s="70"/>
    </row>
    <row r="542">
      <c r="C542" s="129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0"/>
      <c r="P542" s="70"/>
    </row>
    <row r="543">
      <c r="C543" s="129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0"/>
      <c r="P543" s="70"/>
    </row>
    <row r="544">
      <c r="C544" s="129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0"/>
      <c r="P544" s="70"/>
    </row>
    <row r="545">
      <c r="C545" s="129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0"/>
      <c r="P545" s="70"/>
    </row>
    <row r="546">
      <c r="C546" s="129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0"/>
      <c r="P546" s="70"/>
    </row>
    <row r="547">
      <c r="C547" s="129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0"/>
      <c r="P547" s="70"/>
    </row>
    <row r="548">
      <c r="C548" s="129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0"/>
      <c r="P548" s="70"/>
    </row>
    <row r="549">
      <c r="C549" s="129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0"/>
      <c r="P549" s="70"/>
    </row>
    <row r="550">
      <c r="C550" s="129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0"/>
      <c r="P550" s="70"/>
    </row>
    <row r="551">
      <c r="C551" s="129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0"/>
      <c r="P551" s="70"/>
    </row>
    <row r="552">
      <c r="C552" s="129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0"/>
      <c r="P552" s="70"/>
    </row>
    <row r="553">
      <c r="C553" s="129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0"/>
      <c r="P553" s="70"/>
    </row>
    <row r="554">
      <c r="C554" s="129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0"/>
      <c r="P554" s="70"/>
    </row>
    <row r="555">
      <c r="C555" s="129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0"/>
      <c r="P555" s="70"/>
    </row>
    <row r="556">
      <c r="C556" s="129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0"/>
      <c r="P556" s="70"/>
    </row>
    <row r="557">
      <c r="C557" s="129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0"/>
      <c r="P557" s="70"/>
    </row>
    <row r="558">
      <c r="C558" s="129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0"/>
      <c r="P558" s="70"/>
    </row>
    <row r="559">
      <c r="C559" s="129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0"/>
      <c r="P559" s="70"/>
    </row>
    <row r="560">
      <c r="C560" s="129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0"/>
      <c r="P560" s="70"/>
    </row>
    <row r="561">
      <c r="C561" s="129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0"/>
      <c r="P561" s="70"/>
    </row>
    <row r="562">
      <c r="C562" s="129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0"/>
      <c r="P562" s="70"/>
    </row>
    <row r="563">
      <c r="C563" s="129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0"/>
      <c r="P563" s="70"/>
    </row>
    <row r="564">
      <c r="C564" s="129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0"/>
      <c r="P564" s="70"/>
    </row>
    <row r="565">
      <c r="C565" s="129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0"/>
      <c r="P565" s="70"/>
    </row>
    <row r="566">
      <c r="C566" s="129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0"/>
      <c r="P566" s="70"/>
    </row>
    <row r="567">
      <c r="C567" s="129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0"/>
      <c r="P567" s="70"/>
    </row>
    <row r="568">
      <c r="C568" s="129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0"/>
      <c r="P568" s="70"/>
    </row>
    <row r="569">
      <c r="C569" s="129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0"/>
      <c r="P569" s="70"/>
    </row>
    <row r="570">
      <c r="C570" s="129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0"/>
      <c r="P570" s="70"/>
    </row>
    <row r="571">
      <c r="C571" s="129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0"/>
      <c r="P571" s="70"/>
    </row>
    <row r="572">
      <c r="C572" s="129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0"/>
      <c r="P572" s="70"/>
    </row>
    <row r="573">
      <c r="C573" s="129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0"/>
      <c r="P573" s="70"/>
    </row>
    <row r="574">
      <c r="C574" s="129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0"/>
      <c r="P574" s="70"/>
    </row>
    <row r="575">
      <c r="C575" s="129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0"/>
      <c r="P575" s="70"/>
    </row>
    <row r="576">
      <c r="C576" s="129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0"/>
      <c r="P576" s="70"/>
    </row>
    <row r="577">
      <c r="C577" s="129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0"/>
      <c r="P577" s="70"/>
    </row>
    <row r="578">
      <c r="C578" s="129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0"/>
      <c r="P578" s="70"/>
    </row>
    <row r="579">
      <c r="C579" s="129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0"/>
      <c r="P579" s="70"/>
    </row>
    <row r="580">
      <c r="C580" s="129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0"/>
      <c r="P580" s="70"/>
    </row>
    <row r="581">
      <c r="C581" s="129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0"/>
      <c r="P581" s="70"/>
    </row>
    <row r="582">
      <c r="C582" s="129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0"/>
      <c r="P582" s="70"/>
    </row>
    <row r="583">
      <c r="C583" s="129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0"/>
      <c r="P583" s="70"/>
    </row>
    <row r="584">
      <c r="C584" s="129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0"/>
      <c r="P584" s="70"/>
    </row>
    <row r="585">
      <c r="C585" s="129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0"/>
      <c r="P585" s="70"/>
    </row>
    <row r="586">
      <c r="C586" s="129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0"/>
      <c r="P586" s="70"/>
    </row>
    <row r="587">
      <c r="C587" s="129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0"/>
      <c r="P587" s="70"/>
    </row>
    <row r="588">
      <c r="C588" s="129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0"/>
      <c r="P588" s="70"/>
    </row>
    <row r="589">
      <c r="C589" s="129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0"/>
      <c r="P589" s="70"/>
    </row>
    <row r="590">
      <c r="C590" s="129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0"/>
      <c r="P590" s="70"/>
    </row>
    <row r="591">
      <c r="C591" s="129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0"/>
      <c r="P591" s="70"/>
    </row>
    <row r="592">
      <c r="C592" s="129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0"/>
      <c r="P592" s="70"/>
    </row>
    <row r="593">
      <c r="C593" s="129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0"/>
      <c r="P593" s="70"/>
    </row>
    <row r="594">
      <c r="C594" s="129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0"/>
      <c r="P594" s="70"/>
    </row>
    <row r="595">
      <c r="C595" s="129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0"/>
      <c r="P595" s="70"/>
    </row>
    <row r="596">
      <c r="C596" s="129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0"/>
      <c r="P596" s="70"/>
    </row>
    <row r="597">
      <c r="C597" s="129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0"/>
      <c r="P597" s="70"/>
    </row>
    <row r="598">
      <c r="C598" s="129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0"/>
      <c r="P598" s="70"/>
    </row>
    <row r="599">
      <c r="C599" s="129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0"/>
      <c r="P599" s="70"/>
    </row>
    <row r="600">
      <c r="C600" s="129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0"/>
      <c r="P600" s="70"/>
    </row>
    <row r="601">
      <c r="C601" s="129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0"/>
      <c r="P601" s="70"/>
    </row>
    <row r="602">
      <c r="C602" s="129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0"/>
      <c r="P602" s="70"/>
    </row>
    <row r="603">
      <c r="C603" s="129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0"/>
      <c r="P603" s="70"/>
    </row>
    <row r="604">
      <c r="C604" s="129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0"/>
      <c r="P604" s="70"/>
    </row>
    <row r="605">
      <c r="C605" s="129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0"/>
      <c r="P605" s="70"/>
    </row>
    <row r="606">
      <c r="C606" s="129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0"/>
      <c r="P606" s="70"/>
    </row>
    <row r="607">
      <c r="C607" s="129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0"/>
      <c r="P607" s="70"/>
    </row>
    <row r="608">
      <c r="C608" s="129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0"/>
      <c r="P608" s="70"/>
    </row>
    <row r="609">
      <c r="C609" s="129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0"/>
      <c r="P609" s="70"/>
    </row>
    <row r="610">
      <c r="C610" s="129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0"/>
      <c r="P610" s="70"/>
    </row>
    <row r="611">
      <c r="C611" s="129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0"/>
      <c r="P611" s="70"/>
    </row>
    <row r="612">
      <c r="C612" s="129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0"/>
      <c r="P612" s="70"/>
    </row>
    <row r="613">
      <c r="C613" s="129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0"/>
      <c r="P613" s="70"/>
    </row>
    <row r="614">
      <c r="C614" s="129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0"/>
      <c r="P614" s="70"/>
    </row>
    <row r="615">
      <c r="C615" s="129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0"/>
      <c r="P615" s="70"/>
    </row>
    <row r="616">
      <c r="C616" s="129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0"/>
      <c r="P616" s="70"/>
    </row>
    <row r="617">
      <c r="C617" s="129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0"/>
      <c r="P617" s="70"/>
    </row>
    <row r="618">
      <c r="C618" s="129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0"/>
      <c r="P618" s="70"/>
    </row>
    <row r="619">
      <c r="C619" s="129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0"/>
      <c r="P619" s="70"/>
    </row>
    <row r="620">
      <c r="C620" s="129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0"/>
      <c r="P620" s="70"/>
    </row>
    <row r="621">
      <c r="C621" s="129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0"/>
      <c r="P621" s="70"/>
    </row>
    <row r="622">
      <c r="C622" s="129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0"/>
      <c r="P622" s="70"/>
    </row>
    <row r="623">
      <c r="C623" s="129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0"/>
      <c r="P623" s="70"/>
    </row>
    <row r="624">
      <c r="C624" s="129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0"/>
      <c r="P624" s="70"/>
    </row>
    <row r="625">
      <c r="C625" s="129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0"/>
      <c r="P625" s="70"/>
    </row>
    <row r="626">
      <c r="C626" s="129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0"/>
      <c r="P626" s="70"/>
    </row>
    <row r="627">
      <c r="C627" s="129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0"/>
      <c r="P627" s="70"/>
    </row>
    <row r="628">
      <c r="C628" s="129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0"/>
      <c r="P628" s="70"/>
    </row>
    <row r="629">
      <c r="C629" s="129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0"/>
      <c r="P629" s="70"/>
    </row>
    <row r="630">
      <c r="C630" s="129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0"/>
      <c r="P630" s="70"/>
    </row>
    <row r="631">
      <c r="C631" s="129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0"/>
      <c r="P631" s="70"/>
    </row>
    <row r="632">
      <c r="C632" s="129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0"/>
      <c r="P632" s="70"/>
    </row>
    <row r="633">
      <c r="C633" s="129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0"/>
      <c r="P633" s="70"/>
    </row>
    <row r="634">
      <c r="C634" s="129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0"/>
      <c r="P634" s="70"/>
    </row>
    <row r="635">
      <c r="C635" s="129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0"/>
      <c r="P635" s="70"/>
    </row>
    <row r="636">
      <c r="C636" s="129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0"/>
      <c r="P636" s="70"/>
    </row>
    <row r="637">
      <c r="C637" s="129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0"/>
      <c r="P637" s="70"/>
    </row>
    <row r="638">
      <c r="C638" s="129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0"/>
      <c r="P638" s="70"/>
    </row>
    <row r="639">
      <c r="C639" s="129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0"/>
      <c r="P639" s="70"/>
    </row>
    <row r="640">
      <c r="C640" s="129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0"/>
      <c r="P640" s="70"/>
    </row>
    <row r="641">
      <c r="C641" s="129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0"/>
      <c r="P641" s="70"/>
    </row>
    <row r="642">
      <c r="C642" s="129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0"/>
      <c r="P642" s="70"/>
    </row>
    <row r="643">
      <c r="C643" s="129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0"/>
      <c r="P643" s="70"/>
    </row>
    <row r="644">
      <c r="C644" s="129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0"/>
      <c r="P644" s="70"/>
    </row>
    <row r="645">
      <c r="C645" s="129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0"/>
      <c r="P645" s="70"/>
    </row>
    <row r="646">
      <c r="C646" s="129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0"/>
      <c r="P646" s="70"/>
    </row>
    <row r="647">
      <c r="C647" s="129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0"/>
      <c r="P647" s="70"/>
    </row>
    <row r="648">
      <c r="C648" s="129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0"/>
      <c r="P648" s="70"/>
    </row>
    <row r="649">
      <c r="C649" s="129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0"/>
      <c r="P649" s="70"/>
    </row>
    <row r="650">
      <c r="C650" s="129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0"/>
      <c r="P650" s="70"/>
    </row>
    <row r="651">
      <c r="C651" s="129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0"/>
      <c r="P651" s="70"/>
    </row>
    <row r="652">
      <c r="C652" s="129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0"/>
      <c r="P652" s="70"/>
    </row>
    <row r="653">
      <c r="C653" s="129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0"/>
      <c r="P653" s="70"/>
    </row>
    <row r="654">
      <c r="C654" s="129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0"/>
      <c r="P654" s="70"/>
    </row>
    <row r="655">
      <c r="C655" s="129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0"/>
      <c r="P655" s="70"/>
    </row>
    <row r="656">
      <c r="C656" s="129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0"/>
      <c r="P656" s="70"/>
    </row>
    <row r="657">
      <c r="C657" s="129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0"/>
      <c r="P657" s="70"/>
    </row>
    <row r="658">
      <c r="C658" s="129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0"/>
      <c r="P658" s="70"/>
    </row>
    <row r="659">
      <c r="C659" s="129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0"/>
      <c r="P659" s="70"/>
    </row>
    <row r="660">
      <c r="C660" s="129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0"/>
      <c r="P660" s="70"/>
    </row>
    <row r="661">
      <c r="C661" s="129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0"/>
      <c r="P661" s="70"/>
    </row>
    <row r="662">
      <c r="C662" s="129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0"/>
      <c r="P662" s="70"/>
    </row>
    <row r="663">
      <c r="C663" s="129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0"/>
      <c r="P663" s="70"/>
    </row>
    <row r="664">
      <c r="C664" s="129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0"/>
      <c r="P664" s="70"/>
    </row>
    <row r="665">
      <c r="C665" s="129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0"/>
      <c r="P665" s="70"/>
    </row>
    <row r="666">
      <c r="C666" s="129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0"/>
      <c r="P666" s="70"/>
    </row>
    <row r="667">
      <c r="C667" s="129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0"/>
      <c r="P667" s="70"/>
    </row>
    <row r="668">
      <c r="C668" s="129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0"/>
      <c r="P668" s="70"/>
    </row>
    <row r="669">
      <c r="C669" s="129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0"/>
      <c r="P669" s="70"/>
    </row>
    <row r="670">
      <c r="C670" s="129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0"/>
      <c r="P670" s="70"/>
    </row>
    <row r="671">
      <c r="C671" s="129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0"/>
      <c r="P671" s="70"/>
    </row>
    <row r="672">
      <c r="C672" s="129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0"/>
      <c r="P672" s="70"/>
    </row>
    <row r="673">
      <c r="C673" s="129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0"/>
      <c r="P673" s="70"/>
    </row>
    <row r="674">
      <c r="C674" s="129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0"/>
      <c r="P674" s="70"/>
    </row>
    <row r="675">
      <c r="C675" s="129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0"/>
      <c r="P675" s="70"/>
    </row>
    <row r="676">
      <c r="C676" s="129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0"/>
      <c r="P676" s="70"/>
    </row>
    <row r="677">
      <c r="C677" s="129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0"/>
      <c r="P677" s="70"/>
    </row>
    <row r="678">
      <c r="C678" s="129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0"/>
      <c r="P678" s="70"/>
    </row>
    <row r="679">
      <c r="C679" s="129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0"/>
      <c r="P679" s="70"/>
    </row>
    <row r="680">
      <c r="C680" s="129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0"/>
      <c r="P680" s="70"/>
    </row>
    <row r="681">
      <c r="C681" s="129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0"/>
      <c r="P681" s="70"/>
    </row>
    <row r="682">
      <c r="C682" s="129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0"/>
      <c r="P682" s="70"/>
    </row>
    <row r="683">
      <c r="C683" s="129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0"/>
      <c r="P683" s="70"/>
    </row>
    <row r="684">
      <c r="C684" s="129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0"/>
      <c r="P684" s="70"/>
    </row>
    <row r="685">
      <c r="C685" s="129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0"/>
      <c r="P685" s="70"/>
    </row>
    <row r="686">
      <c r="C686" s="129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0"/>
      <c r="P686" s="70"/>
    </row>
    <row r="687">
      <c r="C687" s="129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0"/>
      <c r="P687" s="70"/>
    </row>
    <row r="688">
      <c r="C688" s="129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0"/>
      <c r="P688" s="70"/>
    </row>
    <row r="689">
      <c r="C689" s="129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0"/>
      <c r="P689" s="70"/>
    </row>
    <row r="690">
      <c r="C690" s="129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0"/>
      <c r="P690" s="70"/>
    </row>
    <row r="691">
      <c r="C691" s="129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0"/>
      <c r="P691" s="70"/>
    </row>
    <row r="692">
      <c r="C692" s="129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0"/>
      <c r="P692" s="70"/>
    </row>
    <row r="693">
      <c r="C693" s="129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0"/>
      <c r="P693" s="70"/>
    </row>
    <row r="694">
      <c r="C694" s="129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0"/>
      <c r="P694" s="70"/>
    </row>
    <row r="695">
      <c r="C695" s="129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0"/>
      <c r="P695" s="70"/>
    </row>
    <row r="696">
      <c r="C696" s="129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0"/>
      <c r="P696" s="70"/>
    </row>
    <row r="697">
      <c r="C697" s="129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0"/>
      <c r="P697" s="70"/>
    </row>
    <row r="698">
      <c r="C698" s="129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0"/>
      <c r="P698" s="70"/>
    </row>
    <row r="699">
      <c r="C699" s="129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0"/>
      <c r="P699" s="70"/>
    </row>
    <row r="700">
      <c r="C700" s="129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0"/>
      <c r="P700" s="70"/>
    </row>
    <row r="701">
      <c r="C701" s="129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0"/>
      <c r="P701" s="70"/>
    </row>
    <row r="702">
      <c r="C702" s="129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0"/>
      <c r="P702" s="70"/>
    </row>
    <row r="703">
      <c r="C703" s="129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0"/>
      <c r="P703" s="70"/>
    </row>
    <row r="704">
      <c r="C704" s="129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0"/>
      <c r="P704" s="70"/>
    </row>
    <row r="705">
      <c r="C705" s="129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0"/>
      <c r="P705" s="70"/>
    </row>
    <row r="706">
      <c r="C706" s="129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0"/>
      <c r="P706" s="70"/>
    </row>
    <row r="707">
      <c r="C707" s="129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0"/>
      <c r="P707" s="70"/>
    </row>
    <row r="708">
      <c r="C708" s="129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0"/>
      <c r="P708" s="70"/>
    </row>
    <row r="709">
      <c r="C709" s="129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0"/>
      <c r="P709" s="70"/>
    </row>
    <row r="710">
      <c r="C710" s="129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0"/>
      <c r="P710" s="70"/>
    </row>
    <row r="711">
      <c r="C711" s="129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0"/>
      <c r="P711" s="70"/>
    </row>
    <row r="712">
      <c r="C712" s="129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0"/>
      <c r="P712" s="70"/>
    </row>
    <row r="713">
      <c r="C713" s="129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0"/>
      <c r="P713" s="70"/>
    </row>
    <row r="714">
      <c r="C714" s="129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0"/>
      <c r="P714" s="70"/>
    </row>
    <row r="715">
      <c r="C715" s="129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0"/>
      <c r="P715" s="70"/>
    </row>
    <row r="716">
      <c r="C716" s="129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0"/>
      <c r="P716" s="70"/>
    </row>
    <row r="717">
      <c r="C717" s="129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0"/>
      <c r="P717" s="70"/>
    </row>
    <row r="718">
      <c r="C718" s="129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0"/>
      <c r="P718" s="70"/>
    </row>
    <row r="719">
      <c r="C719" s="129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0"/>
      <c r="P719" s="70"/>
    </row>
    <row r="720">
      <c r="C720" s="129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0"/>
      <c r="P720" s="70"/>
    </row>
    <row r="721">
      <c r="C721" s="129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0"/>
      <c r="P721" s="70"/>
    </row>
    <row r="722">
      <c r="C722" s="129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0"/>
      <c r="P722" s="70"/>
    </row>
    <row r="723">
      <c r="C723" s="129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0"/>
      <c r="P723" s="70"/>
    </row>
    <row r="724">
      <c r="C724" s="129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0"/>
      <c r="P724" s="70"/>
    </row>
    <row r="725">
      <c r="C725" s="129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0"/>
      <c r="P725" s="70"/>
    </row>
    <row r="726">
      <c r="C726" s="129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0"/>
      <c r="P726" s="70"/>
    </row>
    <row r="727">
      <c r="C727" s="129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0"/>
      <c r="P727" s="70"/>
    </row>
    <row r="728">
      <c r="C728" s="129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0"/>
      <c r="P728" s="70"/>
    </row>
    <row r="729">
      <c r="C729" s="129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0"/>
      <c r="P729" s="70"/>
    </row>
    <row r="730">
      <c r="C730" s="129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0"/>
      <c r="P730" s="70"/>
    </row>
    <row r="731">
      <c r="C731" s="129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0"/>
      <c r="P731" s="70"/>
    </row>
    <row r="732">
      <c r="C732" s="129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0"/>
      <c r="P732" s="70"/>
    </row>
    <row r="733">
      <c r="C733" s="129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0"/>
      <c r="P733" s="70"/>
    </row>
    <row r="734">
      <c r="C734" s="129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0"/>
      <c r="P734" s="70"/>
    </row>
    <row r="735">
      <c r="C735" s="129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0"/>
      <c r="P735" s="70"/>
    </row>
    <row r="736">
      <c r="C736" s="129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0"/>
      <c r="P736" s="70"/>
    </row>
    <row r="737">
      <c r="C737" s="129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0"/>
      <c r="P737" s="70"/>
    </row>
    <row r="738">
      <c r="C738" s="129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0"/>
      <c r="P738" s="70"/>
    </row>
    <row r="739">
      <c r="C739" s="129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0"/>
      <c r="P739" s="70"/>
    </row>
    <row r="740">
      <c r="C740" s="129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0"/>
      <c r="P740" s="70"/>
    </row>
    <row r="741">
      <c r="C741" s="129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0"/>
      <c r="P741" s="70"/>
    </row>
    <row r="742">
      <c r="C742" s="129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0"/>
      <c r="P742" s="70"/>
    </row>
    <row r="743">
      <c r="C743" s="129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0"/>
      <c r="P743" s="70"/>
    </row>
    <row r="744">
      <c r="C744" s="129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0"/>
      <c r="P744" s="70"/>
    </row>
    <row r="745">
      <c r="C745" s="129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0"/>
      <c r="P745" s="70"/>
    </row>
    <row r="746">
      <c r="C746" s="129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0"/>
      <c r="P746" s="70"/>
    </row>
    <row r="747">
      <c r="C747" s="129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0"/>
      <c r="P747" s="70"/>
    </row>
    <row r="748">
      <c r="C748" s="129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0"/>
      <c r="P748" s="70"/>
    </row>
    <row r="749">
      <c r="C749" s="129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0"/>
      <c r="P749" s="70"/>
    </row>
    <row r="750">
      <c r="C750" s="129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0"/>
      <c r="P750" s="70"/>
    </row>
    <row r="751">
      <c r="C751" s="129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0"/>
      <c r="P751" s="70"/>
    </row>
    <row r="752">
      <c r="C752" s="129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0"/>
      <c r="P752" s="70"/>
    </row>
    <row r="753">
      <c r="C753" s="129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0"/>
      <c r="P753" s="70"/>
    </row>
    <row r="754">
      <c r="C754" s="129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0"/>
      <c r="P754" s="70"/>
    </row>
    <row r="755">
      <c r="C755" s="129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0"/>
      <c r="P755" s="70"/>
    </row>
    <row r="756">
      <c r="C756" s="129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0"/>
      <c r="P756" s="70"/>
    </row>
    <row r="757">
      <c r="C757" s="129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0"/>
      <c r="P757" s="70"/>
    </row>
    <row r="758">
      <c r="C758" s="129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0"/>
      <c r="P758" s="70"/>
    </row>
    <row r="759">
      <c r="C759" s="129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0"/>
      <c r="P759" s="70"/>
    </row>
    <row r="760">
      <c r="C760" s="129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0"/>
      <c r="P760" s="70"/>
    </row>
    <row r="761">
      <c r="C761" s="129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0"/>
      <c r="P761" s="70"/>
    </row>
    <row r="762">
      <c r="C762" s="129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0"/>
      <c r="P762" s="70"/>
    </row>
    <row r="763">
      <c r="C763" s="129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0"/>
      <c r="P763" s="70"/>
    </row>
    <row r="764">
      <c r="C764" s="129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0"/>
      <c r="P764" s="70"/>
    </row>
    <row r="765">
      <c r="C765" s="129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0"/>
      <c r="P765" s="70"/>
    </row>
    <row r="766">
      <c r="C766" s="129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0"/>
      <c r="P766" s="70"/>
    </row>
    <row r="767">
      <c r="C767" s="129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0"/>
      <c r="P767" s="70"/>
    </row>
    <row r="768">
      <c r="C768" s="129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0"/>
      <c r="P768" s="70"/>
    </row>
    <row r="769">
      <c r="C769" s="129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0"/>
      <c r="P769" s="70"/>
    </row>
    <row r="770">
      <c r="C770" s="129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0"/>
      <c r="P770" s="70"/>
    </row>
    <row r="771">
      <c r="C771" s="129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0"/>
      <c r="P771" s="70"/>
    </row>
    <row r="772">
      <c r="C772" s="129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0"/>
      <c r="P772" s="70"/>
    </row>
    <row r="773">
      <c r="C773" s="129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0"/>
      <c r="P773" s="70"/>
    </row>
    <row r="774">
      <c r="C774" s="129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0"/>
      <c r="P774" s="70"/>
    </row>
    <row r="775">
      <c r="C775" s="129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0"/>
      <c r="P775" s="70"/>
    </row>
    <row r="776">
      <c r="C776" s="129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0"/>
      <c r="P776" s="70"/>
    </row>
    <row r="777">
      <c r="C777" s="129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0"/>
      <c r="P777" s="70"/>
    </row>
    <row r="778">
      <c r="C778" s="129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0"/>
      <c r="P778" s="70"/>
    </row>
    <row r="779">
      <c r="C779" s="129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0"/>
      <c r="P779" s="70"/>
    </row>
    <row r="780">
      <c r="C780" s="129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0"/>
      <c r="P780" s="70"/>
    </row>
    <row r="781">
      <c r="C781" s="129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0"/>
      <c r="P781" s="70"/>
    </row>
    <row r="782">
      <c r="C782" s="129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0"/>
      <c r="P782" s="70"/>
    </row>
    <row r="783">
      <c r="C783" s="129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0"/>
      <c r="P783" s="70"/>
    </row>
    <row r="784">
      <c r="C784" s="129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0"/>
      <c r="P784" s="70"/>
    </row>
    <row r="785">
      <c r="C785" s="129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0"/>
      <c r="P785" s="70"/>
    </row>
    <row r="786">
      <c r="C786" s="129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0"/>
      <c r="P786" s="70"/>
    </row>
    <row r="787">
      <c r="C787" s="129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0"/>
      <c r="P787" s="70"/>
    </row>
    <row r="788">
      <c r="C788" s="129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0"/>
      <c r="P788" s="70"/>
    </row>
    <row r="789">
      <c r="C789" s="129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0"/>
      <c r="P789" s="70"/>
    </row>
    <row r="790">
      <c r="C790" s="129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0"/>
      <c r="P790" s="70"/>
    </row>
    <row r="791">
      <c r="C791" s="129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0"/>
      <c r="P791" s="70"/>
    </row>
    <row r="792">
      <c r="C792" s="129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0"/>
      <c r="P792" s="70"/>
    </row>
    <row r="793">
      <c r="C793" s="129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0"/>
      <c r="P793" s="70"/>
    </row>
    <row r="794">
      <c r="C794" s="129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0"/>
      <c r="P794" s="70"/>
    </row>
    <row r="795">
      <c r="C795" s="129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0"/>
      <c r="P795" s="70"/>
    </row>
    <row r="796">
      <c r="C796" s="129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0"/>
      <c r="P796" s="70"/>
    </row>
    <row r="797">
      <c r="C797" s="129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0"/>
      <c r="P797" s="70"/>
    </row>
    <row r="798">
      <c r="C798" s="129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0"/>
      <c r="P798" s="70"/>
    </row>
    <row r="799">
      <c r="C799" s="129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0"/>
      <c r="P799" s="70"/>
    </row>
    <row r="800">
      <c r="C800" s="129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0"/>
      <c r="P800" s="70"/>
    </row>
    <row r="801">
      <c r="C801" s="129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0"/>
      <c r="P801" s="70"/>
    </row>
    <row r="802">
      <c r="C802" s="129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0"/>
      <c r="P802" s="70"/>
    </row>
    <row r="803">
      <c r="C803" s="129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0"/>
      <c r="P803" s="70"/>
    </row>
    <row r="804">
      <c r="C804" s="129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0"/>
      <c r="P804" s="70"/>
    </row>
    <row r="805">
      <c r="C805" s="129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0"/>
      <c r="P805" s="70"/>
    </row>
    <row r="806">
      <c r="C806" s="129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0"/>
      <c r="P806" s="70"/>
    </row>
    <row r="807">
      <c r="C807" s="129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0"/>
      <c r="P807" s="70"/>
    </row>
    <row r="808">
      <c r="C808" s="129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0"/>
      <c r="P808" s="70"/>
    </row>
    <row r="809">
      <c r="C809" s="129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0"/>
      <c r="P809" s="70"/>
    </row>
    <row r="810">
      <c r="C810" s="129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0"/>
      <c r="P810" s="70"/>
    </row>
    <row r="811">
      <c r="C811" s="129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0"/>
      <c r="P811" s="70"/>
    </row>
    <row r="812">
      <c r="C812" s="129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0"/>
      <c r="P812" s="70"/>
    </row>
    <row r="813">
      <c r="C813" s="129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0"/>
      <c r="P813" s="70"/>
    </row>
    <row r="814">
      <c r="C814" s="129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0"/>
      <c r="P814" s="70"/>
    </row>
    <row r="815">
      <c r="C815" s="129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0"/>
      <c r="P815" s="70"/>
    </row>
    <row r="816">
      <c r="C816" s="129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0"/>
      <c r="P816" s="70"/>
    </row>
    <row r="817">
      <c r="C817" s="129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0"/>
      <c r="P817" s="70"/>
    </row>
    <row r="818">
      <c r="C818" s="129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0"/>
      <c r="P818" s="70"/>
    </row>
    <row r="819">
      <c r="C819" s="129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0"/>
      <c r="P819" s="70"/>
    </row>
    <row r="820">
      <c r="C820" s="129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0"/>
      <c r="P820" s="70"/>
    </row>
    <row r="821">
      <c r="C821" s="129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0"/>
      <c r="P821" s="70"/>
    </row>
    <row r="822">
      <c r="C822" s="129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0"/>
      <c r="P822" s="70"/>
    </row>
    <row r="823">
      <c r="C823" s="129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0"/>
      <c r="P823" s="70"/>
    </row>
    <row r="824">
      <c r="C824" s="129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0"/>
      <c r="P824" s="70"/>
    </row>
    <row r="825">
      <c r="C825" s="129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0"/>
      <c r="P825" s="70"/>
    </row>
    <row r="826">
      <c r="C826" s="129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0"/>
      <c r="P826" s="70"/>
    </row>
    <row r="827">
      <c r="C827" s="129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0"/>
      <c r="P827" s="70"/>
    </row>
    <row r="828">
      <c r="C828" s="129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0"/>
      <c r="P828" s="70"/>
    </row>
    <row r="829">
      <c r="C829" s="129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0"/>
      <c r="P829" s="70"/>
    </row>
    <row r="830">
      <c r="C830" s="129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0"/>
      <c r="P830" s="70"/>
    </row>
    <row r="831">
      <c r="C831" s="129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0"/>
      <c r="P831" s="70"/>
    </row>
    <row r="832">
      <c r="C832" s="129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0"/>
      <c r="P832" s="70"/>
    </row>
    <row r="833">
      <c r="C833" s="129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0"/>
      <c r="P833" s="70"/>
    </row>
    <row r="834">
      <c r="C834" s="129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0"/>
      <c r="P834" s="70"/>
    </row>
    <row r="835">
      <c r="C835" s="129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0"/>
      <c r="P835" s="70"/>
    </row>
    <row r="836">
      <c r="C836" s="129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0"/>
      <c r="P836" s="70"/>
    </row>
    <row r="837">
      <c r="C837" s="129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0"/>
      <c r="P837" s="70"/>
    </row>
    <row r="838">
      <c r="C838" s="129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0"/>
      <c r="P838" s="70"/>
    </row>
    <row r="839">
      <c r="C839" s="129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0"/>
      <c r="P839" s="70"/>
    </row>
    <row r="840">
      <c r="C840" s="129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0"/>
      <c r="P840" s="70"/>
    </row>
    <row r="841">
      <c r="C841" s="129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0"/>
      <c r="P841" s="70"/>
    </row>
    <row r="842">
      <c r="C842" s="129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0"/>
      <c r="P842" s="70"/>
    </row>
    <row r="843">
      <c r="C843" s="129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0"/>
      <c r="P843" s="70"/>
    </row>
    <row r="844">
      <c r="C844" s="129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0"/>
      <c r="P844" s="70"/>
    </row>
    <row r="845">
      <c r="C845" s="129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0"/>
      <c r="P845" s="70"/>
    </row>
    <row r="846">
      <c r="C846" s="129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0"/>
      <c r="P846" s="70"/>
    </row>
    <row r="847">
      <c r="C847" s="129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0"/>
      <c r="P847" s="70"/>
    </row>
    <row r="848">
      <c r="C848" s="129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0"/>
      <c r="P848" s="70"/>
    </row>
    <row r="849">
      <c r="C849" s="129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0"/>
      <c r="P849" s="70"/>
    </row>
    <row r="850">
      <c r="C850" s="129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0"/>
      <c r="P850" s="70"/>
    </row>
    <row r="851">
      <c r="C851" s="129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0"/>
      <c r="P851" s="70"/>
    </row>
    <row r="852">
      <c r="C852" s="129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0"/>
      <c r="P852" s="70"/>
    </row>
    <row r="853">
      <c r="C853" s="129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0"/>
      <c r="P853" s="70"/>
    </row>
    <row r="854">
      <c r="C854" s="129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0"/>
      <c r="P854" s="70"/>
    </row>
    <row r="855">
      <c r="C855" s="129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0"/>
      <c r="P855" s="70"/>
    </row>
    <row r="856">
      <c r="C856" s="129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0"/>
      <c r="P856" s="70"/>
    </row>
    <row r="857">
      <c r="C857" s="129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0"/>
      <c r="P857" s="70"/>
    </row>
    <row r="858">
      <c r="C858" s="129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0"/>
      <c r="P858" s="70"/>
    </row>
    <row r="859">
      <c r="C859" s="129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0"/>
      <c r="P859" s="70"/>
    </row>
    <row r="860">
      <c r="C860" s="129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0"/>
      <c r="P860" s="70"/>
    </row>
    <row r="861">
      <c r="C861" s="129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0"/>
      <c r="P861" s="70"/>
    </row>
    <row r="862">
      <c r="C862" s="129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0"/>
      <c r="P862" s="70"/>
    </row>
    <row r="863">
      <c r="C863" s="129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0"/>
      <c r="P863" s="70"/>
    </row>
    <row r="864">
      <c r="C864" s="129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0"/>
      <c r="P864" s="70"/>
    </row>
    <row r="865">
      <c r="C865" s="129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0"/>
      <c r="P865" s="70"/>
    </row>
    <row r="866">
      <c r="C866" s="129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0"/>
      <c r="P866" s="70"/>
    </row>
    <row r="867">
      <c r="C867" s="129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0"/>
      <c r="P867" s="70"/>
    </row>
    <row r="868">
      <c r="C868" s="129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0"/>
      <c r="P868" s="70"/>
    </row>
    <row r="869">
      <c r="C869" s="129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0"/>
      <c r="P869" s="70"/>
    </row>
    <row r="870">
      <c r="C870" s="129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0"/>
      <c r="P870" s="70"/>
    </row>
    <row r="871">
      <c r="C871" s="129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0"/>
      <c r="P871" s="70"/>
    </row>
    <row r="872">
      <c r="C872" s="129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0"/>
      <c r="P872" s="70"/>
    </row>
    <row r="873">
      <c r="C873" s="129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0"/>
      <c r="P873" s="70"/>
    </row>
    <row r="874">
      <c r="C874" s="129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0"/>
      <c r="P874" s="70"/>
    </row>
    <row r="875">
      <c r="C875" s="129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0"/>
      <c r="P875" s="70"/>
    </row>
    <row r="876">
      <c r="C876" s="129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0"/>
      <c r="P876" s="70"/>
    </row>
    <row r="877">
      <c r="C877" s="129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0"/>
      <c r="P877" s="70"/>
    </row>
    <row r="878">
      <c r="C878" s="129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0"/>
      <c r="P878" s="70"/>
    </row>
    <row r="879">
      <c r="C879" s="129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0"/>
      <c r="P879" s="70"/>
    </row>
    <row r="880">
      <c r="C880" s="129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0"/>
      <c r="P880" s="70"/>
    </row>
    <row r="881">
      <c r="C881" s="129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0"/>
      <c r="P881" s="70"/>
    </row>
    <row r="882">
      <c r="C882" s="129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0"/>
      <c r="P882" s="70"/>
    </row>
    <row r="883">
      <c r="C883" s="129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0"/>
      <c r="P883" s="70"/>
    </row>
    <row r="884">
      <c r="C884" s="129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0"/>
      <c r="P884" s="70"/>
    </row>
    <row r="885">
      <c r="C885" s="129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0"/>
      <c r="P885" s="70"/>
    </row>
    <row r="886">
      <c r="C886" s="129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0"/>
      <c r="P886" s="70"/>
    </row>
    <row r="887">
      <c r="C887" s="129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0"/>
      <c r="P887" s="70"/>
    </row>
    <row r="888">
      <c r="C888" s="129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0"/>
      <c r="P888" s="70"/>
    </row>
    <row r="889">
      <c r="C889" s="129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0"/>
      <c r="P889" s="70"/>
    </row>
    <row r="890">
      <c r="C890" s="129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0"/>
      <c r="P890" s="70"/>
    </row>
    <row r="891">
      <c r="C891" s="129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0"/>
      <c r="P891" s="70"/>
    </row>
    <row r="892">
      <c r="C892" s="129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0"/>
      <c r="P892" s="70"/>
    </row>
    <row r="893">
      <c r="C893" s="129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0"/>
      <c r="P893" s="70"/>
    </row>
    <row r="894">
      <c r="C894" s="129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0"/>
      <c r="P894" s="70"/>
    </row>
    <row r="895">
      <c r="C895" s="129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0"/>
      <c r="P895" s="70"/>
    </row>
    <row r="896">
      <c r="C896" s="129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0"/>
      <c r="P896" s="70"/>
    </row>
    <row r="897">
      <c r="C897" s="129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0"/>
      <c r="P897" s="70"/>
    </row>
    <row r="898">
      <c r="C898" s="129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0"/>
      <c r="P898" s="70"/>
    </row>
    <row r="899">
      <c r="C899" s="129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0"/>
      <c r="P899" s="70"/>
    </row>
    <row r="900">
      <c r="C900" s="129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0"/>
      <c r="P900" s="70"/>
    </row>
    <row r="901">
      <c r="C901" s="129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0"/>
      <c r="P901" s="70"/>
    </row>
    <row r="902">
      <c r="C902" s="129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0"/>
      <c r="P902" s="70"/>
    </row>
    <row r="903">
      <c r="C903" s="129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0"/>
      <c r="P903" s="70"/>
    </row>
    <row r="904">
      <c r="C904" s="129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0"/>
      <c r="P904" s="70"/>
    </row>
    <row r="905">
      <c r="C905" s="129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0"/>
      <c r="P905" s="70"/>
    </row>
    <row r="906">
      <c r="C906" s="129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0"/>
      <c r="P906" s="70"/>
    </row>
    <row r="907">
      <c r="C907" s="129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0"/>
      <c r="P907" s="70"/>
    </row>
    <row r="908">
      <c r="C908" s="129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0"/>
      <c r="P908" s="70"/>
    </row>
    <row r="909">
      <c r="C909" s="129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0"/>
      <c r="P909" s="70"/>
    </row>
    <row r="910">
      <c r="C910" s="129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0"/>
      <c r="P910" s="70"/>
    </row>
    <row r="911">
      <c r="C911" s="129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0"/>
      <c r="P911" s="70"/>
    </row>
    <row r="912">
      <c r="C912" s="129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0"/>
      <c r="P912" s="70"/>
    </row>
    <row r="913">
      <c r="C913" s="129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0"/>
      <c r="P913" s="70"/>
    </row>
    <row r="914">
      <c r="C914" s="129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0"/>
      <c r="P914" s="70"/>
    </row>
    <row r="915">
      <c r="C915" s="129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0"/>
      <c r="P915" s="70"/>
    </row>
    <row r="916">
      <c r="C916" s="129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0"/>
      <c r="P916" s="70"/>
    </row>
    <row r="917">
      <c r="C917" s="129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0"/>
      <c r="P917" s="70"/>
    </row>
    <row r="918">
      <c r="C918" s="129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0"/>
      <c r="P918" s="70"/>
    </row>
    <row r="919">
      <c r="C919" s="129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0"/>
      <c r="P919" s="70"/>
    </row>
    <row r="920">
      <c r="C920" s="129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0"/>
      <c r="P920" s="70"/>
    </row>
    <row r="921">
      <c r="C921" s="129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0"/>
      <c r="P921" s="70"/>
    </row>
    <row r="922">
      <c r="C922" s="129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0"/>
      <c r="P922" s="70"/>
    </row>
    <row r="923">
      <c r="C923" s="129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0"/>
      <c r="P923" s="70"/>
    </row>
    <row r="924">
      <c r="C924" s="129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0"/>
      <c r="P924" s="70"/>
    </row>
    <row r="925">
      <c r="C925" s="129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0"/>
      <c r="P925" s="70"/>
    </row>
    <row r="926">
      <c r="C926" s="129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0"/>
      <c r="P926" s="70"/>
    </row>
    <row r="927">
      <c r="C927" s="129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0"/>
      <c r="P927" s="70"/>
    </row>
    <row r="928">
      <c r="C928" s="129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0"/>
      <c r="P928" s="70"/>
    </row>
    <row r="929">
      <c r="C929" s="129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0"/>
      <c r="P929" s="70"/>
    </row>
    <row r="930">
      <c r="C930" s="129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0"/>
      <c r="P930" s="70"/>
    </row>
    <row r="931">
      <c r="C931" s="129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0"/>
      <c r="P931" s="70"/>
    </row>
    <row r="932">
      <c r="C932" s="129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0"/>
      <c r="P932" s="70"/>
    </row>
    <row r="933">
      <c r="C933" s="129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0"/>
      <c r="P933" s="70"/>
    </row>
    <row r="934">
      <c r="C934" s="129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0"/>
      <c r="P934" s="70"/>
    </row>
    <row r="935">
      <c r="C935" s="129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0"/>
      <c r="P935" s="70"/>
    </row>
    <row r="936">
      <c r="C936" s="129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0"/>
      <c r="P936" s="70"/>
    </row>
    <row r="937">
      <c r="C937" s="129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0"/>
      <c r="P937" s="70"/>
    </row>
    <row r="938">
      <c r="C938" s="129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0"/>
      <c r="P938" s="70"/>
    </row>
    <row r="939">
      <c r="C939" s="129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0"/>
      <c r="P939" s="70"/>
    </row>
    <row r="940">
      <c r="C940" s="129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0"/>
      <c r="P940" s="70"/>
    </row>
    <row r="941">
      <c r="C941" s="129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0"/>
      <c r="P941" s="70"/>
    </row>
    <row r="942">
      <c r="C942" s="129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0"/>
      <c r="P942" s="70"/>
    </row>
    <row r="943">
      <c r="C943" s="129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0"/>
      <c r="P943" s="70"/>
    </row>
    <row r="944">
      <c r="C944" s="129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0"/>
      <c r="P944" s="70"/>
    </row>
    <row r="945">
      <c r="C945" s="129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0"/>
      <c r="P945" s="70"/>
    </row>
    <row r="946">
      <c r="C946" s="129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0"/>
      <c r="P946" s="70"/>
    </row>
    <row r="947">
      <c r="C947" s="129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0"/>
      <c r="P947" s="70"/>
    </row>
    <row r="948">
      <c r="C948" s="129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0"/>
      <c r="P948" s="70"/>
    </row>
    <row r="949">
      <c r="C949" s="129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0"/>
      <c r="P949" s="70"/>
    </row>
    <row r="950">
      <c r="C950" s="129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0"/>
      <c r="P950" s="70"/>
    </row>
    <row r="951">
      <c r="C951" s="129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0"/>
      <c r="P951" s="70"/>
    </row>
    <row r="952">
      <c r="C952" s="129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0"/>
      <c r="P952" s="70"/>
    </row>
    <row r="953">
      <c r="C953" s="129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0"/>
      <c r="P953" s="70"/>
    </row>
    <row r="954">
      <c r="C954" s="129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0"/>
      <c r="P954" s="70"/>
    </row>
    <row r="955">
      <c r="C955" s="129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0"/>
      <c r="P955" s="70"/>
    </row>
    <row r="956">
      <c r="C956" s="129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0"/>
      <c r="P956" s="70"/>
    </row>
    <row r="957">
      <c r="C957" s="129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0"/>
      <c r="P957" s="70"/>
    </row>
    <row r="958">
      <c r="C958" s="129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0"/>
      <c r="P958" s="70"/>
    </row>
    <row r="959">
      <c r="C959" s="129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0"/>
      <c r="P959" s="70"/>
    </row>
    <row r="960">
      <c r="C960" s="129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0"/>
      <c r="P960" s="70"/>
    </row>
    <row r="961">
      <c r="C961" s="129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0"/>
      <c r="P961" s="70"/>
    </row>
    <row r="962">
      <c r="C962" s="129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0"/>
      <c r="P962" s="70"/>
    </row>
    <row r="963">
      <c r="C963" s="129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0"/>
      <c r="P963" s="70"/>
    </row>
    <row r="964">
      <c r="C964" s="129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0"/>
      <c r="P964" s="70"/>
    </row>
    <row r="965">
      <c r="C965" s="129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0"/>
      <c r="P965" s="70"/>
    </row>
    <row r="966">
      <c r="C966" s="129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0"/>
      <c r="P966" s="70"/>
    </row>
    <row r="967">
      <c r="C967" s="129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0"/>
      <c r="P967" s="70"/>
    </row>
    <row r="968">
      <c r="C968" s="129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0"/>
      <c r="P968" s="70"/>
    </row>
    <row r="969">
      <c r="C969" s="129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0"/>
      <c r="P969" s="70"/>
    </row>
    <row r="970">
      <c r="C970" s="129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0"/>
      <c r="P970" s="70"/>
    </row>
    <row r="971">
      <c r="C971" s="129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0"/>
      <c r="P971" s="70"/>
    </row>
    <row r="972">
      <c r="C972" s="129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0"/>
      <c r="P972" s="70"/>
    </row>
    <row r="973">
      <c r="C973" s="129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0"/>
      <c r="P973" s="70"/>
    </row>
    <row r="974">
      <c r="C974" s="129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0"/>
      <c r="P974" s="70"/>
    </row>
    <row r="975">
      <c r="C975" s="129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0"/>
      <c r="P975" s="70"/>
    </row>
    <row r="976">
      <c r="C976" s="129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0"/>
      <c r="P976" s="70"/>
    </row>
    <row r="977">
      <c r="C977" s="129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0"/>
      <c r="P977" s="70"/>
    </row>
    <row r="978">
      <c r="C978" s="129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0"/>
      <c r="P978" s="70"/>
    </row>
    <row r="979">
      <c r="C979" s="129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0"/>
      <c r="P979" s="70"/>
    </row>
    <row r="980">
      <c r="C980" s="129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0"/>
      <c r="P980" s="70"/>
    </row>
    <row r="981">
      <c r="C981" s="129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0"/>
      <c r="P981" s="70"/>
    </row>
    <row r="982">
      <c r="C982" s="129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0"/>
      <c r="P982" s="70"/>
    </row>
    <row r="983">
      <c r="C983" s="129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0"/>
      <c r="P983" s="70"/>
    </row>
    <row r="984">
      <c r="C984" s="129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0"/>
      <c r="P984" s="70"/>
    </row>
    <row r="985">
      <c r="C985" s="129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0"/>
      <c r="P985" s="70"/>
    </row>
    <row r="986">
      <c r="C986" s="129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0"/>
      <c r="P986" s="70"/>
    </row>
    <row r="987">
      <c r="C987" s="129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0"/>
      <c r="P987" s="70"/>
    </row>
    <row r="988">
      <c r="C988" s="129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0"/>
      <c r="P988" s="70"/>
    </row>
    <row r="989">
      <c r="C989" s="129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0"/>
      <c r="P989" s="70"/>
    </row>
    <row r="990">
      <c r="C990" s="129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0"/>
      <c r="P990" s="70"/>
    </row>
    <row r="991">
      <c r="C991" s="129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0"/>
      <c r="P991" s="70"/>
    </row>
    <row r="992">
      <c r="C992" s="129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0"/>
      <c r="P992" s="70"/>
    </row>
    <row r="993">
      <c r="C993" s="129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0"/>
      <c r="P993" s="70"/>
    </row>
    <row r="994">
      <c r="C994" s="129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0"/>
      <c r="P994" s="70"/>
    </row>
    <row r="995">
      <c r="C995" s="129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0"/>
      <c r="P995" s="70"/>
    </row>
    <row r="996">
      <c r="C996" s="129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0"/>
      <c r="P996" s="70"/>
    </row>
    <row r="997">
      <c r="C997" s="129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0"/>
      <c r="P997" s="70"/>
    </row>
    <row r="998">
      <c r="C998" s="129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0"/>
      <c r="P998" s="70"/>
    </row>
    <row r="999">
      <c r="C999" s="129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0"/>
      <c r="P999" s="70"/>
    </row>
    <row r="1000">
      <c r="C1000" s="129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0"/>
      <c r="P1000" s="70"/>
    </row>
    <row r="1001">
      <c r="C1001" s="129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0"/>
      <c r="P1001" s="70"/>
    </row>
    <row r="1002">
      <c r="C1002" s="129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0"/>
      <c r="P1002" s="70"/>
    </row>
    <row r="1003">
      <c r="C1003" s="129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0"/>
      <c r="P1003" s="70"/>
    </row>
  </sheetData>
  <mergeCells count="11">
    <mergeCell ref="A106:B106"/>
    <mergeCell ref="A107:B107"/>
    <mergeCell ref="A108:B108"/>
    <mergeCell ref="A109:B109"/>
    <mergeCell ref="C2:N2"/>
    <mergeCell ref="O2:Z2"/>
    <mergeCell ref="AA2:AA4"/>
    <mergeCell ref="AB2:AB4"/>
    <mergeCell ref="A3:A4"/>
    <mergeCell ref="B3:B4"/>
    <mergeCell ref="A104:B10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15" width="6.13"/>
  </cols>
  <sheetData>
    <row r="1">
      <c r="A1" s="72"/>
      <c r="B1" s="72"/>
      <c r="C1" s="441" t="s">
        <v>619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Q1" s="441" t="s">
        <v>619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</row>
    <row r="2">
      <c r="A2" s="72"/>
      <c r="B2" s="72"/>
      <c r="C2" s="78" t="s">
        <v>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Q2" s="78" t="s">
        <v>46</v>
      </c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</row>
    <row r="3">
      <c r="A3" s="67" t="s">
        <v>47</v>
      </c>
      <c r="B3" s="67" t="s">
        <v>48</v>
      </c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  <c r="Q3" s="81" t="s">
        <v>0</v>
      </c>
      <c r="R3" s="82" t="s">
        <v>1</v>
      </c>
      <c r="S3" s="82" t="s">
        <v>2</v>
      </c>
      <c r="T3" s="82" t="s">
        <v>3</v>
      </c>
      <c r="U3" s="82" t="s">
        <v>4</v>
      </c>
      <c r="V3" s="82" t="s">
        <v>5</v>
      </c>
      <c r="W3" s="82" t="s">
        <v>6</v>
      </c>
      <c r="X3" s="82" t="s">
        <v>7</v>
      </c>
      <c r="Y3" s="82" t="s">
        <v>8</v>
      </c>
      <c r="Z3" s="82" t="s">
        <v>9</v>
      </c>
      <c r="AA3" s="82" t="s">
        <v>10</v>
      </c>
      <c r="AB3" s="82" t="s">
        <v>11</v>
      </c>
      <c r="AC3" s="83"/>
    </row>
    <row r="4">
      <c r="A4" s="72"/>
      <c r="B4" s="72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Q4" s="84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6"/>
    </row>
    <row r="5" hidden="1">
      <c r="A5" s="87" t="s">
        <v>49</v>
      </c>
      <c r="B5" s="88">
        <v>329.0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  <c r="Q5" s="89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1"/>
    </row>
    <row r="6" hidden="1">
      <c r="A6" s="87" t="s">
        <v>50</v>
      </c>
      <c r="B6" s="88">
        <v>329.0</v>
      </c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  <c r="Q6" s="89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1"/>
    </row>
    <row r="7" hidden="1">
      <c r="A7" s="87" t="s">
        <v>51</v>
      </c>
      <c r="B7" s="88">
        <v>329.0</v>
      </c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1"/>
      <c r="Q7" s="89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1"/>
    </row>
    <row r="8">
      <c r="A8" s="92" t="s">
        <v>52</v>
      </c>
      <c r="B8" s="88">
        <v>349.0</v>
      </c>
      <c r="C8" s="547">
        <v>1.0</v>
      </c>
      <c r="D8" s="95"/>
      <c r="E8" s="96"/>
      <c r="F8" s="96"/>
      <c r="G8" s="97"/>
      <c r="H8" s="97"/>
      <c r="I8" s="97"/>
      <c r="J8" s="97"/>
      <c r="K8" s="97"/>
      <c r="L8" s="97"/>
      <c r="M8" s="97"/>
      <c r="N8" s="97"/>
      <c r="O8" s="91"/>
      <c r="Q8" s="548">
        <f t="shared" ref="Q8:Q99" si="1">B8*C8</f>
        <v>349</v>
      </c>
      <c r="R8" s="443">
        <f t="shared" ref="R8:R99" si="2">B8*D8</f>
        <v>0</v>
      </c>
      <c r="S8" s="443">
        <f t="shared" ref="S8:S99" si="3">B8*E8</f>
        <v>0</v>
      </c>
      <c r="T8" s="96"/>
      <c r="U8" s="97"/>
      <c r="V8" s="97"/>
      <c r="W8" s="97"/>
      <c r="X8" s="97"/>
      <c r="Y8" s="97"/>
      <c r="Z8" s="97"/>
      <c r="AA8" s="97"/>
      <c r="AB8" s="97"/>
      <c r="AC8" s="91"/>
    </row>
    <row r="9" hidden="1">
      <c r="A9" s="98" t="s">
        <v>53</v>
      </c>
      <c r="B9" s="88">
        <v>349.0</v>
      </c>
      <c r="C9" s="94"/>
      <c r="D9" s="90"/>
      <c r="E9" s="96"/>
      <c r="F9" s="96"/>
      <c r="G9" s="97"/>
      <c r="H9" s="97"/>
      <c r="I9" s="97"/>
      <c r="J9" s="97"/>
      <c r="K9" s="97"/>
      <c r="L9" s="97"/>
      <c r="M9" s="97"/>
      <c r="N9" s="97"/>
      <c r="O9" s="91"/>
      <c r="Q9" s="548">
        <f t="shared" si="1"/>
        <v>0</v>
      </c>
      <c r="R9" s="443">
        <f t="shared" si="2"/>
        <v>0</v>
      </c>
      <c r="S9" s="443">
        <f t="shared" si="3"/>
        <v>0</v>
      </c>
      <c r="T9" s="96"/>
      <c r="U9" s="97"/>
      <c r="V9" s="97"/>
      <c r="W9" s="97"/>
      <c r="X9" s="97"/>
      <c r="Y9" s="97"/>
      <c r="Z9" s="97"/>
      <c r="AA9" s="97"/>
      <c r="AB9" s="97"/>
      <c r="AC9" s="91"/>
    </row>
    <row r="10">
      <c r="A10" s="98" t="s">
        <v>54</v>
      </c>
      <c r="B10" s="88">
        <v>349.0</v>
      </c>
      <c r="C10" s="547"/>
      <c r="D10" s="95"/>
      <c r="E10" s="325">
        <v>1.0</v>
      </c>
      <c r="F10" s="96"/>
      <c r="G10" s="97"/>
      <c r="H10" s="97"/>
      <c r="I10" s="97"/>
      <c r="J10" s="97"/>
      <c r="K10" s="97"/>
      <c r="L10" s="97"/>
      <c r="M10" s="97"/>
      <c r="N10" s="97"/>
      <c r="O10" s="91"/>
      <c r="Q10" s="548">
        <f t="shared" si="1"/>
        <v>0</v>
      </c>
      <c r="R10" s="443">
        <f t="shared" si="2"/>
        <v>0</v>
      </c>
      <c r="S10" s="443">
        <f t="shared" si="3"/>
        <v>349</v>
      </c>
      <c r="T10" s="96"/>
      <c r="U10" s="97"/>
      <c r="V10" s="97"/>
      <c r="W10" s="97"/>
      <c r="X10" s="97"/>
      <c r="Y10" s="97"/>
      <c r="Z10" s="97"/>
      <c r="AA10" s="97"/>
      <c r="AB10" s="97"/>
      <c r="AC10" s="91"/>
    </row>
    <row r="11">
      <c r="A11" s="98" t="s">
        <v>55</v>
      </c>
      <c r="B11" s="88">
        <v>349.0</v>
      </c>
      <c r="C11" s="547">
        <v>1.0</v>
      </c>
      <c r="D11" s="325">
        <v>1.0</v>
      </c>
      <c r="E11" s="325">
        <v>1.0</v>
      </c>
      <c r="F11" s="96"/>
      <c r="G11" s="97"/>
      <c r="H11" s="97"/>
      <c r="I11" s="97"/>
      <c r="J11" s="97"/>
      <c r="K11" s="97"/>
      <c r="L11" s="97"/>
      <c r="M11" s="97"/>
      <c r="N11" s="97"/>
      <c r="O11" s="91"/>
      <c r="Q11" s="548">
        <f t="shared" si="1"/>
        <v>349</v>
      </c>
      <c r="R11" s="443">
        <f t="shared" si="2"/>
        <v>349</v>
      </c>
      <c r="S11" s="443">
        <f t="shared" si="3"/>
        <v>349</v>
      </c>
      <c r="T11" s="96"/>
      <c r="U11" s="97"/>
      <c r="V11" s="97"/>
      <c r="W11" s="97"/>
      <c r="X11" s="97"/>
      <c r="Y11" s="97"/>
      <c r="Z11" s="97"/>
      <c r="AA11" s="97"/>
      <c r="AB11" s="97"/>
      <c r="AC11" s="91"/>
    </row>
    <row r="12">
      <c r="A12" s="98" t="s">
        <v>56</v>
      </c>
      <c r="B12" s="88">
        <v>349.0</v>
      </c>
      <c r="C12" s="94"/>
      <c r="D12" s="95"/>
      <c r="E12" s="96"/>
      <c r="F12" s="96"/>
      <c r="G12" s="97"/>
      <c r="H12" s="97"/>
      <c r="I12" s="97"/>
      <c r="J12" s="97"/>
      <c r="K12" s="97"/>
      <c r="L12" s="97"/>
      <c r="M12" s="97"/>
      <c r="N12" s="97"/>
      <c r="O12" s="91"/>
      <c r="Q12" s="548">
        <f t="shared" si="1"/>
        <v>0</v>
      </c>
      <c r="R12" s="443">
        <f t="shared" si="2"/>
        <v>0</v>
      </c>
      <c r="S12" s="443">
        <f t="shared" si="3"/>
        <v>0</v>
      </c>
      <c r="T12" s="96"/>
      <c r="U12" s="97"/>
      <c r="V12" s="97"/>
      <c r="W12" s="97"/>
      <c r="X12" s="97"/>
      <c r="Y12" s="97"/>
      <c r="Z12" s="97"/>
      <c r="AA12" s="97"/>
      <c r="AB12" s="97"/>
      <c r="AC12" s="91"/>
    </row>
    <row r="13">
      <c r="A13" s="98" t="s">
        <v>57</v>
      </c>
      <c r="B13" s="88">
        <v>349.0</v>
      </c>
      <c r="C13" s="94"/>
      <c r="D13" s="95"/>
      <c r="E13" s="96"/>
      <c r="F13" s="96"/>
      <c r="G13" s="97"/>
      <c r="H13" s="97"/>
      <c r="I13" s="97"/>
      <c r="J13" s="97"/>
      <c r="K13" s="97"/>
      <c r="L13" s="97"/>
      <c r="M13" s="97"/>
      <c r="N13" s="97"/>
      <c r="O13" s="91"/>
      <c r="Q13" s="548">
        <f t="shared" si="1"/>
        <v>0</v>
      </c>
      <c r="R13" s="443">
        <f t="shared" si="2"/>
        <v>0</v>
      </c>
      <c r="S13" s="443">
        <f t="shared" si="3"/>
        <v>0</v>
      </c>
      <c r="T13" s="96"/>
      <c r="U13" s="97"/>
      <c r="V13" s="97"/>
      <c r="W13" s="97"/>
      <c r="X13" s="97"/>
      <c r="Y13" s="97"/>
      <c r="Z13" s="97"/>
      <c r="AA13" s="97"/>
      <c r="AB13" s="97"/>
      <c r="AC13" s="91"/>
    </row>
    <row r="14">
      <c r="A14" s="98" t="s">
        <v>58</v>
      </c>
      <c r="B14" s="88">
        <v>349.0</v>
      </c>
      <c r="C14" s="94"/>
      <c r="D14" s="95"/>
      <c r="E14" s="96"/>
      <c r="F14" s="96"/>
      <c r="G14" s="97"/>
      <c r="H14" s="97"/>
      <c r="I14" s="97"/>
      <c r="J14" s="97"/>
      <c r="K14" s="97"/>
      <c r="L14" s="97"/>
      <c r="M14" s="97"/>
      <c r="N14" s="97"/>
      <c r="O14" s="91"/>
      <c r="Q14" s="548">
        <f t="shared" si="1"/>
        <v>0</v>
      </c>
      <c r="R14" s="443">
        <f t="shared" si="2"/>
        <v>0</v>
      </c>
      <c r="S14" s="443">
        <f t="shared" si="3"/>
        <v>0</v>
      </c>
      <c r="T14" s="96"/>
      <c r="U14" s="97"/>
      <c r="V14" s="97"/>
      <c r="W14" s="97"/>
      <c r="X14" s="97"/>
      <c r="Y14" s="97"/>
      <c r="Z14" s="97"/>
      <c r="AA14" s="97"/>
      <c r="AB14" s="97"/>
      <c r="AC14" s="91"/>
    </row>
    <row r="15">
      <c r="A15" s="98" t="s">
        <v>59</v>
      </c>
      <c r="B15" s="88">
        <v>239.0</v>
      </c>
      <c r="C15" s="94"/>
      <c r="D15" s="95"/>
      <c r="E15" s="96"/>
      <c r="F15" s="96"/>
      <c r="G15" s="97"/>
      <c r="H15" s="97"/>
      <c r="I15" s="97"/>
      <c r="J15" s="97"/>
      <c r="K15" s="97"/>
      <c r="L15" s="97"/>
      <c r="M15" s="97"/>
      <c r="N15" s="97"/>
      <c r="O15" s="91"/>
      <c r="Q15" s="548">
        <f t="shared" si="1"/>
        <v>0</v>
      </c>
      <c r="R15" s="443">
        <f t="shared" si="2"/>
        <v>0</v>
      </c>
      <c r="S15" s="443">
        <f t="shared" si="3"/>
        <v>0</v>
      </c>
      <c r="T15" s="96"/>
      <c r="U15" s="97"/>
      <c r="V15" s="97"/>
      <c r="W15" s="97"/>
      <c r="X15" s="97"/>
      <c r="Y15" s="97"/>
      <c r="Z15" s="97"/>
      <c r="AA15" s="97"/>
      <c r="AB15" s="97"/>
      <c r="AC15" s="91"/>
    </row>
    <row r="16" hidden="1">
      <c r="A16" s="98" t="s">
        <v>60</v>
      </c>
      <c r="B16" s="192"/>
      <c r="C16" s="94"/>
      <c r="D16" s="95"/>
      <c r="E16" s="96"/>
      <c r="F16" s="96"/>
      <c r="G16" s="97"/>
      <c r="H16" s="97"/>
      <c r="I16" s="97"/>
      <c r="J16" s="97"/>
      <c r="K16" s="97"/>
      <c r="L16" s="97"/>
      <c r="M16" s="97"/>
      <c r="N16" s="97"/>
      <c r="O16" s="91"/>
      <c r="Q16" s="548">
        <f t="shared" si="1"/>
        <v>0</v>
      </c>
      <c r="R16" s="443">
        <f t="shared" si="2"/>
        <v>0</v>
      </c>
      <c r="S16" s="443">
        <f t="shared" si="3"/>
        <v>0</v>
      </c>
      <c r="T16" s="96"/>
      <c r="U16" s="97"/>
      <c r="V16" s="97"/>
      <c r="W16" s="97"/>
      <c r="X16" s="97"/>
      <c r="Y16" s="97"/>
      <c r="Z16" s="97"/>
      <c r="AA16" s="97"/>
      <c r="AB16" s="97"/>
      <c r="AC16" s="91"/>
    </row>
    <row r="17" hidden="1">
      <c r="A17" s="98" t="s">
        <v>61</v>
      </c>
      <c r="B17" s="192"/>
      <c r="C17" s="94"/>
      <c r="D17" s="95"/>
      <c r="E17" s="96"/>
      <c r="F17" s="96"/>
      <c r="G17" s="97"/>
      <c r="H17" s="97"/>
      <c r="I17" s="97"/>
      <c r="J17" s="97"/>
      <c r="K17" s="97"/>
      <c r="L17" s="97"/>
      <c r="M17" s="97"/>
      <c r="N17" s="97"/>
      <c r="O17" s="91"/>
      <c r="Q17" s="548">
        <f t="shared" si="1"/>
        <v>0</v>
      </c>
      <c r="R17" s="443">
        <f t="shared" si="2"/>
        <v>0</v>
      </c>
      <c r="S17" s="443">
        <f t="shared" si="3"/>
        <v>0</v>
      </c>
      <c r="T17" s="96"/>
      <c r="U17" s="97"/>
      <c r="V17" s="97"/>
      <c r="W17" s="97"/>
      <c r="X17" s="97"/>
      <c r="Y17" s="97"/>
      <c r="Z17" s="97"/>
      <c r="AA17" s="97"/>
      <c r="AB17" s="97"/>
      <c r="AC17" s="91"/>
    </row>
    <row r="18">
      <c r="A18" s="100"/>
      <c r="B18" s="192"/>
      <c r="C18" s="94"/>
      <c r="D18" s="95"/>
      <c r="E18" s="96"/>
      <c r="F18" s="96"/>
      <c r="G18" s="97"/>
      <c r="H18" s="97"/>
      <c r="I18" s="97"/>
      <c r="J18" s="97"/>
      <c r="K18" s="97"/>
      <c r="L18" s="97"/>
      <c r="M18" s="97"/>
      <c r="N18" s="97"/>
      <c r="O18" s="91"/>
      <c r="Q18" s="548">
        <f t="shared" si="1"/>
        <v>0</v>
      </c>
      <c r="R18" s="443">
        <f t="shared" si="2"/>
        <v>0</v>
      </c>
      <c r="S18" s="443">
        <f t="shared" si="3"/>
        <v>0</v>
      </c>
      <c r="T18" s="96"/>
      <c r="U18" s="97"/>
      <c r="V18" s="97"/>
      <c r="W18" s="97"/>
      <c r="X18" s="97"/>
      <c r="Y18" s="97"/>
      <c r="Z18" s="97"/>
      <c r="AA18" s="97"/>
      <c r="AB18" s="97"/>
      <c r="AC18" s="91"/>
    </row>
    <row r="19">
      <c r="A19" s="98" t="s">
        <v>62</v>
      </c>
      <c r="B19" s="88">
        <v>259.0</v>
      </c>
      <c r="C19" s="547">
        <v>2.0</v>
      </c>
      <c r="D19" s="325">
        <v>1.0</v>
      </c>
      <c r="E19" s="325">
        <v>2.0</v>
      </c>
      <c r="F19" s="96"/>
      <c r="G19" s="97"/>
      <c r="H19" s="97"/>
      <c r="I19" s="97"/>
      <c r="J19" s="97"/>
      <c r="K19" s="97"/>
      <c r="L19" s="97"/>
      <c r="M19" s="97"/>
      <c r="N19" s="97"/>
      <c r="O19" s="91"/>
      <c r="Q19" s="548">
        <f t="shared" si="1"/>
        <v>518</v>
      </c>
      <c r="R19" s="443">
        <f t="shared" si="2"/>
        <v>259</v>
      </c>
      <c r="S19" s="443">
        <f t="shared" si="3"/>
        <v>518</v>
      </c>
      <c r="T19" s="96"/>
      <c r="U19" s="97"/>
      <c r="V19" s="97"/>
      <c r="W19" s="97"/>
      <c r="X19" s="97"/>
      <c r="Y19" s="97"/>
      <c r="Z19" s="97"/>
      <c r="AA19" s="97"/>
      <c r="AB19" s="97"/>
      <c r="AC19" s="91"/>
    </row>
    <row r="20">
      <c r="A20" s="98" t="s">
        <v>63</v>
      </c>
      <c r="B20" s="88">
        <v>259.0</v>
      </c>
      <c r="C20" s="547">
        <v>4.0</v>
      </c>
      <c r="D20" s="325">
        <v>1.0</v>
      </c>
      <c r="E20" s="325">
        <v>2.0</v>
      </c>
      <c r="F20" s="96"/>
      <c r="G20" s="97"/>
      <c r="H20" s="97"/>
      <c r="I20" s="97"/>
      <c r="J20" s="97"/>
      <c r="K20" s="97"/>
      <c r="L20" s="97"/>
      <c r="M20" s="97"/>
      <c r="N20" s="97"/>
      <c r="O20" s="91"/>
      <c r="Q20" s="548">
        <f t="shared" si="1"/>
        <v>1036</v>
      </c>
      <c r="R20" s="443">
        <f t="shared" si="2"/>
        <v>259</v>
      </c>
      <c r="S20" s="443">
        <f t="shared" si="3"/>
        <v>518</v>
      </c>
      <c r="T20" s="96"/>
      <c r="U20" s="97"/>
      <c r="V20" s="97"/>
      <c r="W20" s="97"/>
      <c r="X20" s="97"/>
      <c r="Y20" s="97"/>
      <c r="Z20" s="97"/>
      <c r="AA20" s="97"/>
      <c r="AB20" s="97"/>
      <c r="AC20" s="91"/>
    </row>
    <row r="21">
      <c r="A21" s="98" t="s">
        <v>64</v>
      </c>
      <c r="B21" s="88">
        <v>259.0</v>
      </c>
      <c r="C21" s="547">
        <v>3.0</v>
      </c>
      <c r="D21" s="95"/>
      <c r="E21" s="325">
        <v>1.0</v>
      </c>
      <c r="F21" s="96"/>
      <c r="G21" s="97"/>
      <c r="H21" s="97"/>
      <c r="I21" s="97"/>
      <c r="J21" s="97"/>
      <c r="K21" s="97"/>
      <c r="L21" s="97"/>
      <c r="M21" s="97"/>
      <c r="N21" s="97"/>
      <c r="O21" s="91"/>
      <c r="Q21" s="548">
        <f t="shared" si="1"/>
        <v>777</v>
      </c>
      <c r="R21" s="443">
        <f t="shared" si="2"/>
        <v>0</v>
      </c>
      <c r="S21" s="443">
        <f t="shared" si="3"/>
        <v>259</v>
      </c>
      <c r="T21" s="96"/>
      <c r="U21" s="97"/>
      <c r="V21" s="97"/>
      <c r="W21" s="97"/>
      <c r="X21" s="97"/>
      <c r="Y21" s="97"/>
      <c r="Z21" s="97"/>
      <c r="AA21" s="97"/>
      <c r="AB21" s="97"/>
      <c r="AC21" s="91"/>
    </row>
    <row r="22">
      <c r="A22" s="98" t="s">
        <v>65</v>
      </c>
      <c r="B22" s="88">
        <v>239.0</v>
      </c>
      <c r="C22" s="547"/>
      <c r="D22" s="95"/>
      <c r="E22" s="325">
        <v>1.0</v>
      </c>
      <c r="F22" s="96"/>
      <c r="G22" s="97"/>
      <c r="H22" s="97"/>
      <c r="I22" s="97"/>
      <c r="J22" s="97"/>
      <c r="K22" s="97"/>
      <c r="L22" s="97"/>
      <c r="M22" s="97"/>
      <c r="N22" s="97"/>
      <c r="O22" s="91"/>
      <c r="Q22" s="548">
        <f t="shared" si="1"/>
        <v>0</v>
      </c>
      <c r="R22" s="443">
        <f t="shared" si="2"/>
        <v>0</v>
      </c>
      <c r="S22" s="443">
        <f t="shared" si="3"/>
        <v>239</v>
      </c>
      <c r="T22" s="96"/>
      <c r="U22" s="97"/>
      <c r="V22" s="97"/>
      <c r="W22" s="97"/>
      <c r="X22" s="97"/>
      <c r="Y22" s="97"/>
      <c r="Z22" s="97"/>
      <c r="AA22" s="97"/>
      <c r="AB22" s="97"/>
      <c r="AC22" s="91"/>
    </row>
    <row r="23">
      <c r="A23" s="98" t="s">
        <v>66</v>
      </c>
      <c r="B23" s="88">
        <v>239.0</v>
      </c>
      <c r="C23" s="547"/>
      <c r="D23" s="95"/>
      <c r="E23" s="96"/>
      <c r="F23" s="96"/>
      <c r="G23" s="97"/>
      <c r="H23" s="97"/>
      <c r="I23" s="97"/>
      <c r="J23" s="97"/>
      <c r="K23" s="97"/>
      <c r="L23" s="97"/>
      <c r="M23" s="97"/>
      <c r="N23" s="97"/>
      <c r="O23" s="91"/>
      <c r="Q23" s="548">
        <f t="shared" si="1"/>
        <v>0</v>
      </c>
      <c r="R23" s="443">
        <f t="shared" si="2"/>
        <v>0</v>
      </c>
      <c r="S23" s="443">
        <f t="shared" si="3"/>
        <v>0</v>
      </c>
      <c r="T23" s="96"/>
      <c r="U23" s="97"/>
      <c r="V23" s="97"/>
      <c r="W23" s="97"/>
      <c r="X23" s="97"/>
      <c r="Y23" s="97"/>
      <c r="Z23" s="97"/>
      <c r="AA23" s="97"/>
      <c r="AB23" s="97"/>
      <c r="AC23" s="91"/>
    </row>
    <row r="24">
      <c r="A24" s="98" t="s">
        <v>67</v>
      </c>
      <c r="B24" s="88">
        <v>239.0</v>
      </c>
      <c r="C24" s="547"/>
      <c r="D24" s="95"/>
      <c r="E24" s="96"/>
      <c r="F24" s="96"/>
      <c r="G24" s="97"/>
      <c r="H24" s="97"/>
      <c r="I24" s="97"/>
      <c r="J24" s="97"/>
      <c r="K24" s="97"/>
      <c r="L24" s="97"/>
      <c r="M24" s="97"/>
      <c r="N24" s="97"/>
      <c r="O24" s="91"/>
      <c r="Q24" s="548">
        <f t="shared" si="1"/>
        <v>0</v>
      </c>
      <c r="R24" s="443">
        <f t="shared" si="2"/>
        <v>0</v>
      </c>
      <c r="S24" s="443">
        <f t="shared" si="3"/>
        <v>0</v>
      </c>
      <c r="T24" s="96"/>
      <c r="U24" s="97"/>
      <c r="V24" s="97"/>
      <c r="W24" s="97"/>
      <c r="X24" s="97"/>
      <c r="Y24" s="97"/>
      <c r="Z24" s="97"/>
      <c r="AA24" s="97"/>
      <c r="AB24" s="97"/>
      <c r="AC24" s="91"/>
    </row>
    <row r="25" hidden="1">
      <c r="A25" s="98" t="s">
        <v>68</v>
      </c>
      <c r="B25" s="192"/>
      <c r="C25" s="94"/>
      <c r="D25" s="95"/>
      <c r="E25" s="96"/>
      <c r="F25" s="96"/>
      <c r="G25" s="97"/>
      <c r="H25" s="97"/>
      <c r="I25" s="97"/>
      <c r="J25" s="97"/>
      <c r="K25" s="97"/>
      <c r="L25" s="97"/>
      <c r="M25" s="97"/>
      <c r="N25" s="97"/>
      <c r="O25" s="91"/>
      <c r="Q25" s="548">
        <f t="shared" si="1"/>
        <v>0</v>
      </c>
      <c r="R25" s="443">
        <f t="shared" si="2"/>
        <v>0</v>
      </c>
      <c r="S25" s="443">
        <f t="shared" si="3"/>
        <v>0</v>
      </c>
      <c r="T25" s="96"/>
      <c r="U25" s="97"/>
      <c r="V25" s="97"/>
      <c r="W25" s="97"/>
      <c r="X25" s="97"/>
      <c r="Y25" s="97"/>
      <c r="Z25" s="97"/>
      <c r="AA25" s="97"/>
      <c r="AB25" s="97"/>
      <c r="AC25" s="91"/>
    </row>
    <row r="26" hidden="1">
      <c r="A26" s="98" t="s">
        <v>69</v>
      </c>
      <c r="B26" s="192"/>
      <c r="C26" s="94"/>
      <c r="D26" s="95"/>
      <c r="E26" s="96"/>
      <c r="F26" s="96"/>
      <c r="G26" s="97"/>
      <c r="H26" s="97"/>
      <c r="I26" s="97"/>
      <c r="J26" s="97"/>
      <c r="K26" s="97"/>
      <c r="L26" s="97"/>
      <c r="M26" s="97"/>
      <c r="N26" s="97"/>
      <c r="O26" s="91"/>
      <c r="Q26" s="548">
        <f t="shared" si="1"/>
        <v>0</v>
      </c>
      <c r="R26" s="443">
        <f t="shared" si="2"/>
        <v>0</v>
      </c>
      <c r="S26" s="443">
        <f t="shared" si="3"/>
        <v>0</v>
      </c>
      <c r="T26" s="96"/>
      <c r="U26" s="97"/>
      <c r="V26" s="97"/>
      <c r="W26" s="97"/>
      <c r="X26" s="97"/>
      <c r="Y26" s="97"/>
      <c r="Z26" s="97"/>
      <c r="AA26" s="97"/>
      <c r="AB26" s="97"/>
      <c r="AC26" s="91"/>
    </row>
    <row r="27">
      <c r="A27" s="101" t="s">
        <v>70</v>
      </c>
      <c r="B27" s="93">
        <v>819.0</v>
      </c>
      <c r="C27" s="547"/>
      <c r="D27" s="95"/>
      <c r="E27" s="96"/>
      <c r="F27" s="96"/>
      <c r="G27" s="97"/>
      <c r="H27" s="97"/>
      <c r="I27" s="97"/>
      <c r="J27" s="97"/>
      <c r="K27" s="97"/>
      <c r="L27" s="97"/>
      <c r="M27" s="97"/>
      <c r="N27" s="97"/>
      <c r="O27" s="91"/>
      <c r="Q27" s="548">
        <f t="shared" si="1"/>
        <v>0</v>
      </c>
      <c r="R27" s="443">
        <f t="shared" si="2"/>
        <v>0</v>
      </c>
      <c r="S27" s="443">
        <f t="shared" si="3"/>
        <v>0</v>
      </c>
      <c r="T27" s="96"/>
      <c r="U27" s="97"/>
      <c r="V27" s="97"/>
      <c r="W27" s="97"/>
      <c r="X27" s="97"/>
      <c r="Y27" s="97"/>
      <c r="Z27" s="97"/>
      <c r="AA27" s="97"/>
      <c r="AB27" s="97"/>
      <c r="AC27" s="91"/>
    </row>
    <row r="28">
      <c r="A28" s="102" t="s">
        <v>71</v>
      </c>
      <c r="B28" s="93">
        <v>629.0</v>
      </c>
      <c r="C28" s="547">
        <v>2.0</v>
      </c>
      <c r="D28" s="325">
        <v>1.0</v>
      </c>
      <c r="E28" s="96"/>
      <c r="F28" s="96"/>
      <c r="G28" s="97"/>
      <c r="H28" s="97"/>
      <c r="I28" s="97"/>
      <c r="J28" s="97"/>
      <c r="K28" s="97"/>
      <c r="L28" s="97"/>
      <c r="M28" s="97"/>
      <c r="N28" s="97"/>
      <c r="O28" s="91"/>
      <c r="Q28" s="548">
        <f t="shared" si="1"/>
        <v>1258</v>
      </c>
      <c r="R28" s="443">
        <f t="shared" si="2"/>
        <v>629</v>
      </c>
      <c r="S28" s="443">
        <f t="shared" si="3"/>
        <v>0</v>
      </c>
      <c r="T28" s="96"/>
      <c r="U28" s="97"/>
      <c r="V28" s="97"/>
      <c r="W28" s="97"/>
      <c r="X28" s="97"/>
      <c r="Y28" s="97"/>
      <c r="Z28" s="97"/>
      <c r="AA28" s="97"/>
      <c r="AB28" s="97"/>
      <c r="AC28" s="91"/>
    </row>
    <row r="29">
      <c r="A29" s="101" t="s">
        <v>72</v>
      </c>
      <c r="B29" s="93">
        <v>349.0</v>
      </c>
      <c r="C29" s="547"/>
      <c r="D29" s="95"/>
      <c r="E29" s="96"/>
      <c r="F29" s="96"/>
      <c r="G29" s="97"/>
      <c r="H29" s="97"/>
      <c r="I29" s="97"/>
      <c r="J29" s="97"/>
      <c r="K29" s="97"/>
      <c r="L29" s="97"/>
      <c r="M29" s="97"/>
      <c r="N29" s="97"/>
      <c r="O29" s="91"/>
      <c r="Q29" s="548">
        <f t="shared" si="1"/>
        <v>0</v>
      </c>
      <c r="R29" s="443">
        <f t="shared" si="2"/>
        <v>0</v>
      </c>
      <c r="S29" s="443">
        <f t="shared" si="3"/>
        <v>0</v>
      </c>
      <c r="T29" s="96"/>
      <c r="U29" s="97"/>
      <c r="V29" s="97"/>
      <c r="W29" s="97"/>
      <c r="X29" s="97"/>
      <c r="Y29" s="97"/>
      <c r="Z29" s="97"/>
      <c r="AA29" s="97"/>
      <c r="AB29" s="97"/>
      <c r="AC29" s="91"/>
    </row>
    <row r="30">
      <c r="A30" s="101" t="s">
        <v>73</v>
      </c>
      <c r="B30" s="93">
        <v>349.0</v>
      </c>
      <c r="C30" s="94"/>
      <c r="D30" s="95"/>
      <c r="E30" s="96"/>
      <c r="F30" s="96"/>
      <c r="G30" s="97"/>
      <c r="H30" s="97"/>
      <c r="I30" s="97"/>
      <c r="J30" s="97"/>
      <c r="K30" s="97"/>
      <c r="L30" s="97"/>
      <c r="M30" s="97"/>
      <c r="N30" s="97"/>
      <c r="O30" s="91"/>
      <c r="Q30" s="548">
        <f t="shared" si="1"/>
        <v>0</v>
      </c>
      <c r="R30" s="443">
        <f t="shared" si="2"/>
        <v>0</v>
      </c>
      <c r="S30" s="443">
        <f t="shared" si="3"/>
        <v>0</v>
      </c>
      <c r="T30" s="96"/>
      <c r="U30" s="97"/>
      <c r="V30" s="97"/>
      <c r="W30" s="97"/>
      <c r="X30" s="97"/>
      <c r="Y30" s="97"/>
      <c r="Z30" s="97"/>
      <c r="AA30" s="97"/>
      <c r="AB30" s="97"/>
      <c r="AC30" s="91"/>
    </row>
    <row r="31">
      <c r="A31" s="101" t="s">
        <v>74</v>
      </c>
      <c r="B31" s="93">
        <v>239.0</v>
      </c>
      <c r="C31" s="94"/>
      <c r="D31" s="95"/>
      <c r="E31" s="96"/>
      <c r="F31" s="96"/>
      <c r="G31" s="97"/>
      <c r="H31" s="97"/>
      <c r="I31" s="97"/>
      <c r="J31" s="97"/>
      <c r="K31" s="97"/>
      <c r="L31" s="97"/>
      <c r="M31" s="97"/>
      <c r="N31" s="97"/>
      <c r="O31" s="91"/>
      <c r="Q31" s="548">
        <f t="shared" si="1"/>
        <v>0</v>
      </c>
      <c r="R31" s="443">
        <f t="shared" si="2"/>
        <v>0</v>
      </c>
      <c r="S31" s="443">
        <f t="shared" si="3"/>
        <v>0</v>
      </c>
      <c r="T31" s="96"/>
      <c r="U31" s="97"/>
      <c r="V31" s="97"/>
      <c r="W31" s="97"/>
      <c r="X31" s="97"/>
      <c r="Y31" s="97"/>
      <c r="Z31" s="97"/>
      <c r="AA31" s="97"/>
      <c r="AB31" s="97"/>
      <c r="AC31" s="91"/>
    </row>
    <row r="32">
      <c r="A32" s="101" t="s">
        <v>75</v>
      </c>
      <c r="B32" s="93">
        <v>239.0</v>
      </c>
      <c r="C32" s="94"/>
      <c r="D32" s="95"/>
      <c r="E32" s="96"/>
      <c r="F32" s="96"/>
      <c r="G32" s="97"/>
      <c r="H32" s="97"/>
      <c r="I32" s="97"/>
      <c r="J32" s="97"/>
      <c r="K32" s="97"/>
      <c r="L32" s="97"/>
      <c r="M32" s="97"/>
      <c r="N32" s="97"/>
      <c r="O32" s="91"/>
      <c r="Q32" s="548">
        <f t="shared" si="1"/>
        <v>0</v>
      </c>
      <c r="R32" s="443">
        <f t="shared" si="2"/>
        <v>0</v>
      </c>
      <c r="S32" s="443">
        <f t="shared" si="3"/>
        <v>0</v>
      </c>
      <c r="T32" s="96"/>
      <c r="U32" s="97"/>
      <c r="V32" s="97"/>
      <c r="W32" s="97"/>
      <c r="X32" s="97"/>
      <c r="Y32" s="97"/>
      <c r="Z32" s="97"/>
      <c r="AA32" s="97"/>
      <c r="AB32" s="97"/>
      <c r="AC32" s="91"/>
    </row>
    <row r="33">
      <c r="A33" s="101" t="s">
        <v>76</v>
      </c>
      <c r="B33" s="93">
        <v>459.0</v>
      </c>
      <c r="C33" s="547">
        <v>2.0</v>
      </c>
      <c r="D33" s="325">
        <v>3.0</v>
      </c>
      <c r="E33" s="448">
        <v>5.0</v>
      </c>
      <c r="F33" s="96"/>
      <c r="G33" s="97"/>
      <c r="H33" s="97"/>
      <c r="I33" s="97"/>
      <c r="J33" s="97"/>
      <c r="K33" s="97"/>
      <c r="L33" s="97"/>
      <c r="M33" s="97"/>
      <c r="N33" s="97"/>
      <c r="O33" s="91"/>
      <c r="Q33" s="548">
        <f t="shared" si="1"/>
        <v>918</v>
      </c>
      <c r="R33" s="443">
        <f t="shared" si="2"/>
        <v>1377</v>
      </c>
      <c r="S33" s="443">
        <f t="shared" si="3"/>
        <v>2295</v>
      </c>
      <c r="T33" s="96"/>
      <c r="U33" s="97"/>
      <c r="V33" s="97"/>
      <c r="W33" s="97"/>
      <c r="X33" s="97"/>
      <c r="Y33" s="97"/>
      <c r="Z33" s="97"/>
      <c r="AA33" s="97"/>
      <c r="AB33" s="97"/>
      <c r="AC33" s="91"/>
    </row>
    <row r="34">
      <c r="A34" s="101" t="s">
        <v>77</v>
      </c>
      <c r="B34" s="93">
        <v>899.0</v>
      </c>
      <c r="C34" s="94"/>
      <c r="D34" s="95"/>
      <c r="E34" s="96"/>
      <c r="F34" s="96"/>
      <c r="G34" s="97"/>
      <c r="H34" s="97"/>
      <c r="I34" s="97"/>
      <c r="J34" s="97"/>
      <c r="K34" s="97"/>
      <c r="L34" s="97"/>
      <c r="M34" s="97"/>
      <c r="N34" s="97"/>
      <c r="O34" s="91"/>
      <c r="Q34" s="548">
        <f t="shared" si="1"/>
        <v>0</v>
      </c>
      <c r="R34" s="443">
        <f t="shared" si="2"/>
        <v>0</v>
      </c>
      <c r="S34" s="443">
        <f t="shared" si="3"/>
        <v>0</v>
      </c>
      <c r="T34" s="96"/>
      <c r="U34" s="97"/>
      <c r="V34" s="97"/>
      <c r="W34" s="97"/>
      <c r="X34" s="97"/>
      <c r="Y34" s="97"/>
      <c r="Z34" s="97"/>
      <c r="AA34" s="97"/>
      <c r="AB34" s="97"/>
      <c r="AC34" s="91"/>
    </row>
    <row r="35">
      <c r="A35" s="101" t="s">
        <v>78</v>
      </c>
      <c r="B35" s="93">
        <v>569.0</v>
      </c>
      <c r="C35" s="94"/>
      <c r="D35" s="95"/>
      <c r="E35" s="325">
        <v>1.0</v>
      </c>
      <c r="F35" s="96"/>
      <c r="G35" s="97"/>
      <c r="H35" s="97"/>
      <c r="I35" s="97"/>
      <c r="J35" s="97"/>
      <c r="K35" s="97"/>
      <c r="L35" s="97"/>
      <c r="M35" s="97"/>
      <c r="N35" s="97"/>
      <c r="O35" s="91"/>
      <c r="Q35" s="548">
        <f t="shared" si="1"/>
        <v>0</v>
      </c>
      <c r="R35" s="443">
        <f t="shared" si="2"/>
        <v>0</v>
      </c>
      <c r="S35" s="443">
        <f t="shared" si="3"/>
        <v>569</v>
      </c>
      <c r="T35" s="96"/>
      <c r="U35" s="97"/>
      <c r="V35" s="97"/>
      <c r="W35" s="97"/>
      <c r="X35" s="97"/>
      <c r="Y35" s="97"/>
      <c r="Z35" s="97"/>
      <c r="AA35" s="97"/>
      <c r="AB35" s="97"/>
      <c r="AC35" s="91"/>
    </row>
    <row r="36">
      <c r="A36" s="101" t="s">
        <v>79</v>
      </c>
      <c r="B36" s="93">
        <v>569.0</v>
      </c>
      <c r="C36" s="94"/>
      <c r="D36" s="95"/>
      <c r="E36" s="96"/>
      <c r="F36" s="96"/>
      <c r="G36" s="97"/>
      <c r="H36" s="97"/>
      <c r="I36" s="97"/>
      <c r="J36" s="97"/>
      <c r="K36" s="97"/>
      <c r="L36" s="97"/>
      <c r="M36" s="97"/>
      <c r="N36" s="97"/>
      <c r="O36" s="91"/>
      <c r="Q36" s="548">
        <f t="shared" si="1"/>
        <v>0</v>
      </c>
      <c r="R36" s="443">
        <f t="shared" si="2"/>
        <v>0</v>
      </c>
      <c r="S36" s="443">
        <f t="shared" si="3"/>
        <v>0</v>
      </c>
      <c r="T36" s="96"/>
      <c r="U36" s="97"/>
      <c r="V36" s="97"/>
      <c r="W36" s="97"/>
      <c r="X36" s="97"/>
      <c r="Y36" s="97"/>
      <c r="Z36" s="97"/>
      <c r="AA36" s="97"/>
      <c r="AB36" s="97"/>
      <c r="AC36" s="91"/>
    </row>
    <row r="37">
      <c r="A37" s="101" t="s">
        <v>80</v>
      </c>
      <c r="B37" s="93">
        <v>569.0</v>
      </c>
      <c r="C37" s="94"/>
      <c r="D37" s="95"/>
      <c r="E37" s="96"/>
      <c r="F37" s="96"/>
      <c r="G37" s="97"/>
      <c r="H37" s="97"/>
      <c r="I37" s="97"/>
      <c r="J37" s="97"/>
      <c r="K37" s="97"/>
      <c r="L37" s="97"/>
      <c r="M37" s="97"/>
      <c r="N37" s="97"/>
      <c r="O37" s="91"/>
      <c r="Q37" s="548">
        <f t="shared" si="1"/>
        <v>0</v>
      </c>
      <c r="R37" s="443">
        <f t="shared" si="2"/>
        <v>0</v>
      </c>
      <c r="S37" s="443">
        <f t="shared" si="3"/>
        <v>0</v>
      </c>
      <c r="T37" s="96"/>
      <c r="U37" s="97"/>
      <c r="V37" s="97"/>
      <c r="W37" s="97"/>
      <c r="X37" s="97"/>
      <c r="Y37" s="97"/>
      <c r="Z37" s="97"/>
      <c r="AA37" s="97"/>
      <c r="AB37" s="97"/>
      <c r="AC37" s="91"/>
    </row>
    <row r="38">
      <c r="A38" s="102" t="s">
        <v>81</v>
      </c>
      <c r="B38" s="93">
        <v>819.0</v>
      </c>
      <c r="C38" s="547"/>
      <c r="D38" s="95"/>
      <c r="E38" s="96"/>
      <c r="F38" s="96"/>
      <c r="G38" s="97"/>
      <c r="H38" s="97"/>
      <c r="I38" s="97"/>
      <c r="J38" s="97"/>
      <c r="K38" s="97"/>
      <c r="L38" s="97"/>
      <c r="M38" s="97"/>
      <c r="N38" s="97"/>
      <c r="O38" s="91"/>
      <c r="Q38" s="548">
        <f t="shared" si="1"/>
        <v>0</v>
      </c>
      <c r="R38" s="443">
        <f t="shared" si="2"/>
        <v>0</v>
      </c>
      <c r="S38" s="443">
        <f t="shared" si="3"/>
        <v>0</v>
      </c>
      <c r="T38" s="96"/>
      <c r="U38" s="97"/>
      <c r="V38" s="97"/>
      <c r="W38" s="97"/>
      <c r="X38" s="97"/>
      <c r="Y38" s="97"/>
      <c r="Z38" s="97"/>
      <c r="AA38" s="97"/>
      <c r="AB38" s="97"/>
      <c r="AC38" s="91"/>
    </row>
    <row r="39">
      <c r="A39" s="102" t="s">
        <v>82</v>
      </c>
      <c r="B39" s="93">
        <v>819.0</v>
      </c>
      <c r="C39" s="547"/>
      <c r="D39" s="95"/>
      <c r="E39" s="96"/>
      <c r="F39" s="96"/>
      <c r="G39" s="97"/>
      <c r="H39" s="97"/>
      <c r="I39" s="97"/>
      <c r="J39" s="97"/>
      <c r="K39" s="97"/>
      <c r="L39" s="97"/>
      <c r="M39" s="97"/>
      <c r="N39" s="97"/>
      <c r="O39" s="91"/>
      <c r="Q39" s="548">
        <f t="shared" si="1"/>
        <v>0</v>
      </c>
      <c r="R39" s="443">
        <f t="shared" si="2"/>
        <v>0</v>
      </c>
      <c r="S39" s="443">
        <f t="shared" si="3"/>
        <v>0</v>
      </c>
      <c r="T39" s="96"/>
      <c r="U39" s="97"/>
      <c r="V39" s="97"/>
      <c r="W39" s="97"/>
      <c r="X39" s="97"/>
      <c r="Y39" s="97"/>
      <c r="Z39" s="97"/>
      <c r="AA39" s="97"/>
      <c r="AB39" s="97"/>
      <c r="AC39" s="91"/>
    </row>
    <row r="40">
      <c r="A40" s="101" t="s">
        <v>83</v>
      </c>
      <c r="B40" s="93">
        <v>459.0</v>
      </c>
      <c r="C40" s="94"/>
      <c r="D40" s="95"/>
      <c r="E40" s="96"/>
      <c r="F40" s="96"/>
      <c r="G40" s="97"/>
      <c r="H40" s="97"/>
      <c r="I40" s="97"/>
      <c r="J40" s="97"/>
      <c r="K40" s="97"/>
      <c r="L40" s="97"/>
      <c r="M40" s="97"/>
      <c r="N40" s="97"/>
      <c r="O40" s="91"/>
      <c r="Q40" s="548">
        <f t="shared" si="1"/>
        <v>0</v>
      </c>
      <c r="R40" s="443">
        <f t="shared" si="2"/>
        <v>0</v>
      </c>
      <c r="S40" s="443">
        <f t="shared" si="3"/>
        <v>0</v>
      </c>
      <c r="T40" s="96"/>
      <c r="U40" s="97"/>
      <c r="V40" s="97"/>
      <c r="W40" s="97"/>
      <c r="X40" s="97"/>
      <c r="Y40" s="97"/>
      <c r="Z40" s="97"/>
      <c r="AA40" s="97"/>
      <c r="AB40" s="97"/>
      <c r="AC40" s="91"/>
    </row>
    <row r="41">
      <c r="A41" s="101" t="s">
        <v>84</v>
      </c>
      <c r="B41" s="93">
        <v>459.0</v>
      </c>
      <c r="C41" s="94"/>
      <c r="D41" s="95"/>
      <c r="E41" s="96"/>
      <c r="F41" s="96"/>
      <c r="G41" s="97"/>
      <c r="H41" s="97"/>
      <c r="I41" s="97"/>
      <c r="J41" s="97"/>
      <c r="K41" s="97"/>
      <c r="L41" s="97"/>
      <c r="M41" s="97"/>
      <c r="N41" s="97"/>
      <c r="O41" s="91"/>
      <c r="Q41" s="548">
        <f t="shared" si="1"/>
        <v>0</v>
      </c>
      <c r="R41" s="443">
        <f t="shared" si="2"/>
        <v>0</v>
      </c>
      <c r="S41" s="443">
        <f t="shared" si="3"/>
        <v>0</v>
      </c>
      <c r="T41" s="96"/>
      <c r="U41" s="97"/>
      <c r="V41" s="97"/>
      <c r="W41" s="97"/>
      <c r="X41" s="97"/>
      <c r="Y41" s="97"/>
      <c r="Z41" s="97"/>
      <c r="AA41" s="97"/>
      <c r="AB41" s="97"/>
      <c r="AC41" s="91"/>
    </row>
    <row r="42">
      <c r="A42" s="101" t="s">
        <v>85</v>
      </c>
      <c r="B42" s="93">
        <v>60.0</v>
      </c>
      <c r="C42" s="94"/>
      <c r="D42" s="95"/>
      <c r="E42" s="96"/>
      <c r="F42" s="96"/>
      <c r="G42" s="97"/>
      <c r="H42" s="97"/>
      <c r="I42" s="97"/>
      <c r="J42" s="97"/>
      <c r="K42" s="97"/>
      <c r="L42" s="97"/>
      <c r="M42" s="97"/>
      <c r="N42" s="97"/>
      <c r="O42" s="91"/>
      <c r="Q42" s="548">
        <f t="shared" si="1"/>
        <v>0</v>
      </c>
      <c r="R42" s="443">
        <f t="shared" si="2"/>
        <v>0</v>
      </c>
      <c r="S42" s="443">
        <f t="shared" si="3"/>
        <v>0</v>
      </c>
      <c r="T42" s="96"/>
      <c r="U42" s="97"/>
      <c r="V42" s="97"/>
      <c r="W42" s="97"/>
      <c r="X42" s="97"/>
      <c r="Y42" s="97"/>
      <c r="Z42" s="97"/>
      <c r="AA42" s="97"/>
      <c r="AB42" s="97"/>
      <c r="AC42" s="91"/>
    </row>
    <row r="43">
      <c r="A43" s="101" t="s">
        <v>86</v>
      </c>
      <c r="B43" s="93">
        <v>629.0</v>
      </c>
      <c r="C43" s="94"/>
      <c r="D43" s="96"/>
      <c r="E43" s="96"/>
      <c r="F43" s="96"/>
      <c r="G43" s="97"/>
      <c r="H43" s="97"/>
      <c r="I43" s="97"/>
      <c r="J43" s="97"/>
      <c r="K43" s="97"/>
      <c r="L43" s="97"/>
      <c r="M43" s="97"/>
      <c r="N43" s="97"/>
      <c r="O43" s="91"/>
      <c r="Q43" s="548">
        <f t="shared" si="1"/>
        <v>0</v>
      </c>
      <c r="R43" s="443">
        <f t="shared" si="2"/>
        <v>0</v>
      </c>
      <c r="S43" s="443">
        <f t="shared" si="3"/>
        <v>0</v>
      </c>
      <c r="T43" s="96"/>
      <c r="U43" s="97"/>
      <c r="V43" s="97"/>
      <c r="W43" s="97"/>
      <c r="X43" s="97"/>
      <c r="Y43" s="97"/>
      <c r="Z43" s="97"/>
      <c r="AA43" s="97"/>
      <c r="AB43" s="97"/>
      <c r="AC43" s="91"/>
    </row>
    <row r="44">
      <c r="A44" s="101" t="s">
        <v>87</v>
      </c>
      <c r="B44" s="93">
        <v>399.0</v>
      </c>
      <c r="C44" s="94"/>
      <c r="D44" s="96"/>
      <c r="E44" s="96"/>
      <c r="F44" s="96"/>
      <c r="G44" s="97"/>
      <c r="H44" s="97"/>
      <c r="I44" s="97"/>
      <c r="J44" s="97"/>
      <c r="K44" s="97"/>
      <c r="L44" s="97"/>
      <c r="M44" s="97"/>
      <c r="N44" s="97"/>
      <c r="O44" s="91"/>
      <c r="Q44" s="548">
        <f t="shared" si="1"/>
        <v>0</v>
      </c>
      <c r="R44" s="443">
        <f t="shared" si="2"/>
        <v>0</v>
      </c>
      <c r="S44" s="443">
        <f t="shared" si="3"/>
        <v>0</v>
      </c>
      <c r="T44" s="96"/>
      <c r="U44" s="97"/>
      <c r="V44" s="97"/>
      <c r="W44" s="97"/>
      <c r="X44" s="97"/>
      <c r="Y44" s="97"/>
      <c r="Z44" s="97"/>
      <c r="AA44" s="97"/>
      <c r="AB44" s="97"/>
      <c r="AC44" s="91"/>
    </row>
    <row r="45">
      <c r="A45" s="101" t="s">
        <v>88</v>
      </c>
      <c r="B45" s="93">
        <v>399.0</v>
      </c>
      <c r="C45" s="94"/>
      <c r="D45" s="96"/>
      <c r="E45" s="96"/>
      <c r="F45" s="96"/>
      <c r="G45" s="97"/>
      <c r="H45" s="97"/>
      <c r="I45" s="97"/>
      <c r="J45" s="97"/>
      <c r="K45" s="97"/>
      <c r="L45" s="97"/>
      <c r="M45" s="97"/>
      <c r="N45" s="97"/>
      <c r="O45" s="91"/>
      <c r="Q45" s="548">
        <f t="shared" si="1"/>
        <v>0</v>
      </c>
      <c r="R45" s="443">
        <f t="shared" si="2"/>
        <v>0</v>
      </c>
      <c r="S45" s="443">
        <f t="shared" si="3"/>
        <v>0</v>
      </c>
      <c r="T45" s="96"/>
      <c r="U45" s="97"/>
      <c r="V45" s="97"/>
      <c r="W45" s="97"/>
      <c r="X45" s="97"/>
      <c r="Y45" s="97"/>
      <c r="Z45" s="97"/>
      <c r="AA45" s="97"/>
      <c r="AB45" s="97"/>
      <c r="AC45" s="91"/>
    </row>
    <row r="46">
      <c r="A46" s="101" t="s">
        <v>89</v>
      </c>
      <c r="B46" s="93">
        <v>1299.0</v>
      </c>
      <c r="C46" s="94"/>
      <c r="D46" s="96"/>
      <c r="E46" s="96"/>
      <c r="F46" s="96"/>
      <c r="G46" s="97"/>
      <c r="H46" s="97"/>
      <c r="I46" s="97"/>
      <c r="J46" s="97"/>
      <c r="K46" s="97"/>
      <c r="L46" s="97"/>
      <c r="M46" s="97"/>
      <c r="N46" s="97"/>
      <c r="O46" s="91"/>
      <c r="Q46" s="548">
        <f t="shared" si="1"/>
        <v>0</v>
      </c>
      <c r="R46" s="443">
        <f t="shared" si="2"/>
        <v>0</v>
      </c>
      <c r="S46" s="443">
        <f t="shared" si="3"/>
        <v>0</v>
      </c>
      <c r="T46" s="96"/>
      <c r="U46" s="97"/>
      <c r="V46" s="97"/>
      <c r="W46" s="97"/>
      <c r="X46" s="97"/>
      <c r="Y46" s="97"/>
      <c r="Z46" s="97"/>
      <c r="AA46" s="97"/>
      <c r="AB46" s="97"/>
      <c r="AC46" s="91"/>
    </row>
    <row r="47">
      <c r="A47" s="67" t="s">
        <v>90</v>
      </c>
      <c r="B47" s="93">
        <v>1299.0</v>
      </c>
      <c r="C47" s="94"/>
      <c r="D47" s="96"/>
      <c r="E47" s="96"/>
      <c r="F47" s="96"/>
      <c r="G47" s="97"/>
      <c r="H47" s="97"/>
      <c r="I47" s="97"/>
      <c r="J47" s="97"/>
      <c r="K47" s="97"/>
      <c r="L47" s="97"/>
      <c r="M47" s="97"/>
      <c r="N47" s="97"/>
      <c r="O47" s="91"/>
      <c r="Q47" s="548">
        <f t="shared" si="1"/>
        <v>0</v>
      </c>
      <c r="R47" s="443">
        <f t="shared" si="2"/>
        <v>0</v>
      </c>
      <c r="S47" s="443">
        <f t="shared" si="3"/>
        <v>0</v>
      </c>
      <c r="T47" s="96"/>
      <c r="U47" s="97"/>
      <c r="V47" s="97"/>
      <c r="W47" s="97"/>
      <c r="X47" s="97"/>
      <c r="Y47" s="97"/>
      <c r="Z47" s="97"/>
      <c r="AA47" s="97"/>
      <c r="AB47" s="97"/>
      <c r="AC47" s="91"/>
    </row>
    <row r="48">
      <c r="A48" s="101" t="s">
        <v>91</v>
      </c>
      <c r="B48" s="103">
        <v>0.0</v>
      </c>
      <c r="C48" s="94"/>
      <c r="D48" s="96"/>
      <c r="E48" s="96"/>
      <c r="F48" s="96"/>
      <c r="G48" s="97"/>
      <c r="H48" s="97"/>
      <c r="I48" s="97"/>
      <c r="J48" s="97"/>
      <c r="K48" s="97"/>
      <c r="L48" s="97"/>
      <c r="M48" s="97"/>
      <c r="N48" s="97"/>
      <c r="O48" s="91"/>
      <c r="Q48" s="548">
        <f t="shared" si="1"/>
        <v>0</v>
      </c>
      <c r="R48" s="443">
        <f t="shared" si="2"/>
        <v>0</v>
      </c>
      <c r="S48" s="443">
        <f t="shared" si="3"/>
        <v>0</v>
      </c>
      <c r="T48" s="96"/>
      <c r="U48" s="97"/>
      <c r="V48" s="97"/>
      <c r="W48" s="97"/>
      <c r="X48" s="97"/>
      <c r="Y48" s="97"/>
      <c r="Z48" s="97"/>
      <c r="AA48" s="97"/>
      <c r="AB48" s="97"/>
      <c r="AC48" s="91"/>
    </row>
    <row r="49">
      <c r="A49" s="104"/>
      <c r="B49" s="105"/>
      <c r="C49" s="94"/>
      <c r="D49" s="96"/>
      <c r="E49" s="96"/>
      <c r="F49" s="96"/>
      <c r="G49" s="97"/>
      <c r="H49" s="97"/>
      <c r="I49" s="97"/>
      <c r="J49" s="97"/>
      <c r="K49" s="97"/>
      <c r="L49" s="97"/>
      <c r="M49" s="97"/>
      <c r="N49" s="97"/>
      <c r="O49" s="91"/>
      <c r="Q49" s="548">
        <f t="shared" si="1"/>
        <v>0</v>
      </c>
      <c r="R49" s="443">
        <f t="shared" si="2"/>
        <v>0</v>
      </c>
      <c r="S49" s="443">
        <f t="shared" si="3"/>
        <v>0</v>
      </c>
      <c r="T49" s="96"/>
      <c r="U49" s="97"/>
      <c r="V49" s="97"/>
      <c r="W49" s="97"/>
      <c r="X49" s="97"/>
      <c r="Y49" s="97"/>
      <c r="Z49" s="97"/>
      <c r="AA49" s="97"/>
      <c r="AB49" s="97"/>
      <c r="AC49" s="91"/>
    </row>
    <row r="50">
      <c r="A50" s="102" t="s">
        <v>92</v>
      </c>
      <c r="B50" s="106">
        <v>629.0</v>
      </c>
      <c r="C50" s="547">
        <v>1.0</v>
      </c>
      <c r="D50" s="96"/>
      <c r="E50" s="325">
        <v>1.0</v>
      </c>
      <c r="F50" s="96"/>
      <c r="G50" s="97"/>
      <c r="H50" s="97"/>
      <c r="I50" s="97"/>
      <c r="J50" s="97"/>
      <c r="K50" s="97"/>
      <c r="L50" s="97"/>
      <c r="M50" s="97"/>
      <c r="N50" s="97"/>
      <c r="O50" s="91"/>
      <c r="Q50" s="548">
        <f t="shared" si="1"/>
        <v>629</v>
      </c>
      <c r="R50" s="443">
        <f t="shared" si="2"/>
        <v>0</v>
      </c>
      <c r="S50" s="443">
        <f t="shared" si="3"/>
        <v>629</v>
      </c>
      <c r="T50" s="96"/>
      <c r="U50" s="97"/>
      <c r="V50" s="97"/>
      <c r="W50" s="97"/>
      <c r="X50" s="97"/>
      <c r="Y50" s="97"/>
      <c r="Z50" s="97"/>
      <c r="AA50" s="97"/>
      <c r="AB50" s="97"/>
      <c r="AC50" s="91"/>
    </row>
    <row r="51">
      <c r="A51" s="102" t="s">
        <v>93</v>
      </c>
      <c r="B51" s="106">
        <v>629.0</v>
      </c>
      <c r="C51" s="547"/>
      <c r="D51" s="96"/>
      <c r="E51" s="96"/>
      <c r="F51" s="96"/>
      <c r="G51" s="97"/>
      <c r="H51" s="97"/>
      <c r="I51" s="97"/>
      <c r="J51" s="97"/>
      <c r="K51" s="97"/>
      <c r="L51" s="97"/>
      <c r="M51" s="97"/>
      <c r="N51" s="97"/>
      <c r="O51" s="91"/>
      <c r="Q51" s="548">
        <f t="shared" si="1"/>
        <v>0</v>
      </c>
      <c r="R51" s="443">
        <f t="shared" si="2"/>
        <v>0</v>
      </c>
      <c r="S51" s="443">
        <f t="shared" si="3"/>
        <v>0</v>
      </c>
      <c r="T51" s="96"/>
      <c r="U51" s="97"/>
      <c r="V51" s="97"/>
      <c r="W51" s="97"/>
      <c r="X51" s="97"/>
      <c r="Y51" s="97"/>
      <c r="Z51" s="97"/>
      <c r="AA51" s="97"/>
      <c r="AB51" s="97"/>
      <c r="AC51" s="91"/>
    </row>
    <row r="52">
      <c r="A52" s="102" t="s">
        <v>94</v>
      </c>
      <c r="B52" s="93">
        <v>349.0</v>
      </c>
      <c r="C52" s="94"/>
      <c r="D52" s="96"/>
      <c r="E52" s="96"/>
      <c r="F52" s="96"/>
      <c r="G52" s="97"/>
      <c r="H52" s="97"/>
      <c r="I52" s="97"/>
      <c r="J52" s="97"/>
      <c r="K52" s="97"/>
      <c r="L52" s="97"/>
      <c r="M52" s="97"/>
      <c r="N52" s="97"/>
      <c r="O52" s="91"/>
      <c r="Q52" s="548">
        <f t="shared" si="1"/>
        <v>0</v>
      </c>
      <c r="R52" s="443">
        <f t="shared" si="2"/>
        <v>0</v>
      </c>
      <c r="S52" s="443">
        <f t="shared" si="3"/>
        <v>0</v>
      </c>
      <c r="T52" s="96"/>
      <c r="U52" s="97"/>
      <c r="V52" s="97"/>
      <c r="W52" s="97"/>
      <c r="X52" s="97"/>
      <c r="Y52" s="97"/>
      <c r="Z52" s="97"/>
      <c r="AA52" s="97"/>
      <c r="AB52" s="97"/>
      <c r="AC52" s="91"/>
    </row>
    <row r="53">
      <c r="A53" s="102" t="s">
        <v>95</v>
      </c>
      <c r="B53" s="93">
        <v>199.0</v>
      </c>
      <c r="C53" s="94"/>
      <c r="D53" s="96"/>
      <c r="E53" s="96"/>
      <c r="F53" s="96"/>
      <c r="G53" s="97"/>
      <c r="H53" s="97"/>
      <c r="I53" s="97"/>
      <c r="J53" s="97"/>
      <c r="K53" s="97"/>
      <c r="L53" s="97"/>
      <c r="M53" s="97"/>
      <c r="N53" s="97"/>
      <c r="O53" s="91"/>
      <c r="Q53" s="548">
        <f t="shared" si="1"/>
        <v>0</v>
      </c>
      <c r="R53" s="443">
        <f t="shared" si="2"/>
        <v>0</v>
      </c>
      <c r="S53" s="443">
        <f t="shared" si="3"/>
        <v>0</v>
      </c>
      <c r="T53" s="96"/>
      <c r="U53" s="97"/>
      <c r="V53" s="97"/>
      <c r="W53" s="97"/>
      <c r="X53" s="97"/>
      <c r="Y53" s="97"/>
      <c r="Z53" s="97"/>
      <c r="AA53" s="97"/>
      <c r="AB53" s="97"/>
      <c r="AC53" s="91"/>
    </row>
    <row r="54">
      <c r="A54" s="102" t="s">
        <v>96</v>
      </c>
      <c r="B54" s="93">
        <v>199.0</v>
      </c>
      <c r="C54" s="94"/>
      <c r="D54" s="96"/>
      <c r="E54" s="96"/>
      <c r="F54" s="96"/>
      <c r="G54" s="97"/>
      <c r="H54" s="97"/>
      <c r="I54" s="97"/>
      <c r="J54" s="97"/>
      <c r="K54" s="97"/>
      <c r="L54" s="97"/>
      <c r="M54" s="97"/>
      <c r="N54" s="97"/>
      <c r="O54" s="91"/>
      <c r="Q54" s="548">
        <f t="shared" si="1"/>
        <v>0</v>
      </c>
      <c r="R54" s="443">
        <f t="shared" si="2"/>
        <v>0</v>
      </c>
      <c r="S54" s="443">
        <f t="shared" si="3"/>
        <v>0</v>
      </c>
      <c r="T54" s="96"/>
      <c r="U54" s="97"/>
      <c r="V54" s="97"/>
      <c r="W54" s="97"/>
      <c r="X54" s="97"/>
      <c r="Y54" s="97"/>
      <c r="Z54" s="97"/>
      <c r="AA54" s="97"/>
      <c r="AB54" s="97"/>
      <c r="AC54" s="91"/>
    </row>
    <row r="55">
      <c r="A55" s="67" t="s">
        <v>97</v>
      </c>
      <c r="B55" s="93">
        <v>599.0</v>
      </c>
      <c r="C55" s="94"/>
      <c r="D55" s="96"/>
      <c r="E55" s="96"/>
      <c r="F55" s="96"/>
      <c r="G55" s="97"/>
      <c r="H55" s="97"/>
      <c r="I55" s="97"/>
      <c r="J55" s="97"/>
      <c r="K55" s="97"/>
      <c r="L55" s="97"/>
      <c r="M55" s="97"/>
      <c r="N55" s="97"/>
      <c r="O55" s="91"/>
      <c r="Q55" s="548">
        <f t="shared" si="1"/>
        <v>0</v>
      </c>
      <c r="R55" s="443">
        <f t="shared" si="2"/>
        <v>0</v>
      </c>
      <c r="S55" s="443">
        <f t="shared" si="3"/>
        <v>0</v>
      </c>
      <c r="T55" s="96"/>
      <c r="U55" s="97"/>
      <c r="V55" s="97"/>
      <c r="W55" s="97"/>
      <c r="X55" s="97"/>
      <c r="Y55" s="97"/>
      <c r="Z55" s="97"/>
      <c r="AA55" s="97"/>
      <c r="AB55" s="97"/>
      <c r="AC55" s="91"/>
    </row>
    <row r="56">
      <c r="A56" s="102" t="s">
        <v>98</v>
      </c>
      <c r="B56" s="93">
        <v>1499.0</v>
      </c>
      <c r="C56" s="94"/>
      <c r="D56" s="96"/>
      <c r="E56" s="96"/>
      <c r="F56" s="96"/>
      <c r="G56" s="97"/>
      <c r="H56" s="97"/>
      <c r="I56" s="97"/>
      <c r="J56" s="97"/>
      <c r="K56" s="97"/>
      <c r="L56" s="97"/>
      <c r="M56" s="97"/>
      <c r="N56" s="97"/>
      <c r="O56" s="91"/>
      <c r="Q56" s="548">
        <f t="shared" si="1"/>
        <v>0</v>
      </c>
      <c r="R56" s="443">
        <f t="shared" si="2"/>
        <v>0</v>
      </c>
      <c r="S56" s="443">
        <f t="shared" si="3"/>
        <v>0</v>
      </c>
      <c r="T56" s="96"/>
      <c r="U56" s="97"/>
      <c r="V56" s="97"/>
      <c r="W56" s="97"/>
      <c r="X56" s="97"/>
      <c r="Y56" s="97"/>
      <c r="Z56" s="97"/>
      <c r="AA56" s="97"/>
      <c r="AB56" s="97"/>
      <c r="AC56" s="91"/>
    </row>
    <row r="57">
      <c r="A57" s="104"/>
      <c r="B57" s="99"/>
      <c r="C57" s="94"/>
      <c r="D57" s="96"/>
      <c r="E57" s="96"/>
      <c r="F57" s="96"/>
      <c r="G57" s="97"/>
      <c r="H57" s="97"/>
      <c r="I57" s="97"/>
      <c r="J57" s="97"/>
      <c r="K57" s="97"/>
      <c r="L57" s="97"/>
      <c r="M57" s="97"/>
      <c r="N57" s="97"/>
      <c r="O57" s="91"/>
      <c r="Q57" s="548">
        <f t="shared" si="1"/>
        <v>0</v>
      </c>
      <c r="R57" s="443">
        <f t="shared" si="2"/>
        <v>0</v>
      </c>
      <c r="S57" s="443">
        <f t="shared" si="3"/>
        <v>0</v>
      </c>
      <c r="T57" s="96"/>
      <c r="U57" s="97"/>
      <c r="V57" s="97"/>
      <c r="W57" s="97"/>
      <c r="X57" s="97"/>
      <c r="Y57" s="97"/>
      <c r="Z57" s="97"/>
      <c r="AA57" s="97"/>
      <c r="AB57" s="97"/>
      <c r="AC57" s="91"/>
    </row>
    <row r="58">
      <c r="A58" s="102" t="s">
        <v>99</v>
      </c>
      <c r="B58" s="93">
        <v>349.0</v>
      </c>
      <c r="C58" s="94"/>
      <c r="D58" s="96"/>
      <c r="E58" s="96"/>
      <c r="F58" s="96"/>
      <c r="G58" s="97"/>
      <c r="H58" s="97"/>
      <c r="I58" s="97"/>
      <c r="J58" s="97"/>
      <c r="K58" s="97"/>
      <c r="L58" s="97"/>
      <c r="M58" s="97"/>
      <c r="N58" s="97"/>
      <c r="O58" s="91"/>
      <c r="Q58" s="548">
        <f t="shared" si="1"/>
        <v>0</v>
      </c>
      <c r="R58" s="443">
        <f t="shared" si="2"/>
        <v>0</v>
      </c>
      <c r="S58" s="443">
        <f t="shared" si="3"/>
        <v>0</v>
      </c>
      <c r="T58" s="96"/>
      <c r="U58" s="97"/>
      <c r="V58" s="97"/>
      <c r="W58" s="97"/>
      <c r="X58" s="97"/>
      <c r="Y58" s="97"/>
      <c r="Z58" s="97"/>
      <c r="AA58" s="97"/>
      <c r="AB58" s="97"/>
      <c r="AC58" s="91"/>
    </row>
    <row r="59">
      <c r="A59" s="102" t="s">
        <v>100</v>
      </c>
      <c r="B59" s="93">
        <v>349.0</v>
      </c>
      <c r="C59" s="547">
        <v>4.0</v>
      </c>
      <c r="D59" s="448">
        <v>1.0</v>
      </c>
      <c r="E59" s="96"/>
      <c r="F59" s="96"/>
      <c r="G59" s="97"/>
      <c r="H59" s="97"/>
      <c r="I59" s="97"/>
      <c r="J59" s="97"/>
      <c r="K59" s="97"/>
      <c r="L59" s="97"/>
      <c r="M59" s="97"/>
      <c r="N59" s="97"/>
      <c r="O59" s="91"/>
      <c r="Q59" s="548">
        <f t="shared" si="1"/>
        <v>1396</v>
      </c>
      <c r="R59" s="443">
        <f t="shared" si="2"/>
        <v>349</v>
      </c>
      <c r="S59" s="443">
        <f t="shared" si="3"/>
        <v>0</v>
      </c>
      <c r="T59" s="96"/>
      <c r="U59" s="97"/>
      <c r="V59" s="97"/>
      <c r="W59" s="97"/>
      <c r="X59" s="97"/>
      <c r="Y59" s="97"/>
      <c r="Z59" s="97"/>
      <c r="AA59" s="97"/>
      <c r="AB59" s="97"/>
      <c r="AC59" s="91"/>
    </row>
    <row r="60">
      <c r="A60" s="102" t="s">
        <v>101</v>
      </c>
      <c r="B60" s="93">
        <v>349.0</v>
      </c>
      <c r="C60" s="547">
        <v>2.0</v>
      </c>
      <c r="D60" s="448">
        <v>3.0</v>
      </c>
      <c r="E60" s="96"/>
      <c r="F60" s="96"/>
      <c r="G60" s="97"/>
      <c r="H60" s="97"/>
      <c r="I60" s="97"/>
      <c r="J60" s="97"/>
      <c r="K60" s="97"/>
      <c r="L60" s="97"/>
      <c r="M60" s="97"/>
      <c r="N60" s="97"/>
      <c r="O60" s="91"/>
      <c r="Q60" s="548">
        <f t="shared" si="1"/>
        <v>698</v>
      </c>
      <c r="R60" s="443">
        <f t="shared" si="2"/>
        <v>1047</v>
      </c>
      <c r="S60" s="443">
        <f t="shared" si="3"/>
        <v>0</v>
      </c>
      <c r="T60" s="96"/>
      <c r="U60" s="97"/>
      <c r="V60" s="97"/>
      <c r="W60" s="97"/>
      <c r="X60" s="97"/>
      <c r="Y60" s="97"/>
      <c r="Z60" s="97"/>
      <c r="AA60" s="97"/>
      <c r="AB60" s="97"/>
      <c r="AC60" s="91"/>
    </row>
    <row r="61">
      <c r="A61" s="102" t="s">
        <v>102</v>
      </c>
      <c r="B61" s="93">
        <v>269.0</v>
      </c>
      <c r="C61" s="547">
        <v>1.0</v>
      </c>
      <c r="D61" s="96"/>
      <c r="E61" s="96"/>
      <c r="F61" s="96"/>
      <c r="G61" s="97"/>
      <c r="H61" s="97"/>
      <c r="I61" s="97"/>
      <c r="J61" s="97"/>
      <c r="K61" s="97"/>
      <c r="L61" s="97"/>
      <c r="M61" s="97"/>
      <c r="N61" s="97"/>
      <c r="O61" s="91"/>
      <c r="Q61" s="548">
        <f t="shared" si="1"/>
        <v>269</v>
      </c>
      <c r="R61" s="443">
        <f t="shared" si="2"/>
        <v>0</v>
      </c>
      <c r="S61" s="443">
        <f t="shared" si="3"/>
        <v>0</v>
      </c>
      <c r="T61" s="96"/>
      <c r="U61" s="97"/>
      <c r="V61" s="97"/>
      <c r="W61" s="97"/>
      <c r="X61" s="97"/>
      <c r="Y61" s="97"/>
      <c r="Z61" s="97"/>
      <c r="AA61" s="97"/>
      <c r="AB61" s="97"/>
      <c r="AC61" s="91"/>
    </row>
    <row r="62">
      <c r="A62" s="102" t="s">
        <v>103</v>
      </c>
      <c r="B62" s="93">
        <v>459.0</v>
      </c>
      <c r="C62" s="94"/>
      <c r="D62" s="96"/>
      <c r="E62" s="96"/>
      <c r="F62" s="96"/>
      <c r="G62" s="97"/>
      <c r="H62" s="97"/>
      <c r="I62" s="97"/>
      <c r="J62" s="97"/>
      <c r="K62" s="97"/>
      <c r="L62" s="97"/>
      <c r="M62" s="97"/>
      <c r="N62" s="97"/>
      <c r="O62" s="91"/>
      <c r="Q62" s="548">
        <f t="shared" si="1"/>
        <v>0</v>
      </c>
      <c r="R62" s="443">
        <f t="shared" si="2"/>
        <v>0</v>
      </c>
      <c r="S62" s="443">
        <f t="shared" si="3"/>
        <v>0</v>
      </c>
      <c r="T62" s="96"/>
      <c r="U62" s="97"/>
      <c r="V62" s="97"/>
      <c r="W62" s="97"/>
      <c r="X62" s="97"/>
      <c r="Y62" s="97"/>
      <c r="Z62" s="97"/>
      <c r="AA62" s="97"/>
      <c r="AB62" s="97"/>
      <c r="AC62" s="91"/>
    </row>
    <row r="63">
      <c r="A63" s="102" t="s">
        <v>104</v>
      </c>
      <c r="B63" s="93">
        <v>459.0</v>
      </c>
      <c r="C63" s="94"/>
      <c r="D63" s="96"/>
      <c r="E63" s="96"/>
      <c r="F63" s="96"/>
      <c r="G63" s="97"/>
      <c r="H63" s="97"/>
      <c r="I63" s="97"/>
      <c r="J63" s="97"/>
      <c r="K63" s="97"/>
      <c r="L63" s="97"/>
      <c r="M63" s="97"/>
      <c r="N63" s="97"/>
      <c r="O63" s="91"/>
      <c r="Q63" s="548">
        <f t="shared" si="1"/>
        <v>0</v>
      </c>
      <c r="R63" s="443">
        <f t="shared" si="2"/>
        <v>0</v>
      </c>
      <c r="S63" s="443">
        <f t="shared" si="3"/>
        <v>0</v>
      </c>
      <c r="T63" s="96"/>
      <c r="U63" s="97"/>
      <c r="V63" s="97"/>
      <c r="W63" s="97"/>
      <c r="X63" s="97"/>
      <c r="Y63" s="97"/>
      <c r="Z63" s="97"/>
      <c r="AA63" s="97"/>
      <c r="AB63" s="97"/>
      <c r="AC63" s="91"/>
    </row>
    <row r="64">
      <c r="A64" s="102" t="s">
        <v>105</v>
      </c>
      <c r="B64" s="93">
        <v>459.0</v>
      </c>
      <c r="C64" s="94"/>
      <c r="D64" s="96"/>
      <c r="E64" s="96"/>
      <c r="F64" s="96"/>
      <c r="G64" s="97"/>
      <c r="H64" s="97"/>
      <c r="I64" s="97"/>
      <c r="J64" s="97"/>
      <c r="K64" s="97"/>
      <c r="L64" s="97"/>
      <c r="M64" s="97"/>
      <c r="N64" s="97"/>
      <c r="O64" s="91"/>
      <c r="Q64" s="548">
        <f t="shared" si="1"/>
        <v>0</v>
      </c>
      <c r="R64" s="443">
        <f t="shared" si="2"/>
        <v>0</v>
      </c>
      <c r="S64" s="443">
        <f t="shared" si="3"/>
        <v>0</v>
      </c>
      <c r="T64" s="96"/>
      <c r="U64" s="97"/>
      <c r="V64" s="97"/>
      <c r="W64" s="97"/>
      <c r="X64" s="97"/>
      <c r="Y64" s="97"/>
      <c r="Z64" s="97"/>
      <c r="AA64" s="97"/>
      <c r="AB64" s="97"/>
      <c r="AC64" s="91"/>
    </row>
    <row r="65">
      <c r="A65" s="102" t="s">
        <v>106</v>
      </c>
      <c r="B65" s="93">
        <v>819.0</v>
      </c>
      <c r="C65" s="547"/>
      <c r="D65" s="96"/>
      <c r="E65" s="96"/>
      <c r="F65" s="96"/>
      <c r="G65" s="97"/>
      <c r="H65" s="97"/>
      <c r="I65" s="97"/>
      <c r="J65" s="97"/>
      <c r="K65" s="97"/>
      <c r="L65" s="97"/>
      <c r="M65" s="97"/>
      <c r="N65" s="97"/>
      <c r="O65" s="91"/>
      <c r="Q65" s="548">
        <f t="shared" si="1"/>
        <v>0</v>
      </c>
      <c r="R65" s="443">
        <f t="shared" si="2"/>
        <v>0</v>
      </c>
      <c r="S65" s="443">
        <f t="shared" si="3"/>
        <v>0</v>
      </c>
      <c r="T65" s="96"/>
      <c r="U65" s="97"/>
      <c r="V65" s="97"/>
      <c r="W65" s="97"/>
      <c r="X65" s="97"/>
      <c r="Y65" s="97"/>
      <c r="Z65" s="97"/>
      <c r="AA65" s="97"/>
      <c r="AB65" s="97"/>
      <c r="AC65" s="91"/>
    </row>
    <row r="66">
      <c r="A66" s="102" t="s">
        <v>107</v>
      </c>
      <c r="B66" s="93">
        <v>819.0</v>
      </c>
      <c r="C66" s="94"/>
      <c r="D66" s="96"/>
      <c r="E66" s="96"/>
      <c r="F66" s="96"/>
      <c r="G66" s="97"/>
      <c r="H66" s="97"/>
      <c r="I66" s="97"/>
      <c r="J66" s="97"/>
      <c r="K66" s="97"/>
      <c r="L66" s="97"/>
      <c r="M66" s="97"/>
      <c r="N66" s="97"/>
      <c r="O66" s="91"/>
      <c r="Q66" s="548">
        <f t="shared" si="1"/>
        <v>0</v>
      </c>
      <c r="R66" s="443">
        <f t="shared" si="2"/>
        <v>0</v>
      </c>
      <c r="S66" s="443">
        <f t="shared" si="3"/>
        <v>0</v>
      </c>
      <c r="T66" s="96"/>
      <c r="U66" s="97"/>
      <c r="V66" s="97"/>
      <c r="W66" s="97"/>
      <c r="X66" s="97"/>
      <c r="Y66" s="97"/>
      <c r="Z66" s="97"/>
      <c r="AA66" s="97"/>
      <c r="AB66" s="97"/>
      <c r="AC66" s="91"/>
    </row>
    <row r="67">
      <c r="A67" s="102" t="s">
        <v>108</v>
      </c>
      <c r="B67" s="93">
        <v>819.0</v>
      </c>
      <c r="C67" s="547"/>
      <c r="D67" s="96"/>
      <c r="E67" s="96"/>
      <c r="F67" s="96"/>
      <c r="G67" s="97"/>
      <c r="H67" s="97"/>
      <c r="I67" s="97"/>
      <c r="J67" s="97"/>
      <c r="K67" s="97"/>
      <c r="L67" s="97"/>
      <c r="M67" s="97"/>
      <c r="N67" s="97"/>
      <c r="O67" s="91"/>
      <c r="Q67" s="548">
        <f t="shared" si="1"/>
        <v>0</v>
      </c>
      <c r="R67" s="443">
        <f t="shared" si="2"/>
        <v>0</v>
      </c>
      <c r="S67" s="443">
        <f t="shared" si="3"/>
        <v>0</v>
      </c>
      <c r="T67" s="96"/>
      <c r="U67" s="97"/>
      <c r="V67" s="97"/>
      <c r="W67" s="97"/>
      <c r="X67" s="97"/>
      <c r="Y67" s="97"/>
      <c r="Z67" s="97"/>
      <c r="AA67" s="97"/>
      <c r="AB67" s="97"/>
      <c r="AC67" s="91"/>
    </row>
    <row r="68">
      <c r="A68" s="102" t="s">
        <v>109</v>
      </c>
      <c r="B68" s="96">
        <v>1299.0</v>
      </c>
      <c r="C68" s="94"/>
      <c r="D68" s="96"/>
      <c r="E68" s="96"/>
      <c r="F68" s="96"/>
      <c r="G68" s="97"/>
      <c r="H68" s="97"/>
      <c r="I68" s="97"/>
      <c r="J68" s="97"/>
      <c r="K68" s="97"/>
      <c r="L68" s="97"/>
      <c r="M68" s="97"/>
      <c r="N68" s="97"/>
      <c r="O68" s="91"/>
      <c r="Q68" s="548">
        <f t="shared" si="1"/>
        <v>0</v>
      </c>
      <c r="R68" s="443">
        <f t="shared" si="2"/>
        <v>0</v>
      </c>
      <c r="S68" s="443">
        <f t="shared" si="3"/>
        <v>0</v>
      </c>
      <c r="T68" s="96"/>
      <c r="U68" s="97"/>
      <c r="V68" s="97"/>
      <c r="W68" s="97"/>
      <c r="X68" s="97"/>
      <c r="Y68" s="97"/>
      <c r="Z68" s="97"/>
      <c r="AA68" s="97"/>
      <c r="AB68" s="97"/>
      <c r="AC68" s="91"/>
    </row>
    <row r="69">
      <c r="A69" s="102" t="s">
        <v>110</v>
      </c>
      <c r="B69" s="96">
        <v>1299.0</v>
      </c>
      <c r="C69" s="94"/>
      <c r="D69" s="96"/>
      <c r="E69" s="96"/>
      <c r="F69" s="96"/>
      <c r="G69" s="97"/>
      <c r="H69" s="97"/>
      <c r="I69" s="97"/>
      <c r="J69" s="97"/>
      <c r="K69" s="97"/>
      <c r="L69" s="97"/>
      <c r="M69" s="97"/>
      <c r="N69" s="97"/>
      <c r="O69" s="91"/>
      <c r="Q69" s="548">
        <f t="shared" si="1"/>
        <v>0</v>
      </c>
      <c r="R69" s="443">
        <f t="shared" si="2"/>
        <v>0</v>
      </c>
      <c r="S69" s="443">
        <f t="shared" si="3"/>
        <v>0</v>
      </c>
      <c r="T69" s="96"/>
      <c r="U69" s="97"/>
      <c r="V69" s="97"/>
      <c r="W69" s="97"/>
      <c r="X69" s="97"/>
      <c r="Y69" s="97"/>
      <c r="Z69" s="97"/>
      <c r="AA69" s="97"/>
      <c r="AB69" s="97"/>
      <c r="AC69" s="91"/>
    </row>
    <row r="70">
      <c r="A70" s="101" t="s">
        <v>111</v>
      </c>
      <c r="B70" s="96">
        <v>1299.0</v>
      </c>
      <c r="C70" s="94"/>
      <c r="D70" s="96"/>
      <c r="E70" s="96"/>
      <c r="F70" s="96"/>
      <c r="G70" s="97"/>
      <c r="H70" s="97"/>
      <c r="I70" s="97"/>
      <c r="J70" s="97"/>
      <c r="K70" s="97"/>
      <c r="L70" s="97"/>
      <c r="M70" s="97"/>
      <c r="N70" s="97"/>
      <c r="O70" s="91"/>
      <c r="Q70" s="548">
        <f t="shared" si="1"/>
        <v>0</v>
      </c>
      <c r="R70" s="443">
        <f t="shared" si="2"/>
        <v>0</v>
      </c>
      <c r="S70" s="443">
        <f t="shared" si="3"/>
        <v>0</v>
      </c>
      <c r="T70" s="96"/>
      <c r="U70" s="97"/>
      <c r="V70" s="97"/>
      <c r="W70" s="97"/>
      <c r="X70" s="97"/>
      <c r="Y70" s="97"/>
      <c r="Z70" s="97"/>
      <c r="AA70" s="97"/>
      <c r="AB70" s="97"/>
      <c r="AC70" s="91"/>
    </row>
    <row r="71">
      <c r="A71" s="101" t="s">
        <v>112</v>
      </c>
      <c r="B71" s="93">
        <v>629.0</v>
      </c>
      <c r="C71" s="547">
        <v>2.0</v>
      </c>
      <c r="D71" s="96"/>
      <c r="E71" s="325">
        <v>1.0</v>
      </c>
      <c r="F71" s="96"/>
      <c r="G71" s="97"/>
      <c r="H71" s="97"/>
      <c r="I71" s="97"/>
      <c r="J71" s="97"/>
      <c r="K71" s="97"/>
      <c r="L71" s="97"/>
      <c r="M71" s="97"/>
      <c r="N71" s="97"/>
      <c r="O71" s="91"/>
      <c r="Q71" s="548">
        <f t="shared" si="1"/>
        <v>1258</v>
      </c>
      <c r="R71" s="443">
        <f t="shared" si="2"/>
        <v>0</v>
      </c>
      <c r="S71" s="443">
        <f t="shared" si="3"/>
        <v>629</v>
      </c>
      <c r="T71" s="96"/>
      <c r="U71" s="97"/>
      <c r="V71" s="97"/>
      <c r="W71" s="97"/>
      <c r="X71" s="97"/>
      <c r="Y71" s="97"/>
      <c r="Z71" s="97"/>
      <c r="AA71" s="97"/>
      <c r="AB71" s="97"/>
      <c r="AC71" s="91"/>
    </row>
    <row r="72">
      <c r="A72" s="101" t="s">
        <v>113</v>
      </c>
      <c r="B72" s="187">
        <f t="shared" ref="B72:B74" si="4">1599+20</f>
        <v>1619</v>
      </c>
      <c r="C72" s="547"/>
      <c r="D72" s="96"/>
      <c r="E72" s="96"/>
      <c r="F72" s="96"/>
      <c r="G72" s="97"/>
      <c r="H72" s="97"/>
      <c r="I72" s="97"/>
      <c r="J72" s="97"/>
      <c r="K72" s="97"/>
      <c r="L72" s="97"/>
      <c r="M72" s="97"/>
      <c r="N72" s="97"/>
      <c r="O72" s="91"/>
      <c r="Q72" s="548">
        <f t="shared" si="1"/>
        <v>0</v>
      </c>
      <c r="R72" s="443">
        <f t="shared" si="2"/>
        <v>0</v>
      </c>
      <c r="S72" s="443">
        <f t="shared" si="3"/>
        <v>0</v>
      </c>
      <c r="T72" s="96"/>
      <c r="U72" s="97"/>
      <c r="V72" s="97"/>
      <c r="W72" s="97"/>
      <c r="X72" s="97"/>
      <c r="Y72" s="97"/>
      <c r="Z72" s="97"/>
      <c r="AA72" s="97"/>
      <c r="AB72" s="97"/>
      <c r="AC72" s="91"/>
    </row>
    <row r="73">
      <c r="A73" s="101" t="s">
        <v>114</v>
      </c>
      <c r="B73" s="187">
        <f t="shared" si="4"/>
        <v>1619</v>
      </c>
      <c r="C73" s="94"/>
      <c r="D73" s="96"/>
      <c r="E73" s="96"/>
      <c r="F73" s="96"/>
      <c r="G73" s="97"/>
      <c r="H73" s="97"/>
      <c r="I73" s="97"/>
      <c r="J73" s="97"/>
      <c r="K73" s="97"/>
      <c r="L73" s="97"/>
      <c r="M73" s="97"/>
      <c r="N73" s="97"/>
      <c r="O73" s="91"/>
      <c r="Q73" s="548">
        <f t="shared" si="1"/>
        <v>0</v>
      </c>
      <c r="R73" s="443">
        <f t="shared" si="2"/>
        <v>0</v>
      </c>
      <c r="S73" s="443">
        <f t="shared" si="3"/>
        <v>0</v>
      </c>
      <c r="T73" s="96"/>
      <c r="U73" s="97"/>
      <c r="V73" s="97"/>
      <c r="W73" s="97"/>
      <c r="X73" s="97"/>
      <c r="Y73" s="97"/>
      <c r="Z73" s="97"/>
      <c r="AA73" s="97"/>
      <c r="AB73" s="97"/>
      <c r="AC73" s="91"/>
    </row>
    <row r="74">
      <c r="A74" s="101" t="s">
        <v>115</v>
      </c>
      <c r="B74" s="187">
        <f t="shared" si="4"/>
        <v>1619</v>
      </c>
      <c r="C74" s="547"/>
      <c r="D74" s="96"/>
      <c r="E74" s="96"/>
      <c r="F74" s="96"/>
      <c r="G74" s="97"/>
      <c r="H74" s="97"/>
      <c r="I74" s="97"/>
      <c r="J74" s="97"/>
      <c r="K74" s="97"/>
      <c r="L74" s="97"/>
      <c r="M74" s="97"/>
      <c r="N74" s="97"/>
      <c r="O74" s="91"/>
      <c r="Q74" s="548">
        <f t="shared" si="1"/>
        <v>0</v>
      </c>
      <c r="R74" s="443">
        <f t="shared" si="2"/>
        <v>0</v>
      </c>
      <c r="S74" s="443">
        <f t="shared" si="3"/>
        <v>0</v>
      </c>
      <c r="T74" s="96"/>
      <c r="U74" s="97"/>
      <c r="V74" s="97"/>
      <c r="W74" s="97"/>
      <c r="X74" s="97"/>
      <c r="Y74" s="97"/>
      <c r="Z74" s="97"/>
      <c r="AA74" s="97"/>
      <c r="AB74" s="97"/>
      <c r="AC74" s="91"/>
    </row>
    <row r="75">
      <c r="A75" s="101" t="s">
        <v>116</v>
      </c>
      <c r="B75" s="108"/>
      <c r="C75" s="94"/>
      <c r="D75" s="96"/>
      <c r="E75" s="96"/>
      <c r="F75" s="96"/>
      <c r="G75" s="97"/>
      <c r="H75" s="97"/>
      <c r="I75" s="97"/>
      <c r="J75" s="97"/>
      <c r="K75" s="97"/>
      <c r="L75" s="97"/>
      <c r="M75" s="97"/>
      <c r="N75" s="97"/>
      <c r="O75" s="91"/>
      <c r="Q75" s="548">
        <f t="shared" si="1"/>
        <v>0</v>
      </c>
      <c r="R75" s="443">
        <f t="shared" si="2"/>
        <v>0</v>
      </c>
      <c r="S75" s="443">
        <f t="shared" si="3"/>
        <v>0</v>
      </c>
      <c r="T75" s="96"/>
      <c r="U75" s="97"/>
      <c r="V75" s="97"/>
      <c r="W75" s="97"/>
      <c r="X75" s="97"/>
      <c r="Y75" s="97"/>
      <c r="Z75" s="97"/>
      <c r="AA75" s="97"/>
      <c r="AB75" s="97"/>
      <c r="AC75" s="91"/>
    </row>
    <row r="76">
      <c r="A76" s="109"/>
      <c r="B76" s="108"/>
      <c r="C76" s="94"/>
      <c r="D76" s="96"/>
      <c r="E76" s="96"/>
      <c r="F76" s="96"/>
      <c r="G76" s="97"/>
      <c r="H76" s="97"/>
      <c r="I76" s="97"/>
      <c r="J76" s="97"/>
      <c r="K76" s="97"/>
      <c r="L76" s="97"/>
      <c r="M76" s="97"/>
      <c r="N76" s="97"/>
      <c r="O76" s="91"/>
      <c r="Q76" s="548">
        <f t="shared" si="1"/>
        <v>0</v>
      </c>
      <c r="R76" s="443">
        <f t="shared" si="2"/>
        <v>0</v>
      </c>
      <c r="S76" s="443">
        <f t="shared" si="3"/>
        <v>0</v>
      </c>
      <c r="T76" s="96"/>
      <c r="U76" s="97"/>
      <c r="V76" s="97"/>
      <c r="W76" s="97"/>
      <c r="X76" s="97"/>
      <c r="Y76" s="97"/>
      <c r="Z76" s="97"/>
      <c r="AA76" s="97"/>
      <c r="AB76" s="97"/>
      <c r="AC76" s="91"/>
    </row>
    <row r="77">
      <c r="A77" s="110" t="s">
        <v>117</v>
      </c>
      <c r="B77" s="96">
        <v>399.0</v>
      </c>
      <c r="C77" s="94"/>
      <c r="D77" s="96"/>
      <c r="E77" s="96"/>
      <c r="F77" s="96"/>
      <c r="G77" s="97"/>
      <c r="H77" s="97"/>
      <c r="I77" s="97"/>
      <c r="J77" s="97"/>
      <c r="K77" s="97"/>
      <c r="L77" s="97"/>
      <c r="M77" s="97"/>
      <c r="N77" s="97"/>
      <c r="O77" s="91"/>
      <c r="Q77" s="548">
        <f t="shared" si="1"/>
        <v>0</v>
      </c>
      <c r="R77" s="443">
        <f t="shared" si="2"/>
        <v>0</v>
      </c>
      <c r="S77" s="443">
        <f t="shared" si="3"/>
        <v>0</v>
      </c>
      <c r="T77" s="96"/>
      <c r="U77" s="97"/>
      <c r="V77" s="97"/>
      <c r="W77" s="97"/>
      <c r="X77" s="97"/>
      <c r="Y77" s="97"/>
      <c r="Z77" s="97"/>
      <c r="AA77" s="97"/>
      <c r="AB77" s="97"/>
      <c r="AC77" s="91"/>
    </row>
    <row r="78">
      <c r="A78" s="110" t="s">
        <v>118</v>
      </c>
      <c r="B78" s="96">
        <v>819.0</v>
      </c>
      <c r="C78" s="94"/>
      <c r="D78" s="96"/>
      <c r="E78" s="96"/>
      <c r="F78" s="96"/>
      <c r="G78" s="97"/>
      <c r="H78" s="97"/>
      <c r="I78" s="97"/>
      <c r="J78" s="97"/>
      <c r="K78" s="97"/>
      <c r="L78" s="97"/>
      <c r="M78" s="97"/>
      <c r="N78" s="97"/>
      <c r="O78" s="91"/>
      <c r="Q78" s="548">
        <f t="shared" si="1"/>
        <v>0</v>
      </c>
      <c r="R78" s="443">
        <f t="shared" si="2"/>
        <v>0</v>
      </c>
      <c r="S78" s="443">
        <f t="shared" si="3"/>
        <v>0</v>
      </c>
      <c r="T78" s="96"/>
      <c r="U78" s="97"/>
      <c r="V78" s="97"/>
      <c r="W78" s="97"/>
      <c r="X78" s="97"/>
      <c r="Y78" s="97"/>
      <c r="Z78" s="97"/>
      <c r="AA78" s="97"/>
      <c r="AB78" s="97"/>
      <c r="AC78" s="91"/>
    </row>
    <row r="79">
      <c r="A79" s="110" t="s">
        <v>119</v>
      </c>
      <c r="B79" s="96">
        <v>459.0</v>
      </c>
      <c r="C79" s="94"/>
      <c r="D79" s="96"/>
      <c r="E79" s="96"/>
      <c r="F79" s="96"/>
      <c r="G79" s="97"/>
      <c r="H79" s="97"/>
      <c r="I79" s="97"/>
      <c r="J79" s="97"/>
      <c r="K79" s="97"/>
      <c r="L79" s="97"/>
      <c r="M79" s="97"/>
      <c r="N79" s="97"/>
      <c r="O79" s="91"/>
      <c r="Q79" s="548">
        <f t="shared" si="1"/>
        <v>0</v>
      </c>
      <c r="R79" s="443">
        <f t="shared" si="2"/>
        <v>0</v>
      </c>
      <c r="S79" s="443">
        <f t="shared" si="3"/>
        <v>0</v>
      </c>
      <c r="T79" s="96"/>
      <c r="U79" s="97"/>
      <c r="V79" s="97"/>
      <c r="W79" s="97"/>
      <c r="X79" s="97"/>
      <c r="Y79" s="97"/>
      <c r="Z79" s="97"/>
      <c r="AA79" s="97"/>
      <c r="AB79" s="97"/>
      <c r="AC79" s="91"/>
    </row>
    <row r="80">
      <c r="A80" s="110" t="s">
        <v>120</v>
      </c>
      <c r="B80" s="96">
        <v>599.0</v>
      </c>
      <c r="C80" s="94"/>
      <c r="D80" s="96"/>
      <c r="E80" s="96"/>
      <c r="F80" s="96"/>
      <c r="G80" s="97"/>
      <c r="H80" s="97"/>
      <c r="I80" s="97"/>
      <c r="J80" s="97"/>
      <c r="K80" s="97"/>
      <c r="L80" s="97"/>
      <c r="M80" s="97"/>
      <c r="N80" s="97"/>
      <c r="O80" s="91"/>
      <c r="Q80" s="548">
        <f t="shared" si="1"/>
        <v>0</v>
      </c>
      <c r="R80" s="443">
        <f t="shared" si="2"/>
        <v>0</v>
      </c>
      <c r="S80" s="443">
        <f t="shared" si="3"/>
        <v>0</v>
      </c>
      <c r="T80" s="96"/>
      <c r="U80" s="97"/>
      <c r="V80" s="97"/>
      <c r="W80" s="97"/>
      <c r="X80" s="97"/>
      <c r="Y80" s="97"/>
      <c r="Z80" s="97"/>
      <c r="AA80" s="97"/>
      <c r="AB80" s="97"/>
      <c r="AC80" s="91"/>
    </row>
    <row r="81">
      <c r="A81" s="110" t="s">
        <v>121</v>
      </c>
      <c r="B81" s="96">
        <v>249.0</v>
      </c>
      <c r="C81" s="547">
        <v>2.0</v>
      </c>
      <c r="D81" s="448">
        <v>2.0</v>
      </c>
      <c r="E81" s="96"/>
      <c r="F81" s="96"/>
      <c r="G81" s="97"/>
      <c r="H81" s="97"/>
      <c r="I81" s="97"/>
      <c r="J81" s="97"/>
      <c r="K81" s="97"/>
      <c r="L81" s="97"/>
      <c r="M81" s="97"/>
      <c r="N81" s="97"/>
      <c r="O81" s="91"/>
      <c r="Q81" s="548">
        <f t="shared" si="1"/>
        <v>498</v>
      </c>
      <c r="R81" s="443">
        <f t="shared" si="2"/>
        <v>498</v>
      </c>
      <c r="S81" s="443">
        <f t="shared" si="3"/>
        <v>0</v>
      </c>
      <c r="T81" s="96"/>
      <c r="U81" s="97"/>
      <c r="V81" s="97"/>
      <c r="W81" s="97"/>
      <c r="X81" s="97"/>
      <c r="Y81" s="97"/>
      <c r="Z81" s="97"/>
      <c r="AA81" s="97"/>
      <c r="AB81" s="97"/>
      <c r="AC81" s="91"/>
    </row>
    <row r="82">
      <c r="A82" s="110" t="s">
        <v>122</v>
      </c>
      <c r="B82" s="96">
        <v>239.0</v>
      </c>
      <c r="C82" s="94"/>
      <c r="D82" s="96"/>
      <c r="E82" s="96"/>
      <c r="F82" s="96"/>
      <c r="G82" s="97"/>
      <c r="H82" s="97"/>
      <c r="I82" s="97"/>
      <c r="J82" s="97"/>
      <c r="K82" s="97"/>
      <c r="L82" s="97"/>
      <c r="M82" s="97"/>
      <c r="N82" s="97"/>
      <c r="O82" s="91"/>
      <c r="Q82" s="548">
        <f t="shared" si="1"/>
        <v>0</v>
      </c>
      <c r="R82" s="443">
        <f t="shared" si="2"/>
        <v>0</v>
      </c>
      <c r="S82" s="443">
        <f t="shared" si="3"/>
        <v>0</v>
      </c>
      <c r="T82" s="96"/>
      <c r="U82" s="97"/>
      <c r="V82" s="97"/>
      <c r="W82" s="97"/>
      <c r="X82" s="97"/>
      <c r="Y82" s="97"/>
      <c r="Z82" s="97"/>
      <c r="AA82" s="97"/>
      <c r="AB82" s="97"/>
      <c r="AC82" s="91"/>
    </row>
    <row r="83">
      <c r="A83" s="110" t="s">
        <v>123</v>
      </c>
      <c r="B83" s="96">
        <v>1299.0</v>
      </c>
      <c r="C83" s="94"/>
      <c r="D83" s="96"/>
      <c r="E83" s="96"/>
      <c r="F83" s="96"/>
      <c r="G83" s="97"/>
      <c r="H83" s="97"/>
      <c r="I83" s="97"/>
      <c r="J83" s="97"/>
      <c r="K83" s="97"/>
      <c r="L83" s="97"/>
      <c r="M83" s="97"/>
      <c r="N83" s="97"/>
      <c r="O83" s="91"/>
      <c r="Q83" s="548">
        <f t="shared" si="1"/>
        <v>0</v>
      </c>
      <c r="R83" s="443">
        <f t="shared" si="2"/>
        <v>0</v>
      </c>
      <c r="S83" s="443">
        <f t="shared" si="3"/>
        <v>0</v>
      </c>
      <c r="T83" s="96"/>
      <c r="U83" s="97"/>
      <c r="V83" s="97"/>
      <c r="W83" s="97"/>
      <c r="X83" s="97"/>
      <c r="Y83" s="97"/>
      <c r="Z83" s="97"/>
      <c r="AA83" s="97"/>
      <c r="AB83" s="97"/>
      <c r="AC83" s="91"/>
    </row>
    <row r="84">
      <c r="A84" s="102" t="s">
        <v>124</v>
      </c>
      <c r="B84" s="96">
        <v>1299.0</v>
      </c>
      <c r="C84" s="94"/>
      <c r="D84" s="96"/>
      <c r="E84" s="96"/>
      <c r="F84" s="96"/>
      <c r="G84" s="97"/>
      <c r="H84" s="97"/>
      <c r="I84" s="97"/>
      <c r="J84" s="97"/>
      <c r="K84" s="97"/>
      <c r="L84" s="97"/>
      <c r="M84" s="97"/>
      <c r="N84" s="97"/>
      <c r="O84" s="91"/>
      <c r="Q84" s="548">
        <f t="shared" si="1"/>
        <v>0</v>
      </c>
      <c r="R84" s="443">
        <f t="shared" si="2"/>
        <v>0</v>
      </c>
      <c r="S84" s="443">
        <f t="shared" si="3"/>
        <v>0</v>
      </c>
      <c r="T84" s="96"/>
      <c r="U84" s="97"/>
      <c r="V84" s="97"/>
      <c r="W84" s="97"/>
      <c r="X84" s="97"/>
      <c r="Y84" s="97"/>
      <c r="Z84" s="97"/>
      <c r="AA84" s="97"/>
      <c r="AB84" s="97"/>
      <c r="AC84" s="91"/>
    </row>
    <row r="85">
      <c r="A85" s="111" t="s">
        <v>125</v>
      </c>
      <c r="B85" s="96">
        <v>1299.0</v>
      </c>
      <c r="C85" s="94"/>
      <c r="D85" s="96"/>
      <c r="E85" s="96"/>
      <c r="F85" s="96"/>
      <c r="G85" s="97"/>
      <c r="H85" s="97"/>
      <c r="I85" s="97"/>
      <c r="J85" s="97"/>
      <c r="K85" s="97"/>
      <c r="L85" s="97"/>
      <c r="M85" s="97"/>
      <c r="N85" s="97"/>
      <c r="O85" s="91"/>
      <c r="Q85" s="548">
        <f t="shared" si="1"/>
        <v>0</v>
      </c>
      <c r="R85" s="443">
        <f t="shared" si="2"/>
        <v>0</v>
      </c>
      <c r="S85" s="443">
        <f t="shared" si="3"/>
        <v>0</v>
      </c>
      <c r="T85" s="96"/>
      <c r="U85" s="97"/>
      <c r="V85" s="97"/>
      <c r="W85" s="97"/>
      <c r="X85" s="97"/>
      <c r="Y85" s="97"/>
      <c r="Z85" s="97"/>
      <c r="AA85" s="97"/>
      <c r="AB85" s="97"/>
      <c r="AC85" s="91"/>
    </row>
    <row r="86">
      <c r="A86" s="112" t="s">
        <v>126</v>
      </c>
      <c r="B86" s="96">
        <v>1299.0</v>
      </c>
      <c r="C86" s="94"/>
      <c r="D86" s="96"/>
      <c r="E86" s="96"/>
      <c r="F86" s="96"/>
      <c r="G86" s="97"/>
      <c r="H86" s="97"/>
      <c r="I86" s="97"/>
      <c r="J86" s="97"/>
      <c r="K86" s="97"/>
      <c r="L86" s="97"/>
      <c r="M86" s="97"/>
      <c r="N86" s="97"/>
      <c r="O86" s="91"/>
      <c r="Q86" s="548">
        <f t="shared" si="1"/>
        <v>0</v>
      </c>
      <c r="R86" s="443">
        <f t="shared" si="2"/>
        <v>0</v>
      </c>
      <c r="S86" s="443">
        <f t="shared" si="3"/>
        <v>0</v>
      </c>
      <c r="T86" s="96"/>
      <c r="U86" s="97"/>
      <c r="V86" s="97"/>
      <c r="W86" s="97"/>
      <c r="X86" s="97"/>
      <c r="Y86" s="97"/>
      <c r="Z86" s="97"/>
      <c r="AA86" s="97"/>
      <c r="AB86" s="97"/>
      <c r="AC86" s="91"/>
    </row>
    <row r="87">
      <c r="A87" s="113"/>
      <c r="B87" s="114"/>
      <c r="C87" s="94"/>
      <c r="D87" s="96"/>
      <c r="E87" s="96"/>
      <c r="F87" s="96"/>
      <c r="G87" s="97"/>
      <c r="H87" s="97"/>
      <c r="I87" s="97"/>
      <c r="J87" s="97"/>
      <c r="K87" s="97"/>
      <c r="L87" s="97"/>
      <c r="M87" s="97"/>
      <c r="N87" s="97"/>
      <c r="O87" s="91"/>
      <c r="Q87" s="548">
        <f t="shared" si="1"/>
        <v>0</v>
      </c>
      <c r="R87" s="443">
        <f t="shared" si="2"/>
        <v>0</v>
      </c>
      <c r="S87" s="443">
        <f t="shared" si="3"/>
        <v>0</v>
      </c>
      <c r="T87" s="96"/>
      <c r="U87" s="97"/>
      <c r="V87" s="97"/>
      <c r="W87" s="97"/>
      <c r="X87" s="97"/>
      <c r="Y87" s="97"/>
      <c r="Z87" s="97"/>
      <c r="AA87" s="97"/>
      <c r="AB87" s="97"/>
      <c r="AC87" s="91"/>
    </row>
    <row r="88">
      <c r="A88" s="94" t="s">
        <v>127</v>
      </c>
      <c r="B88" s="96">
        <v>679.0</v>
      </c>
      <c r="C88" s="94"/>
      <c r="D88" s="96"/>
      <c r="E88" s="96"/>
      <c r="F88" s="96"/>
      <c r="G88" s="97"/>
      <c r="H88" s="97"/>
      <c r="I88" s="97"/>
      <c r="J88" s="97"/>
      <c r="K88" s="97"/>
      <c r="L88" s="97"/>
      <c r="M88" s="97"/>
      <c r="N88" s="97"/>
      <c r="O88" s="91"/>
      <c r="Q88" s="548">
        <f t="shared" si="1"/>
        <v>0</v>
      </c>
      <c r="R88" s="443">
        <f t="shared" si="2"/>
        <v>0</v>
      </c>
      <c r="S88" s="443">
        <f t="shared" si="3"/>
        <v>0</v>
      </c>
      <c r="T88" s="96"/>
      <c r="U88" s="97"/>
      <c r="V88" s="97"/>
      <c r="W88" s="97"/>
      <c r="X88" s="97"/>
      <c r="Y88" s="97"/>
      <c r="Z88" s="97"/>
      <c r="AA88" s="97"/>
      <c r="AB88" s="97"/>
      <c r="AC88" s="91"/>
    </row>
    <row r="89">
      <c r="A89" s="94" t="s">
        <v>128</v>
      </c>
      <c r="B89" s="96">
        <v>679.0</v>
      </c>
      <c r="C89" s="94"/>
      <c r="D89" s="96"/>
      <c r="E89" s="96"/>
      <c r="F89" s="96"/>
      <c r="G89" s="97"/>
      <c r="H89" s="97"/>
      <c r="I89" s="97"/>
      <c r="J89" s="97"/>
      <c r="K89" s="97"/>
      <c r="L89" s="97"/>
      <c r="M89" s="97"/>
      <c r="N89" s="97"/>
      <c r="O89" s="91"/>
      <c r="Q89" s="548">
        <f t="shared" si="1"/>
        <v>0</v>
      </c>
      <c r="R89" s="443">
        <f t="shared" si="2"/>
        <v>0</v>
      </c>
      <c r="S89" s="443">
        <f t="shared" si="3"/>
        <v>0</v>
      </c>
      <c r="T89" s="96"/>
      <c r="U89" s="97"/>
      <c r="V89" s="97"/>
      <c r="W89" s="97"/>
      <c r="X89" s="97"/>
      <c r="Y89" s="97"/>
      <c r="Z89" s="97"/>
      <c r="AA89" s="97"/>
      <c r="AB89" s="97"/>
      <c r="AC89" s="91"/>
    </row>
    <row r="90">
      <c r="A90" s="94" t="s">
        <v>129</v>
      </c>
      <c r="B90" s="96">
        <v>679.0</v>
      </c>
      <c r="C90" s="94"/>
      <c r="D90" s="96"/>
      <c r="E90" s="96"/>
      <c r="F90" s="96"/>
      <c r="G90" s="97"/>
      <c r="H90" s="97"/>
      <c r="I90" s="97"/>
      <c r="J90" s="97"/>
      <c r="K90" s="97"/>
      <c r="L90" s="97"/>
      <c r="M90" s="97"/>
      <c r="N90" s="97"/>
      <c r="O90" s="91"/>
      <c r="Q90" s="548">
        <f t="shared" si="1"/>
        <v>0</v>
      </c>
      <c r="R90" s="443">
        <f t="shared" si="2"/>
        <v>0</v>
      </c>
      <c r="S90" s="443">
        <f t="shared" si="3"/>
        <v>0</v>
      </c>
      <c r="T90" s="96"/>
      <c r="U90" s="97"/>
      <c r="V90" s="97"/>
      <c r="W90" s="97"/>
      <c r="X90" s="97"/>
      <c r="Y90" s="97"/>
      <c r="Z90" s="97"/>
      <c r="AA90" s="97"/>
      <c r="AB90" s="97"/>
      <c r="AC90" s="91"/>
    </row>
    <row r="91">
      <c r="A91" s="115"/>
      <c r="B91" s="116"/>
      <c r="C91" s="94"/>
      <c r="D91" s="96"/>
      <c r="E91" s="96"/>
      <c r="F91" s="96"/>
      <c r="G91" s="97"/>
      <c r="H91" s="97"/>
      <c r="I91" s="97"/>
      <c r="J91" s="97"/>
      <c r="K91" s="97"/>
      <c r="L91" s="97"/>
      <c r="M91" s="97"/>
      <c r="N91" s="97"/>
      <c r="O91" s="91"/>
      <c r="Q91" s="548">
        <f t="shared" si="1"/>
        <v>0</v>
      </c>
      <c r="R91" s="443">
        <f t="shared" si="2"/>
        <v>0</v>
      </c>
      <c r="S91" s="443">
        <f t="shared" si="3"/>
        <v>0</v>
      </c>
      <c r="T91" s="96"/>
      <c r="U91" s="97"/>
      <c r="V91" s="97"/>
      <c r="W91" s="97"/>
      <c r="X91" s="97"/>
      <c r="Y91" s="97"/>
      <c r="Z91" s="97"/>
      <c r="AA91" s="97"/>
      <c r="AB91" s="97"/>
      <c r="AC91" s="91"/>
    </row>
    <row r="92">
      <c r="A92" s="94" t="s">
        <v>130</v>
      </c>
      <c r="B92" s="96">
        <v>490.0</v>
      </c>
      <c r="C92" s="94"/>
      <c r="D92" s="96"/>
      <c r="E92" s="96"/>
      <c r="F92" s="96"/>
      <c r="G92" s="97"/>
      <c r="H92" s="97"/>
      <c r="I92" s="97"/>
      <c r="J92" s="97"/>
      <c r="K92" s="97"/>
      <c r="L92" s="97"/>
      <c r="M92" s="97"/>
      <c r="N92" s="97"/>
      <c r="O92" s="91"/>
      <c r="Q92" s="548">
        <f t="shared" si="1"/>
        <v>0</v>
      </c>
      <c r="R92" s="443">
        <f t="shared" si="2"/>
        <v>0</v>
      </c>
      <c r="S92" s="443">
        <f t="shared" si="3"/>
        <v>0</v>
      </c>
      <c r="T92" s="96"/>
      <c r="U92" s="97"/>
      <c r="V92" s="97"/>
      <c r="W92" s="97"/>
      <c r="X92" s="97"/>
      <c r="Y92" s="97"/>
      <c r="Z92" s="97"/>
      <c r="AA92" s="97"/>
      <c r="AB92" s="97"/>
      <c r="AC92" s="91"/>
    </row>
    <row r="93">
      <c r="A93" s="94" t="s">
        <v>131</v>
      </c>
      <c r="B93" s="96">
        <v>490.0</v>
      </c>
      <c r="C93" s="94"/>
      <c r="D93" s="96"/>
      <c r="E93" s="96"/>
      <c r="F93" s="96"/>
      <c r="G93" s="97"/>
      <c r="H93" s="97"/>
      <c r="I93" s="97"/>
      <c r="J93" s="97"/>
      <c r="K93" s="97"/>
      <c r="L93" s="97"/>
      <c r="M93" s="97"/>
      <c r="N93" s="97"/>
      <c r="O93" s="91"/>
      <c r="Q93" s="548">
        <f t="shared" si="1"/>
        <v>0</v>
      </c>
      <c r="R93" s="443">
        <f t="shared" si="2"/>
        <v>0</v>
      </c>
      <c r="S93" s="443">
        <f t="shared" si="3"/>
        <v>0</v>
      </c>
      <c r="T93" s="96"/>
      <c r="U93" s="97"/>
      <c r="V93" s="97"/>
      <c r="W93" s="97"/>
      <c r="X93" s="97"/>
      <c r="Y93" s="97"/>
      <c r="Z93" s="97"/>
      <c r="AA93" s="97"/>
      <c r="AB93" s="97"/>
      <c r="AC93" s="91"/>
    </row>
    <row r="94">
      <c r="A94" s="94" t="s">
        <v>132</v>
      </c>
      <c r="B94" s="96">
        <v>450.0</v>
      </c>
      <c r="C94" s="94"/>
      <c r="D94" s="96"/>
      <c r="E94" s="96"/>
      <c r="F94" s="96"/>
      <c r="G94" s="97"/>
      <c r="H94" s="97"/>
      <c r="I94" s="97"/>
      <c r="J94" s="97"/>
      <c r="K94" s="97"/>
      <c r="L94" s="97"/>
      <c r="M94" s="97"/>
      <c r="N94" s="97"/>
      <c r="O94" s="91"/>
      <c r="Q94" s="548">
        <f t="shared" si="1"/>
        <v>0</v>
      </c>
      <c r="R94" s="443">
        <f t="shared" si="2"/>
        <v>0</v>
      </c>
      <c r="S94" s="443">
        <f t="shared" si="3"/>
        <v>0</v>
      </c>
      <c r="T94" s="96"/>
      <c r="U94" s="97"/>
      <c r="V94" s="97"/>
      <c r="W94" s="97"/>
      <c r="X94" s="97"/>
      <c r="Y94" s="97"/>
      <c r="Z94" s="97"/>
      <c r="AA94" s="97"/>
      <c r="AB94" s="97"/>
      <c r="AC94" s="91"/>
    </row>
    <row r="95">
      <c r="A95" s="117" t="s">
        <v>133</v>
      </c>
      <c r="B95" s="118">
        <v>450.0</v>
      </c>
      <c r="C95" s="94"/>
      <c r="D95" s="96"/>
      <c r="E95" s="96"/>
      <c r="F95" s="96"/>
      <c r="G95" s="97"/>
      <c r="H95" s="97"/>
      <c r="I95" s="97"/>
      <c r="J95" s="97"/>
      <c r="K95" s="97"/>
      <c r="L95" s="97"/>
      <c r="M95" s="97"/>
      <c r="N95" s="97"/>
      <c r="O95" s="91"/>
      <c r="Q95" s="548">
        <f t="shared" si="1"/>
        <v>0</v>
      </c>
      <c r="R95" s="443">
        <f t="shared" si="2"/>
        <v>0</v>
      </c>
      <c r="S95" s="443">
        <f t="shared" si="3"/>
        <v>0</v>
      </c>
      <c r="T95" s="96"/>
      <c r="U95" s="97"/>
      <c r="V95" s="97"/>
      <c r="W95" s="97"/>
      <c r="X95" s="97"/>
      <c r="Y95" s="97"/>
      <c r="Z95" s="97"/>
      <c r="AA95" s="97"/>
      <c r="AB95" s="97"/>
      <c r="AC95" s="91"/>
    </row>
    <row r="96">
      <c r="A96" s="119"/>
      <c r="B96" s="119"/>
      <c r="C96" s="94"/>
      <c r="D96" s="96"/>
      <c r="E96" s="96"/>
      <c r="F96" s="96"/>
      <c r="G96" s="97"/>
      <c r="H96" s="97"/>
      <c r="I96" s="97"/>
      <c r="J96" s="97"/>
      <c r="K96" s="97"/>
      <c r="L96" s="97"/>
      <c r="M96" s="97"/>
      <c r="N96" s="97"/>
      <c r="O96" s="91"/>
      <c r="Q96" s="548">
        <f t="shared" si="1"/>
        <v>0</v>
      </c>
      <c r="R96" s="443">
        <f t="shared" si="2"/>
        <v>0</v>
      </c>
      <c r="S96" s="443">
        <f t="shared" si="3"/>
        <v>0</v>
      </c>
      <c r="T96" s="96"/>
      <c r="U96" s="97"/>
      <c r="V96" s="97"/>
      <c r="W96" s="97"/>
      <c r="X96" s="97"/>
      <c r="Y96" s="97"/>
      <c r="Z96" s="97"/>
      <c r="AA96" s="97"/>
      <c r="AB96" s="97"/>
      <c r="AC96" s="91"/>
    </row>
    <row r="97">
      <c r="A97" s="121" t="s">
        <v>134</v>
      </c>
      <c r="B97" s="118">
        <v>1054.0</v>
      </c>
      <c r="C97" s="94"/>
      <c r="D97" s="96"/>
      <c r="E97" s="96"/>
      <c r="F97" s="96"/>
      <c r="G97" s="122"/>
      <c r="H97" s="97"/>
      <c r="I97" s="97"/>
      <c r="J97" s="97"/>
      <c r="K97" s="97"/>
      <c r="L97" s="97"/>
      <c r="M97" s="97"/>
      <c r="N97" s="97"/>
      <c r="O97" s="91"/>
      <c r="Q97" s="548">
        <f t="shared" si="1"/>
        <v>0</v>
      </c>
      <c r="R97" s="443">
        <f t="shared" si="2"/>
        <v>0</v>
      </c>
      <c r="S97" s="443">
        <f t="shared" si="3"/>
        <v>0</v>
      </c>
      <c r="T97" s="96"/>
      <c r="U97" s="122"/>
      <c r="V97" s="97"/>
      <c r="W97" s="97"/>
      <c r="X97" s="97"/>
      <c r="Y97" s="97"/>
      <c r="Z97" s="97"/>
      <c r="AA97" s="97"/>
      <c r="AB97" s="97"/>
      <c r="AC97" s="91"/>
    </row>
    <row r="98">
      <c r="A98" s="249" t="s">
        <v>266</v>
      </c>
      <c r="B98" s="344">
        <v>349.0</v>
      </c>
      <c r="C98" s="438"/>
      <c r="D98" s="449"/>
      <c r="E98" s="549">
        <v>1.0</v>
      </c>
      <c r="F98" s="550"/>
      <c r="G98" s="120"/>
      <c r="H98" s="450"/>
      <c r="I98" s="450"/>
      <c r="J98" s="449"/>
      <c r="K98" s="449"/>
      <c r="L98" s="449"/>
      <c r="M98" s="449"/>
      <c r="N98" s="449"/>
      <c r="O98" s="83"/>
      <c r="Q98" s="548">
        <f t="shared" si="1"/>
        <v>0</v>
      </c>
      <c r="R98" s="443">
        <f t="shared" si="2"/>
        <v>0</v>
      </c>
      <c r="S98" s="443">
        <f t="shared" si="3"/>
        <v>349</v>
      </c>
      <c r="T98" s="550"/>
      <c r="U98" s="120"/>
      <c r="V98" s="450"/>
      <c r="W98" s="450"/>
      <c r="X98" s="449"/>
      <c r="Y98" s="449"/>
      <c r="Z98" s="449"/>
      <c r="AA98" s="449"/>
      <c r="AB98" s="449"/>
      <c r="AC98" s="83"/>
    </row>
    <row r="99">
      <c r="A99" s="249" t="s">
        <v>267</v>
      </c>
      <c r="B99" s="344">
        <v>459.0</v>
      </c>
      <c r="C99" s="438"/>
      <c r="D99" s="449"/>
      <c r="E99" s="549">
        <v>1.0</v>
      </c>
      <c r="F99" s="550"/>
      <c r="G99" s="120"/>
      <c r="H99" s="450"/>
      <c r="I99" s="450"/>
      <c r="J99" s="449"/>
      <c r="K99" s="449"/>
      <c r="L99" s="449"/>
      <c r="M99" s="449"/>
      <c r="N99" s="449"/>
      <c r="O99" s="83"/>
      <c r="Q99" s="548">
        <f t="shared" si="1"/>
        <v>0</v>
      </c>
      <c r="R99" s="443">
        <f t="shared" si="2"/>
        <v>0</v>
      </c>
      <c r="S99" s="443">
        <f t="shared" si="3"/>
        <v>459</v>
      </c>
      <c r="T99" s="550"/>
      <c r="U99" s="120"/>
      <c r="V99" s="450"/>
      <c r="W99" s="450"/>
      <c r="X99" s="449"/>
      <c r="Y99" s="449"/>
      <c r="Z99" s="449"/>
      <c r="AA99" s="449"/>
      <c r="AB99" s="449"/>
      <c r="AC99" s="83"/>
    </row>
    <row r="100">
      <c r="A100" s="249" t="s">
        <v>268</v>
      </c>
      <c r="B100" s="344">
        <v>799.0</v>
      </c>
      <c r="C100" s="438"/>
      <c r="D100" s="449"/>
      <c r="E100" s="449"/>
      <c r="F100" s="550"/>
      <c r="G100" s="120"/>
      <c r="H100" s="450"/>
      <c r="I100" s="450"/>
      <c r="J100" s="449"/>
      <c r="K100" s="449"/>
      <c r="L100" s="449"/>
      <c r="M100" s="449"/>
      <c r="N100" s="449"/>
      <c r="O100" s="83"/>
      <c r="Q100" s="438"/>
      <c r="R100" s="449"/>
      <c r="S100" s="449"/>
      <c r="T100" s="550"/>
      <c r="U100" s="120"/>
      <c r="V100" s="450"/>
      <c r="W100" s="450"/>
      <c r="X100" s="449"/>
      <c r="Y100" s="449"/>
      <c r="Z100" s="449"/>
      <c r="AA100" s="449"/>
      <c r="AB100" s="449"/>
      <c r="AC100" s="83"/>
    </row>
    <row r="101">
      <c r="A101" s="123" t="s">
        <v>135</v>
      </c>
      <c r="B101" s="124"/>
      <c r="C101" s="125"/>
      <c r="D101" s="125"/>
      <c r="E101" s="125"/>
      <c r="F101" s="126"/>
      <c r="G101" s="124"/>
      <c r="H101" s="127"/>
      <c r="I101" s="127"/>
      <c r="J101" s="125"/>
      <c r="K101" s="125"/>
      <c r="L101" s="125"/>
      <c r="M101" s="125"/>
      <c r="N101" s="125"/>
      <c r="O101" s="128"/>
      <c r="Q101" s="125"/>
      <c r="R101" s="125"/>
      <c r="S101" s="125"/>
      <c r="T101" s="126"/>
      <c r="U101" s="124"/>
      <c r="V101" s="127"/>
      <c r="W101" s="127"/>
      <c r="X101" s="125"/>
      <c r="Y101" s="125"/>
      <c r="Z101" s="125"/>
      <c r="AA101" s="125"/>
      <c r="AB101" s="125"/>
      <c r="AC101" s="128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Q102" s="283">
        <f>SIMULAPH!C102</f>
        <v>9953</v>
      </c>
      <c r="R102" s="283">
        <f>SIMULAPH!D102</f>
        <v>4767</v>
      </c>
      <c r="S102" s="283">
        <f>SIMULAPH!E102</f>
        <v>7162</v>
      </c>
      <c r="T102" s="283">
        <f>SIMULAPH!F102</f>
        <v>5186</v>
      </c>
      <c r="U102" s="283">
        <f>SIMULAPH!G102</f>
        <v>0</v>
      </c>
      <c r="V102" s="283">
        <f>SIMULAPH!H102</f>
        <v>0</v>
      </c>
      <c r="W102" s="72"/>
      <c r="X102" s="72"/>
      <c r="Y102" s="72"/>
      <c r="Z102" s="72"/>
      <c r="AA102" s="72"/>
      <c r="AB102" s="72"/>
      <c r="A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</sheetData>
  <mergeCells count="30">
    <mergeCell ref="U3:U4"/>
    <mergeCell ref="V3:V4"/>
    <mergeCell ref="W3:W4"/>
    <mergeCell ref="X3:X4"/>
    <mergeCell ref="Y3:Y4"/>
    <mergeCell ref="Z3:Z4"/>
    <mergeCell ref="AA3:AA4"/>
    <mergeCell ref="AB3:AB4"/>
    <mergeCell ref="C1:O1"/>
    <mergeCell ref="Q1:AC1"/>
    <mergeCell ref="C2:O2"/>
    <mergeCell ref="Q2:AC2"/>
    <mergeCell ref="C3:C4"/>
    <mergeCell ref="D3:D4"/>
    <mergeCell ref="E3:E4"/>
    <mergeCell ref="AC3:A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S3:S4"/>
    <mergeCell ref="T3:T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3" width="9.38"/>
    <col customWidth="1" min="4" max="4" width="9.13"/>
    <col customWidth="1" min="5" max="5" width="7.13"/>
    <col customWidth="1" min="6" max="6" width="7.75"/>
    <col customWidth="1" min="7" max="7" width="6.0"/>
    <col customWidth="1" min="8" max="15" width="6.13"/>
  </cols>
  <sheetData>
    <row r="1">
      <c r="A1" s="72"/>
      <c r="B1" s="72"/>
      <c r="C1" s="441" t="s">
        <v>619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R1" s="551"/>
    </row>
    <row r="2">
      <c r="A2" s="72"/>
      <c r="B2" s="72"/>
      <c r="C2" s="78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R2" s="551"/>
    </row>
    <row r="3">
      <c r="A3" s="67" t="s">
        <v>47</v>
      </c>
      <c r="B3" s="67" t="s">
        <v>48</v>
      </c>
      <c r="C3" s="82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  <c r="R3" s="551"/>
    </row>
    <row r="4">
      <c r="A4" s="72"/>
      <c r="B4" s="72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R4" s="551"/>
    </row>
    <row r="5" hidden="1">
      <c r="A5" s="87" t="s">
        <v>49</v>
      </c>
      <c r="B5" s="88">
        <v>329.0</v>
      </c>
      <c r="C5" s="317"/>
      <c r="D5" s="203"/>
      <c r="E5" s="203"/>
      <c r="F5" s="90"/>
      <c r="G5" s="90"/>
      <c r="H5" s="90"/>
      <c r="I5" s="90"/>
      <c r="J5" s="90"/>
      <c r="K5" s="90"/>
      <c r="L5" s="90"/>
      <c r="M5" s="90"/>
      <c r="N5" s="90"/>
      <c r="O5" s="91"/>
      <c r="R5" s="551"/>
    </row>
    <row r="6" hidden="1">
      <c r="A6" s="87" t="s">
        <v>50</v>
      </c>
      <c r="B6" s="88">
        <v>329.0</v>
      </c>
      <c r="C6" s="317"/>
      <c r="D6" s="203"/>
      <c r="E6" s="203"/>
      <c r="F6" s="90"/>
      <c r="G6" s="90"/>
      <c r="H6" s="90"/>
      <c r="I6" s="90"/>
      <c r="J6" s="90"/>
      <c r="K6" s="90"/>
      <c r="L6" s="90"/>
      <c r="M6" s="90"/>
      <c r="N6" s="90"/>
      <c r="O6" s="91"/>
      <c r="R6" s="551"/>
    </row>
    <row r="7" hidden="1">
      <c r="A7" s="87" t="s">
        <v>51</v>
      </c>
      <c r="B7" s="88">
        <v>329.0</v>
      </c>
      <c r="C7" s="317"/>
      <c r="D7" s="203"/>
      <c r="E7" s="203"/>
      <c r="F7" s="90"/>
      <c r="G7" s="90"/>
      <c r="H7" s="90"/>
      <c r="I7" s="90"/>
      <c r="J7" s="90"/>
      <c r="K7" s="90"/>
      <c r="L7" s="90"/>
      <c r="M7" s="90"/>
      <c r="N7" s="90"/>
      <c r="O7" s="91"/>
      <c r="R7" s="551"/>
    </row>
    <row r="8">
      <c r="A8" s="92" t="s">
        <v>52</v>
      </c>
      <c r="B8" s="93">
        <v>329.0</v>
      </c>
      <c r="C8" s="547">
        <v>1.0</v>
      </c>
      <c r="D8" s="95"/>
      <c r="E8" s="96"/>
      <c r="F8" s="448">
        <v>1.0</v>
      </c>
      <c r="G8" s="97"/>
      <c r="H8" s="97"/>
      <c r="I8" s="97"/>
      <c r="J8" s="97"/>
      <c r="K8" s="97"/>
      <c r="L8" s="97"/>
      <c r="M8" s="97"/>
      <c r="N8" s="97"/>
      <c r="O8" s="91"/>
      <c r="R8" s="551"/>
    </row>
    <row r="9" hidden="1">
      <c r="A9" s="98" t="s">
        <v>53</v>
      </c>
      <c r="B9" s="93">
        <v>329.0</v>
      </c>
      <c r="C9" s="94"/>
      <c r="D9" s="203"/>
      <c r="E9" s="96"/>
      <c r="F9" s="96"/>
      <c r="G9" s="97"/>
      <c r="H9" s="97"/>
      <c r="I9" s="97"/>
      <c r="J9" s="97"/>
      <c r="K9" s="97"/>
      <c r="L9" s="97"/>
      <c r="M9" s="97"/>
      <c r="N9" s="97"/>
      <c r="O9" s="91"/>
      <c r="R9" s="551"/>
    </row>
    <row r="10">
      <c r="A10" s="98" t="s">
        <v>54</v>
      </c>
      <c r="B10" s="93">
        <v>329.0</v>
      </c>
      <c r="C10" s="547"/>
      <c r="D10" s="95"/>
      <c r="E10" s="325">
        <v>1.0</v>
      </c>
      <c r="F10" s="448">
        <v>1.0</v>
      </c>
      <c r="G10" s="97"/>
      <c r="H10" s="97"/>
      <c r="I10" s="97"/>
      <c r="J10" s="97"/>
      <c r="K10" s="97"/>
      <c r="L10" s="97"/>
      <c r="M10" s="97"/>
      <c r="N10" s="97"/>
      <c r="O10" s="91"/>
      <c r="Q10" s="552">
        <v>1.0</v>
      </c>
      <c r="R10" s="553" t="s">
        <v>620</v>
      </c>
    </row>
    <row r="11">
      <c r="A11" s="98" t="s">
        <v>55</v>
      </c>
      <c r="B11" s="93">
        <v>329.0</v>
      </c>
      <c r="C11" s="547">
        <v>1.0</v>
      </c>
      <c r="D11" s="325">
        <v>1.0</v>
      </c>
      <c r="E11" s="325">
        <v>1.0</v>
      </c>
      <c r="F11" s="96"/>
      <c r="G11" s="97"/>
      <c r="H11" s="97"/>
      <c r="I11" s="97"/>
      <c r="J11" s="97"/>
      <c r="K11" s="97"/>
      <c r="L11" s="97"/>
      <c r="M11" s="97"/>
      <c r="N11" s="97"/>
      <c r="O11" s="91"/>
      <c r="Q11" s="552">
        <v>1.0</v>
      </c>
      <c r="R11" s="553" t="s">
        <v>621</v>
      </c>
    </row>
    <row r="12">
      <c r="A12" s="98" t="s">
        <v>56</v>
      </c>
      <c r="B12" s="93">
        <v>329.0</v>
      </c>
      <c r="C12" s="94"/>
      <c r="D12" s="95"/>
      <c r="E12" s="96"/>
      <c r="F12" s="96"/>
      <c r="G12" s="97"/>
      <c r="H12" s="97"/>
      <c r="I12" s="97"/>
      <c r="J12" s="97"/>
      <c r="K12" s="97"/>
      <c r="L12" s="97"/>
      <c r="M12" s="97"/>
      <c r="N12" s="97"/>
      <c r="O12" s="91"/>
      <c r="Q12" s="552">
        <v>1.0</v>
      </c>
      <c r="R12" s="553" t="s">
        <v>622</v>
      </c>
    </row>
    <row r="13">
      <c r="A13" s="98" t="s">
        <v>57</v>
      </c>
      <c r="B13" s="93">
        <v>329.0</v>
      </c>
      <c r="C13" s="94"/>
      <c r="D13" s="95"/>
      <c r="E13" s="96"/>
      <c r="F13" s="96"/>
      <c r="G13" s="97"/>
      <c r="H13" s="97"/>
      <c r="I13" s="97"/>
      <c r="J13" s="97"/>
      <c r="K13" s="97"/>
      <c r="L13" s="97"/>
      <c r="M13" s="97"/>
      <c r="N13" s="97"/>
      <c r="O13" s="91"/>
      <c r="Q13" s="552">
        <v>1.0</v>
      </c>
      <c r="R13" s="553" t="s">
        <v>622</v>
      </c>
    </row>
    <row r="14">
      <c r="A14" s="98" t="s">
        <v>58</v>
      </c>
      <c r="B14" s="93">
        <v>329.0</v>
      </c>
      <c r="C14" s="94"/>
      <c r="D14" s="95"/>
      <c r="E14" s="96"/>
      <c r="F14" s="96"/>
      <c r="G14" s="97"/>
      <c r="H14" s="97"/>
      <c r="I14" s="97"/>
      <c r="J14" s="97"/>
      <c r="K14" s="97"/>
      <c r="L14" s="97"/>
      <c r="M14" s="97"/>
      <c r="N14" s="97"/>
      <c r="O14" s="91"/>
      <c r="Q14" s="552">
        <v>1.0</v>
      </c>
      <c r="R14" s="553" t="s">
        <v>623</v>
      </c>
    </row>
    <row r="15">
      <c r="A15" s="98" t="s">
        <v>59</v>
      </c>
      <c r="B15" s="93">
        <v>219.0</v>
      </c>
      <c r="C15" s="94"/>
      <c r="D15" s="95"/>
      <c r="E15" s="96"/>
      <c r="F15" s="96"/>
      <c r="G15" s="97"/>
      <c r="H15" s="97"/>
      <c r="I15" s="97"/>
      <c r="J15" s="97"/>
      <c r="K15" s="97"/>
      <c r="L15" s="97"/>
      <c r="M15" s="97"/>
      <c r="N15" s="97"/>
      <c r="O15" s="91"/>
      <c r="Q15" s="552">
        <v>1.0</v>
      </c>
      <c r="R15" s="553" t="s">
        <v>624</v>
      </c>
    </row>
    <row r="16" hidden="1">
      <c r="A16" s="98" t="s">
        <v>60</v>
      </c>
      <c r="B16" s="99"/>
      <c r="C16" s="94"/>
      <c r="D16" s="95"/>
      <c r="E16" s="96"/>
      <c r="F16" s="96"/>
      <c r="G16" s="97"/>
      <c r="H16" s="97"/>
      <c r="I16" s="97"/>
      <c r="J16" s="97"/>
      <c r="K16" s="97"/>
      <c r="L16" s="97"/>
      <c r="M16" s="97"/>
      <c r="N16" s="97"/>
      <c r="O16" s="91"/>
      <c r="Q16" s="552">
        <v>1.0</v>
      </c>
      <c r="R16" s="553" t="s">
        <v>625</v>
      </c>
    </row>
    <row r="17" hidden="1">
      <c r="A17" s="98" t="s">
        <v>61</v>
      </c>
      <c r="B17" s="99"/>
      <c r="C17" s="94"/>
      <c r="D17" s="95"/>
      <c r="E17" s="96"/>
      <c r="F17" s="96"/>
      <c r="G17" s="97"/>
      <c r="H17" s="97"/>
      <c r="I17" s="97"/>
      <c r="J17" s="97"/>
      <c r="K17" s="97"/>
      <c r="L17" s="97"/>
      <c r="M17" s="97"/>
      <c r="N17" s="97"/>
      <c r="O17" s="91"/>
      <c r="Q17" s="552">
        <v>1.0</v>
      </c>
      <c r="R17" s="553" t="s">
        <v>625</v>
      </c>
    </row>
    <row r="18">
      <c r="A18" s="100"/>
      <c r="B18" s="99"/>
      <c r="C18" s="94"/>
      <c r="D18" s="95"/>
      <c r="E18" s="96"/>
      <c r="F18" s="96"/>
      <c r="G18" s="97"/>
      <c r="H18" s="97"/>
      <c r="I18" s="97"/>
      <c r="J18" s="97"/>
      <c r="K18" s="97"/>
      <c r="L18" s="97"/>
      <c r="M18" s="97"/>
      <c r="N18" s="97"/>
      <c r="O18" s="91"/>
      <c r="Q18" s="552">
        <v>1.0</v>
      </c>
      <c r="R18" s="553" t="s">
        <v>625</v>
      </c>
    </row>
    <row r="19">
      <c r="A19" s="98" t="s">
        <v>62</v>
      </c>
      <c r="B19" s="93">
        <v>239.0</v>
      </c>
      <c r="C19" s="547">
        <v>2.0</v>
      </c>
      <c r="D19" s="325">
        <v>1.0</v>
      </c>
      <c r="E19" s="325">
        <v>2.0</v>
      </c>
      <c r="F19" s="96"/>
      <c r="G19" s="97"/>
      <c r="H19" s="97"/>
      <c r="I19" s="97"/>
      <c r="J19" s="97"/>
      <c r="K19" s="97"/>
      <c r="L19" s="97"/>
      <c r="M19" s="97"/>
      <c r="N19" s="97"/>
      <c r="O19" s="91"/>
      <c r="Q19" s="552">
        <v>1.0</v>
      </c>
      <c r="R19" s="553" t="s">
        <v>626</v>
      </c>
    </row>
    <row r="20">
      <c r="A20" s="98" t="s">
        <v>63</v>
      </c>
      <c r="B20" s="93">
        <v>239.0</v>
      </c>
      <c r="C20" s="547">
        <v>4.0</v>
      </c>
      <c r="D20" s="325">
        <v>1.0</v>
      </c>
      <c r="E20" s="325">
        <v>2.0</v>
      </c>
      <c r="F20" s="448">
        <v>1.0</v>
      </c>
      <c r="G20" s="97"/>
      <c r="H20" s="97"/>
      <c r="I20" s="97"/>
      <c r="J20" s="97"/>
      <c r="K20" s="97"/>
      <c r="L20" s="97"/>
      <c r="M20" s="97"/>
      <c r="N20" s="97"/>
      <c r="O20" s="91"/>
      <c r="Q20" s="552">
        <v>1.0</v>
      </c>
      <c r="R20" s="553" t="s">
        <v>626</v>
      </c>
    </row>
    <row r="21">
      <c r="A21" s="98" t="s">
        <v>64</v>
      </c>
      <c r="B21" s="93">
        <v>239.0</v>
      </c>
      <c r="C21" s="547">
        <v>3.0</v>
      </c>
      <c r="D21" s="95"/>
      <c r="E21" s="325">
        <v>1.0</v>
      </c>
      <c r="F21" s="96"/>
      <c r="G21" s="97"/>
      <c r="H21" s="97"/>
      <c r="I21" s="97"/>
      <c r="J21" s="97"/>
      <c r="K21" s="97"/>
      <c r="L21" s="97"/>
      <c r="M21" s="97"/>
      <c r="N21" s="97"/>
      <c r="O21" s="91"/>
      <c r="Q21" s="552">
        <v>1.0</v>
      </c>
      <c r="R21" s="553" t="s">
        <v>626</v>
      </c>
    </row>
    <row r="22">
      <c r="A22" s="98" t="s">
        <v>65</v>
      </c>
      <c r="B22" s="93">
        <v>219.0</v>
      </c>
      <c r="C22" s="547"/>
      <c r="D22" s="95"/>
      <c r="E22" s="325">
        <v>1.0</v>
      </c>
      <c r="F22" s="96"/>
      <c r="G22" s="97"/>
      <c r="H22" s="97"/>
      <c r="I22" s="97"/>
      <c r="J22" s="97"/>
      <c r="K22" s="97"/>
      <c r="L22" s="97"/>
      <c r="M22" s="97"/>
      <c r="N22" s="97"/>
      <c r="O22" s="91"/>
      <c r="Q22" s="552">
        <v>1.0</v>
      </c>
      <c r="R22" s="553" t="s">
        <v>626</v>
      </c>
    </row>
    <row r="23">
      <c r="A23" s="98" t="s">
        <v>66</v>
      </c>
      <c r="B23" s="93">
        <v>219.0</v>
      </c>
      <c r="C23" s="547"/>
      <c r="D23" s="95"/>
      <c r="E23" s="96"/>
      <c r="F23" s="96"/>
      <c r="G23" s="97"/>
      <c r="H23" s="97"/>
      <c r="I23" s="97"/>
      <c r="J23" s="97"/>
      <c r="K23" s="97"/>
      <c r="L23" s="97"/>
      <c r="M23" s="97"/>
      <c r="N23" s="97"/>
      <c r="O23" s="91"/>
      <c r="Q23" s="552">
        <v>1.0</v>
      </c>
      <c r="R23" s="553" t="s">
        <v>627</v>
      </c>
    </row>
    <row r="24">
      <c r="A24" s="98" t="s">
        <v>67</v>
      </c>
      <c r="B24" s="93">
        <v>219.0</v>
      </c>
      <c r="C24" s="547"/>
      <c r="D24" s="95"/>
      <c r="E24" s="96"/>
      <c r="F24" s="96"/>
      <c r="G24" s="97"/>
      <c r="H24" s="97"/>
      <c r="I24" s="97"/>
      <c r="J24" s="97"/>
      <c r="K24" s="97"/>
      <c r="L24" s="97"/>
      <c r="M24" s="97"/>
      <c r="N24" s="97"/>
      <c r="O24" s="91"/>
      <c r="Q24" s="468"/>
      <c r="R24" s="554"/>
    </row>
    <row r="25" hidden="1">
      <c r="A25" s="98" t="s">
        <v>68</v>
      </c>
      <c r="B25" s="93">
        <v>219.0</v>
      </c>
      <c r="C25" s="94"/>
      <c r="D25" s="95"/>
      <c r="E25" s="96"/>
      <c r="F25" s="96"/>
      <c r="G25" s="97"/>
      <c r="H25" s="97"/>
      <c r="I25" s="97"/>
      <c r="J25" s="97"/>
      <c r="K25" s="97"/>
      <c r="L25" s="97"/>
      <c r="M25" s="97"/>
      <c r="N25" s="97"/>
      <c r="O25" s="91"/>
      <c r="R25" s="551"/>
    </row>
    <row r="26" hidden="1">
      <c r="A26" s="98" t="s">
        <v>69</v>
      </c>
      <c r="B26" s="93">
        <v>219.0</v>
      </c>
      <c r="C26" s="94"/>
      <c r="D26" s="95"/>
      <c r="E26" s="96"/>
      <c r="F26" s="96"/>
      <c r="G26" s="97"/>
      <c r="H26" s="97"/>
      <c r="I26" s="97"/>
      <c r="J26" s="97"/>
      <c r="K26" s="97"/>
      <c r="L26" s="97"/>
      <c r="M26" s="97"/>
      <c r="N26" s="97"/>
      <c r="O26" s="91"/>
      <c r="R26" s="551"/>
    </row>
    <row r="27">
      <c r="A27" s="101" t="s">
        <v>70</v>
      </c>
      <c r="B27" s="93">
        <v>799.0</v>
      </c>
      <c r="C27" s="547"/>
      <c r="D27" s="95"/>
      <c r="E27" s="96"/>
      <c r="F27" s="96"/>
      <c r="G27" s="97"/>
      <c r="H27" s="97"/>
      <c r="I27" s="97"/>
      <c r="J27" s="97"/>
      <c r="K27" s="97"/>
      <c r="L27" s="97"/>
      <c r="M27" s="97"/>
      <c r="N27" s="97"/>
      <c r="O27" s="91"/>
      <c r="R27" s="551"/>
    </row>
    <row r="28">
      <c r="A28" s="102" t="s">
        <v>71</v>
      </c>
      <c r="B28" s="93">
        <v>609.0</v>
      </c>
      <c r="C28" s="547">
        <v>2.0</v>
      </c>
      <c r="D28" s="325">
        <v>1.0</v>
      </c>
      <c r="E28" s="96"/>
      <c r="F28" s="448">
        <v>1.0</v>
      </c>
      <c r="G28" s="97"/>
      <c r="H28" s="97"/>
      <c r="I28" s="97"/>
      <c r="J28" s="97"/>
      <c r="K28" s="97"/>
      <c r="L28" s="97"/>
      <c r="M28" s="97"/>
      <c r="N28" s="97"/>
      <c r="O28" s="91"/>
      <c r="R28" s="551"/>
    </row>
    <row r="29">
      <c r="A29" s="101" t="s">
        <v>72</v>
      </c>
      <c r="B29" s="93">
        <v>329.0</v>
      </c>
      <c r="C29" s="547"/>
      <c r="D29" s="95"/>
      <c r="E29" s="96"/>
      <c r="F29" s="448">
        <v>2.0</v>
      </c>
      <c r="G29" s="97"/>
      <c r="H29" s="97"/>
      <c r="I29" s="97"/>
      <c r="J29" s="97"/>
      <c r="K29" s="97"/>
      <c r="L29" s="97"/>
      <c r="M29" s="97"/>
      <c r="N29" s="97"/>
      <c r="O29" s="91"/>
      <c r="R29" s="551"/>
    </row>
    <row r="30">
      <c r="A30" s="101" t="s">
        <v>73</v>
      </c>
      <c r="B30" s="93">
        <v>329.0</v>
      </c>
      <c r="C30" s="94"/>
      <c r="D30" s="95"/>
      <c r="E30" s="96"/>
      <c r="F30" s="96"/>
      <c r="G30" s="97"/>
      <c r="H30" s="97"/>
      <c r="I30" s="97"/>
      <c r="J30" s="97"/>
      <c r="K30" s="97"/>
      <c r="L30" s="97"/>
      <c r="M30" s="97"/>
      <c r="N30" s="97"/>
      <c r="O30" s="91"/>
      <c r="R30" s="551"/>
    </row>
    <row r="31">
      <c r="A31" s="101" t="s">
        <v>74</v>
      </c>
      <c r="B31" s="93">
        <v>219.0</v>
      </c>
      <c r="C31" s="94"/>
      <c r="D31" s="95"/>
      <c r="E31" s="96"/>
      <c r="F31" s="96"/>
      <c r="G31" s="97"/>
      <c r="H31" s="97"/>
      <c r="I31" s="97"/>
      <c r="J31" s="97"/>
      <c r="K31" s="97"/>
      <c r="L31" s="97"/>
      <c r="M31" s="97"/>
      <c r="N31" s="97"/>
      <c r="O31" s="91"/>
      <c r="R31" s="551"/>
    </row>
    <row r="32">
      <c r="A32" s="101" t="s">
        <v>75</v>
      </c>
      <c r="B32" s="93">
        <v>219.0</v>
      </c>
      <c r="C32" s="94"/>
      <c r="D32" s="95"/>
      <c r="E32" s="96"/>
      <c r="F32" s="96"/>
      <c r="G32" s="97"/>
      <c r="H32" s="97"/>
      <c r="I32" s="97"/>
      <c r="J32" s="97"/>
      <c r="K32" s="97"/>
      <c r="L32" s="97"/>
      <c r="M32" s="97"/>
      <c r="N32" s="97"/>
      <c r="O32" s="91"/>
      <c r="R32" s="551"/>
    </row>
    <row r="33">
      <c r="A33" s="101" t="s">
        <v>76</v>
      </c>
      <c r="B33" s="93">
        <v>439.0</v>
      </c>
      <c r="C33" s="547">
        <v>2.0</v>
      </c>
      <c r="D33" s="325">
        <v>3.0</v>
      </c>
      <c r="E33" s="448">
        <v>5.0</v>
      </c>
      <c r="F33" s="96"/>
      <c r="G33" s="97"/>
      <c r="H33" s="97"/>
      <c r="I33" s="97"/>
      <c r="J33" s="97"/>
      <c r="K33" s="97"/>
      <c r="L33" s="97"/>
      <c r="M33" s="97"/>
      <c r="N33" s="97"/>
      <c r="O33" s="91"/>
      <c r="R33" s="551"/>
    </row>
    <row r="34">
      <c r="A34" s="101" t="s">
        <v>77</v>
      </c>
      <c r="B34" s="93">
        <v>899.0</v>
      </c>
      <c r="C34" s="94"/>
      <c r="D34" s="95"/>
      <c r="E34" s="96"/>
      <c r="F34" s="96"/>
      <c r="G34" s="97"/>
      <c r="H34" s="97"/>
      <c r="I34" s="97"/>
      <c r="J34" s="97"/>
      <c r="K34" s="97"/>
      <c r="L34" s="97"/>
      <c r="M34" s="97"/>
      <c r="N34" s="97"/>
      <c r="O34" s="91"/>
      <c r="R34" s="551"/>
    </row>
    <row r="35">
      <c r="A35" s="101" t="s">
        <v>78</v>
      </c>
      <c r="B35" s="93">
        <v>549.0</v>
      </c>
      <c r="C35" s="94"/>
      <c r="D35" s="95"/>
      <c r="E35" s="325">
        <v>1.0</v>
      </c>
      <c r="F35" s="96"/>
      <c r="G35" s="97"/>
      <c r="H35" s="97"/>
      <c r="I35" s="97"/>
      <c r="J35" s="97"/>
      <c r="K35" s="97"/>
      <c r="L35" s="97"/>
      <c r="M35" s="97"/>
      <c r="N35" s="97"/>
      <c r="O35" s="91"/>
      <c r="R35" s="551"/>
    </row>
    <row r="36">
      <c r="A36" s="101" t="s">
        <v>79</v>
      </c>
      <c r="B36" s="93">
        <v>549.0</v>
      </c>
      <c r="C36" s="94"/>
      <c r="D36" s="95"/>
      <c r="E36" s="96"/>
      <c r="F36" s="96"/>
      <c r="G36" s="97"/>
      <c r="H36" s="97"/>
      <c r="I36" s="97"/>
      <c r="J36" s="97"/>
      <c r="K36" s="97"/>
      <c r="L36" s="97"/>
      <c r="M36" s="97"/>
      <c r="N36" s="97"/>
      <c r="O36" s="91"/>
      <c r="R36" s="551"/>
    </row>
    <row r="37">
      <c r="A37" s="101" t="s">
        <v>80</v>
      </c>
      <c r="B37" s="93">
        <v>549.0</v>
      </c>
      <c r="C37" s="94"/>
      <c r="D37" s="95"/>
      <c r="E37" s="96"/>
      <c r="F37" s="96"/>
      <c r="G37" s="97"/>
      <c r="H37" s="97"/>
      <c r="I37" s="97"/>
      <c r="J37" s="97"/>
      <c r="K37" s="97"/>
      <c r="L37" s="97"/>
      <c r="M37" s="97"/>
      <c r="N37" s="97"/>
      <c r="O37" s="91"/>
      <c r="R37" s="551"/>
    </row>
    <row r="38">
      <c r="A38" s="102" t="s">
        <v>81</v>
      </c>
      <c r="B38" s="93">
        <v>799.0</v>
      </c>
      <c r="C38" s="547"/>
      <c r="D38" s="95"/>
      <c r="E38" s="96"/>
      <c r="F38" s="96"/>
      <c r="G38" s="97"/>
      <c r="H38" s="97"/>
      <c r="I38" s="97"/>
      <c r="J38" s="97"/>
      <c r="K38" s="97"/>
      <c r="L38" s="97"/>
      <c r="M38" s="97"/>
      <c r="N38" s="97"/>
      <c r="O38" s="91"/>
      <c r="R38" s="551"/>
    </row>
    <row r="39">
      <c r="A39" s="102" t="s">
        <v>82</v>
      </c>
      <c r="B39" s="93">
        <v>799.0</v>
      </c>
      <c r="C39" s="547"/>
      <c r="D39" s="95"/>
      <c r="E39" s="96"/>
      <c r="F39" s="96"/>
      <c r="G39" s="97"/>
      <c r="H39" s="97"/>
      <c r="I39" s="97"/>
      <c r="J39" s="97"/>
      <c r="K39" s="97"/>
      <c r="L39" s="97"/>
      <c r="M39" s="97"/>
      <c r="N39" s="97"/>
      <c r="O39" s="91"/>
      <c r="R39" s="551"/>
    </row>
    <row r="40">
      <c r="A40" s="101" t="s">
        <v>83</v>
      </c>
      <c r="B40" s="93">
        <v>439.0</v>
      </c>
      <c r="C40" s="94"/>
      <c r="D40" s="95"/>
      <c r="E40" s="96"/>
      <c r="F40" s="96"/>
      <c r="G40" s="97"/>
      <c r="H40" s="97"/>
      <c r="I40" s="97"/>
      <c r="J40" s="97"/>
      <c r="K40" s="97"/>
      <c r="L40" s="97"/>
      <c r="M40" s="97"/>
      <c r="N40" s="97"/>
      <c r="O40" s="91"/>
      <c r="R40" s="551"/>
    </row>
    <row r="41">
      <c r="A41" s="101" t="s">
        <v>84</v>
      </c>
      <c r="B41" s="93">
        <v>439.0</v>
      </c>
      <c r="C41" s="94"/>
      <c r="D41" s="95"/>
      <c r="E41" s="96"/>
      <c r="F41" s="448">
        <v>1.0</v>
      </c>
      <c r="G41" s="97"/>
      <c r="H41" s="97"/>
      <c r="I41" s="97"/>
      <c r="J41" s="97"/>
      <c r="K41" s="97"/>
      <c r="L41" s="97"/>
      <c r="M41" s="97"/>
      <c r="N41" s="97"/>
      <c r="O41" s="91"/>
      <c r="R41" s="551"/>
    </row>
    <row r="42">
      <c r="A42" s="101" t="s">
        <v>85</v>
      </c>
      <c r="B42" s="93">
        <v>60.0</v>
      </c>
      <c r="C42" s="94"/>
      <c r="D42" s="95"/>
      <c r="E42" s="96"/>
      <c r="F42" s="96"/>
      <c r="G42" s="97"/>
      <c r="H42" s="97"/>
      <c r="I42" s="97"/>
      <c r="J42" s="97"/>
      <c r="K42" s="97"/>
      <c r="L42" s="97"/>
      <c r="M42" s="97"/>
      <c r="N42" s="97"/>
      <c r="O42" s="91"/>
      <c r="R42" s="551"/>
    </row>
    <row r="43">
      <c r="A43" s="101" t="s">
        <v>86</v>
      </c>
      <c r="B43" s="93">
        <v>609.0</v>
      </c>
      <c r="C43" s="94"/>
      <c r="D43" s="96"/>
      <c r="E43" s="96"/>
      <c r="F43" s="96"/>
      <c r="G43" s="97"/>
      <c r="H43" s="97"/>
      <c r="I43" s="97"/>
      <c r="J43" s="97"/>
      <c r="K43" s="97"/>
      <c r="L43" s="97"/>
      <c r="M43" s="97"/>
      <c r="N43" s="97"/>
      <c r="O43" s="91"/>
      <c r="R43" s="551"/>
    </row>
    <row r="44">
      <c r="A44" s="101" t="s">
        <v>87</v>
      </c>
      <c r="B44" s="93">
        <v>379.0</v>
      </c>
      <c r="C44" s="94"/>
      <c r="D44" s="96"/>
      <c r="E44" s="96"/>
      <c r="F44" s="96"/>
      <c r="G44" s="97"/>
      <c r="H44" s="97"/>
      <c r="I44" s="97"/>
      <c r="J44" s="97"/>
      <c r="K44" s="97"/>
      <c r="L44" s="97"/>
      <c r="M44" s="97"/>
      <c r="N44" s="97"/>
      <c r="O44" s="91"/>
      <c r="R44" s="551"/>
    </row>
    <row r="45">
      <c r="A45" s="101" t="s">
        <v>88</v>
      </c>
      <c r="B45" s="93">
        <v>379.0</v>
      </c>
      <c r="C45" s="94"/>
      <c r="D45" s="96"/>
      <c r="E45" s="96"/>
      <c r="F45" s="96"/>
      <c r="G45" s="97"/>
      <c r="H45" s="97"/>
      <c r="I45" s="97"/>
      <c r="J45" s="97"/>
      <c r="K45" s="97"/>
      <c r="L45" s="97"/>
      <c r="M45" s="97"/>
      <c r="N45" s="97"/>
      <c r="O45" s="91"/>
      <c r="R45" s="551"/>
    </row>
    <row r="46">
      <c r="A46" s="101" t="s">
        <v>89</v>
      </c>
      <c r="B46" s="93">
        <v>1299.0</v>
      </c>
      <c r="C46" s="94"/>
      <c r="D46" s="96"/>
      <c r="E46" s="96"/>
      <c r="F46" s="96"/>
      <c r="G46" s="97"/>
      <c r="H46" s="97"/>
      <c r="I46" s="97"/>
      <c r="J46" s="97"/>
      <c r="K46" s="97"/>
      <c r="L46" s="97"/>
      <c r="M46" s="97"/>
      <c r="N46" s="97"/>
      <c r="O46" s="91"/>
      <c r="R46" s="551"/>
    </row>
    <row r="47">
      <c r="A47" s="67" t="s">
        <v>90</v>
      </c>
      <c r="B47" s="93">
        <v>1299.0</v>
      </c>
      <c r="C47" s="94"/>
      <c r="D47" s="96"/>
      <c r="E47" s="96"/>
      <c r="F47" s="96"/>
      <c r="G47" s="97"/>
      <c r="H47" s="97"/>
      <c r="I47" s="97"/>
      <c r="J47" s="97"/>
      <c r="K47" s="97"/>
      <c r="L47" s="97"/>
      <c r="M47" s="97"/>
      <c r="N47" s="97"/>
      <c r="O47" s="91"/>
      <c r="R47" s="551"/>
    </row>
    <row r="48">
      <c r="A48" s="101" t="s">
        <v>91</v>
      </c>
      <c r="B48" s="103">
        <v>0.0</v>
      </c>
      <c r="C48" s="94"/>
      <c r="D48" s="96"/>
      <c r="E48" s="96"/>
      <c r="F48" s="96"/>
      <c r="G48" s="97"/>
      <c r="H48" s="97"/>
      <c r="I48" s="97"/>
      <c r="J48" s="97"/>
      <c r="K48" s="97"/>
      <c r="L48" s="97"/>
      <c r="M48" s="97"/>
      <c r="N48" s="97"/>
      <c r="O48" s="91"/>
      <c r="R48" s="551"/>
    </row>
    <row r="49">
      <c r="A49" s="104"/>
      <c r="B49" s="105"/>
      <c r="C49" s="94"/>
      <c r="D49" s="96"/>
      <c r="E49" s="96"/>
      <c r="F49" s="96"/>
      <c r="G49" s="97"/>
      <c r="H49" s="97"/>
      <c r="I49" s="97"/>
      <c r="J49" s="97"/>
      <c r="K49" s="97"/>
      <c r="L49" s="97"/>
      <c r="M49" s="97"/>
      <c r="N49" s="97"/>
      <c r="O49" s="91"/>
      <c r="R49" s="551"/>
    </row>
    <row r="50">
      <c r="A50" s="102" t="s">
        <v>92</v>
      </c>
      <c r="B50" s="106">
        <v>609.0</v>
      </c>
      <c r="C50" s="547">
        <v>1.0</v>
      </c>
      <c r="D50" s="96"/>
      <c r="E50" s="325">
        <v>1.0</v>
      </c>
      <c r="F50" s="96"/>
      <c r="G50" s="97"/>
      <c r="H50" s="97"/>
      <c r="I50" s="97"/>
      <c r="J50" s="97"/>
      <c r="K50" s="97"/>
      <c r="L50" s="97"/>
      <c r="M50" s="97"/>
      <c r="N50" s="97"/>
      <c r="O50" s="91"/>
      <c r="R50" s="551"/>
    </row>
    <row r="51">
      <c r="A51" s="102" t="s">
        <v>93</v>
      </c>
      <c r="B51" s="93">
        <v>609.0</v>
      </c>
      <c r="C51" s="547"/>
      <c r="D51" s="96"/>
      <c r="E51" s="96"/>
      <c r="F51" s="96"/>
      <c r="G51" s="97"/>
      <c r="H51" s="97"/>
      <c r="I51" s="97"/>
      <c r="J51" s="97"/>
      <c r="K51" s="97"/>
      <c r="L51" s="97"/>
      <c r="M51" s="97"/>
      <c r="N51" s="97"/>
      <c r="O51" s="91"/>
      <c r="R51" s="551"/>
    </row>
    <row r="52">
      <c r="A52" s="102" t="s">
        <v>94</v>
      </c>
      <c r="B52" s="93">
        <v>329.0</v>
      </c>
      <c r="C52" s="94"/>
      <c r="D52" s="96"/>
      <c r="E52" s="96"/>
      <c r="F52" s="96"/>
      <c r="G52" s="97"/>
      <c r="H52" s="97"/>
      <c r="I52" s="97"/>
      <c r="J52" s="97"/>
      <c r="K52" s="97"/>
      <c r="L52" s="97"/>
      <c r="M52" s="97"/>
      <c r="N52" s="97"/>
      <c r="O52" s="91"/>
      <c r="R52" s="551"/>
    </row>
    <row r="53" hidden="1">
      <c r="A53" s="102" t="s">
        <v>95</v>
      </c>
      <c r="B53" s="93">
        <v>199.0</v>
      </c>
      <c r="C53" s="94"/>
      <c r="D53" s="96"/>
      <c r="E53" s="96"/>
      <c r="F53" s="96"/>
      <c r="G53" s="97"/>
      <c r="H53" s="97"/>
      <c r="I53" s="97"/>
      <c r="J53" s="97"/>
      <c r="K53" s="97"/>
      <c r="L53" s="97"/>
      <c r="M53" s="97"/>
      <c r="N53" s="97"/>
      <c r="O53" s="91"/>
      <c r="R53" s="551"/>
    </row>
    <row r="54" hidden="1">
      <c r="A54" s="102" t="s">
        <v>96</v>
      </c>
      <c r="B54" s="93">
        <v>199.0</v>
      </c>
      <c r="C54" s="94"/>
      <c r="D54" s="96"/>
      <c r="E54" s="96"/>
      <c r="F54" s="96"/>
      <c r="G54" s="97"/>
      <c r="H54" s="97"/>
      <c r="I54" s="97"/>
      <c r="J54" s="97"/>
      <c r="K54" s="97"/>
      <c r="L54" s="97"/>
      <c r="M54" s="97"/>
      <c r="N54" s="97"/>
      <c r="O54" s="91"/>
      <c r="R54" s="551"/>
    </row>
    <row r="55" hidden="1">
      <c r="A55" s="67" t="s">
        <v>97</v>
      </c>
      <c r="B55" s="93">
        <v>599.0</v>
      </c>
      <c r="C55" s="94"/>
      <c r="D55" s="96"/>
      <c r="E55" s="96"/>
      <c r="F55" s="96"/>
      <c r="G55" s="97"/>
      <c r="H55" s="97"/>
      <c r="I55" s="97"/>
      <c r="J55" s="97"/>
      <c r="K55" s="97"/>
      <c r="L55" s="97"/>
      <c r="M55" s="97"/>
      <c r="N55" s="97"/>
      <c r="O55" s="91"/>
      <c r="R55" s="551"/>
    </row>
    <row r="56" hidden="1">
      <c r="A56" s="102" t="s">
        <v>98</v>
      </c>
      <c r="B56" s="93">
        <v>1499.0</v>
      </c>
      <c r="C56" s="94"/>
      <c r="D56" s="96"/>
      <c r="E56" s="96"/>
      <c r="F56" s="96"/>
      <c r="G56" s="97"/>
      <c r="H56" s="97"/>
      <c r="I56" s="97"/>
      <c r="J56" s="97"/>
      <c r="K56" s="97"/>
      <c r="L56" s="97"/>
      <c r="M56" s="97"/>
      <c r="N56" s="97"/>
      <c r="O56" s="91"/>
      <c r="R56" s="551"/>
    </row>
    <row r="57">
      <c r="A57" s="104"/>
      <c r="B57" s="99"/>
      <c r="C57" s="94"/>
      <c r="D57" s="96"/>
      <c r="E57" s="96"/>
      <c r="F57" s="96"/>
      <c r="G57" s="97"/>
      <c r="H57" s="97"/>
      <c r="I57" s="97"/>
      <c r="J57" s="97"/>
      <c r="K57" s="97"/>
      <c r="L57" s="97"/>
      <c r="M57" s="97"/>
      <c r="N57" s="97"/>
      <c r="O57" s="91"/>
      <c r="R57" s="551"/>
    </row>
    <row r="58">
      <c r="A58" s="102" t="s">
        <v>99</v>
      </c>
      <c r="B58" s="93">
        <v>329.0</v>
      </c>
      <c r="C58" s="94"/>
      <c r="D58" s="96"/>
      <c r="E58" s="96"/>
      <c r="F58" s="96"/>
      <c r="G58" s="97"/>
      <c r="H58" s="97"/>
      <c r="I58" s="97"/>
      <c r="J58" s="97"/>
      <c r="K58" s="97"/>
      <c r="L58" s="97"/>
      <c r="M58" s="97"/>
      <c r="N58" s="97"/>
      <c r="O58" s="91"/>
      <c r="R58" s="551"/>
    </row>
    <row r="59">
      <c r="A59" s="102" t="s">
        <v>100</v>
      </c>
      <c r="B59" s="93">
        <v>329.0</v>
      </c>
      <c r="C59" s="547">
        <v>4.0</v>
      </c>
      <c r="D59" s="448">
        <v>1.0</v>
      </c>
      <c r="E59" s="96"/>
      <c r="F59" s="96"/>
      <c r="G59" s="97"/>
      <c r="H59" s="97"/>
      <c r="I59" s="97"/>
      <c r="J59" s="97"/>
      <c r="K59" s="97"/>
      <c r="L59" s="97"/>
      <c r="M59" s="97"/>
      <c r="N59" s="97"/>
      <c r="O59" s="91"/>
      <c r="R59" s="551"/>
    </row>
    <row r="60">
      <c r="A60" s="102" t="s">
        <v>101</v>
      </c>
      <c r="B60" s="93">
        <v>329.0</v>
      </c>
      <c r="C60" s="547">
        <v>2.0</v>
      </c>
      <c r="D60" s="448">
        <v>3.0</v>
      </c>
      <c r="E60" s="96"/>
      <c r="F60" s="448">
        <v>1.0</v>
      </c>
      <c r="G60" s="97"/>
      <c r="H60" s="97"/>
      <c r="I60" s="97"/>
      <c r="J60" s="97"/>
      <c r="K60" s="97"/>
      <c r="L60" s="97"/>
      <c r="M60" s="97"/>
      <c r="N60" s="97"/>
      <c r="O60" s="91"/>
      <c r="R60" s="551"/>
    </row>
    <row r="61">
      <c r="A61" s="102" t="s">
        <v>102</v>
      </c>
      <c r="B61" s="93">
        <v>249.0</v>
      </c>
      <c r="C61" s="547">
        <v>1.0</v>
      </c>
      <c r="D61" s="96"/>
      <c r="E61" s="96"/>
      <c r="F61" s="96"/>
      <c r="G61" s="97"/>
      <c r="H61" s="97"/>
      <c r="I61" s="97"/>
      <c r="J61" s="97"/>
      <c r="K61" s="97"/>
      <c r="L61" s="97"/>
      <c r="M61" s="97"/>
      <c r="N61" s="97"/>
      <c r="O61" s="91"/>
      <c r="R61" s="551"/>
    </row>
    <row r="62">
      <c r="A62" s="102" t="s">
        <v>103</v>
      </c>
      <c r="B62" s="93">
        <v>439.0</v>
      </c>
      <c r="C62" s="94"/>
      <c r="D62" s="96"/>
      <c r="E62" s="96"/>
      <c r="F62" s="96"/>
      <c r="G62" s="97"/>
      <c r="H62" s="97"/>
      <c r="I62" s="97"/>
      <c r="J62" s="97"/>
      <c r="K62" s="97"/>
      <c r="L62" s="97"/>
      <c r="M62" s="97"/>
      <c r="N62" s="97"/>
      <c r="O62" s="91"/>
      <c r="R62" s="551"/>
    </row>
    <row r="63">
      <c r="A63" s="102" t="s">
        <v>104</v>
      </c>
      <c r="B63" s="93">
        <v>439.0</v>
      </c>
      <c r="C63" s="94"/>
      <c r="D63" s="96"/>
      <c r="E63" s="96"/>
      <c r="F63" s="96"/>
      <c r="G63" s="97"/>
      <c r="H63" s="97"/>
      <c r="I63" s="97"/>
      <c r="J63" s="97"/>
      <c r="K63" s="97"/>
      <c r="L63" s="97"/>
      <c r="M63" s="97"/>
      <c r="N63" s="97"/>
      <c r="O63" s="91"/>
      <c r="R63" s="551"/>
    </row>
    <row r="64">
      <c r="A64" s="102" t="s">
        <v>105</v>
      </c>
      <c r="B64" s="93">
        <v>439.0</v>
      </c>
      <c r="C64" s="94"/>
      <c r="D64" s="96"/>
      <c r="E64" s="96"/>
      <c r="F64" s="96"/>
      <c r="G64" s="97"/>
      <c r="H64" s="97"/>
      <c r="I64" s="97"/>
      <c r="J64" s="97"/>
      <c r="K64" s="97"/>
      <c r="L64" s="97"/>
      <c r="M64" s="97"/>
      <c r="N64" s="97"/>
      <c r="O64" s="91"/>
      <c r="R64" s="551"/>
    </row>
    <row r="65" hidden="1">
      <c r="A65" s="102" t="s">
        <v>106</v>
      </c>
      <c r="B65" s="93">
        <v>799.0</v>
      </c>
      <c r="C65" s="547"/>
      <c r="D65" s="96"/>
      <c r="E65" s="96"/>
      <c r="F65" s="96"/>
      <c r="G65" s="97"/>
      <c r="H65" s="97"/>
      <c r="I65" s="97"/>
      <c r="J65" s="97"/>
      <c r="K65" s="97"/>
      <c r="L65" s="97"/>
      <c r="M65" s="97"/>
      <c r="N65" s="97"/>
      <c r="O65" s="91"/>
      <c r="R65" s="551"/>
    </row>
    <row r="66" hidden="1">
      <c r="A66" s="102" t="s">
        <v>107</v>
      </c>
      <c r="B66" s="93">
        <v>799.0</v>
      </c>
      <c r="C66" s="94"/>
      <c r="D66" s="96"/>
      <c r="E66" s="96"/>
      <c r="F66" s="96"/>
      <c r="G66" s="97"/>
      <c r="H66" s="97"/>
      <c r="I66" s="97"/>
      <c r="J66" s="97"/>
      <c r="K66" s="97"/>
      <c r="L66" s="97"/>
      <c r="M66" s="97"/>
      <c r="N66" s="97"/>
      <c r="O66" s="91"/>
      <c r="R66" s="551"/>
    </row>
    <row r="67" hidden="1">
      <c r="A67" s="102" t="s">
        <v>108</v>
      </c>
      <c r="B67" s="93">
        <v>799.0</v>
      </c>
      <c r="C67" s="547"/>
      <c r="D67" s="96"/>
      <c r="E67" s="96"/>
      <c r="F67" s="96"/>
      <c r="G67" s="97"/>
      <c r="H67" s="97"/>
      <c r="I67" s="97"/>
      <c r="J67" s="97"/>
      <c r="K67" s="97"/>
      <c r="L67" s="97"/>
      <c r="M67" s="97"/>
      <c r="N67" s="97"/>
      <c r="O67" s="91"/>
      <c r="R67" s="551"/>
    </row>
    <row r="68" hidden="1">
      <c r="A68" s="102" t="s">
        <v>109</v>
      </c>
      <c r="B68" s="96">
        <v>1299.0</v>
      </c>
      <c r="C68" s="94"/>
      <c r="D68" s="96"/>
      <c r="E68" s="96"/>
      <c r="F68" s="96"/>
      <c r="G68" s="97"/>
      <c r="H68" s="97"/>
      <c r="I68" s="97"/>
      <c r="J68" s="97"/>
      <c r="K68" s="97"/>
      <c r="L68" s="97"/>
      <c r="M68" s="97"/>
      <c r="N68" s="97"/>
      <c r="O68" s="91"/>
      <c r="R68" s="551"/>
    </row>
    <row r="69" hidden="1">
      <c r="A69" s="102" t="s">
        <v>110</v>
      </c>
      <c r="B69" s="96">
        <v>1299.0</v>
      </c>
      <c r="C69" s="94"/>
      <c r="D69" s="96"/>
      <c r="E69" s="96"/>
      <c r="F69" s="96"/>
      <c r="G69" s="97"/>
      <c r="H69" s="97"/>
      <c r="I69" s="97"/>
      <c r="J69" s="97"/>
      <c r="K69" s="97"/>
      <c r="L69" s="97"/>
      <c r="M69" s="97"/>
      <c r="N69" s="97"/>
      <c r="O69" s="91"/>
      <c r="R69" s="551"/>
    </row>
    <row r="70" hidden="1">
      <c r="A70" s="101" t="s">
        <v>111</v>
      </c>
      <c r="B70" s="96">
        <v>1299.0</v>
      </c>
      <c r="C70" s="94"/>
      <c r="D70" s="96"/>
      <c r="E70" s="96"/>
      <c r="F70" s="96"/>
      <c r="G70" s="97"/>
      <c r="H70" s="97"/>
      <c r="I70" s="97"/>
      <c r="J70" s="97"/>
      <c r="K70" s="97"/>
      <c r="L70" s="97"/>
      <c r="M70" s="97"/>
      <c r="N70" s="97"/>
      <c r="O70" s="91"/>
      <c r="R70" s="551"/>
    </row>
    <row r="71">
      <c r="A71" s="101" t="s">
        <v>112</v>
      </c>
      <c r="B71" s="93">
        <v>609.0</v>
      </c>
      <c r="C71" s="547">
        <v>2.0</v>
      </c>
      <c r="D71" s="96"/>
      <c r="E71" s="325">
        <v>1.0</v>
      </c>
      <c r="F71" s="96"/>
      <c r="G71" s="97"/>
      <c r="H71" s="97"/>
      <c r="I71" s="97"/>
      <c r="J71" s="97"/>
      <c r="K71" s="97"/>
      <c r="L71" s="97"/>
      <c r="M71" s="97"/>
      <c r="N71" s="97"/>
      <c r="O71" s="91"/>
      <c r="R71" s="551"/>
    </row>
    <row r="72" hidden="1">
      <c r="A72" s="101" t="s">
        <v>113</v>
      </c>
      <c r="B72" s="107">
        <v>999.0</v>
      </c>
      <c r="C72" s="547"/>
      <c r="D72" s="96"/>
      <c r="E72" s="96"/>
      <c r="F72" s="96"/>
      <c r="G72" s="97"/>
      <c r="H72" s="97"/>
      <c r="I72" s="97"/>
      <c r="J72" s="97"/>
      <c r="K72" s="97"/>
      <c r="L72" s="97"/>
      <c r="M72" s="97"/>
      <c r="N72" s="97"/>
      <c r="O72" s="91"/>
      <c r="R72" s="551"/>
    </row>
    <row r="73" hidden="1">
      <c r="A73" s="101" t="s">
        <v>114</v>
      </c>
      <c r="B73" s="107">
        <v>999.0</v>
      </c>
      <c r="C73" s="94"/>
      <c r="D73" s="96"/>
      <c r="E73" s="96"/>
      <c r="F73" s="96"/>
      <c r="G73" s="97"/>
      <c r="H73" s="97"/>
      <c r="I73" s="97"/>
      <c r="J73" s="97"/>
      <c r="K73" s="97"/>
      <c r="L73" s="97"/>
      <c r="M73" s="97"/>
      <c r="N73" s="97"/>
      <c r="O73" s="91"/>
      <c r="R73" s="551"/>
    </row>
    <row r="74" hidden="1">
      <c r="A74" s="101" t="s">
        <v>115</v>
      </c>
      <c r="B74" s="107">
        <v>999.0</v>
      </c>
      <c r="C74" s="547"/>
      <c r="D74" s="96"/>
      <c r="E74" s="96"/>
      <c r="F74" s="96"/>
      <c r="G74" s="97"/>
      <c r="H74" s="97"/>
      <c r="I74" s="97"/>
      <c r="J74" s="97"/>
      <c r="K74" s="97"/>
      <c r="L74" s="97"/>
      <c r="M74" s="97"/>
      <c r="N74" s="97"/>
      <c r="O74" s="91"/>
      <c r="R74" s="551"/>
    </row>
    <row r="75" hidden="1">
      <c r="A75" s="101" t="s">
        <v>116</v>
      </c>
      <c r="B75" s="108"/>
      <c r="C75" s="94"/>
      <c r="D75" s="96"/>
      <c r="E75" s="96"/>
      <c r="F75" s="96"/>
      <c r="G75" s="97"/>
      <c r="H75" s="97"/>
      <c r="I75" s="97"/>
      <c r="J75" s="97"/>
      <c r="K75" s="97"/>
      <c r="L75" s="97"/>
      <c r="M75" s="97"/>
      <c r="N75" s="97"/>
      <c r="O75" s="91"/>
      <c r="R75" s="551"/>
    </row>
    <row r="76">
      <c r="A76" s="109"/>
      <c r="B76" s="108"/>
      <c r="C76" s="94"/>
      <c r="D76" s="96"/>
      <c r="E76" s="96"/>
      <c r="F76" s="96"/>
      <c r="G76" s="97"/>
      <c r="H76" s="97"/>
      <c r="I76" s="97"/>
      <c r="J76" s="97"/>
      <c r="K76" s="97"/>
      <c r="L76" s="97"/>
      <c r="M76" s="97"/>
      <c r="N76" s="97"/>
      <c r="O76" s="91"/>
      <c r="R76" s="551"/>
    </row>
    <row r="77">
      <c r="A77" s="110" t="s">
        <v>117</v>
      </c>
      <c r="B77" s="96">
        <v>379.0</v>
      </c>
      <c r="C77" s="94"/>
      <c r="D77" s="96"/>
      <c r="E77" s="96"/>
      <c r="F77" s="96"/>
      <c r="G77" s="97"/>
      <c r="H77" s="97"/>
      <c r="I77" s="97"/>
      <c r="J77" s="97"/>
      <c r="K77" s="97"/>
      <c r="L77" s="97"/>
      <c r="M77" s="97"/>
      <c r="N77" s="97"/>
      <c r="O77" s="91"/>
      <c r="R77" s="551"/>
    </row>
    <row r="78">
      <c r="A78" s="110" t="s">
        <v>118</v>
      </c>
      <c r="B78" s="96">
        <v>799.0</v>
      </c>
      <c r="C78" s="94"/>
      <c r="D78" s="96"/>
      <c r="E78" s="96"/>
      <c r="F78" s="96"/>
      <c r="G78" s="97"/>
      <c r="H78" s="97"/>
      <c r="I78" s="97"/>
      <c r="J78" s="97"/>
      <c r="K78" s="97"/>
      <c r="L78" s="97"/>
      <c r="M78" s="97"/>
      <c r="N78" s="97"/>
      <c r="O78" s="91"/>
      <c r="R78" s="551"/>
    </row>
    <row r="79">
      <c r="A79" s="110" t="s">
        <v>119</v>
      </c>
      <c r="B79" s="96">
        <v>439.0</v>
      </c>
      <c r="C79" s="94"/>
      <c r="D79" s="96"/>
      <c r="E79" s="96"/>
      <c r="F79" s="96"/>
      <c r="G79" s="97"/>
      <c r="H79" s="97"/>
      <c r="I79" s="97"/>
      <c r="J79" s="97"/>
      <c r="K79" s="97"/>
      <c r="L79" s="97"/>
      <c r="M79" s="97"/>
      <c r="N79" s="97"/>
      <c r="O79" s="91"/>
      <c r="R79" s="551"/>
    </row>
    <row r="80">
      <c r="A80" s="110" t="s">
        <v>120</v>
      </c>
      <c r="B80" s="96">
        <v>599.0</v>
      </c>
      <c r="C80" s="94"/>
      <c r="D80" s="96"/>
      <c r="E80" s="96"/>
      <c r="F80" s="96"/>
      <c r="G80" s="97"/>
      <c r="H80" s="97"/>
      <c r="I80" s="97"/>
      <c r="J80" s="97"/>
      <c r="K80" s="97"/>
      <c r="L80" s="97"/>
      <c r="M80" s="97"/>
      <c r="N80" s="97"/>
      <c r="O80" s="91"/>
      <c r="R80" s="551"/>
    </row>
    <row r="81">
      <c r="A81" s="110" t="s">
        <v>121</v>
      </c>
      <c r="B81" s="96">
        <v>229.0</v>
      </c>
      <c r="C81" s="547">
        <v>2.0</v>
      </c>
      <c r="D81" s="448">
        <v>2.0</v>
      </c>
      <c r="E81" s="96"/>
      <c r="F81" s="96"/>
      <c r="G81" s="97"/>
      <c r="H81" s="97"/>
      <c r="I81" s="97"/>
      <c r="J81" s="97"/>
      <c r="K81" s="97"/>
      <c r="L81" s="97"/>
      <c r="M81" s="97"/>
      <c r="N81" s="97"/>
      <c r="O81" s="91"/>
      <c r="R81" s="551"/>
    </row>
    <row r="82">
      <c r="A82" s="110" t="s">
        <v>122</v>
      </c>
      <c r="B82" s="96">
        <v>219.0</v>
      </c>
      <c r="C82" s="94"/>
      <c r="D82" s="96"/>
      <c r="E82" s="96"/>
      <c r="F82" s="96"/>
      <c r="G82" s="97"/>
      <c r="H82" s="97"/>
      <c r="I82" s="97"/>
      <c r="J82" s="97"/>
      <c r="K82" s="97"/>
      <c r="L82" s="97"/>
      <c r="M82" s="97"/>
      <c r="N82" s="97"/>
      <c r="O82" s="91"/>
      <c r="R82" s="551"/>
    </row>
    <row r="83" hidden="1">
      <c r="A83" s="110" t="s">
        <v>123</v>
      </c>
      <c r="B83" s="96">
        <v>1299.0</v>
      </c>
      <c r="C83" s="94"/>
      <c r="D83" s="96"/>
      <c r="E83" s="96"/>
      <c r="F83" s="96"/>
      <c r="G83" s="97"/>
      <c r="H83" s="97"/>
      <c r="I83" s="97"/>
      <c r="J83" s="97"/>
      <c r="K83" s="97"/>
      <c r="L83" s="97"/>
      <c r="M83" s="97"/>
      <c r="N83" s="97"/>
      <c r="O83" s="91"/>
      <c r="R83" s="551"/>
    </row>
    <row r="84" hidden="1">
      <c r="A84" s="102" t="s">
        <v>124</v>
      </c>
      <c r="B84" s="96">
        <v>1299.0</v>
      </c>
      <c r="C84" s="94"/>
      <c r="D84" s="96"/>
      <c r="E84" s="96"/>
      <c r="F84" s="96"/>
      <c r="G84" s="97"/>
      <c r="H84" s="97"/>
      <c r="I84" s="97"/>
      <c r="J84" s="97"/>
      <c r="K84" s="97"/>
      <c r="L84" s="97"/>
      <c r="M84" s="97"/>
      <c r="N84" s="97"/>
      <c r="O84" s="91"/>
      <c r="R84" s="551"/>
    </row>
    <row r="85" hidden="1">
      <c r="A85" s="111" t="s">
        <v>125</v>
      </c>
      <c r="B85" s="96">
        <v>1299.0</v>
      </c>
      <c r="C85" s="94"/>
      <c r="D85" s="96"/>
      <c r="E85" s="96"/>
      <c r="F85" s="96"/>
      <c r="G85" s="97"/>
      <c r="H85" s="97"/>
      <c r="I85" s="97"/>
      <c r="J85" s="97"/>
      <c r="K85" s="97"/>
      <c r="L85" s="97"/>
      <c r="M85" s="97"/>
      <c r="N85" s="97"/>
      <c r="O85" s="91"/>
      <c r="R85" s="551"/>
    </row>
    <row r="86" hidden="1">
      <c r="A86" s="112" t="s">
        <v>126</v>
      </c>
      <c r="B86" s="96">
        <v>1299.0</v>
      </c>
      <c r="C86" s="94"/>
      <c r="D86" s="96"/>
      <c r="E86" s="96"/>
      <c r="F86" s="96"/>
      <c r="G86" s="97"/>
      <c r="H86" s="97"/>
      <c r="I86" s="97"/>
      <c r="J86" s="97"/>
      <c r="K86" s="97"/>
      <c r="L86" s="97"/>
      <c r="M86" s="97"/>
      <c r="N86" s="97"/>
      <c r="O86" s="91"/>
      <c r="R86" s="551"/>
    </row>
    <row r="87">
      <c r="A87" s="113"/>
      <c r="B87" s="114"/>
      <c r="C87" s="94"/>
      <c r="D87" s="96"/>
      <c r="E87" s="96"/>
      <c r="F87" s="96"/>
      <c r="G87" s="97"/>
      <c r="H87" s="97"/>
      <c r="I87" s="97"/>
      <c r="J87" s="97"/>
      <c r="K87" s="97"/>
      <c r="L87" s="97"/>
      <c r="M87" s="97"/>
      <c r="N87" s="97"/>
      <c r="O87" s="91"/>
      <c r="R87" s="551"/>
    </row>
    <row r="88" hidden="1">
      <c r="A88" s="94" t="s">
        <v>127</v>
      </c>
      <c r="B88" s="96">
        <v>679.0</v>
      </c>
      <c r="C88" s="94"/>
      <c r="D88" s="96"/>
      <c r="E88" s="96"/>
      <c r="F88" s="96"/>
      <c r="G88" s="97"/>
      <c r="H88" s="97"/>
      <c r="I88" s="97"/>
      <c r="J88" s="97"/>
      <c r="K88" s="97"/>
      <c r="L88" s="97"/>
      <c r="M88" s="97"/>
      <c r="N88" s="97"/>
      <c r="O88" s="91"/>
      <c r="R88" s="551"/>
    </row>
    <row r="89" hidden="1">
      <c r="A89" s="94" t="s">
        <v>128</v>
      </c>
      <c r="B89" s="96">
        <v>679.0</v>
      </c>
      <c r="C89" s="94"/>
      <c r="D89" s="96"/>
      <c r="E89" s="96"/>
      <c r="F89" s="96"/>
      <c r="G89" s="97"/>
      <c r="H89" s="97"/>
      <c r="I89" s="97"/>
      <c r="J89" s="97"/>
      <c r="K89" s="97"/>
      <c r="L89" s="97"/>
      <c r="M89" s="97"/>
      <c r="N89" s="97"/>
      <c r="O89" s="91"/>
      <c r="R89" s="551"/>
    </row>
    <row r="90" hidden="1">
      <c r="A90" s="94" t="s">
        <v>129</v>
      </c>
      <c r="B90" s="96">
        <v>679.0</v>
      </c>
      <c r="C90" s="94"/>
      <c r="D90" s="96"/>
      <c r="E90" s="96"/>
      <c r="F90" s="96"/>
      <c r="G90" s="97"/>
      <c r="H90" s="97"/>
      <c r="I90" s="97"/>
      <c r="J90" s="97"/>
      <c r="K90" s="97"/>
      <c r="L90" s="97"/>
      <c r="M90" s="97"/>
      <c r="N90" s="97"/>
      <c r="O90" s="91"/>
      <c r="R90" s="551"/>
    </row>
    <row r="91" hidden="1">
      <c r="A91" s="115"/>
      <c r="B91" s="116"/>
      <c r="C91" s="94"/>
      <c r="D91" s="96"/>
      <c r="E91" s="96"/>
      <c r="F91" s="96"/>
      <c r="G91" s="97"/>
      <c r="H91" s="97"/>
      <c r="I91" s="97"/>
      <c r="J91" s="97"/>
      <c r="K91" s="97"/>
      <c r="L91" s="97"/>
      <c r="M91" s="97"/>
      <c r="N91" s="97"/>
      <c r="O91" s="91"/>
      <c r="R91" s="551"/>
    </row>
    <row r="92" hidden="1">
      <c r="A92" s="94" t="s">
        <v>130</v>
      </c>
      <c r="B92" s="96">
        <v>490.0</v>
      </c>
      <c r="C92" s="94"/>
      <c r="D92" s="96"/>
      <c r="E92" s="96"/>
      <c r="F92" s="96"/>
      <c r="G92" s="97"/>
      <c r="H92" s="97"/>
      <c r="I92" s="97"/>
      <c r="J92" s="97"/>
      <c r="K92" s="97"/>
      <c r="L92" s="97"/>
      <c r="M92" s="97"/>
      <c r="N92" s="97"/>
      <c r="O92" s="91"/>
      <c r="R92" s="551"/>
    </row>
    <row r="93" hidden="1">
      <c r="A93" s="94" t="s">
        <v>131</v>
      </c>
      <c r="B93" s="96">
        <v>490.0</v>
      </c>
      <c r="C93" s="94"/>
      <c r="D93" s="96"/>
      <c r="E93" s="96"/>
      <c r="F93" s="96"/>
      <c r="G93" s="97"/>
      <c r="H93" s="97"/>
      <c r="I93" s="97"/>
      <c r="J93" s="97"/>
      <c r="K93" s="97"/>
      <c r="L93" s="97"/>
      <c r="M93" s="97"/>
      <c r="N93" s="97"/>
      <c r="O93" s="91"/>
      <c r="R93" s="551"/>
    </row>
    <row r="94" hidden="1">
      <c r="A94" s="94" t="s">
        <v>132</v>
      </c>
      <c r="B94" s="96">
        <v>450.0</v>
      </c>
      <c r="C94" s="94"/>
      <c r="D94" s="96"/>
      <c r="E94" s="96"/>
      <c r="F94" s="96"/>
      <c r="G94" s="97"/>
      <c r="H94" s="97"/>
      <c r="I94" s="97"/>
      <c r="J94" s="97"/>
      <c r="K94" s="97"/>
      <c r="L94" s="97"/>
      <c r="M94" s="97"/>
      <c r="N94" s="97"/>
      <c r="O94" s="91"/>
      <c r="R94" s="551"/>
    </row>
    <row r="95" hidden="1">
      <c r="A95" s="117" t="s">
        <v>133</v>
      </c>
      <c r="B95" s="118">
        <v>450.0</v>
      </c>
      <c r="C95" s="94"/>
      <c r="D95" s="96"/>
      <c r="E95" s="96"/>
      <c r="F95" s="96"/>
      <c r="G95" s="97"/>
      <c r="H95" s="97"/>
      <c r="I95" s="97"/>
      <c r="J95" s="97"/>
      <c r="K95" s="97"/>
      <c r="L95" s="97"/>
      <c r="M95" s="97"/>
      <c r="N95" s="97"/>
      <c r="O95" s="91"/>
      <c r="R95" s="551"/>
    </row>
    <row r="96">
      <c r="A96" s="119"/>
      <c r="B96" s="120"/>
      <c r="C96" s="94"/>
      <c r="D96" s="96"/>
      <c r="E96" s="96"/>
      <c r="F96" s="96"/>
      <c r="G96" s="97"/>
      <c r="H96" s="97"/>
      <c r="I96" s="97"/>
      <c r="J96" s="97"/>
      <c r="K96" s="97"/>
      <c r="L96" s="97"/>
      <c r="M96" s="97"/>
      <c r="N96" s="97"/>
      <c r="O96" s="91"/>
      <c r="R96" s="551"/>
    </row>
    <row r="97">
      <c r="A97" s="121" t="s">
        <v>134</v>
      </c>
      <c r="B97" s="118">
        <v>1054.0</v>
      </c>
      <c r="C97" s="94"/>
      <c r="D97" s="96"/>
      <c r="E97" s="96"/>
      <c r="F97" s="96"/>
      <c r="G97" s="122"/>
      <c r="H97" s="97"/>
      <c r="I97" s="97"/>
      <c r="J97" s="97"/>
      <c r="K97" s="97"/>
      <c r="L97" s="97"/>
      <c r="M97" s="97"/>
      <c r="N97" s="97"/>
      <c r="O97" s="91"/>
      <c r="R97" s="551"/>
    </row>
    <row r="98">
      <c r="A98" s="249" t="s">
        <v>266</v>
      </c>
      <c r="B98" s="344">
        <v>329.0</v>
      </c>
      <c r="C98" s="555"/>
      <c r="D98" s="556"/>
      <c r="E98" s="325">
        <v>1.0</v>
      </c>
      <c r="F98" s="557">
        <v>4.0</v>
      </c>
      <c r="G98" s="120"/>
      <c r="H98" s="450"/>
      <c r="I98" s="450"/>
      <c r="J98" s="449"/>
      <c r="K98" s="449"/>
      <c r="L98" s="449"/>
      <c r="M98" s="449"/>
      <c r="N98" s="449"/>
      <c r="O98" s="83"/>
      <c r="R98" s="551"/>
    </row>
    <row r="99">
      <c r="A99" s="249" t="s">
        <v>267</v>
      </c>
      <c r="B99" s="344">
        <v>439.0</v>
      </c>
      <c r="C99" s="555"/>
      <c r="D99" s="556"/>
      <c r="E99" s="325">
        <v>1.0</v>
      </c>
      <c r="F99" s="550"/>
      <c r="G99" s="120"/>
      <c r="H99" s="450"/>
      <c r="I99" s="450"/>
      <c r="J99" s="449"/>
      <c r="K99" s="449"/>
      <c r="L99" s="449"/>
      <c r="M99" s="449"/>
      <c r="N99" s="449"/>
      <c r="O99" s="83"/>
      <c r="R99" s="551"/>
    </row>
    <row r="100">
      <c r="A100" s="249" t="s">
        <v>268</v>
      </c>
      <c r="B100" s="344">
        <v>799.0</v>
      </c>
      <c r="C100" s="555"/>
      <c r="D100" s="556"/>
      <c r="E100" s="556"/>
      <c r="F100" s="550"/>
      <c r="G100" s="120"/>
      <c r="H100" s="450"/>
      <c r="I100" s="450"/>
      <c r="J100" s="449"/>
      <c r="K100" s="449"/>
      <c r="L100" s="449"/>
      <c r="M100" s="449"/>
      <c r="N100" s="449"/>
      <c r="O100" s="83"/>
      <c r="R100" s="551"/>
    </row>
    <row r="101">
      <c r="A101" s="123" t="s">
        <v>135</v>
      </c>
      <c r="B101" s="124"/>
      <c r="C101" s="558"/>
      <c r="D101" s="558"/>
      <c r="E101" s="558"/>
      <c r="F101" s="126"/>
      <c r="G101" s="124"/>
      <c r="H101" s="127"/>
      <c r="I101" s="127"/>
      <c r="J101" s="125"/>
      <c r="K101" s="125"/>
      <c r="L101" s="125"/>
      <c r="M101" s="125"/>
      <c r="N101" s="125"/>
      <c r="O101" s="128"/>
      <c r="R101" s="551"/>
    </row>
    <row r="102">
      <c r="A102" s="283"/>
      <c r="B102" s="283"/>
      <c r="C102" s="285">
        <f t="shared" ref="C102:D102" si="1">sum(C8:C14)*349+sum(C19:C21)*259+sum(C22:C24)*239+(C27)*819+sum(C28)*629+sum(C29:C30)*349+sum(C31)*239+sum(C33)*459+sum(C35:C37)*569+sum(C38:C39)*819+sum(C40:C41)*459+sum(C43)*629+sum(C44:C45)*399+sum(C50:C51)*629+sum(C52)*349+sum(C58:C60)*349+sum(C61)*269+sum(C62:C64)*459+sum(C65:C67)*819+sum(C72:C74)*999+sum(C77)*399+sum(C81)*249+sum(C82)*239+sum(C71)*629</f>
        <v>9953</v>
      </c>
      <c r="D102" s="285">
        <f t="shared" si="1"/>
        <v>4767</v>
      </c>
      <c r="E102" s="285">
        <f>sum(E8:E14)*349+sum(E19:E21)*259+sum(E22:E24)*239+(E27)*819+sum(E28)*629+sum(E29:E30)*349+sum(E31)*239+sum(E33)*459+sum(E35:E37)*569+sum(E38:E39)*819+sum(E40:E41)*459+sum(E43)*629+sum(E44:E45)*399+sum(E50:E51)*629+sum(E52)*349+sum(E58:E60)*349+sum(E61)*269+sum(E62:E64)*459+sum(E65:E67)*819+sum(E72:E74)*999+sum(E77)*399+sum(E81)*249+sum(E82)*239+sum(E71)*629+E98*349+E99*459</f>
        <v>7162</v>
      </c>
      <c r="F102" s="285">
        <f>349*11+259+629+459</f>
        <v>5186</v>
      </c>
      <c r="G102" s="285">
        <f t="shared" ref="G102:O102" si="2">sum(G8:G14)*349+sum(G19:G21)*259+sum(G22:G24)*239+(G27)*819+sum(G28)*629+sum(G29:G30)*349+sum(G31)*239+sum(G33)*459+sum(G35:G37)*569+sum(G38:G39)*819+sum(G40:G41)*459+sum(G43)*629+sum(G44:G45)*399+sum(G50:G51)*629+sum(G52)*349+sum(G58:G60)*349+sum(G61)*269+sum(G62:G64)*459+sum(G65:G67)*819+sum(G72:G74)*999+sum(G77)*399+sum(G81)*249+sum(G82)*239+sum(G71)*629</f>
        <v>0</v>
      </c>
      <c r="H102" s="285">
        <f t="shared" si="2"/>
        <v>0</v>
      </c>
      <c r="I102" s="285">
        <f t="shared" si="2"/>
        <v>0</v>
      </c>
      <c r="J102" s="285">
        <f t="shared" si="2"/>
        <v>0</v>
      </c>
      <c r="K102" s="285">
        <f t="shared" si="2"/>
        <v>0</v>
      </c>
      <c r="L102" s="285">
        <f t="shared" si="2"/>
        <v>0</v>
      </c>
      <c r="M102" s="285">
        <f t="shared" si="2"/>
        <v>0</v>
      </c>
      <c r="N102" s="285">
        <f t="shared" si="2"/>
        <v>0</v>
      </c>
      <c r="O102" s="285">
        <f t="shared" si="2"/>
        <v>0</v>
      </c>
      <c r="P102" s="3"/>
      <c r="Q102" s="3"/>
      <c r="R102" s="559"/>
      <c r="S102" s="3"/>
      <c r="T102" s="3"/>
      <c r="U102" s="3"/>
      <c r="V102" s="3"/>
      <c r="W102" s="3"/>
      <c r="X102" s="3"/>
      <c r="Y102" s="3"/>
      <c r="Z102" s="3"/>
    </row>
    <row r="103">
      <c r="A103" s="72"/>
      <c r="B103" s="72"/>
      <c r="C103" s="129"/>
      <c r="D103" s="129"/>
      <c r="E103" s="129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R103" s="551"/>
    </row>
    <row r="104">
      <c r="C104" s="533">
        <f>C102-9953</f>
        <v>0</v>
      </c>
      <c r="D104" s="129"/>
      <c r="E104" s="129"/>
      <c r="F104" s="72"/>
      <c r="R104" s="551"/>
    </row>
    <row r="105">
      <c r="C105" s="70"/>
      <c r="D105" s="129"/>
      <c r="E105" s="129"/>
      <c r="F105" s="72"/>
      <c r="R105" s="551"/>
    </row>
    <row r="106">
      <c r="C106" s="70"/>
      <c r="D106" s="129"/>
      <c r="E106" s="129"/>
      <c r="F106" s="72"/>
      <c r="R106" s="551"/>
    </row>
    <row r="107">
      <c r="C107" s="70"/>
      <c r="D107" s="129"/>
      <c r="E107" s="129"/>
      <c r="F107" s="72"/>
      <c r="R107" s="551"/>
    </row>
    <row r="108">
      <c r="C108" s="70"/>
      <c r="D108" s="129"/>
      <c r="E108" s="129"/>
      <c r="F108" s="72"/>
      <c r="R108" s="551"/>
    </row>
    <row r="109">
      <c r="C109" s="70"/>
      <c r="D109" s="129"/>
      <c r="E109" s="129"/>
      <c r="F109" s="72"/>
      <c r="R109" s="551"/>
    </row>
    <row r="110">
      <c r="C110" s="70"/>
      <c r="D110" s="129"/>
      <c r="E110" s="129"/>
      <c r="F110" s="72"/>
      <c r="R110" s="551"/>
    </row>
    <row r="111">
      <c r="C111" s="70"/>
      <c r="D111" s="129"/>
      <c r="E111" s="129"/>
      <c r="F111" s="72"/>
      <c r="R111" s="551"/>
    </row>
    <row r="112">
      <c r="C112" s="70"/>
      <c r="D112" s="129"/>
      <c r="E112" s="129"/>
      <c r="F112" s="72"/>
      <c r="R112" s="551"/>
    </row>
    <row r="113">
      <c r="C113" s="70"/>
      <c r="D113" s="129"/>
      <c r="E113" s="129"/>
      <c r="F113" s="72"/>
      <c r="R113" s="551"/>
    </row>
    <row r="114">
      <c r="C114" s="70"/>
      <c r="D114" s="129"/>
      <c r="E114" s="129"/>
      <c r="F114" s="72"/>
      <c r="R114" s="551"/>
    </row>
    <row r="115">
      <c r="C115" s="70"/>
      <c r="D115" s="129"/>
      <c r="E115" s="129"/>
      <c r="F115" s="72"/>
      <c r="R115" s="551"/>
    </row>
    <row r="116">
      <c r="C116" s="70"/>
      <c r="D116" s="129"/>
      <c r="E116" s="129"/>
      <c r="F116" s="72"/>
      <c r="R116" s="551"/>
    </row>
    <row r="117">
      <c r="C117" s="70"/>
      <c r="D117" s="129"/>
      <c r="E117" s="129"/>
      <c r="F117" s="72"/>
      <c r="R117" s="551"/>
    </row>
    <row r="118">
      <c r="C118" s="70"/>
      <c r="D118" s="129"/>
      <c r="E118" s="129"/>
      <c r="F118" s="72"/>
      <c r="R118" s="551"/>
    </row>
    <row r="119">
      <c r="C119" s="70"/>
      <c r="D119" s="129"/>
      <c r="E119" s="129"/>
      <c r="F119" s="72"/>
      <c r="R119" s="551"/>
    </row>
    <row r="120">
      <c r="C120" s="70"/>
      <c r="D120" s="129"/>
      <c r="E120" s="129"/>
      <c r="F120" s="72"/>
      <c r="R120" s="551"/>
    </row>
    <row r="121">
      <c r="C121" s="70"/>
      <c r="D121" s="129"/>
      <c r="E121" s="129"/>
      <c r="F121" s="72"/>
      <c r="R121" s="551"/>
    </row>
    <row r="122">
      <c r="C122" s="70"/>
      <c r="D122" s="129"/>
      <c r="E122" s="129"/>
      <c r="F122" s="72"/>
      <c r="R122" s="551"/>
    </row>
    <row r="123">
      <c r="C123" s="70"/>
      <c r="D123" s="70"/>
      <c r="E123" s="70"/>
      <c r="R123" s="551"/>
    </row>
    <row r="124">
      <c r="C124" s="70"/>
      <c r="D124" s="70"/>
      <c r="E124" s="70"/>
      <c r="R124" s="551"/>
    </row>
    <row r="125">
      <c r="C125" s="70"/>
      <c r="D125" s="70"/>
      <c r="E125" s="70"/>
      <c r="R125" s="551"/>
    </row>
    <row r="126">
      <c r="C126" s="70"/>
      <c r="D126" s="70"/>
      <c r="E126" s="70"/>
      <c r="R126" s="551"/>
    </row>
    <row r="127">
      <c r="C127" s="70"/>
      <c r="D127" s="70"/>
      <c r="E127" s="70"/>
      <c r="R127" s="551"/>
    </row>
    <row r="128">
      <c r="C128" s="70"/>
      <c r="D128" s="70"/>
      <c r="E128" s="70"/>
      <c r="R128" s="551"/>
    </row>
    <row r="129">
      <c r="C129" s="70"/>
      <c r="D129" s="70"/>
      <c r="E129" s="70"/>
      <c r="R129" s="551"/>
    </row>
    <row r="130">
      <c r="C130" s="70"/>
      <c r="D130" s="70"/>
      <c r="E130" s="70"/>
      <c r="R130" s="551"/>
    </row>
    <row r="131">
      <c r="C131" s="70"/>
      <c r="D131" s="70"/>
      <c r="E131" s="70"/>
      <c r="R131" s="551"/>
    </row>
    <row r="132">
      <c r="C132" s="70"/>
      <c r="D132" s="70"/>
      <c r="E132" s="70"/>
      <c r="R132" s="551"/>
    </row>
    <row r="133">
      <c r="C133" s="70"/>
      <c r="D133" s="70"/>
      <c r="E133" s="70"/>
      <c r="R133" s="551"/>
    </row>
    <row r="134">
      <c r="C134" s="70"/>
      <c r="D134" s="70"/>
      <c r="E134" s="70"/>
      <c r="R134" s="551"/>
    </row>
    <row r="135">
      <c r="C135" s="70"/>
      <c r="D135" s="70"/>
      <c r="E135" s="70"/>
      <c r="R135" s="551"/>
    </row>
    <row r="136">
      <c r="C136" s="70"/>
      <c r="D136" s="70"/>
      <c r="E136" s="70"/>
      <c r="R136" s="551"/>
    </row>
    <row r="137">
      <c r="C137" s="70"/>
      <c r="D137" s="70"/>
      <c r="E137" s="70"/>
      <c r="R137" s="551"/>
    </row>
    <row r="138">
      <c r="C138" s="70"/>
      <c r="D138" s="70"/>
      <c r="E138" s="70"/>
      <c r="R138" s="551"/>
    </row>
    <row r="139">
      <c r="C139" s="70"/>
      <c r="D139" s="70"/>
      <c r="E139" s="70"/>
      <c r="R139" s="551"/>
    </row>
    <row r="140">
      <c r="C140" s="70"/>
      <c r="D140" s="70"/>
      <c r="E140" s="70"/>
      <c r="R140" s="551"/>
    </row>
    <row r="141">
      <c r="C141" s="70"/>
      <c r="D141" s="70"/>
      <c r="E141" s="70"/>
      <c r="R141" s="551"/>
    </row>
    <row r="142">
      <c r="C142" s="70"/>
      <c r="D142" s="70"/>
      <c r="E142" s="70"/>
      <c r="R142" s="551"/>
    </row>
    <row r="143">
      <c r="C143" s="70"/>
      <c r="D143" s="70"/>
      <c r="E143" s="70"/>
      <c r="R143" s="551"/>
    </row>
    <row r="144">
      <c r="C144" s="70"/>
      <c r="D144" s="70"/>
      <c r="E144" s="70"/>
      <c r="R144" s="551"/>
    </row>
    <row r="145">
      <c r="C145" s="70"/>
      <c r="D145" s="70"/>
      <c r="E145" s="70"/>
      <c r="R145" s="551"/>
    </row>
    <row r="146">
      <c r="C146" s="70"/>
      <c r="D146" s="70"/>
      <c r="E146" s="70"/>
      <c r="R146" s="551"/>
    </row>
    <row r="147">
      <c r="C147" s="70"/>
      <c r="D147" s="70"/>
      <c r="E147" s="70"/>
      <c r="R147" s="551"/>
    </row>
    <row r="148">
      <c r="C148" s="70"/>
      <c r="D148" s="70"/>
      <c r="E148" s="70"/>
      <c r="R148" s="551"/>
    </row>
    <row r="149">
      <c r="C149" s="70"/>
      <c r="D149" s="70"/>
      <c r="E149" s="70"/>
      <c r="R149" s="551"/>
    </row>
    <row r="150">
      <c r="C150" s="70"/>
      <c r="D150" s="70"/>
      <c r="E150" s="70"/>
      <c r="R150" s="551"/>
    </row>
    <row r="151">
      <c r="C151" s="70"/>
      <c r="D151" s="70"/>
      <c r="E151" s="70"/>
      <c r="R151" s="551"/>
    </row>
    <row r="152">
      <c r="C152" s="70"/>
      <c r="D152" s="70"/>
      <c r="E152" s="70"/>
      <c r="R152" s="551"/>
    </row>
    <row r="153">
      <c r="C153" s="70"/>
      <c r="D153" s="70"/>
      <c r="E153" s="70"/>
      <c r="R153" s="551"/>
    </row>
    <row r="154">
      <c r="C154" s="70"/>
      <c r="D154" s="70"/>
      <c r="E154" s="70"/>
      <c r="R154" s="551"/>
    </row>
    <row r="155">
      <c r="C155" s="70"/>
      <c r="D155" s="70"/>
      <c r="E155" s="70"/>
      <c r="R155" s="551"/>
    </row>
    <row r="156">
      <c r="C156" s="70"/>
      <c r="D156" s="70"/>
      <c r="E156" s="70"/>
      <c r="R156" s="551"/>
    </row>
    <row r="157">
      <c r="C157" s="70"/>
      <c r="D157" s="70"/>
      <c r="E157" s="70"/>
      <c r="R157" s="551"/>
    </row>
    <row r="158">
      <c r="C158" s="70"/>
      <c r="D158" s="70"/>
      <c r="E158" s="70"/>
      <c r="R158" s="551"/>
    </row>
    <row r="159">
      <c r="C159" s="70"/>
      <c r="D159" s="70"/>
      <c r="E159" s="70"/>
      <c r="R159" s="551"/>
    </row>
    <row r="160">
      <c r="C160" s="70"/>
      <c r="D160" s="70"/>
      <c r="E160" s="70"/>
      <c r="R160" s="551"/>
    </row>
    <row r="161">
      <c r="C161" s="70"/>
      <c r="D161" s="70"/>
      <c r="E161" s="70"/>
      <c r="R161" s="551"/>
    </row>
    <row r="162">
      <c r="C162" s="70"/>
      <c r="D162" s="70"/>
      <c r="E162" s="70"/>
      <c r="R162" s="551"/>
    </row>
    <row r="163">
      <c r="C163" s="70"/>
      <c r="D163" s="70"/>
      <c r="E163" s="70"/>
      <c r="R163" s="551"/>
    </row>
    <row r="164">
      <c r="C164" s="70"/>
      <c r="D164" s="70"/>
      <c r="E164" s="70"/>
      <c r="R164" s="551"/>
    </row>
    <row r="165">
      <c r="C165" s="70"/>
      <c r="D165" s="70"/>
      <c r="E165" s="70"/>
      <c r="R165" s="551"/>
    </row>
    <row r="166">
      <c r="C166" s="70"/>
      <c r="D166" s="70"/>
      <c r="E166" s="70"/>
      <c r="R166" s="551"/>
    </row>
    <row r="167">
      <c r="C167" s="70"/>
      <c r="D167" s="70"/>
      <c r="E167" s="70"/>
      <c r="R167" s="551"/>
    </row>
    <row r="168">
      <c r="C168" s="70"/>
      <c r="D168" s="70"/>
      <c r="E168" s="70"/>
      <c r="R168" s="551"/>
    </row>
    <row r="169">
      <c r="C169" s="70"/>
      <c r="D169" s="70"/>
      <c r="E169" s="70"/>
      <c r="R169" s="551"/>
    </row>
    <row r="170">
      <c r="C170" s="70"/>
      <c r="D170" s="70"/>
      <c r="E170" s="70"/>
      <c r="R170" s="551"/>
    </row>
    <row r="171">
      <c r="C171" s="70"/>
      <c r="D171" s="70"/>
      <c r="E171" s="70"/>
      <c r="R171" s="551"/>
    </row>
    <row r="172">
      <c r="C172" s="70"/>
      <c r="D172" s="70"/>
      <c r="E172" s="70"/>
      <c r="R172" s="551"/>
    </row>
    <row r="173">
      <c r="C173" s="70"/>
      <c r="D173" s="70"/>
      <c r="E173" s="70"/>
      <c r="R173" s="551"/>
    </row>
    <row r="174">
      <c r="C174" s="70"/>
      <c r="D174" s="70"/>
      <c r="E174" s="70"/>
      <c r="R174" s="551"/>
    </row>
    <row r="175">
      <c r="C175" s="70"/>
      <c r="D175" s="70"/>
      <c r="E175" s="70"/>
      <c r="R175" s="551"/>
    </row>
    <row r="176">
      <c r="C176" s="70"/>
      <c r="D176" s="70"/>
      <c r="E176" s="70"/>
      <c r="R176" s="551"/>
    </row>
    <row r="177">
      <c r="C177" s="70"/>
      <c r="D177" s="70"/>
      <c r="E177" s="70"/>
      <c r="R177" s="551"/>
    </row>
    <row r="178">
      <c r="C178" s="70"/>
      <c r="D178" s="70"/>
      <c r="E178" s="70"/>
      <c r="R178" s="551"/>
    </row>
    <row r="179">
      <c r="C179" s="70"/>
      <c r="D179" s="70"/>
      <c r="E179" s="70"/>
      <c r="R179" s="551"/>
    </row>
    <row r="180">
      <c r="C180" s="70"/>
      <c r="D180" s="70"/>
      <c r="E180" s="70"/>
      <c r="R180" s="551"/>
    </row>
    <row r="181">
      <c r="C181" s="70"/>
      <c r="D181" s="70"/>
      <c r="E181" s="70"/>
      <c r="R181" s="551"/>
    </row>
    <row r="182">
      <c r="C182" s="70"/>
      <c r="D182" s="70"/>
      <c r="E182" s="70"/>
      <c r="R182" s="551"/>
    </row>
    <row r="183">
      <c r="C183" s="70"/>
      <c r="D183" s="70"/>
      <c r="E183" s="70"/>
      <c r="R183" s="551"/>
    </row>
    <row r="184">
      <c r="C184" s="70"/>
      <c r="D184" s="70"/>
      <c r="E184" s="70"/>
      <c r="R184" s="551"/>
    </row>
    <row r="185">
      <c r="C185" s="70"/>
      <c r="D185" s="70"/>
      <c r="E185" s="70"/>
      <c r="R185" s="551"/>
    </row>
    <row r="186">
      <c r="C186" s="70"/>
      <c r="D186" s="70"/>
      <c r="E186" s="70"/>
      <c r="R186" s="551"/>
    </row>
    <row r="187">
      <c r="C187" s="70"/>
      <c r="D187" s="70"/>
      <c r="E187" s="70"/>
      <c r="R187" s="551"/>
    </row>
    <row r="188">
      <c r="C188" s="70"/>
      <c r="D188" s="70"/>
      <c r="E188" s="70"/>
      <c r="R188" s="551"/>
    </row>
    <row r="189">
      <c r="C189" s="70"/>
      <c r="D189" s="70"/>
      <c r="E189" s="70"/>
      <c r="R189" s="551"/>
    </row>
    <row r="190">
      <c r="C190" s="70"/>
      <c r="D190" s="70"/>
      <c r="E190" s="70"/>
      <c r="R190" s="551"/>
    </row>
    <row r="191">
      <c r="C191" s="70"/>
      <c r="D191" s="70"/>
      <c r="E191" s="70"/>
      <c r="R191" s="551"/>
    </row>
    <row r="192">
      <c r="C192" s="70"/>
      <c r="D192" s="70"/>
      <c r="E192" s="70"/>
      <c r="R192" s="551"/>
    </row>
    <row r="193">
      <c r="C193" s="70"/>
      <c r="D193" s="70"/>
      <c r="E193" s="70"/>
      <c r="R193" s="551"/>
    </row>
    <row r="194">
      <c r="C194" s="70"/>
      <c r="D194" s="70"/>
      <c r="E194" s="70"/>
      <c r="R194" s="551"/>
    </row>
    <row r="195">
      <c r="C195" s="70"/>
      <c r="D195" s="70"/>
      <c r="E195" s="70"/>
      <c r="R195" s="551"/>
    </row>
    <row r="196">
      <c r="C196" s="70"/>
      <c r="D196" s="70"/>
      <c r="E196" s="70"/>
      <c r="R196" s="551"/>
    </row>
    <row r="197">
      <c r="C197" s="70"/>
      <c r="D197" s="70"/>
      <c r="E197" s="70"/>
      <c r="R197" s="551"/>
    </row>
    <row r="198">
      <c r="C198" s="70"/>
      <c r="D198" s="70"/>
      <c r="E198" s="70"/>
      <c r="R198" s="551"/>
    </row>
    <row r="199">
      <c r="C199" s="70"/>
      <c r="D199" s="70"/>
      <c r="E199" s="70"/>
      <c r="R199" s="551"/>
    </row>
    <row r="200">
      <c r="C200" s="70"/>
      <c r="D200" s="70"/>
      <c r="E200" s="70"/>
      <c r="R200" s="551"/>
    </row>
    <row r="201">
      <c r="C201" s="70"/>
      <c r="D201" s="70"/>
      <c r="E201" s="70"/>
      <c r="R201" s="551"/>
    </row>
    <row r="202">
      <c r="C202" s="70"/>
      <c r="D202" s="70"/>
      <c r="E202" s="70"/>
      <c r="R202" s="551"/>
    </row>
    <row r="203">
      <c r="C203" s="70"/>
      <c r="D203" s="70"/>
      <c r="E203" s="70"/>
      <c r="R203" s="551"/>
    </row>
    <row r="204">
      <c r="C204" s="70"/>
      <c r="D204" s="70"/>
      <c r="E204" s="70"/>
      <c r="R204" s="551"/>
    </row>
    <row r="205">
      <c r="C205" s="70"/>
      <c r="D205" s="70"/>
      <c r="E205" s="70"/>
      <c r="R205" s="551"/>
    </row>
    <row r="206">
      <c r="C206" s="70"/>
      <c r="D206" s="70"/>
      <c r="E206" s="70"/>
      <c r="R206" s="551"/>
    </row>
    <row r="207">
      <c r="C207" s="70"/>
      <c r="D207" s="70"/>
      <c r="E207" s="70"/>
      <c r="R207" s="551"/>
    </row>
    <row r="208">
      <c r="C208" s="70"/>
      <c r="D208" s="70"/>
      <c r="E208" s="70"/>
      <c r="R208" s="551"/>
    </row>
    <row r="209">
      <c r="C209" s="70"/>
      <c r="D209" s="70"/>
      <c r="E209" s="70"/>
      <c r="R209" s="551"/>
    </row>
    <row r="210">
      <c r="C210" s="70"/>
      <c r="D210" s="70"/>
      <c r="E210" s="70"/>
      <c r="R210" s="551"/>
    </row>
    <row r="211">
      <c r="C211" s="70"/>
      <c r="D211" s="70"/>
      <c r="E211" s="70"/>
      <c r="R211" s="551"/>
    </row>
    <row r="212">
      <c r="C212" s="70"/>
      <c r="D212" s="70"/>
      <c r="E212" s="70"/>
      <c r="R212" s="551"/>
    </row>
    <row r="213">
      <c r="C213" s="70"/>
      <c r="D213" s="70"/>
      <c r="E213" s="70"/>
      <c r="R213" s="551"/>
    </row>
    <row r="214">
      <c r="C214" s="70"/>
      <c r="D214" s="70"/>
      <c r="E214" s="70"/>
      <c r="R214" s="551"/>
    </row>
    <row r="215">
      <c r="C215" s="70"/>
      <c r="D215" s="70"/>
      <c r="E215" s="70"/>
      <c r="R215" s="551"/>
    </row>
    <row r="216">
      <c r="C216" s="70"/>
      <c r="D216" s="70"/>
      <c r="E216" s="70"/>
      <c r="R216" s="551"/>
    </row>
    <row r="217">
      <c r="C217" s="70"/>
      <c r="D217" s="70"/>
      <c r="E217" s="70"/>
      <c r="R217" s="551"/>
    </row>
    <row r="218">
      <c r="C218" s="70"/>
      <c r="D218" s="70"/>
      <c r="E218" s="70"/>
      <c r="R218" s="551"/>
    </row>
    <row r="219">
      <c r="C219" s="70"/>
      <c r="D219" s="70"/>
      <c r="E219" s="70"/>
      <c r="R219" s="551"/>
    </row>
    <row r="220">
      <c r="C220" s="70"/>
      <c r="D220" s="70"/>
      <c r="E220" s="70"/>
      <c r="R220" s="551"/>
    </row>
    <row r="221">
      <c r="C221" s="70"/>
      <c r="D221" s="70"/>
      <c r="E221" s="70"/>
      <c r="R221" s="551"/>
    </row>
    <row r="222">
      <c r="C222" s="70"/>
      <c r="D222" s="70"/>
      <c r="E222" s="70"/>
      <c r="R222" s="551"/>
    </row>
    <row r="223">
      <c r="C223" s="70"/>
      <c r="D223" s="70"/>
      <c r="E223" s="70"/>
      <c r="R223" s="551"/>
    </row>
    <row r="224">
      <c r="C224" s="70"/>
      <c r="D224" s="70"/>
      <c r="E224" s="70"/>
      <c r="R224" s="551"/>
    </row>
    <row r="225">
      <c r="C225" s="70"/>
      <c r="D225" s="70"/>
      <c r="E225" s="70"/>
      <c r="R225" s="551"/>
    </row>
    <row r="226">
      <c r="C226" s="70"/>
      <c r="D226" s="70"/>
      <c r="E226" s="70"/>
      <c r="R226" s="551"/>
    </row>
    <row r="227">
      <c r="C227" s="70"/>
      <c r="D227" s="70"/>
      <c r="E227" s="70"/>
      <c r="R227" s="551"/>
    </row>
    <row r="228">
      <c r="C228" s="70"/>
      <c r="D228" s="70"/>
      <c r="E228" s="70"/>
      <c r="R228" s="551"/>
    </row>
    <row r="229">
      <c r="C229" s="70"/>
      <c r="D229" s="70"/>
      <c r="E229" s="70"/>
      <c r="R229" s="551"/>
    </row>
    <row r="230">
      <c r="C230" s="70"/>
      <c r="D230" s="70"/>
      <c r="E230" s="70"/>
      <c r="R230" s="551"/>
    </row>
    <row r="231">
      <c r="C231" s="70"/>
      <c r="D231" s="70"/>
      <c r="E231" s="70"/>
      <c r="R231" s="551"/>
    </row>
    <row r="232">
      <c r="C232" s="70"/>
      <c r="D232" s="70"/>
      <c r="E232" s="70"/>
      <c r="R232" s="551"/>
    </row>
    <row r="233">
      <c r="C233" s="70"/>
      <c r="D233" s="70"/>
      <c r="E233" s="70"/>
      <c r="R233" s="551"/>
    </row>
    <row r="234">
      <c r="C234" s="70"/>
      <c r="D234" s="70"/>
      <c r="E234" s="70"/>
      <c r="R234" s="551"/>
    </row>
    <row r="235">
      <c r="C235" s="70"/>
      <c r="D235" s="70"/>
      <c r="E235" s="70"/>
      <c r="R235" s="551"/>
    </row>
    <row r="236">
      <c r="C236" s="70"/>
      <c r="D236" s="70"/>
      <c r="E236" s="70"/>
      <c r="R236" s="551"/>
    </row>
    <row r="237">
      <c r="C237" s="70"/>
      <c r="D237" s="70"/>
      <c r="E237" s="70"/>
      <c r="R237" s="551"/>
    </row>
    <row r="238">
      <c r="C238" s="70"/>
      <c r="D238" s="70"/>
      <c r="E238" s="70"/>
      <c r="R238" s="551"/>
    </row>
    <row r="239">
      <c r="C239" s="70"/>
      <c r="D239" s="70"/>
      <c r="E239" s="70"/>
      <c r="R239" s="551"/>
    </row>
    <row r="240">
      <c r="C240" s="70"/>
      <c r="D240" s="70"/>
      <c r="E240" s="70"/>
      <c r="R240" s="551"/>
    </row>
    <row r="241">
      <c r="C241" s="70"/>
      <c r="D241" s="70"/>
      <c r="E241" s="70"/>
      <c r="R241" s="551"/>
    </row>
    <row r="242">
      <c r="C242" s="70"/>
      <c r="D242" s="70"/>
      <c r="E242" s="70"/>
      <c r="R242" s="551"/>
    </row>
    <row r="243">
      <c r="C243" s="70"/>
      <c r="D243" s="70"/>
      <c r="E243" s="70"/>
      <c r="R243" s="551"/>
    </row>
    <row r="244">
      <c r="C244" s="70"/>
      <c r="D244" s="70"/>
      <c r="E244" s="70"/>
      <c r="R244" s="551"/>
    </row>
    <row r="245">
      <c r="C245" s="70"/>
      <c r="D245" s="70"/>
      <c r="E245" s="70"/>
      <c r="R245" s="551"/>
    </row>
    <row r="246">
      <c r="C246" s="70"/>
      <c r="D246" s="70"/>
      <c r="E246" s="70"/>
      <c r="R246" s="551"/>
    </row>
    <row r="247">
      <c r="C247" s="70"/>
      <c r="D247" s="70"/>
      <c r="E247" s="70"/>
      <c r="R247" s="551"/>
    </row>
    <row r="248">
      <c r="C248" s="70"/>
      <c r="D248" s="70"/>
      <c r="E248" s="70"/>
      <c r="R248" s="551"/>
    </row>
    <row r="249">
      <c r="C249" s="70"/>
      <c r="D249" s="70"/>
      <c r="E249" s="70"/>
      <c r="R249" s="551"/>
    </row>
    <row r="250">
      <c r="C250" s="70"/>
      <c r="D250" s="70"/>
      <c r="E250" s="70"/>
      <c r="R250" s="551"/>
    </row>
    <row r="251">
      <c r="C251" s="70"/>
      <c r="D251" s="70"/>
      <c r="E251" s="70"/>
      <c r="R251" s="551"/>
    </row>
    <row r="252">
      <c r="C252" s="70"/>
      <c r="D252" s="70"/>
      <c r="E252" s="70"/>
      <c r="R252" s="551"/>
    </row>
    <row r="253">
      <c r="C253" s="70"/>
      <c r="D253" s="70"/>
      <c r="E253" s="70"/>
      <c r="R253" s="551"/>
    </row>
    <row r="254">
      <c r="C254" s="70"/>
      <c r="D254" s="70"/>
      <c r="E254" s="70"/>
      <c r="R254" s="551"/>
    </row>
    <row r="255">
      <c r="C255" s="70"/>
      <c r="D255" s="70"/>
      <c r="E255" s="70"/>
      <c r="R255" s="551"/>
    </row>
    <row r="256">
      <c r="C256" s="70"/>
      <c r="D256" s="70"/>
      <c r="E256" s="70"/>
      <c r="R256" s="551"/>
    </row>
    <row r="257">
      <c r="C257" s="70"/>
      <c r="D257" s="70"/>
      <c r="E257" s="70"/>
      <c r="R257" s="551"/>
    </row>
    <row r="258">
      <c r="C258" s="70"/>
      <c r="D258" s="70"/>
      <c r="E258" s="70"/>
      <c r="R258" s="551"/>
    </row>
    <row r="259">
      <c r="C259" s="70"/>
      <c r="D259" s="70"/>
      <c r="E259" s="70"/>
      <c r="R259" s="551"/>
    </row>
    <row r="260">
      <c r="C260" s="70"/>
      <c r="D260" s="70"/>
      <c r="E260" s="70"/>
      <c r="R260" s="551"/>
    </row>
    <row r="261">
      <c r="C261" s="70"/>
      <c r="D261" s="70"/>
      <c r="E261" s="70"/>
      <c r="R261" s="551"/>
    </row>
    <row r="262">
      <c r="C262" s="70"/>
      <c r="D262" s="70"/>
      <c r="E262" s="70"/>
      <c r="R262" s="551"/>
    </row>
    <row r="263">
      <c r="C263" s="70"/>
      <c r="D263" s="70"/>
      <c r="E263" s="70"/>
      <c r="R263" s="551"/>
    </row>
    <row r="264">
      <c r="C264" s="70"/>
      <c r="D264" s="70"/>
      <c r="E264" s="70"/>
      <c r="R264" s="551"/>
    </row>
    <row r="265">
      <c r="C265" s="70"/>
      <c r="D265" s="70"/>
      <c r="E265" s="70"/>
      <c r="R265" s="551"/>
    </row>
    <row r="266">
      <c r="C266" s="70"/>
      <c r="D266" s="70"/>
      <c r="E266" s="70"/>
      <c r="R266" s="551"/>
    </row>
    <row r="267">
      <c r="C267" s="70"/>
      <c r="D267" s="70"/>
      <c r="E267" s="70"/>
      <c r="R267" s="551"/>
    </row>
    <row r="268">
      <c r="C268" s="70"/>
      <c r="D268" s="70"/>
      <c r="E268" s="70"/>
      <c r="R268" s="551"/>
    </row>
    <row r="269">
      <c r="C269" s="70"/>
      <c r="D269" s="70"/>
      <c r="E269" s="70"/>
      <c r="R269" s="551"/>
    </row>
    <row r="270">
      <c r="C270" s="70"/>
      <c r="D270" s="70"/>
      <c r="E270" s="70"/>
      <c r="R270" s="551"/>
    </row>
    <row r="271">
      <c r="C271" s="70"/>
      <c r="D271" s="70"/>
      <c r="E271" s="70"/>
      <c r="R271" s="551"/>
    </row>
    <row r="272">
      <c r="C272" s="70"/>
      <c r="D272" s="70"/>
      <c r="E272" s="70"/>
      <c r="R272" s="551"/>
    </row>
    <row r="273">
      <c r="C273" s="70"/>
      <c r="D273" s="70"/>
      <c r="E273" s="70"/>
      <c r="R273" s="551"/>
    </row>
    <row r="274">
      <c r="C274" s="70"/>
      <c r="D274" s="70"/>
      <c r="E274" s="70"/>
      <c r="R274" s="551"/>
    </row>
    <row r="275">
      <c r="C275" s="70"/>
      <c r="D275" s="70"/>
      <c r="E275" s="70"/>
      <c r="R275" s="551"/>
    </row>
    <row r="276">
      <c r="C276" s="70"/>
      <c r="D276" s="70"/>
      <c r="E276" s="70"/>
      <c r="R276" s="551"/>
    </row>
    <row r="277">
      <c r="C277" s="70"/>
      <c r="D277" s="70"/>
      <c r="E277" s="70"/>
      <c r="R277" s="551"/>
    </row>
    <row r="278">
      <c r="C278" s="70"/>
      <c r="D278" s="70"/>
      <c r="E278" s="70"/>
      <c r="R278" s="551"/>
    </row>
    <row r="279">
      <c r="C279" s="70"/>
      <c r="D279" s="70"/>
      <c r="E279" s="70"/>
      <c r="R279" s="551"/>
    </row>
    <row r="280">
      <c r="C280" s="70"/>
      <c r="D280" s="70"/>
      <c r="E280" s="70"/>
      <c r="R280" s="551"/>
    </row>
    <row r="281">
      <c r="C281" s="70"/>
      <c r="D281" s="70"/>
      <c r="E281" s="70"/>
      <c r="R281" s="551"/>
    </row>
    <row r="282">
      <c r="C282" s="70"/>
      <c r="D282" s="70"/>
      <c r="E282" s="70"/>
      <c r="R282" s="551"/>
    </row>
    <row r="283">
      <c r="C283" s="70"/>
      <c r="D283" s="70"/>
      <c r="E283" s="70"/>
      <c r="R283" s="551"/>
    </row>
    <row r="284">
      <c r="C284" s="70"/>
      <c r="D284" s="70"/>
      <c r="E284" s="70"/>
      <c r="R284" s="551"/>
    </row>
    <row r="285">
      <c r="C285" s="70"/>
      <c r="D285" s="70"/>
      <c r="E285" s="70"/>
      <c r="R285" s="551"/>
    </row>
    <row r="286">
      <c r="C286" s="70"/>
      <c r="D286" s="70"/>
      <c r="E286" s="70"/>
      <c r="R286" s="551"/>
    </row>
    <row r="287">
      <c r="C287" s="70"/>
      <c r="D287" s="70"/>
      <c r="E287" s="70"/>
      <c r="R287" s="551"/>
    </row>
    <row r="288">
      <c r="C288" s="70"/>
      <c r="D288" s="70"/>
      <c r="E288" s="70"/>
      <c r="R288" s="551"/>
    </row>
    <row r="289">
      <c r="C289" s="70"/>
      <c r="D289" s="70"/>
      <c r="E289" s="70"/>
      <c r="R289" s="551"/>
    </row>
    <row r="290">
      <c r="C290" s="70"/>
      <c r="D290" s="70"/>
      <c r="E290" s="70"/>
      <c r="R290" s="551"/>
    </row>
    <row r="291">
      <c r="C291" s="70"/>
      <c r="D291" s="70"/>
      <c r="E291" s="70"/>
      <c r="R291" s="551"/>
    </row>
    <row r="292">
      <c r="C292" s="70"/>
      <c r="D292" s="70"/>
      <c r="E292" s="70"/>
      <c r="R292" s="551"/>
    </row>
    <row r="293">
      <c r="C293" s="70"/>
      <c r="D293" s="70"/>
      <c r="E293" s="70"/>
      <c r="R293" s="551"/>
    </row>
    <row r="294">
      <c r="C294" s="70"/>
      <c r="D294" s="70"/>
      <c r="E294" s="70"/>
      <c r="R294" s="551"/>
    </row>
    <row r="295">
      <c r="C295" s="70"/>
      <c r="D295" s="70"/>
      <c r="E295" s="70"/>
      <c r="R295" s="551"/>
    </row>
    <row r="296">
      <c r="C296" s="70"/>
      <c r="D296" s="70"/>
      <c r="E296" s="70"/>
      <c r="R296" s="551"/>
    </row>
    <row r="297">
      <c r="C297" s="70"/>
      <c r="D297" s="70"/>
      <c r="E297" s="70"/>
      <c r="R297" s="551"/>
    </row>
    <row r="298">
      <c r="C298" s="70"/>
      <c r="D298" s="70"/>
      <c r="E298" s="70"/>
      <c r="R298" s="551"/>
    </row>
    <row r="299">
      <c r="C299" s="70"/>
      <c r="D299" s="70"/>
      <c r="E299" s="70"/>
      <c r="R299" s="551"/>
    </row>
    <row r="300">
      <c r="C300" s="70"/>
      <c r="D300" s="70"/>
      <c r="E300" s="70"/>
      <c r="R300" s="551"/>
    </row>
    <row r="301">
      <c r="C301" s="70"/>
      <c r="D301" s="70"/>
      <c r="E301" s="70"/>
      <c r="R301" s="551"/>
    </row>
    <row r="302">
      <c r="C302" s="70"/>
      <c r="D302" s="70"/>
      <c r="E302" s="70"/>
      <c r="R302" s="551"/>
    </row>
    <row r="303">
      <c r="C303" s="70"/>
      <c r="D303" s="70"/>
      <c r="E303" s="70"/>
      <c r="R303" s="551"/>
    </row>
    <row r="304">
      <c r="C304" s="70"/>
      <c r="D304" s="70"/>
      <c r="E304" s="70"/>
      <c r="R304" s="551"/>
    </row>
    <row r="305">
      <c r="C305" s="70"/>
      <c r="D305" s="70"/>
      <c r="E305" s="70"/>
      <c r="R305" s="551"/>
    </row>
    <row r="306">
      <c r="C306" s="70"/>
      <c r="D306" s="70"/>
      <c r="E306" s="70"/>
      <c r="R306" s="551"/>
    </row>
    <row r="307">
      <c r="C307" s="70"/>
      <c r="D307" s="70"/>
      <c r="E307" s="70"/>
      <c r="R307" s="551"/>
    </row>
    <row r="308">
      <c r="C308" s="70"/>
      <c r="D308" s="70"/>
      <c r="E308" s="70"/>
      <c r="R308" s="551"/>
    </row>
    <row r="309">
      <c r="C309" s="70"/>
      <c r="D309" s="70"/>
      <c r="E309" s="70"/>
      <c r="R309" s="551"/>
    </row>
    <row r="310">
      <c r="C310" s="70"/>
      <c r="D310" s="70"/>
      <c r="E310" s="70"/>
      <c r="R310" s="551"/>
    </row>
    <row r="311">
      <c r="C311" s="70"/>
      <c r="D311" s="70"/>
      <c r="E311" s="70"/>
      <c r="R311" s="551"/>
    </row>
    <row r="312">
      <c r="C312" s="70"/>
      <c r="D312" s="70"/>
      <c r="E312" s="70"/>
      <c r="R312" s="551"/>
    </row>
    <row r="313">
      <c r="C313" s="70"/>
      <c r="D313" s="70"/>
      <c r="E313" s="70"/>
      <c r="R313" s="551"/>
    </row>
    <row r="314">
      <c r="C314" s="70"/>
      <c r="D314" s="70"/>
      <c r="E314" s="70"/>
      <c r="R314" s="551"/>
    </row>
    <row r="315">
      <c r="C315" s="70"/>
      <c r="D315" s="70"/>
      <c r="E315" s="70"/>
      <c r="R315" s="551"/>
    </row>
    <row r="316">
      <c r="C316" s="70"/>
      <c r="D316" s="70"/>
      <c r="E316" s="70"/>
      <c r="R316" s="551"/>
    </row>
    <row r="317">
      <c r="C317" s="70"/>
      <c r="D317" s="70"/>
      <c r="E317" s="70"/>
      <c r="R317" s="551"/>
    </row>
    <row r="318">
      <c r="C318" s="70"/>
      <c r="D318" s="70"/>
      <c r="E318" s="70"/>
      <c r="R318" s="551"/>
    </row>
    <row r="319">
      <c r="C319" s="70"/>
      <c r="D319" s="70"/>
      <c r="E319" s="70"/>
      <c r="R319" s="551"/>
    </row>
    <row r="320">
      <c r="C320" s="70"/>
      <c r="D320" s="70"/>
      <c r="E320" s="70"/>
      <c r="R320" s="551"/>
    </row>
    <row r="321">
      <c r="C321" s="70"/>
      <c r="D321" s="70"/>
      <c r="E321" s="70"/>
      <c r="R321" s="551"/>
    </row>
    <row r="322">
      <c r="C322" s="70"/>
      <c r="D322" s="70"/>
      <c r="E322" s="70"/>
      <c r="R322" s="551"/>
    </row>
    <row r="323">
      <c r="C323" s="70"/>
      <c r="D323" s="70"/>
      <c r="E323" s="70"/>
      <c r="R323" s="551"/>
    </row>
    <row r="324">
      <c r="C324" s="70"/>
      <c r="D324" s="70"/>
      <c r="E324" s="70"/>
      <c r="R324" s="551"/>
    </row>
    <row r="325">
      <c r="C325" s="70"/>
      <c r="D325" s="70"/>
      <c r="E325" s="70"/>
      <c r="R325" s="551"/>
    </row>
    <row r="326">
      <c r="C326" s="70"/>
      <c r="D326" s="70"/>
      <c r="E326" s="70"/>
      <c r="R326" s="551"/>
    </row>
    <row r="327">
      <c r="C327" s="70"/>
      <c r="D327" s="70"/>
      <c r="E327" s="70"/>
      <c r="R327" s="551"/>
    </row>
    <row r="328">
      <c r="C328" s="70"/>
      <c r="D328" s="70"/>
      <c r="E328" s="70"/>
      <c r="R328" s="551"/>
    </row>
    <row r="329">
      <c r="C329" s="70"/>
      <c r="D329" s="70"/>
      <c r="E329" s="70"/>
      <c r="R329" s="551"/>
    </row>
    <row r="330">
      <c r="C330" s="70"/>
      <c r="D330" s="70"/>
      <c r="E330" s="70"/>
      <c r="R330" s="551"/>
    </row>
    <row r="331">
      <c r="C331" s="70"/>
      <c r="D331" s="70"/>
      <c r="E331" s="70"/>
      <c r="R331" s="551"/>
    </row>
    <row r="332">
      <c r="C332" s="70"/>
      <c r="D332" s="70"/>
      <c r="E332" s="70"/>
      <c r="R332" s="551"/>
    </row>
    <row r="333">
      <c r="C333" s="70"/>
      <c r="D333" s="70"/>
      <c r="E333" s="70"/>
      <c r="R333" s="551"/>
    </row>
    <row r="334">
      <c r="C334" s="70"/>
      <c r="D334" s="70"/>
      <c r="E334" s="70"/>
      <c r="R334" s="551"/>
    </row>
    <row r="335">
      <c r="C335" s="70"/>
      <c r="D335" s="70"/>
      <c r="E335" s="70"/>
      <c r="R335" s="551"/>
    </row>
    <row r="336">
      <c r="C336" s="70"/>
      <c r="D336" s="70"/>
      <c r="E336" s="70"/>
      <c r="R336" s="551"/>
    </row>
    <row r="337">
      <c r="C337" s="70"/>
      <c r="D337" s="70"/>
      <c r="E337" s="70"/>
      <c r="R337" s="551"/>
    </row>
    <row r="338">
      <c r="C338" s="70"/>
      <c r="D338" s="70"/>
      <c r="E338" s="70"/>
      <c r="R338" s="551"/>
    </row>
    <row r="339">
      <c r="C339" s="70"/>
      <c r="D339" s="70"/>
      <c r="E339" s="70"/>
      <c r="R339" s="551"/>
    </row>
    <row r="340">
      <c r="C340" s="70"/>
      <c r="D340" s="70"/>
      <c r="E340" s="70"/>
      <c r="R340" s="551"/>
    </row>
    <row r="341">
      <c r="C341" s="70"/>
      <c r="D341" s="70"/>
      <c r="E341" s="70"/>
      <c r="R341" s="551"/>
    </row>
    <row r="342">
      <c r="C342" s="70"/>
      <c r="D342" s="70"/>
      <c r="E342" s="70"/>
      <c r="R342" s="551"/>
    </row>
    <row r="343">
      <c r="C343" s="70"/>
      <c r="D343" s="70"/>
      <c r="E343" s="70"/>
      <c r="R343" s="551"/>
    </row>
    <row r="344">
      <c r="C344" s="70"/>
      <c r="D344" s="70"/>
      <c r="E344" s="70"/>
      <c r="R344" s="551"/>
    </row>
    <row r="345">
      <c r="C345" s="70"/>
      <c r="D345" s="70"/>
      <c r="E345" s="70"/>
      <c r="R345" s="551"/>
    </row>
    <row r="346">
      <c r="C346" s="70"/>
      <c r="D346" s="70"/>
      <c r="E346" s="70"/>
      <c r="R346" s="551"/>
    </row>
    <row r="347">
      <c r="C347" s="70"/>
      <c r="D347" s="70"/>
      <c r="E347" s="70"/>
      <c r="R347" s="551"/>
    </row>
    <row r="348">
      <c r="C348" s="70"/>
      <c r="D348" s="70"/>
      <c r="E348" s="70"/>
      <c r="R348" s="551"/>
    </row>
    <row r="349">
      <c r="C349" s="70"/>
      <c r="D349" s="70"/>
      <c r="E349" s="70"/>
      <c r="R349" s="551"/>
    </row>
    <row r="350">
      <c r="C350" s="70"/>
      <c r="D350" s="70"/>
      <c r="E350" s="70"/>
      <c r="R350" s="551"/>
    </row>
    <row r="351">
      <c r="C351" s="70"/>
      <c r="D351" s="70"/>
      <c r="E351" s="70"/>
      <c r="R351" s="551"/>
    </row>
    <row r="352">
      <c r="C352" s="70"/>
      <c r="D352" s="70"/>
      <c r="E352" s="70"/>
      <c r="R352" s="551"/>
    </row>
    <row r="353">
      <c r="C353" s="70"/>
      <c r="D353" s="70"/>
      <c r="E353" s="70"/>
      <c r="R353" s="551"/>
    </row>
    <row r="354">
      <c r="C354" s="70"/>
      <c r="D354" s="70"/>
      <c r="E354" s="70"/>
      <c r="R354" s="551"/>
    </row>
    <row r="355">
      <c r="C355" s="70"/>
      <c r="D355" s="70"/>
      <c r="E355" s="70"/>
      <c r="R355" s="551"/>
    </row>
    <row r="356">
      <c r="C356" s="70"/>
      <c r="D356" s="70"/>
      <c r="E356" s="70"/>
      <c r="R356" s="551"/>
    </row>
    <row r="357">
      <c r="C357" s="70"/>
      <c r="D357" s="70"/>
      <c r="E357" s="70"/>
      <c r="R357" s="551"/>
    </row>
    <row r="358">
      <c r="C358" s="70"/>
      <c r="D358" s="70"/>
      <c r="E358" s="70"/>
      <c r="R358" s="551"/>
    </row>
    <row r="359">
      <c r="C359" s="70"/>
      <c r="D359" s="70"/>
      <c r="E359" s="70"/>
      <c r="R359" s="551"/>
    </row>
    <row r="360">
      <c r="C360" s="70"/>
      <c r="D360" s="70"/>
      <c r="E360" s="70"/>
      <c r="R360" s="551"/>
    </row>
    <row r="361">
      <c r="C361" s="70"/>
      <c r="D361" s="70"/>
      <c r="E361" s="70"/>
      <c r="R361" s="551"/>
    </row>
    <row r="362">
      <c r="C362" s="70"/>
      <c r="D362" s="70"/>
      <c r="E362" s="70"/>
      <c r="R362" s="551"/>
    </row>
    <row r="363">
      <c r="C363" s="70"/>
      <c r="D363" s="70"/>
      <c r="E363" s="70"/>
      <c r="R363" s="551"/>
    </row>
    <row r="364">
      <c r="C364" s="70"/>
      <c r="D364" s="70"/>
      <c r="E364" s="70"/>
      <c r="R364" s="551"/>
    </row>
    <row r="365">
      <c r="C365" s="70"/>
      <c r="D365" s="70"/>
      <c r="E365" s="70"/>
      <c r="R365" s="551"/>
    </row>
    <row r="366">
      <c r="C366" s="70"/>
      <c r="D366" s="70"/>
      <c r="E366" s="70"/>
      <c r="R366" s="551"/>
    </row>
    <row r="367">
      <c r="C367" s="70"/>
      <c r="D367" s="70"/>
      <c r="E367" s="70"/>
      <c r="R367" s="551"/>
    </row>
    <row r="368">
      <c r="C368" s="70"/>
      <c r="D368" s="70"/>
      <c r="E368" s="70"/>
      <c r="R368" s="551"/>
    </row>
    <row r="369">
      <c r="C369" s="70"/>
      <c r="D369" s="70"/>
      <c r="E369" s="70"/>
      <c r="R369" s="551"/>
    </row>
    <row r="370">
      <c r="C370" s="70"/>
      <c r="D370" s="70"/>
      <c r="E370" s="70"/>
      <c r="R370" s="551"/>
    </row>
    <row r="371">
      <c r="C371" s="70"/>
      <c r="D371" s="70"/>
      <c r="E371" s="70"/>
      <c r="R371" s="551"/>
    </row>
    <row r="372">
      <c r="C372" s="70"/>
      <c r="D372" s="70"/>
      <c r="E372" s="70"/>
      <c r="R372" s="551"/>
    </row>
    <row r="373">
      <c r="C373" s="70"/>
      <c r="D373" s="70"/>
      <c r="E373" s="70"/>
      <c r="R373" s="551"/>
    </row>
    <row r="374">
      <c r="C374" s="70"/>
      <c r="D374" s="70"/>
      <c r="E374" s="70"/>
      <c r="R374" s="551"/>
    </row>
    <row r="375">
      <c r="C375" s="70"/>
      <c r="D375" s="70"/>
      <c r="E375" s="70"/>
      <c r="R375" s="551"/>
    </row>
    <row r="376">
      <c r="C376" s="70"/>
      <c r="D376" s="70"/>
      <c r="E376" s="70"/>
      <c r="R376" s="551"/>
    </row>
    <row r="377">
      <c r="C377" s="70"/>
      <c r="D377" s="70"/>
      <c r="E377" s="70"/>
      <c r="R377" s="551"/>
    </row>
    <row r="378">
      <c r="C378" s="70"/>
      <c r="D378" s="70"/>
      <c r="E378" s="70"/>
      <c r="R378" s="551"/>
    </row>
    <row r="379">
      <c r="C379" s="70"/>
      <c r="D379" s="70"/>
      <c r="E379" s="70"/>
      <c r="R379" s="551"/>
    </row>
    <row r="380">
      <c r="C380" s="70"/>
      <c r="D380" s="70"/>
      <c r="E380" s="70"/>
      <c r="R380" s="551"/>
    </row>
    <row r="381">
      <c r="C381" s="70"/>
      <c r="D381" s="70"/>
      <c r="E381" s="70"/>
      <c r="R381" s="551"/>
    </row>
    <row r="382">
      <c r="C382" s="70"/>
      <c r="D382" s="70"/>
      <c r="E382" s="70"/>
      <c r="R382" s="551"/>
    </row>
    <row r="383">
      <c r="C383" s="70"/>
      <c r="D383" s="70"/>
      <c r="E383" s="70"/>
      <c r="R383" s="551"/>
    </row>
    <row r="384">
      <c r="C384" s="70"/>
      <c r="D384" s="70"/>
      <c r="E384" s="70"/>
      <c r="R384" s="551"/>
    </row>
    <row r="385">
      <c r="C385" s="70"/>
      <c r="D385" s="70"/>
      <c r="E385" s="70"/>
      <c r="R385" s="551"/>
    </row>
    <row r="386">
      <c r="C386" s="70"/>
      <c r="D386" s="70"/>
      <c r="E386" s="70"/>
      <c r="R386" s="551"/>
    </row>
    <row r="387">
      <c r="C387" s="70"/>
      <c r="D387" s="70"/>
      <c r="E387" s="70"/>
      <c r="R387" s="551"/>
    </row>
    <row r="388">
      <c r="C388" s="70"/>
      <c r="D388" s="70"/>
      <c r="E388" s="70"/>
      <c r="R388" s="551"/>
    </row>
    <row r="389">
      <c r="C389" s="70"/>
      <c r="D389" s="70"/>
      <c r="E389" s="70"/>
      <c r="R389" s="551"/>
    </row>
    <row r="390">
      <c r="C390" s="70"/>
      <c r="D390" s="70"/>
      <c r="E390" s="70"/>
      <c r="R390" s="551"/>
    </row>
    <row r="391">
      <c r="C391" s="70"/>
      <c r="D391" s="70"/>
      <c r="E391" s="70"/>
      <c r="R391" s="551"/>
    </row>
    <row r="392">
      <c r="C392" s="70"/>
      <c r="D392" s="70"/>
      <c r="E392" s="70"/>
      <c r="R392" s="551"/>
    </row>
    <row r="393">
      <c r="C393" s="70"/>
      <c r="D393" s="70"/>
      <c r="E393" s="70"/>
      <c r="R393" s="551"/>
    </row>
    <row r="394">
      <c r="C394" s="70"/>
      <c r="D394" s="70"/>
      <c r="E394" s="70"/>
      <c r="R394" s="551"/>
    </row>
    <row r="395">
      <c r="C395" s="70"/>
      <c r="D395" s="70"/>
      <c r="E395" s="70"/>
      <c r="R395" s="551"/>
    </row>
    <row r="396">
      <c r="C396" s="70"/>
      <c r="D396" s="70"/>
      <c r="E396" s="70"/>
      <c r="R396" s="551"/>
    </row>
    <row r="397">
      <c r="C397" s="70"/>
      <c r="D397" s="70"/>
      <c r="E397" s="70"/>
      <c r="R397" s="551"/>
    </row>
    <row r="398">
      <c r="C398" s="70"/>
      <c r="D398" s="70"/>
      <c r="E398" s="70"/>
      <c r="R398" s="551"/>
    </row>
    <row r="399">
      <c r="C399" s="70"/>
      <c r="D399" s="70"/>
      <c r="E399" s="70"/>
      <c r="R399" s="551"/>
    </row>
    <row r="400">
      <c r="C400" s="70"/>
      <c r="D400" s="70"/>
      <c r="E400" s="70"/>
      <c r="R400" s="551"/>
    </row>
    <row r="401">
      <c r="C401" s="70"/>
      <c r="D401" s="70"/>
      <c r="E401" s="70"/>
      <c r="R401" s="551"/>
    </row>
    <row r="402">
      <c r="C402" s="70"/>
      <c r="D402" s="70"/>
      <c r="E402" s="70"/>
      <c r="R402" s="551"/>
    </row>
    <row r="403">
      <c r="C403" s="70"/>
      <c r="D403" s="70"/>
      <c r="E403" s="70"/>
      <c r="R403" s="551"/>
    </row>
    <row r="404">
      <c r="C404" s="70"/>
      <c r="D404" s="70"/>
      <c r="E404" s="70"/>
      <c r="R404" s="551"/>
    </row>
    <row r="405">
      <c r="C405" s="70"/>
      <c r="D405" s="70"/>
      <c r="E405" s="70"/>
      <c r="R405" s="551"/>
    </row>
    <row r="406">
      <c r="C406" s="70"/>
      <c r="D406" s="70"/>
      <c r="E406" s="70"/>
      <c r="R406" s="551"/>
    </row>
    <row r="407">
      <c r="C407" s="70"/>
      <c r="D407" s="70"/>
      <c r="E407" s="70"/>
      <c r="R407" s="551"/>
    </row>
    <row r="408">
      <c r="C408" s="70"/>
      <c r="D408" s="70"/>
      <c r="E408" s="70"/>
      <c r="R408" s="551"/>
    </row>
    <row r="409">
      <c r="C409" s="70"/>
      <c r="D409" s="70"/>
      <c r="E409" s="70"/>
      <c r="R409" s="551"/>
    </row>
    <row r="410">
      <c r="C410" s="70"/>
      <c r="D410" s="70"/>
      <c r="E410" s="70"/>
      <c r="R410" s="551"/>
    </row>
    <row r="411">
      <c r="C411" s="70"/>
      <c r="D411" s="70"/>
      <c r="E411" s="70"/>
      <c r="R411" s="551"/>
    </row>
    <row r="412">
      <c r="C412" s="70"/>
      <c r="D412" s="70"/>
      <c r="E412" s="70"/>
      <c r="R412" s="551"/>
    </row>
    <row r="413">
      <c r="C413" s="70"/>
      <c r="D413" s="70"/>
      <c r="E413" s="70"/>
      <c r="R413" s="551"/>
    </row>
    <row r="414">
      <c r="C414" s="70"/>
      <c r="D414" s="70"/>
      <c r="E414" s="70"/>
      <c r="R414" s="551"/>
    </row>
    <row r="415">
      <c r="C415" s="70"/>
      <c r="D415" s="70"/>
      <c r="E415" s="70"/>
      <c r="R415" s="551"/>
    </row>
    <row r="416">
      <c r="C416" s="70"/>
      <c r="D416" s="70"/>
      <c r="E416" s="70"/>
      <c r="R416" s="551"/>
    </row>
    <row r="417">
      <c r="C417" s="70"/>
      <c r="D417" s="70"/>
      <c r="E417" s="70"/>
      <c r="R417" s="551"/>
    </row>
    <row r="418">
      <c r="C418" s="70"/>
      <c r="D418" s="70"/>
      <c r="E418" s="70"/>
      <c r="R418" s="551"/>
    </row>
    <row r="419">
      <c r="C419" s="70"/>
      <c r="D419" s="70"/>
      <c r="E419" s="70"/>
      <c r="R419" s="551"/>
    </row>
    <row r="420">
      <c r="C420" s="70"/>
      <c r="D420" s="70"/>
      <c r="E420" s="70"/>
      <c r="R420" s="551"/>
    </row>
    <row r="421">
      <c r="C421" s="70"/>
      <c r="D421" s="70"/>
      <c r="E421" s="70"/>
      <c r="R421" s="551"/>
    </row>
    <row r="422">
      <c r="C422" s="70"/>
      <c r="D422" s="70"/>
      <c r="E422" s="70"/>
      <c r="R422" s="551"/>
    </row>
    <row r="423">
      <c r="C423" s="70"/>
      <c r="D423" s="70"/>
      <c r="E423" s="70"/>
      <c r="R423" s="551"/>
    </row>
    <row r="424">
      <c r="C424" s="70"/>
      <c r="D424" s="70"/>
      <c r="E424" s="70"/>
      <c r="R424" s="551"/>
    </row>
    <row r="425">
      <c r="C425" s="70"/>
      <c r="D425" s="70"/>
      <c r="E425" s="70"/>
      <c r="R425" s="551"/>
    </row>
    <row r="426">
      <c r="C426" s="70"/>
      <c r="D426" s="70"/>
      <c r="E426" s="70"/>
      <c r="R426" s="551"/>
    </row>
    <row r="427">
      <c r="C427" s="70"/>
      <c r="D427" s="70"/>
      <c r="E427" s="70"/>
      <c r="R427" s="551"/>
    </row>
    <row r="428">
      <c r="C428" s="70"/>
      <c r="D428" s="70"/>
      <c r="E428" s="70"/>
      <c r="R428" s="551"/>
    </row>
    <row r="429">
      <c r="C429" s="70"/>
      <c r="D429" s="70"/>
      <c r="E429" s="70"/>
      <c r="R429" s="551"/>
    </row>
    <row r="430">
      <c r="C430" s="70"/>
      <c r="D430" s="70"/>
      <c r="E430" s="70"/>
      <c r="R430" s="551"/>
    </row>
    <row r="431">
      <c r="C431" s="70"/>
      <c r="D431" s="70"/>
      <c r="E431" s="70"/>
      <c r="R431" s="551"/>
    </row>
    <row r="432">
      <c r="C432" s="70"/>
      <c r="D432" s="70"/>
      <c r="E432" s="70"/>
      <c r="R432" s="551"/>
    </row>
    <row r="433">
      <c r="C433" s="70"/>
      <c r="D433" s="70"/>
      <c r="E433" s="70"/>
      <c r="R433" s="551"/>
    </row>
    <row r="434">
      <c r="C434" s="70"/>
      <c r="D434" s="70"/>
      <c r="E434" s="70"/>
      <c r="R434" s="551"/>
    </row>
    <row r="435">
      <c r="C435" s="70"/>
      <c r="D435" s="70"/>
      <c r="E435" s="70"/>
      <c r="R435" s="551"/>
    </row>
    <row r="436">
      <c r="C436" s="70"/>
      <c r="D436" s="70"/>
      <c r="E436" s="70"/>
      <c r="R436" s="551"/>
    </row>
    <row r="437">
      <c r="C437" s="70"/>
      <c r="D437" s="70"/>
      <c r="E437" s="70"/>
      <c r="R437" s="551"/>
    </row>
    <row r="438">
      <c r="C438" s="70"/>
      <c r="D438" s="70"/>
      <c r="E438" s="70"/>
      <c r="R438" s="551"/>
    </row>
    <row r="439">
      <c r="C439" s="70"/>
      <c r="D439" s="70"/>
      <c r="E439" s="70"/>
      <c r="R439" s="551"/>
    </row>
    <row r="440">
      <c r="C440" s="70"/>
      <c r="D440" s="70"/>
      <c r="E440" s="70"/>
      <c r="R440" s="551"/>
    </row>
    <row r="441">
      <c r="C441" s="70"/>
      <c r="D441" s="70"/>
      <c r="E441" s="70"/>
      <c r="R441" s="551"/>
    </row>
    <row r="442">
      <c r="C442" s="70"/>
      <c r="D442" s="70"/>
      <c r="E442" s="70"/>
      <c r="R442" s="551"/>
    </row>
    <row r="443">
      <c r="C443" s="70"/>
      <c r="D443" s="70"/>
      <c r="E443" s="70"/>
      <c r="R443" s="551"/>
    </row>
    <row r="444">
      <c r="C444" s="70"/>
      <c r="D444" s="70"/>
      <c r="E444" s="70"/>
      <c r="R444" s="551"/>
    </row>
    <row r="445">
      <c r="C445" s="70"/>
      <c r="D445" s="70"/>
      <c r="E445" s="70"/>
      <c r="R445" s="551"/>
    </row>
    <row r="446">
      <c r="C446" s="70"/>
      <c r="D446" s="70"/>
      <c r="E446" s="70"/>
      <c r="R446" s="551"/>
    </row>
    <row r="447">
      <c r="C447" s="70"/>
      <c r="D447" s="70"/>
      <c r="E447" s="70"/>
      <c r="R447" s="551"/>
    </row>
    <row r="448">
      <c r="C448" s="70"/>
      <c r="D448" s="70"/>
      <c r="E448" s="70"/>
      <c r="R448" s="551"/>
    </row>
    <row r="449">
      <c r="C449" s="70"/>
      <c r="D449" s="70"/>
      <c r="E449" s="70"/>
      <c r="R449" s="551"/>
    </row>
    <row r="450">
      <c r="C450" s="70"/>
      <c r="D450" s="70"/>
      <c r="E450" s="70"/>
      <c r="R450" s="551"/>
    </row>
    <row r="451">
      <c r="C451" s="70"/>
      <c r="D451" s="70"/>
      <c r="E451" s="70"/>
      <c r="R451" s="551"/>
    </row>
    <row r="452">
      <c r="C452" s="70"/>
      <c r="D452" s="70"/>
      <c r="E452" s="70"/>
      <c r="R452" s="551"/>
    </row>
    <row r="453">
      <c r="C453" s="70"/>
      <c r="D453" s="70"/>
      <c r="E453" s="70"/>
      <c r="R453" s="551"/>
    </row>
    <row r="454">
      <c r="C454" s="70"/>
      <c r="D454" s="70"/>
      <c r="E454" s="70"/>
      <c r="R454" s="551"/>
    </row>
    <row r="455">
      <c r="C455" s="70"/>
      <c r="D455" s="70"/>
      <c r="E455" s="70"/>
      <c r="R455" s="551"/>
    </row>
    <row r="456">
      <c r="C456" s="70"/>
      <c r="D456" s="70"/>
      <c r="E456" s="70"/>
      <c r="R456" s="551"/>
    </row>
    <row r="457">
      <c r="C457" s="70"/>
      <c r="D457" s="70"/>
      <c r="E457" s="70"/>
      <c r="R457" s="551"/>
    </row>
    <row r="458">
      <c r="C458" s="70"/>
      <c r="D458" s="70"/>
      <c r="E458" s="70"/>
      <c r="R458" s="551"/>
    </row>
    <row r="459">
      <c r="C459" s="70"/>
      <c r="D459" s="70"/>
      <c r="E459" s="70"/>
      <c r="R459" s="551"/>
    </row>
    <row r="460">
      <c r="C460" s="70"/>
      <c r="D460" s="70"/>
      <c r="E460" s="70"/>
      <c r="R460" s="551"/>
    </row>
    <row r="461">
      <c r="C461" s="70"/>
      <c r="D461" s="70"/>
      <c r="E461" s="70"/>
      <c r="R461" s="551"/>
    </row>
    <row r="462">
      <c r="C462" s="70"/>
      <c r="D462" s="70"/>
      <c r="E462" s="70"/>
      <c r="R462" s="551"/>
    </row>
    <row r="463">
      <c r="C463" s="70"/>
      <c r="D463" s="70"/>
      <c r="E463" s="70"/>
      <c r="R463" s="551"/>
    </row>
    <row r="464">
      <c r="C464" s="70"/>
      <c r="D464" s="70"/>
      <c r="E464" s="70"/>
      <c r="R464" s="551"/>
    </row>
    <row r="465">
      <c r="C465" s="70"/>
      <c r="D465" s="70"/>
      <c r="E465" s="70"/>
      <c r="R465" s="551"/>
    </row>
    <row r="466">
      <c r="C466" s="70"/>
      <c r="D466" s="70"/>
      <c r="E466" s="70"/>
      <c r="R466" s="551"/>
    </row>
    <row r="467">
      <c r="C467" s="70"/>
      <c r="D467" s="70"/>
      <c r="E467" s="70"/>
      <c r="R467" s="551"/>
    </row>
    <row r="468">
      <c r="C468" s="70"/>
      <c r="D468" s="70"/>
      <c r="E468" s="70"/>
      <c r="R468" s="551"/>
    </row>
    <row r="469">
      <c r="C469" s="70"/>
      <c r="D469" s="70"/>
      <c r="E469" s="70"/>
      <c r="R469" s="551"/>
    </row>
    <row r="470">
      <c r="C470" s="70"/>
      <c r="D470" s="70"/>
      <c r="E470" s="70"/>
      <c r="R470" s="551"/>
    </row>
    <row r="471">
      <c r="C471" s="70"/>
      <c r="D471" s="70"/>
      <c r="E471" s="70"/>
      <c r="R471" s="551"/>
    </row>
    <row r="472">
      <c r="C472" s="70"/>
      <c r="D472" s="70"/>
      <c r="E472" s="70"/>
      <c r="R472" s="551"/>
    </row>
    <row r="473">
      <c r="C473" s="70"/>
      <c r="D473" s="70"/>
      <c r="E473" s="70"/>
      <c r="R473" s="551"/>
    </row>
    <row r="474">
      <c r="C474" s="70"/>
      <c r="D474" s="70"/>
      <c r="E474" s="70"/>
      <c r="R474" s="551"/>
    </row>
    <row r="475">
      <c r="C475" s="70"/>
      <c r="D475" s="70"/>
      <c r="E475" s="70"/>
      <c r="R475" s="551"/>
    </row>
    <row r="476">
      <c r="C476" s="70"/>
      <c r="D476" s="70"/>
      <c r="E476" s="70"/>
      <c r="R476" s="551"/>
    </row>
    <row r="477">
      <c r="C477" s="70"/>
      <c r="D477" s="70"/>
      <c r="E477" s="70"/>
      <c r="R477" s="551"/>
    </row>
    <row r="478">
      <c r="C478" s="70"/>
      <c r="D478" s="70"/>
      <c r="E478" s="70"/>
      <c r="R478" s="551"/>
    </row>
    <row r="479">
      <c r="C479" s="70"/>
      <c r="D479" s="70"/>
      <c r="E479" s="70"/>
      <c r="R479" s="551"/>
    </row>
    <row r="480">
      <c r="C480" s="70"/>
      <c r="D480" s="70"/>
      <c r="E480" s="70"/>
      <c r="R480" s="551"/>
    </row>
    <row r="481">
      <c r="C481" s="70"/>
      <c r="D481" s="70"/>
      <c r="E481" s="70"/>
      <c r="R481" s="551"/>
    </row>
    <row r="482">
      <c r="C482" s="70"/>
      <c r="D482" s="70"/>
      <c r="E482" s="70"/>
      <c r="R482" s="551"/>
    </row>
    <row r="483">
      <c r="C483" s="70"/>
      <c r="D483" s="70"/>
      <c r="E483" s="70"/>
      <c r="R483" s="551"/>
    </row>
    <row r="484">
      <c r="C484" s="70"/>
      <c r="D484" s="70"/>
      <c r="E484" s="70"/>
      <c r="R484" s="551"/>
    </row>
    <row r="485">
      <c r="C485" s="70"/>
      <c r="D485" s="70"/>
      <c r="E485" s="70"/>
      <c r="R485" s="551"/>
    </row>
    <row r="486">
      <c r="C486" s="70"/>
      <c r="D486" s="70"/>
      <c r="E486" s="70"/>
      <c r="R486" s="551"/>
    </row>
    <row r="487">
      <c r="C487" s="70"/>
      <c r="D487" s="70"/>
      <c r="E487" s="70"/>
      <c r="R487" s="551"/>
    </row>
    <row r="488">
      <c r="C488" s="70"/>
      <c r="D488" s="70"/>
      <c r="E488" s="70"/>
      <c r="R488" s="551"/>
    </row>
    <row r="489">
      <c r="C489" s="70"/>
      <c r="D489" s="70"/>
      <c r="E489" s="70"/>
      <c r="R489" s="551"/>
    </row>
    <row r="490">
      <c r="C490" s="70"/>
      <c r="D490" s="70"/>
      <c r="E490" s="70"/>
      <c r="R490" s="551"/>
    </row>
    <row r="491">
      <c r="C491" s="70"/>
      <c r="D491" s="70"/>
      <c r="E491" s="70"/>
      <c r="R491" s="551"/>
    </row>
    <row r="492">
      <c r="C492" s="70"/>
      <c r="D492" s="70"/>
      <c r="E492" s="70"/>
      <c r="R492" s="551"/>
    </row>
    <row r="493">
      <c r="C493" s="70"/>
      <c r="D493" s="70"/>
      <c r="E493" s="70"/>
      <c r="R493" s="551"/>
    </row>
    <row r="494">
      <c r="C494" s="70"/>
      <c r="D494" s="70"/>
      <c r="E494" s="70"/>
      <c r="R494" s="551"/>
    </row>
    <row r="495">
      <c r="C495" s="70"/>
      <c r="D495" s="70"/>
      <c r="E495" s="70"/>
      <c r="R495" s="551"/>
    </row>
    <row r="496">
      <c r="C496" s="70"/>
      <c r="D496" s="70"/>
      <c r="E496" s="70"/>
      <c r="R496" s="551"/>
    </row>
    <row r="497">
      <c r="C497" s="70"/>
      <c r="D497" s="70"/>
      <c r="E497" s="70"/>
      <c r="R497" s="551"/>
    </row>
    <row r="498">
      <c r="C498" s="70"/>
      <c r="D498" s="70"/>
      <c r="E498" s="70"/>
      <c r="R498" s="551"/>
    </row>
    <row r="499">
      <c r="C499" s="70"/>
      <c r="D499" s="70"/>
      <c r="E499" s="70"/>
      <c r="R499" s="551"/>
    </row>
    <row r="500">
      <c r="C500" s="70"/>
      <c r="D500" s="70"/>
      <c r="E500" s="70"/>
      <c r="R500" s="551"/>
    </row>
    <row r="501">
      <c r="C501" s="70"/>
      <c r="D501" s="70"/>
      <c r="E501" s="70"/>
      <c r="R501" s="551"/>
    </row>
    <row r="502">
      <c r="C502" s="70"/>
      <c r="D502" s="70"/>
      <c r="E502" s="70"/>
      <c r="R502" s="551"/>
    </row>
    <row r="503">
      <c r="C503" s="70"/>
      <c r="D503" s="70"/>
      <c r="E503" s="70"/>
      <c r="R503" s="551"/>
    </row>
    <row r="504">
      <c r="C504" s="70"/>
      <c r="D504" s="70"/>
      <c r="E504" s="70"/>
      <c r="R504" s="551"/>
    </row>
    <row r="505">
      <c r="C505" s="70"/>
      <c r="D505" s="70"/>
      <c r="E505" s="70"/>
      <c r="R505" s="551"/>
    </row>
    <row r="506">
      <c r="C506" s="70"/>
      <c r="D506" s="70"/>
      <c r="E506" s="70"/>
      <c r="R506" s="551"/>
    </row>
    <row r="507">
      <c r="C507" s="70"/>
      <c r="D507" s="70"/>
      <c r="E507" s="70"/>
      <c r="R507" s="551"/>
    </row>
    <row r="508">
      <c r="C508" s="70"/>
      <c r="D508" s="70"/>
      <c r="E508" s="70"/>
      <c r="R508" s="551"/>
    </row>
    <row r="509">
      <c r="C509" s="70"/>
      <c r="D509" s="70"/>
      <c r="E509" s="70"/>
      <c r="R509" s="551"/>
    </row>
    <row r="510">
      <c r="C510" s="70"/>
      <c r="D510" s="70"/>
      <c r="E510" s="70"/>
      <c r="R510" s="551"/>
    </row>
    <row r="511">
      <c r="C511" s="70"/>
      <c r="D511" s="70"/>
      <c r="E511" s="70"/>
      <c r="R511" s="551"/>
    </row>
    <row r="512">
      <c r="C512" s="70"/>
      <c r="D512" s="70"/>
      <c r="E512" s="70"/>
      <c r="R512" s="551"/>
    </row>
    <row r="513">
      <c r="C513" s="70"/>
      <c r="D513" s="70"/>
      <c r="E513" s="70"/>
      <c r="R513" s="551"/>
    </row>
    <row r="514">
      <c r="C514" s="70"/>
      <c r="D514" s="70"/>
      <c r="E514" s="70"/>
      <c r="R514" s="551"/>
    </row>
    <row r="515">
      <c r="C515" s="70"/>
      <c r="D515" s="70"/>
      <c r="E515" s="70"/>
      <c r="R515" s="551"/>
    </row>
    <row r="516">
      <c r="C516" s="70"/>
      <c r="D516" s="70"/>
      <c r="E516" s="70"/>
      <c r="R516" s="551"/>
    </row>
    <row r="517">
      <c r="C517" s="70"/>
      <c r="D517" s="70"/>
      <c r="E517" s="70"/>
      <c r="R517" s="551"/>
    </row>
    <row r="518">
      <c r="C518" s="70"/>
      <c r="D518" s="70"/>
      <c r="E518" s="70"/>
      <c r="R518" s="551"/>
    </row>
    <row r="519">
      <c r="C519" s="70"/>
      <c r="D519" s="70"/>
      <c r="E519" s="70"/>
      <c r="R519" s="551"/>
    </row>
    <row r="520">
      <c r="C520" s="70"/>
      <c r="D520" s="70"/>
      <c r="E520" s="70"/>
      <c r="R520" s="551"/>
    </row>
    <row r="521">
      <c r="C521" s="70"/>
      <c r="D521" s="70"/>
      <c r="E521" s="70"/>
      <c r="R521" s="551"/>
    </row>
    <row r="522">
      <c r="C522" s="70"/>
      <c r="D522" s="70"/>
      <c r="E522" s="70"/>
      <c r="R522" s="551"/>
    </row>
    <row r="523">
      <c r="C523" s="70"/>
      <c r="D523" s="70"/>
      <c r="E523" s="70"/>
      <c r="R523" s="551"/>
    </row>
    <row r="524">
      <c r="C524" s="70"/>
      <c r="D524" s="70"/>
      <c r="E524" s="70"/>
      <c r="R524" s="551"/>
    </row>
    <row r="525">
      <c r="C525" s="70"/>
      <c r="D525" s="70"/>
      <c r="E525" s="70"/>
      <c r="R525" s="551"/>
    </row>
    <row r="526">
      <c r="C526" s="70"/>
      <c r="D526" s="70"/>
      <c r="E526" s="70"/>
      <c r="R526" s="551"/>
    </row>
    <row r="527">
      <c r="C527" s="70"/>
      <c r="D527" s="70"/>
      <c r="E527" s="70"/>
      <c r="R527" s="551"/>
    </row>
    <row r="528">
      <c r="C528" s="70"/>
      <c r="D528" s="70"/>
      <c r="E528" s="70"/>
      <c r="R528" s="551"/>
    </row>
    <row r="529">
      <c r="C529" s="70"/>
      <c r="D529" s="70"/>
      <c r="E529" s="70"/>
      <c r="R529" s="551"/>
    </row>
    <row r="530">
      <c r="C530" s="70"/>
      <c r="D530" s="70"/>
      <c r="E530" s="70"/>
      <c r="R530" s="551"/>
    </row>
    <row r="531">
      <c r="C531" s="70"/>
      <c r="D531" s="70"/>
      <c r="E531" s="70"/>
      <c r="R531" s="551"/>
    </row>
    <row r="532">
      <c r="C532" s="70"/>
      <c r="D532" s="70"/>
      <c r="E532" s="70"/>
      <c r="R532" s="551"/>
    </row>
    <row r="533">
      <c r="C533" s="70"/>
      <c r="D533" s="70"/>
      <c r="E533" s="70"/>
      <c r="R533" s="551"/>
    </row>
    <row r="534">
      <c r="C534" s="70"/>
      <c r="D534" s="70"/>
      <c r="E534" s="70"/>
      <c r="R534" s="551"/>
    </row>
    <row r="535">
      <c r="C535" s="70"/>
      <c r="D535" s="70"/>
      <c r="E535" s="70"/>
      <c r="R535" s="551"/>
    </row>
    <row r="536">
      <c r="C536" s="70"/>
      <c r="D536" s="70"/>
      <c r="E536" s="70"/>
      <c r="R536" s="551"/>
    </row>
    <row r="537">
      <c r="C537" s="70"/>
      <c r="D537" s="70"/>
      <c r="E537" s="70"/>
      <c r="R537" s="551"/>
    </row>
    <row r="538">
      <c r="C538" s="70"/>
      <c r="D538" s="70"/>
      <c r="E538" s="70"/>
      <c r="R538" s="551"/>
    </row>
    <row r="539">
      <c r="C539" s="70"/>
      <c r="D539" s="70"/>
      <c r="E539" s="70"/>
      <c r="R539" s="551"/>
    </row>
    <row r="540">
      <c r="C540" s="70"/>
      <c r="D540" s="70"/>
      <c r="E540" s="70"/>
      <c r="R540" s="551"/>
    </row>
    <row r="541">
      <c r="C541" s="70"/>
      <c r="D541" s="70"/>
      <c r="E541" s="70"/>
      <c r="R541" s="551"/>
    </row>
    <row r="542">
      <c r="C542" s="70"/>
      <c r="D542" s="70"/>
      <c r="E542" s="70"/>
      <c r="R542" s="551"/>
    </row>
    <row r="543">
      <c r="C543" s="70"/>
      <c r="D543" s="70"/>
      <c r="E543" s="70"/>
      <c r="R543" s="551"/>
    </row>
    <row r="544">
      <c r="C544" s="70"/>
      <c r="D544" s="70"/>
      <c r="E544" s="70"/>
      <c r="R544" s="551"/>
    </row>
    <row r="545">
      <c r="C545" s="70"/>
      <c r="D545" s="70"/>
      <c r="E545" s="70"/>
      <c r="R545" s="551"/>
    </row>
    <row r="546">
      <c r="C546" s="70"/>
      <c r="D546" s="70"/>
      <c r="E546" s="70"/>
      <c r="R546" s="551"/>
    </row>
    <row r="547">
      <c r="C547" s="70"/>
      <c r="D547" s="70"/>
      <c r="E547" s="70"/>
      <c r="R547" s="551"/>
    </row>
    <row r="548">
      <c r="C548" s="70"/>
      <c r="D548" s="70"/>
      <c r="E548" s="70"/>
      <c r="R548" s="551"/>
    </row>
    <row r="549">
      <c r="C549" s="70"/>
      <c r="D549" s="70"/>
      <c r="E549" s="70"/>
      <c r="R549" s="551"/>
    </row>
    <row r="550">
      <c r="C550" s="70"/>
      <c r="D550" s="70"/>
      <c r="E550" s="70"/>
      <c r="R550" s="551"/>
    </row>
    <row r="551">
      <c r="C551" s="70"/>
      <c r="D551" s="70"/>
      <c r="E551" s="70"/>
      <c r="R551" s="551"/>
    </row>
    <row r="552">
      <c r="C552" s="70"/>
      <c r="D552" s="70"/>
      <c r="E552" s="70"/>
      <c r="R552" s="551"/>
    </row>
    <row r="553">
      <c r="C553" s="70"/>
      <c r="D553" s="70"/>
      <c r="E553" s="70"/>
      <c r="R553" s="551"/>
    </row>
    <row r="554">
      <c r="C554" s="70"/>
      <c r="D554" s="70"/>
      <c r="E554" s="70"/>
      <c r="R554" s="551"/>
    </row>
    <row r="555">
      <c r="C555" s="70"/>
      <c r="D555" s="70"/>
      <c r="E555" s="70"/>
      <c r="R555" s="551"/>
    </row>
    <row r="556">
      <c r="C556" s="70"/>
      <c r="D556" s="70"/>
      <c r="E556" s="70"/>
      <c r="R556" s="551"/>
    </row>
    <row r="557">
      <c r="C557" s="70"/>
      <c r="D557" s="70"/>
      <c r="E557" s="70"/>
      <c r="R557" s="551"/>
    </row>
    <row r="558">
      <c r="C558" s="70"/>
      <c r="D558" s="70"/>
      <c r="E558" s="70"/>
      <c r="R558" s="551"/>
    </row>
    <row r="559">
      <c r="C559" s="70"/>
      <c r="D559" s="70"/>
      <c r="E559" s="70"/>
      <c r="R559" s="551"/>
    </row>
    <row r="560">
      <c r="C560" s="70"/>
      <c r="D560" s="70"/>
      <c r="E560" s="70"/>
      <c r="R560" s="551"/>
    </row>
    <row r="561">
      <c r="C561" s="70"/>
      <c r="D561" s="70"/>
      <c r="E561" s="70"/>
      <c r="R561" s="551"/>
    </row>
    <row r="562">
      <c r="C562" s="70"/>
      <c r="D562" s="70"/>
      <c r="E562" s="70"/>
      <c r="R562" s="551"/>
    </row>
    <row r="563">
      <c r="C563" s="70"/>
      <c r="D563" s="70"/>
      <c r="E563" s="70"/>
      <c r="R563" s="551"/>
    </row>
    <row r="564">
      <c r="C564" s="70"/>
      <c r="D564" s="70"/>
      <c r="E564" s="70"/>
      <c r="R564" s="551"/>
    </row>
    <row r="565">
      <c r="C565" s="70"/>
      <c r="D565" s="70"/>
      <c r="E565" s="70"/>
      <c r="R565" s="551"/>
    </row>
    <row r="566">
      <c r="C566" s="70"/>
      <c r="D566" s="70"/>
      <c r="E566" s="70"/>
      <c r="R566" s="551"/>
    </row>
    <row r="567">
      <c r="C567" s="70"/>
      <c r="D567" s="70"/>
      <c r="E567" s="70"/>
      <c r="R567" s="551"/>
    </row>
    <row r="568">
      <c r="C568" s="70"/>
      <c r="D568" s="70"/>
      <c r="E568" s="70"/>
      <c r="R568" s="551"/>
    </row>
    <row r="569">
      <c r="C569" s="70"/>
      <c r="D569" s="70"/>
      <c r="E569" s="70"/>
      <c r="R569" s="551"/>
    </row>
    <row r="570">
      <c r="C570" s="70"/>
      <c r="D570" s="70"/>
      <c r="E570" s="70"/>
      <c r="R570" s="551"/>
    </row>
    <row r="571">
      <c r="C571" s="70"/>
      <c r="D571" s="70"/>
      <c r="E571" s="70"/>
      <c r="R571" s="551"/>
    </row>
    <row r="572">
      <c r="C572" s="70"/>
      <c r="D572" s="70"/>
      <c r="E572" s="70"/>
      <c r="R572" s="551"/>
    </row>
    <row r="573">
      <c r="C573" s="70"/>
      <c r="D573" s="70"/>
      <c r="E573" s="70"/>
      <c r="R573" s="551"/>
    </row>
    <row r="574">
      <c r="C574" s="70"/>
      <c r="D574" s="70"/>
      <c r="E574" s="70"/>
      <c r="R574" s="551"/>
    </row>
    <row r="575">
      <c r="C575" s="70"/>
      <c r="D575" s="70"/>
      <c r="E575" s="70"/>
      <c r="R575" s="551"/>
    </row>
    <row r="576">
      <c r="C576" s="70"/>
      <c r="D576" s="70"/>
      <c r="E576" s="70"/>
      <c r="R576" s="551"/>
    </row>
    <row r="577">
      <c r="C577" s="70"/>
      <c r="D577" s="70"/>
      <c r="E577" s="70"/>
      <c r="R577" s="551"/>
    </row>
    <row r="578">
      <c r="C578" s="70"/>
      <c r="D578" s="70"/>
      <c r="E578" s="70"/>
      <c r="R578" s="551"/>
    </row>
    <row r="579">
      <c r="C579" s="70"/>
      <c r="D579" s="70"/>
      <c r="E579" s="70"/>
      <c r="R579" s="551"/>
    </row>
    <row r="580">
      <c r="C580" s="70"/>
      <c r="D580" s="70"/>
      <c r="E580" s="70"/>
      <c r="R580" s="551"/>
    </row>
    <row r="581">
      <c r="C581" s="70"/>
      <c r="D581" s="70"/>
      <c r="E581" s="70"/>
      <c r="R581" s="551"/>
    </row>
    <row r="582">
      <c r="C582" s="70"/>
      <c r="D582" s="70"/>
      <c r="E582" s="70"/>
      <c r="R582" s="551"/>
    </row>
    <row r="583">
      <c r="C583" s="70"/>
      <c r="D583" s="70"/>
      <c r="E583" s="70"/>
      <c r="R583" s="551"/>
    </row>
    <row r="584">
      <c r="C584" s="70"/>
      <c r="D584" s="70"/>
      <c r="E584" s="70"/>
      <c r="R584" s="551"/>
    </row>
    <row r="585">
      <c r="C585" s="70"/>
      <c r="D585" s="70"/>
      <c r="E585" s="70"/>
      <c r="R585" s="551"/>
    </row>
    <row r="586">
      <c r="C586" s="70"/>
      <c r="D586" s="70"/>
      <c r="E586" s="70"/>
      <c r="R586" s="551"/>
    </row>
    <row r="587">
      <c r="C587" s="70"/>
      <c r="D587" s="70"/>
      <c r="E587" s="70"/>
      <c r="R587" s="551"/>
    </row>
    <row r="588">
      <c r="C588" s="70"/>
      <c r="D588" s="70"/>
      <c r="E588" s="70"/>
      <c r="R588" s="551"/>
    </row>
    <row r="589">
      <c r="C589" s="70"/>
      <c r="D589" s="70"/>
      <c r="E589" s="70"/>
      <c r="R589" s="551"/>
    </row>
    <row r="590">
      <c r="C590" s="70"/>
      <c r="D590" s="70"/>
      <c r="E590" s="70"/>
      <c r="R590" s="551"/>
    </row>
    <row r="591">
      <c r="C591" s="70"/>
      <c r="D591" s="70"/>
      <c r="E591" s="70"/>
      <c r="R591" s="551"/>
    </row>
    <row r="592">
      <c r="C592" s="70"/>
      <c r="D592" s="70"/>
      <c r="E592" s="70"/>
      <c r="R592" s="551"/>
    </row>
    <row r="593">
      <c r="C593" s="70"/>
      <c r="D593" s="70"/>
      <c r="E593" s="70"/>
      <c r="R593" s="551"/>
    </row>
    <row r="594">
      <c r="C594" s="70"/>
      <c r="D594" s="70"/>
      <c r="E594" s="70"/>
      <c r="R594" s="551"/>
    </row>
    <row r="595">
      <c r="C595" s="70"/>
      <c r="D595" s="70"/>
      <c r="E595" s="70"/>
      <c r="R595" s="551"/>
    </row>
    <row r="596">
      <c r="C596" s="70"/>
      <c r="D596" s="70"/>
      <c r="E596" s="70"/>
      <c r="R596" s="551"/>
    </row>
    <row r="597">
      <c r="C597" s="70"/>
      <c r="D597" s="70"/>
      <c r="E597" s="70"/>
      <c r="R597" s="551"/>
    </row>
    <row r="598">
      <c r="C598" s="70"/>
      <c r="D598" s="70"/>
      <c r="E598" s="70"/>
      <c r="R598" s="551"/>
    </row>
    <row r="599">
      <c r="C599" s="70"/>
      <c r="D599" s="70"/>
      <c r="E599" s="70"/>
      <c r="R599" s="551"/>
    </row>
    <row r="600">
      <c r="C600" s="70"/>
      <c r="D600" s="70"/>
      <c r="E600" s="70"/>
      <c r="R600" s="551"/>
    </row>
    <row r="601">
      <c r="C601" s="70"/>
      <c r="D601" s="70"/>
      <c r="E601" s="70"/>
      <c r="R601" s="551"/>
    </row>
    <row r="602">
      <c r="C602" s="70"/>
      <c r="D602" s="70"/>
      <c r="E602" s="70"/>
      <c r="R602" s="551"/>
    </row>
    <row r="603">
      <c r="C603" s="70"/>
      <c r="D603" s="70"/>
      <c r="E603" s="70"/>
      <c r="R603" s="551"/>
    </row>
    <row r="604">
      <c r="C604" s="70"/>
      <c r="D604" s="70"/>
      <c r="E604" s="70"/>
      <c r="R604" s="551"/>
    </row>
    <row r="605">
      <c r="C605" s="70"/>
      <c r="D605" s="70"/>
      <c r="E605" s="70"/>
      <c r="R605" s="551"/>
    </row>
    <row r="606">
      <c r="C606" s="70"/>
      <c r="D606" s="70"/>
      <c r="E606" s="70"/>
      <c r="R606" s="551"/>
    </row>
    <row r="607">
      <c r="C607" s="70"/>
      <c r="D607" s="70"/>
      <c r="E607" s="70"/>
      <c r="R607" s="551"/>
    </row>
    <row r="608">
      <c r="C608" s="70"/>
      <c r="D608" s="70"/>
      <c r="E608" s="70"/>
      <c r="R608" s="551"/>
    </row>
    <row r="609">
      <c r="C609" s="70"/>
      <c r="D609" s="70"/>
      <c r="E609" s="70"/>
      <c r="R609" s="551"/>
    </row>
    <row r="610">
      <c r="C610" s="70"/>
      <c r="D610" s="70"/>
      <c r="E610" s="70"/>
      <c r="R610" s="551"/>
    </row>
    <row r="611">
      <c r="C611" s="70"/>
      <c r="D611" s="70"/>
      <c r="E611" s="70"/>
      <c r="R611" s="551"/>
    </row>
    <row r="612">
      <c r="C612" s="70"/>
      <c r="D612" s="70"/>
      <c r="E612" s="70"/>
      <c r="R612" s="551"/>
    </row>
    <row r="613">
      <c r="C613" s="70"/>
      <c r="D613" s="70"/>
      <c r="E613" s="70"/>
      <c r="R613" s="551"/>
    </row>
    <row r="614">
      <c r="C614" s="70"/>
      <c r="D614" s="70"/>
      <c r="E614" s="70"/>
      <c r="R614" s="551"/>
    </row>
    <row r="615">
      <c r="C615" s="70"/>
      <c r="D615" s="70"/>
      <c r="E615" s="70"/>
      <c r="R615" s="551"/>
    </row>
    <row r="616">
      <c r="C616" s="70"/>
      <c r="D616" s="70"/>
      <c r="E616" s="70"/>
      <c r="R616" s="551"/>
    </row>
    <row r="617">
      <c r="C617" s="70"/>
      <c r="D617" s="70"/>
      <c r="E617" s="70"/>
      <c r="R617" s="551"/>
    </row>
    <row r="618">
      <c r="C618" s="70"/>
      <c r="D618" s="70"/>
      <c r="E618" s="70"/>
      <c r="R618" s="551"/>
    </row>
    <row r="619">
      <c r="C619" s="70"/>
      <c r="D619" s="70"/>
      <c r="E619" s="70"/>
      <c r="R619" s="551"/>
    </row>
    <row r="620">
      <c r="C620" s="70"/>
      <c r="D620" s="70"/>
      <c r="E620" s="70"/>
      <c r="R620" s="551"/>
    </row>
    <row r="621">
      <c r="C621" s="70"/>
      <c r="D621" s="70"/>
      <c r="E621" s="70"/>
      <c r="R621" s="551"/>
    </row>
    <row r="622">
      <c r="C622" s="70"/>
      <c r="D622" s="70"/>
      <c r="E622" s="70"/>
      <c r="R622" s="551"/>
    </row>
    <row r="623">
      <c r="C623" s="70"/>
      <c r="D623" s="70"/>
      <c r="E623" s="70"/>
      <c r="R623" s="551"/>
    </row>
    <row r="624">
      <c r="C624" s="70"/>
      <c r="D624" s="70"/>
      <c r="E624" s="70"/>
      <c r="R624" s="551"/>
    </row>
    <row r="625">
      <c r="C625" s="70"/>
      <c r="D625" s="70"/>
      <c r="E625" s="70"/>
      <c r="R625" s="551"/>
    </row>
    <row r="626">
      <c r="C626" s="70"/>
      <c r="D626" s="70"/>
      <c r="E626" s="70"/>
      <c r="R626" s="551"/>
    </row>
    <row r="627">
      <c r="C627" s="70"/>
      <c r="D627" s="70"/>
      <c r="E627" s="70"/>
      <c r="R627" s="551"/>
    </row>
    <row r="628">
      <c r="C628" s="70"/>
      <c r="D628" s="70"/>
      <c r="E628" s="70"/>
      <c r="R628" s="551"/>
    </row>
    <row r="629">
      <c r="C629" s="70"/>
      <c r="D629" s="70"/>
      <c r="E629" s="70"/>
      <c r="R629" s="551"/>
    </row>
    <row r="630">
      <c r="C630" s="70"/>
      <c r="D630" s="70"/>
      <c r="E630" s="70"/>
      <c r="R630" s="551"/>
    </row>
    <row r="631">
      <c r="C631" s="70"/>
      <c r="D631" s="70"/>
      <c r="E631" s="70"/>
      <c r="R631" s="551"/>
    </row>
    <row r="632">
      <c r="C632" s="70"/>
      <c r="D632" s="70"/>
      <c r="E632" s="70"/>
      <c r="R632" s="551"/>
    </row>
    <row r="633">
      <c r="C633" s="70"/>
      <c r="D633" s="70"/>
      <c r="E633" s="70"/>
      <c r="R633" s="551"/>
    </row>
    <row r="634">
      <c r="C634" s="70"/>
      <c r="D634" s="70"/>
      <c r="E634" s="70"/>
      <c r="R634" s="551"/>
    </row>
    <row r="635">
      <c r="C635" s="70"/>
      <c r="D635" s="70"/>
      <c r="E635" s="70"/>
      <c r="R635" s="551"/>
    </row>
    <row r="636">
      <c r="C636" s="70"/>
      <c r="D636" s="70"/>
      <c r="E636" s="70"/>
      <c r="R636" s="551"/>
    </row>
    <row r="637">
      <c r="C637" s="70"/>
      <c r="D637" s="70"/>
      <c r="E637" s="70"/>
      <c r="R637" s="551"/>
    </row>
    <row r="638">
      <c r="C638" s="70"/>
      <c r="D638" s="70"/>
      <c r="E638" s="70"/>
      <c r="R638" s="551"/>
    </row>
    <row r="639">
      <c r="C639" s="70"/>
      <c r="D639" s="70"/>
      <c r="E639" s="70"/>
      <c r="R639" s="551"/>
    </row>
    <row r="640">
      <c r="C640" s="70"/>
      <c r="D640" s="70"/>
      <c r="E640" s="70"/>
      <c r="R640" s="551"/>
    </row>
    <row r="641">
      <c r="C641" s="70"/>
      <c r="D641" s="70"/>
      <c r="E641" s="70"/>
      <c r="R641" s="551"/>
    </row>
    <row r="642">
      <c r="C642" s="70"/>
      <c r="D642" s="70"/>
      <c r="E642" s="70"/>
      <c r="R642" s="551"/>
    </row>
    <row r="643">
      <c r="C643" s="70"/>
      <c r="D643" s="70"/>
      <c r="E643" s="70"/>
      <c r="R643" s="551"/>
    </row>
    <row r="644">
      <c r="C644" s="70"/>
      <c r="D644" s="70"/>
      <c r="E644" s="70"/>
      <c r="R644" s="551"/>
    </row>
    <row r="645">
      <c r="C645" s="70"/>
      <c r="D645" s="70"/>
      <c r="E645" s="70"/>
      <c r="R645" s="551"/>
    </row>
    <row r="646">
      <c r="C646" s="70"/>
      <c r="D646" s="70"/>
      <c r="E646" s="70"/>
      <c r="R646" s="551"/>
    </row>
    <row r="647">
      <c r="C647" s="70"/>
      <c r="D647" s="70"/>
      <c r="E647" s="70"/>
      <c r="R647" s="551"/>
    </row>
    <row r="648">
      <c r="C648" s="70"/>
      <c r="D648" s="70"/>
      <c r="E648" s="70"/>
      <c r="R648" s="551"/>
    </row>
    <row r="649">
      <c r="C649" s="70"/>
      <c r="D649" s="70"/>
      <c r="E649" s="70"/>
      <c r="R649" s="551"/>
    </row>
    <row r="650">
      <c r="C650" s="70"/>
      <c r="D650" s="70"/>
      <c r="E650" s="70"/>
      <c r="R650" s="551"/>
    </row>
    <row r="651">
      <c r="C651" s="70"/>
      <c r="D651" s="70"/>
      <c r="E651" s="70"/>
      <c r="R651" s="551"/>
    </row>
    <row r="652">
      <c r="C652" s="70"/>
      <c r="D652" s="70"/>
      <c r="E652" s="70"/>
      <c r="R652" s="551"/>
    </row>
    <row r="653">
      <c r="C653" s="70"/>
      <c r="D653" s="70"/>
      <c r="E653" s="70"/>
      <c r="R653" s="551"/>
    </row>
    <row r="654">
      <c r="C654" s="70"/>
      <c r="D654" s="70"/>
      <c r="E654" s="70"/>
      <c r="R654" s="551"/>
    </row>
    <row r="655">
      <c r="C655" s="70"/>
      <c r="D655" s="70"/>
      <c r="E655" s="70"/>
      <c r="R655" s="551"/>
    </row>
    <row r="656">
      <c r="C656" s="70"/>
      <c r="D656" s="70"/>
      <c r="E656" s="70"/>
      <c r="R656" s="551"/>
    </row>
    <row r="657">
      <c r="C657" s="70"/>
      <c r="D657" s="70"/>
      <c r="E657" s="70"/>
      <c r="R657" s="551"/>
    </row>
    <row r="658">
      <c r="C658" s="70"/>
      <c r="D658" s="70"/>
      <c r="E658" s="70"/>
      <c r="R658" s="551"/>
    </row>
    <row r="659">
      <c r="C659" s="70"/>
      <c r="D659" s="70"/>
      <c r="E659" s="70"/>
      <c r="R659" s="551"/>
    </row>
    <row r="660">
      <c r="C660" s="70"/>
      <c r="D660" s="70"/>
      <c r="E660" s="70"/>
      <c r="R660" s="551"/>
    </row>
    <row r="661">
      <c r="C661" s="70"/>
      <c r="D661" s="70"/>
      <c r="E661" s="70"/>
      <c r="R661" s="551"/>
    </row>
    <row r="662">
      <c r="C662" s="70"/>
      <c r="D662" s="70"/>
      <c r="E662" s="70"/>
      <c r="R662" s="551"/>
    </row>
    <row r="663">
      <c r="C663" s="70"/>
      <c r="D663" s="70"/>
      <c r="E663" s="70"/>
      <c r="R663" s="551"/>
    </row>
    <row r="664">
      <c r="C664" s="70"/>
      <c r="D664" s="70"/>
      <c r="E664" s="70"/>
      <c r="R664" s="551"/>
    </row>
    <row r="665">
      <c r="C665" s="70"/>
      <c r="D665" s="70"/>
      <c r="E665" s="70"/>
      <c r="R665" s="551"/>
    </row>
    <row r="666">
      <c r="C666" s="70"/>
      <c r="D666" s="70"/>
      <c r="E666" s="70"/>
      <c r="R666" s="551"/>
    </row>
    <row r="667">
      <c r="C667" s="70"/>
      <c r="D667" s="70"/>
      <c r="E667" s="70"/>
      <c r="R667" s="551"/>
    </row>
    <row r="668">
      <c r="C668" s="70"/>
      <c r="D668" s="70"/>
      <c r="E668" s="70"/>
      <c r="R668" s="551"/>
    </row>
    <row r="669">
      <c r="C669" s="70"/>
      <c r="D669" s="70"/>
      <c r="E669" s="70"/>
      <c r="R669" s="551"/>
    </row>
    <row r="670">
      <c r="C670" s="70"/>
      <c r="D670" s="70"/>
      <c r="E670" s="70"/>
      <c r="R670" s="551"/>
    </row>
    <row r="671">
      <c r="C671" s="70"/>
      <c r="D671" s="70"/>
      <c r="E671" s="70"/>
      <c r="R671" s="551"/>
    </row>
    <row r="672">
      <c r="C672" s="70"/>
      <c r="D672" s="70"/>
      <c r="E672" s="70"/>
      <c r="R672" s="551"/>
    </row>
    <row r="673">
      <c r="C673" s="70"/>
      <c r="D673" s="70"/>
      <c r="E673" s="70"/>
      <c r="R673" s="551"/>
    </row>
    <row r="674">
      <c r="C674" s="70"/>
      <c r="D674" s="70"/>
      <c r="E674" s="70"/>
      <c r="R674" s="551"/>
    </row>
    <row r="675">
      <c r="C675" s="70"/>
      <c r="D675" s="70"/>
      <c r="E675" s="70"/>
      <c r="R675" s="551"/>
    </row>
    <row r="676">
      <c r="C676" s="70"/>
      <c r="D676" s="70"/>
      <c r="E676" s="70"/>
      <c r="R676" s="551"/>
    </row>
    <row r="677">
      <c r="C677" s="70"/>
      <c r="D677" s="70"/>
      <c r="E677" s="70"/>
      <c r="R677" s="551"/>
    </row>
    <row r="678">
      <c r="C678" s="70"/>
      <c r="D678" s="70"/>
      <c r="E678" s="70"/>
      <c r="R678" s="551"/>
    </row>
    <row r="679">
      <c r="C679" s="70"/>
      <c r="D679" s="70"/>
      <c r="E679" s="70"/>
      <c r="R679" s="551"/>
    </row>
    <row r="680">
      <c r="C680" s="70"/>
      <c r="D680" s="70"/>
      <c r="E680" s="70"/>
      <c r="R680" s="551"/>
    </row>
    <row r="681">
      <c r="C681" s="70"/>
      <c r="D681" s="70"/>
      <c r="E681" s="70"/>
      <c r="R681" s="551"/>
    </row>
    <row r="682">
      <c r="C682" s="70"/>
      <c r="D682" s="70"/>
      <c r="E682" s="70"/>
      <c r="R682" s="551"/>
    </row>
    <row r="683">
      <c r="C683" s="70"/>
      <c r="D683" s="70"/>
      <c r="E683" s="70"/>
      <c r="R683" s="551"/>
    </row>
    <row r="684">
      <c r="C684" s="70"/>
      <c r="D684" s="70"/>
      <c r="E684" s="70"/>
      <c r="R684" s="551"/>
    </row>
    <row r="685">
      <c r="C685" s="70"/>
      <c r="D685" s="70"/>
      <c r="E685" s="70"/>
      <c r="R685" s="551"/>
    </row>
    <row r="686">
      <c r="C686" s="70"/>
      <c r="D686" s="70"/>
      <c r="E686" s="70"/>
      <c r="R686" s="551"/>
    </row>
    <row r="687">
      <c r="C687" s="70"/>
      <c r="D687" s="70"/>
      <c r="E687" s="70"/>
      <c r="R687" s="551"/>
    </row>
    <row r="688">
      <c r="C688" s="70"/>
      <c r="D688" s="70"/>
      <c r="E688" s="70"/>
      <c r="R688" s="551"/>
    </row>
    <row r="689">
      <c r="C689" s="70"/>
      <c r="D689" s="70"/>
      <c r="E689" s="70"/>
      <c r="R689" s="551"/>
    </row>
    <row r="690">
      <c r="C690" s="70"/>
      <c r="D690" s="70"/>
      <c r="E690" s="70"/>
      <c r="R690" s="551"/>
    </row>
    <row r="691">
      <c r="C691" s="70"/>
      <c r="D691" s="70"/>
      <c r="E691" s="70"/>
      <c r="R691" s="551"/>
    </row>
    <row r="692">
      <c r="C692" s="70"/>
      <c r="D692" s="70"/>
      <c r="E692" s="70"/>
      <c r="R692" s="551"/>
    </row>
    <row r="693">
      <c r="C693" s="70"/>
      <c r="D693" s="70"/>
      <c r="E693" s="70"/>
      <c r="R693" s="551"/>
    </row>
    <row r="694">
      <c r="C694" s="70"/>
      <c r="D694" s="70"/>
      <c r="E694" s="70"/>
      <c r="R694" s="551"/>
    </row>
    <row r="695">
      <c r="C695" s="70"/>
      <c r="D695" s="70"/>
      <c r="E695" s="70"/>
      <c r="R695" s="551"/>
    </row>
    <row r="696">
      <c r="C696" s="70"/>
      <c r="D696" s="70"/>
      <c r="E696" s="70"/>
      <c r="R696" s="551"/>
    </row>
    <row r="697">
      <c r="C697" s="70"/>
      <c r="D697" s="70"/>
      <c r="E697" s="70"/>
      <c r="R697" s="551"/>
    </row>
    <row r="698">
      <c r="C698" s="70"/>
      <c r="D698" s="70"/>
      <c r="E698" s="70"/>
      <c r="R698" s="551"/>
    </row>
    <row r="699">
      <c r="C699" s="70"/>
      <c r="D699" s="70"/>
      <c r="E699" s="70"/>
      <c r="R699" s="551"/>
    </row>
    <row r="700">
      <c r="C700" s="70"/>
      <c r="D700" s="70"/>
      <c r="E700" s="70"/>
      <c r="R700" s="551"/>
    </row>
    <row r="701">
      <c r="C701" s="70"/>
      <c r="D701" s="70"/>
      <c r="E701" s="70"/>
      <c r="R701" s="551"/>
    </row>
    <row r="702">
      <c r="C702" s="70"/>
      <c r="D702" s="70"/>
      <c r="E702" s="70"/>
      <c r="R702" s="551"/>
    </row>
    <row r="703">
      <c r="C703" s="70"/>
      <c r="D703" s="70"/>
      <c r="E703" s="70"/>
      <c r="R703" s="551"/>
    </row>
    <row r="704">
      <c r="C704" s="70"/>
      <c r="D704" s="70"/>
      <c r="E704" s="70"/>
      <c r="R704" s="551"/>
    </row>
    <row r="705">
      <c r="C705" s="70"/>
      <c r="D705" s="70"/>
      <c r="E705" s="70"/>
      <c r="R705" s="551"/>
    </row>
    <row r="706">
      <c r="C706" s="70"/>
      <c r="D706" s="70"/>
      <c r="E706" s="70"/>
      <c r="R706" s="551"/>
    </row>
    <row r="707">
      <c r="C707" s="70"/>
      <c r="D707" s="70"/>
      <c r="E707" s="70"/>
      <c r="R707" s="551"/>
    </row>
    <row r="708">
      <c r="C708" s="70"/>
      <c r="D708" s="70"/>
      <c r="E708" s="70"/>
      <c r="R708" s="551"/>
    </row>
    <row r="709">
      <c r="C709" s="70"/>
      <c r="D709" s="70"/>
      <c r="E709" s="70"/>
      <c r="R709" s="551"/>
    </row>
    <row r="710">
      <c r="C710" s="70"/>
      <c r="D710" s="70"/>
      <c r="E710" s="70"/>
      <c r="R710" s="551"/>
    </row>
    <row r="711">
      <c r="C711" s="70"/>
      <c r="D711" s="70"/>
      <c r="E711" s="70"/>
      <c r="R711" s="551"/>
    </row>
    <row r="712">
      <c r="C712" s="70"/>
      <c r="D712" s="70"/>
      <c r="E712" s="70"/>
      <c r="R712" s="551"/>
    </row>
    <row r="713">
      <c r="C713" s="70"/>
      <c r="D713" s="70"/>
      <c r="E713" s="70"/>
      <c r="R713" s="551"/>
    </row>
    <row r="714">
      <c r="C714" s="70"/>
      <c r="D714" s="70"/>
      <c r="E714" s="70"/>
      <c r="R714" s="551"/>
    </row>
    <row r="715">
      <c r="C715" s="70"/>
      <c r="D715" s="70"/>
      <c r="E715" s="70"/>
      <c r="R715" s="551"/>
    </row>
    <row r="716">
      <c r="C716" s="70"/>
      <c r="D716" s="70"/>
      <c r="E716" s="70"/>
      <c r="R716" s="551"/>
    </row>
    <row r="717">
      <c r="C717" s="70"/>
      <c r="D717" s="70"/>
      <c r="E717" s="70"/>
      <c r="R717" s="551"/>
    </row>
    <row r="718">
      <c r="C718" s="70"/>
      <c r="D718" s="70"/>
      <c r="E718" s="70"/>
      <c r="R718" s="551"/>
    </row>
    <row r="719">
      <c r="C719" s="70"/>
      <c r="D719" s="70"/>
      <c r="E719" s="70"/>
      <c r="R719" s="551"/>
    </row>
    <row r="720">
      <c r="C720" s="70"/>
      <c r="D720" s="70"/>
      <c r="E720" s="70"/>
      <c r="R720" s="551"/>
    </row>
    <row r="721">
      <c r="C721" s="70"/>
      <c r="D721" s="70"/>
      <c r="E721" s="70"/>
      <c r="R721" s="551"/>
    </row>
    <row r="722">
      <c r="C722" s="70"/>
      <c r="D722" s="70"/>
      <c r="E722" s="70"/>
      <c r="R722" s="551"/>
    </row>
    <row r="723">
      <c r="C723" s="70"/>
      <c r="D723" s="70"/>
      <c r="E723" s="70"/>
      <c r="R723" s="551"/>
    </row>
    <row r="724">
      <c r="C724" s="70"/>
      <c r="D724" s="70"/>
      <c r="E724" s="70"/>
      <c r="R724" s="551"/>
    </row>
    <row r="725">
      <c r="C725" s="70"/>
      <c r="D725" s="70"/>
      <c r="E725" s="70"/>
      <c r="R725" s="551"/>
    </row>
    <row r="726">
      <c r="C726" s="70"/>
      <c r="D726" s="70"/>
      <c r="E726" s="70"/>
      <c r="R726" s="551"/>
    </row>
    <row r="727">
      <c r="C727" s="70"/>
      <c r="D727" s="70"/>
      <c r="E727" s="70"/>
      <c r="R727" s="551"/>
    </row>
    <row r="728">
      <c r="C728" s="70"/>
      <c r="D728" s="70"/>
      <c r="E728" s="70"/>
      <c r="R728" s="551"/>
    </row>
    <row r="729">
      <c r="C729" s="70"/>
      <c r="D729" s="70"/>
      <c r="E729" s="70"/>
      <c r="R729" s="551"/>
    </row>
    <row r="730">
      <c r="C730" s="70"/>
      <c r="D730" s="70"/>
      <c r="E730" s="70"/>
      <c r="R730" s="551"/>
    </row>
    <row r="731">
      <c r="C731" s="70"/>
      <c r="D731" s="70"/>
      <c r="E731" s="70"/>
      <c r="R731" s="551"/>
    </row>
    <row r="732">
      <c r="C732" s="70"/>
      <c r="D732" s="70"/>
      <c r="E732" s="70"/>
      <c r="R732" s="551"/>
    </row>
    <row r="733">
      <c r="C733" s="70"/>
      <c r="D733" s="70"/>
      <c r="E733" s="70"/>
      <c r="R733" s="551"/>
    </row>
    <row r="734">
      <c r="C734" s="70"/>
      <c r="D734" s="70"/>
      <c r="E734" s="70"/>
      <c r="R734" s="551"/>
    </row>
    <row r="735">
      <c r="C735" s="70"/>
      <c r="D735" s="70"/>
      <c r="E735" s="70"/>
      <c r="R735" s="551"/>
    </row>
    <row r="736">
      <c r="C736" s="70"/>
      <c r="D736" s="70"/>
      <c r="E736" s="70"/>
      <c r="R736" s="551"/>
    </row>
    <row r="737">
      <c r="C737" s="70"/>
      <c r="D737" s="70"/>
      <c r="E737" s="70"/>
      <c r="R737" s="551"/>
    </row>
    <row r="738">
      <c r="C738" s="70"/>
      <c r="D738" s="70"/>
      <c r="E738" s="70"/>
      <c r="R738" s="551"/>
    </row>
    <row r="739">
      <c r="C739" s="70"/>
      <c r="D739" s="70"/>
      <c r="E739" s="70"/>
      <c r="R739" s="551"/>
    </row>
    <row r="740">
      <c r="C740" s="70"/>
      <c r="D740" s="70"/>
      <c r="E740" s="70"/>
      <c r="R740" s="551"/>
    </row>
    <row r="741">
      <c r="C741" s="70"/>
      <c r="D741" s="70"/>
      <c r="E741" s="70"/>
      <c r="R741" s="551"/>
    </row>
    <row r="742">
      <c r="C742" s="70"/>
      <c r="D742" s="70"/>
      <c r="E742" s="70"/>
      <c r="R742" s="551"/>
    </row>
    <row r="743">
      <c r="C743" s="70"/>
      <c r="D743" s="70"/>
      <c r="E743" s="70"/>
      <c r="R743" s="551"/>
    </row>
    <row r="744">
      <c r="C744" s="70"/>
      <c r="D744" s="70"/>
      <c r="E744" s="70"/>
      <c r="R744" s="551"/>
    </row>
    <row r="745">
      <c r="C745" s="70"/>
      <c r="D745" s="70"/>
      <c r="E745" s="70"/>
      <c r="R745" s="551"/>
    </row>
    <row r="746">
      <c r="C746" s="70"/>
      <c r="D746" s="70"/>
      <c r="E746" s="70"/>
      <c r="R746" s="551"/>
    </row>
    <row r="747">
      <c r="C747" s="70"/>
      <c r="D747" s="70"/>
      <c r="E747" s="70"/>
      <c r="R747" s="551"/>
    </row>
    <row r="748">
      <c r="C748" s="70"/>
      <c r="D748" s="70"/>
      <c r="E748" s="70"/>
      <c r="R748" s="551"/>
    </row>
    <row r="749">
      <c r="C749" s="70"/>
      <c r="D749" s="70"/>
      <c r="E749" s="70"/>
      <c r="R749" s="551"/>
    </row>
    <row r="750">
      <c r="C750" s="70"/>
      <c r="D750" s="70"/>
      <c r="E750" s="70"/>
      <c r="R750" s="551"/>
    </row>
    <row r="751">
      <c r="C751" s="70"/>
      <c r="D751" s="70"/>
      <c r="E751" s="70"/>
      <c r="R751" s="551"/>
    </row>
    <row r="752">
      <c r="C752" s="70"/>
      <c r="D752" s="70"/>
      <c r="E752" s="70"/>
      <c r="R752" s="551"/>
    </row>
    <row r="753">
      <c r="C753" s="70"/>
      <c r="D753" s="70"/>
      <c r="E753" s="70"/>
      <c r="R753" s="551"/>
    </row>
    <row r="754">
      <c r="C754" s="70"/>
      <c r="D754" s="70"/>
      <c r="E754" s="70"/>
      <c r="R754" s="551"/>
    </row>
    <row r="755">
      <c r="C755" s="70"/>
      <c r="D755" s="70"/>
      <c r="E755" s="70"/>
      <c r="R755" s="551"/>
    </row>
    <row r="756">
      <c r="C756" s="70"/>
      <c r="D756" s="70"/>
      <c r="E756" s="70"/>
      <c r="R756" s="551"/>
    </row>
    <row r="757">
      <c r="C757" s="70"/>
      <c r="D757" s="70"/>
      <c r="E757" s="70"/>
      <c r="R757" s="551"/>
    </row>
    <row r="758">
      <c r="C758" s="70"/>
      <c r="D758" s="70"/>
      <c r="E758" s="70"/>
      <c r="R758" s="551"/>
    </row>
    <row r="759">
      <c r="C759" s="70"/>
      <c r="D759" s="70"/>
      <c r="E759" s="70"/>
      <c r="R759" s="551"/>
    </row>
    <row r="760">
      <c r="C760" s="70"/>
      <c r="D760" s="70"/>
      <c r="E760" s="70"/>
      <c r="R760" s="551"/>
    </row>
    <row r="761">
      <c r="C761" s="70"/>
      <c r="D761" s="70"/>
      <c r="E761" s="70"/>
      <c r="R761" s="551"/>
    </row>
    <row r="762">
      <c r="C762" s="70"/>
      <c r="D762" s="70"/>
      <c r="E762" s="70"/>
      <c r="R762" s="551"/>
    </row>
    <row r="763">
      <c r="C763" s="70"/>
      <c r="D763" s="70"/>
      <c r="E763" s="70"/>
      <c r="R763" s="551"/>
    </row>
    <row r="764">
      <c r="C764" s="70"/>
      <c r="D764" s="70"/>
      <c r="E764" s="70"/>
      <c r="R764" s="551"/>
    </row>
    <row r="765">
      <c r="C765" s="70"/>
      <c r="D765" s="70"/>
      <c r="E765" s="70"/>
      <c r="R765" s="551"/>
    </row>
    <row r="766">
      <c r="C766" s="70"/>
      <c r="D766" s="70"/>
      <c r="E766" s="70"/>
      <c r="R766" s="551"/>
    </row>
    <row r="767">
      <c r="C767" s="70"/>
      <c r="D767" s="70"/>
      <c r="E767" s="70"/>
      <c r="R767" s="551"/>
    </row>
    <row r="768">
      <c r="C768" s="70"/>
      <c r="D768" s="70"/>
      <c r="E768" s="70"/>
      <c r="R768" s="551"/>
    </row>
    <row r="769">
      <c r="C769" s="70"/>
      <c r="D769" s="70"/>
      <c r="E769" s="70"/>
      <c r="R769" s="551"/>
    </row>
    <row r="770">
      <c r="C770" s="70"/>
      <c r="D770" s="70"/>
      <c r="E770" s="70"/>
      <c r="R770" s="551"/>
    </row>
    <row r="771">
      <c r="C771" s="70"/>
      <c r="D771" s="70"/>
      <c r="E771" s="70"/>
      <c r="R771" s="551"/>
    </row>
    <row r="772">
      <c r="C772" s="70"/>
      <c r="D772" s="70"/>
      <c r="E772" s="70"/>
      <c r="R772" s="551"/>
    </row>
    <row r="773">
      <c r="C773" s="70"/>
      <c r="D773" s="70"/>
      <c r="E773" s="70"/>
      <c r="R773" s="551"/>
    </row>
    <row r="774">
      <c r="C774" s="70"/>
      <c r="D774" s="70"/>
      <c r="E774" s="70"/>
      <c r="R774" s="551"/>
    </row>
    <row r="775">
      <c r="C775" s="70"/>
      <c r="D775" s="70"/>
      <c r="E775" s="70"/>
      <c r="R775" s="551"/>
    </row>
    <row r="776">
      <c r="C776" s="70"/>
      <c r="D776" s="70"/>
      <c r="E776" s="70"/>
      <c r="R776" s="551"/>
    </row>
    <row r="777">
      <c r="C777" s="70"/>
      <c r="D777" s="70"/>
      <c r="E777" s="70"/>
      <c r="R777" s="551"/>
    </row>
    <row r="778">
      <c r="C778" s="70"/>
      <c r="D778" s="70"/>
      <c r="E778" s="70"/>
      <c r="R778" s="551"/>
    </row>
    <row r="779">
      <c r="C779" s="70"/>
      <c r="D779" s="70"/>
      <c r="E779" s="70"/>
      <c r="R779" s="551"/>
    </row>
    <row r="780">
      <c r="C780" s="70"/>
      <c r="D780" s="70"/>
      <c r="E780" s="70"/>
      <c r="R780" s="551"/>
    </row>
    <row r="781">
      <c r="C781" s="70"/>
      <c r="D781" s="70"/>
      <c r="E781" s="70"/>
      <c r="R781" s="551"/>
    </row>
    <row r="782">
      <c r="C782" s="70"/>
      <c r="D782" s="70"/>
      <c r="E782" s="70"/>
      <c r="R782" s="551"/>
    </row>
    <row r="783">
      <c r="C783" s="70"/>
      <c r="D783" s="70"/>
      <c r="E783" s="70"/>
      <c r="R783" s="551"/>
    </row>
    <row r="784">
      <c r="C784" s="70"/>
      <c r="D784" s="70"/>
      <c r="E784" s="70"/>
      <c r="R784" s="551"/>
    </row>
    <row r="785">
      <c r="C785" s="70"/>
      <c r="D785" s="70"/>
      <c r="E785" s="70"/>
      <c r="R785" s="551"/>
    </row>
    <row r="786">
      <c r="C786" s="70"/>
      <c r="D786" s="70"/>
      <c r="E786" s="70"/>
      <c r="R786" s="551"/>
    </row>
    <row r="787">
      <c r="C787" s="70"/>
      <c r="D787" s="70"/>
      <c r="E787" s="70"/>
      <c r="R787" s="551"/>
    </row>
    <row r="788">
      <c r="C788" s="70"/>
      <c r="D788" s="70"/>
      <c r="E788" s="70"/>
      <c r="R788" s="551"/>
    </row>
    <row r="789">
      <c r="C789" s="70"/>
      <c r="D789" s="70"/>
      <c r="E789" s="70"/>
      <c r="R789" s="551"/>
    </row>
    <row r="790">
      <c r="C790" s="70"/>
      <c r="D790" s="70"/>
      <c r="E790" s="70"/>
      <c r="R790" s="551"/>
    </row>
    <row r="791">
      <c r="C791" s="70"/>
      <c r="D791" s="70"/>
      <c r="E791" s="70"/>
      <c r="R791" s="551"/>
    </row>
    <row r="792">
      <c r="C792" s="70"/>
      <c r="D792" s="70"/>
      <c r="E792" s="70"/>
      <c r="R792" s="551"/>
    </row>
    <row r="793">
      <c r="C793" s="70"/>
      <c r="D793" s="70"/>
      <c r="E793" s="70"/>
      <c r="R793" s="551"/>
    </row>
    <row r="794">
      <c r="C794" s="70"/>
      <c r="D794" s="70"/>
      <c r="E794" s="70"/>
      <c r="R794" s="551"/>
    </row>
    <row r="795">
      <c r="C795" s="70"/>
      <c r="D795" s="70"/>
      <c r="E795" s="70"/>
      <c r="R795" s="551"/>
    </row>
    <row r="796">
      <c r="C796" s="70"/>
      <c r="D796" s="70"/>
      <c r="E796" s="70"/>
      <c r="R796" s="551"/>
    </row>
    <row r="797">
      <c r="C797" s="70"/>
      <c r="D797" s="70"/>
      <c r="E797" s="70"/>
      <c r="R797" s="551"/>
    </row>
    <row r="798">
      <c r="C798" s="70"/>
      <c r="D798" s="70"/>
      <c r="E798" s="70"/>
      <c r="R798" s="551"/>
    </row>
    <row r="799">
      <c r="C799" s="70"/>
      <c r="D799" s="70"/>
      <c r="E799" s="70"/>
      <c r="R799" s="551"/>
    </row>
    <row r="800">
      <c r="C800" s="70"/>
      <c r="D800" s="70"/>
      <c r="E800" s="70"/>
      <c r="R800" s="551"/>
    </row>
    <row r="801">
      <c r="C801" s="70"/>
      <c r="D801" s="70"/>
      <c r="E801" s="70"/>
      <c r="R801" s="551"/>
    </row>
    <row r="802">
      <c r="C802" s="70"/>
      <c r="D802" s="70"/>
      <c r="E802" s="70"/>
      <c r="R802" s="551"/>
    </row>
    <row r="803">
      <c r="C803" s="70"/>
      <c r="D803" s="70"/>
      <c r="E803" s="70"/>
      <c r="R803" s="551"/>
    </row>
    <row r="804">
      <c r="C804" s="70"/>
      <c r="D804" s="70"/>
      <c r="E804" s="70"/>
      <c r="R804" s="551"/>
    </row>
    <row r="805">
      <c r="C805" s="70"/>
      <c r="D805" s="70"/>
      <c r="E805" s="70"/>
      <c r="R805" s="551"/>
    </row>
    <row r="806">
      <c r="C806" s="70"/>
      <c r="D806" s="70"/>
      <c r="E806" s="70"/>
      <c r="R806" s="551"/>
    </row>
    <row r="807">
      <c r="C807" s="70"/>
      <c r="D807" s="70"/>
      <c r="E807" s="70"/>
      <c r="R807" s="551"/>
    </row>
    <row r="808">
      <c r="C808" s="70"/>
      <c r="D808" s="70"/>
      <c r="E808" s="70"/>
      <c r="R808" s="551"/>
    </row>
    <row r="809">
      <c r="C809" s="70"/>
      <c r="D809" s="70"/>
      <c r="E809" s="70"/>
      <c r="R809" s="551"/>
    </row>
    <row r="810">
      <c r="C810" s="70"/>
      <c r="D810" s="70"/>
      <c r="E810" s="70"/>
      <c r="R810" s="551"/>
    </row>
    <row r="811">
      <c r="C811" s="70"/>
      <c r="D811" s="70"/>
      <c r="E811" s="70"/>
      <c r="R811" s="551"/>
    </row>
    <row r="812">
      <c r="C812" s="70"/>
      <c r="D812" s="70"/>
      <c r="E812" s="70"/>
      <c r="R812" s="551"/>
    </row>
    <row r="813">
      <c r="C813" s="70"/>
      <c r="D813" s="70"/>
      <c r="E813" s="70"/>
      <c r="R813" s="551"/>
    </row>
    <row r="814">
      <c r="C814" s="70"/>
      <c r="D814" s="70"/>
      <c r="E814" s="70"/>
      <c r="R814" s="551"/>
    </row>
    <row r="815">
      <c r="C815" s="70"/>
      <c r="D815" s="70"/>
      <c r="E815" s="70"/>
      <c r="R815" s="551"/>
    </row>
    <row r="816">
      <c r="C816" s="70"/>
      <c r="D816" s="70"/>
      <c r="E816" s="70"/>
      <c r="R816" s="551"/>
    </row>
    <row r="817">
      <c r="C817" s="70"/>
      <c r="D817" s="70"/>
      <c r="E817" s="70"/>
      <c r="R817" s="551"/>
    </row>
    <row r="818">
      <c r="C818" s="70"/>
      <c r="D818" s="70"/>
      <c r="E818" s="70"/>
      <c r="R818" s="551"/>
    </row>
    <row r="819">
      <c r="C819" s="70"/>
      <c r="D819" s="70"/>
      <c r="E819" s="70"/>
      <c r="R819" s="551"/>
    </row>
    <row r="820">
      <c r="C820" s="70"/>
      <c r="D820" s="70"/>
      <c r="E820" s="70"/>
      <c r="R820" s="551"/>
    </row>
    <row r="821">
      <c r="C821" s="70"/>
      <c r="D821" s="70"/>
      <c r="E821" s="70"/>
      <c r="R821" s="551"/>
    </row>
    <row r="822">
      <c r="C822" s="70"/>
      <c r="D822" s="70"/>
      <c r="E822" s="70"/>
      <c r="R822" s="551"/>
    </row>
    <row r="823">
      <c r="C823" s="70"/>
      <c r="D823" s="70"/>
      <c r="E823" s="70"/>
      <c r="R823" s="551"/>
    </row>
    <row r="824">
      <c r="C824" s="70"/>
      <c r="D824" s="70"/>
      <c r="E824" s="70"/>
      <c r="R824" s="551"/>
    </row>
    <row r="825">
      <c r="C825" s="70"/>
      <c r="D825" s="70"/>
      <c r="E825" s="70"/>
      <c r="R825" s="551"/>
    </row>
    <row r="826">
      <c r="C826" s="70"/>
      <c r="D826" s="70"/>
      <c r="E826" s="70"/>
      <c r="R826" s="551"/>
    </row>
    <row r="827">
      <c r="C827" s="70"/>
      <c r="D827" s="70"/>
      <c r="E827" s="70"/>
      <c r="R827" s="551"/>
    </row>
    <row r="828">
      <c r="C828" s="70"/>
      <c r="D828" s="70"/>
      <c r="E828" s="70"/>
      <c r="R828" s="551"/>
    </row>
    <row r="829">
      <c r="C829" s="70"/>
      <c r="D829" s="70"/>
      <c r="E829" s="70"/>
      <c r="R829" s="551"/>
    </row>
    <row r="830">
      <c r="C830" s="70"/>
      <c r="D830" s="70"/>
      <c r="E830" s="70"/>
      <c r="R830" s="551"/>
    </row>
    <row r="831">
      <c r="C831" s="70"/>
      <c r="D831" s="70"/>
      <c r="E831" s="70"/>
      <c r="R831" s="551"/>
    </row>
    <row r="832">
      <c r="C832" s="70"/>
      <c r="D832" s="70"/>
      <c r="E832" s="70"/>
      <c r="R832" s="551"/>
    </row>
    <row r="833">
      <c r="C833" s="70"/>
      <c r="D833" s="70"/>
      <c r="E833" s="70"/>
      <c r="R833" s="551"/>
    </row>
    <row r="834">
      <c r="C834" s="70"/>
      <c r="D834" s="70"/>
      <c r="E834" s="70"/>
      <c r="R834" s="551"/>
    </row>
    <row r="835">
      <c r="C835" s="70"/>
      <c r="D835" s="70"/>
      <c r="E835" s="70"/>
      <c r="R835" s="551"/>
    </row>
    <row r="836">
      <c r="C836" s="70"/>
      <c r="D836" s="70"/>
      <c r="E836" s="70"/>
      <c r="R836" s="551"/>
    </row>
    <row r="837">
      <c r="C837" s="70"/>
      <c r="D837" s="70"/>
      <c r="E837" s="70"/>
      <c r="R837" s="551"/>
    </row>
    <row r="838">
      <c r="C838" s="70"/>
      <c r="D838" s="70"/>
      <c r="E838" s="70"/>
      <c r="R838" s="551"/>
    </row>
    <row r="839">
      <c r="C839" s="70"/>
      <c r="D839" s="70"/>
      <c r="E839" s="70"/>
      <c r="R839" s="551"/>
    </row>
    <row r="840">
      <c r="C840" s="70"/>
      <c r="D840" s="70"/>
      <c r="E840" s="70"/>
      <c r="R840" s="551"/>
    </row>
    <row r="841">
      <c r="C841" s="70"/>
      <c r="D841" s="70"/>
      <c r="E841" s="70"/>
      <c r="R841" s="551"/>
    </row>
    <row r="842">
      <c r="C842" s="70"/>
      <c r="D842" s="70"/>
      <c r="E842" s="70"/>
      <c r="R842" s="551"/>
    </row>
    <row r="843">
      <c r="C843" s="70"/>
      <c r="D843" s="70"/>
      <c r="E843" s="70"/>
      <c r="R843" s="551"/>
    </row>
    <row r="844">
      <c r="C844" s="70"/>
      <c r="D844" s="70"/>
      <c r="E844" s="70"/>
      <c r="R844" s="551"/>
    </row>
    <row r="845">
      <c r="C845" s="70"/>
      <c r="D845" s="70"/>
      <c r="E845" s="70"/>
      <c r="R845" s="551"/>
    </row>
    <row r="846">
      <c r="C846" s="70"/>
      <c r="D846" s="70"/>
      <c r="E846" s="70"/>
      <c r="R846" s="551"/>
    </row>
    <row r="847">
      <c r="C847" s="70"/>
      <c r="D847" s="70"/>
      <c r="E847" s="70"/>
      <c r="R847" s="551"/>
    </row>
    <row r="848">
      <c r="C848" s="70"/>
      <c r="D848" s="70"/>
      <c r="E848" s="70"/>
      <c r="R848" s="551"/>
    </row>
    <row r="849">
      <c r="C849" s="70"/>
      <c r="D849" s="70"/>
      <c r="E849" s="70"/>
      <c r="R849" s="551"/>
    </row>
    <row r="850">
      <c r="C850" s="70"/>
      <c r="D850" s="70"/>
      <c r="E850" s="70"/>
      <c r="R850" s="551"/>
    </row>
    <row r="851">
      <c r="C851" s="70"/>
      <c r="D851" s="70"/>
      <c r="E851" s="70"/>
      <c r="R851" s="551"/>
    </row>
    <row r="852">
      <c r="C852" s="70"/>
      <c r="D852" s="70"/>
      <c r="E852" s="70"/>
      <c r="R852" s="551"/>
    </row>
    <row r="853">
      <c r="C853" s="70"/>
      <c r="D853" s="70"/>
      <c r="E853" s="70"/>
      <c r="R853" s="551"/>
    </row>
    <row r="854">
      <c r="C854" s="70"/>
      <c r="D854" s="70"/>
      <c r="E854" s="70"/>
      <c r="R854" s="551"/>
    </row>
    <row r="855">
      <c r="C855" s="70"/>
      <c r="D855" s="70"/>
      <c r="E855" s="70"/>
      <c r="R855" s="551"/>
    </row>
    <row r="856">
      <c r="C856" s="70"/>
      <c r="D856" s="70"/>
      <c r="E856" s="70"/>
      <c r="R856" s="551"/>
    </row>
    <row r="857">
      <c r="C857" s="70"/>
      <c r="D857" s="70"/>
      <c r="E857" s="70"/>
      <c r="R857" s="551"/>
    </row>
    <row r="858">
      <c r="C858" s="70"/>
      <c r="D858" s="70"/>
      <c r="E858" s="70"/>
      <c r="R858" s="551"/>
    </row>
    <row r="859">
      <c r="C859" s="70"/>
      <c r="D859" s="70"/>
      <c r="E859" s="70"/>
      <c r="R859" s="551"/>
    </row>
    <row r="860">
      <c r="C860" s="70"/>
      <c r="D860" s="70"/>
      <c r="E860" s="70"/>
      <c r="R860" s="551"/>
    </row>
    <row r="861">
      <c r="C861" s="70"/>
      <c r="D861" s="70"/>
      <c r="E861" s="70"/>
      <c r="R861" s="551"/>
    </row>
    <row r="862">
      <c r="C862" s="70"/>
      <c r="D862" s="70"/>
      <c r="E862" s="70"/>
      <c r="R862" s="551"/>
    </row>
    <row r="863">
      <c r="C863" s="70"/>
      <c r="D863" s="70"/>
      <c r="E863" s="70"/>
      <c r="R863" s="551"/>
    </row>
    <row r="864">
      <c r="C864" s="70"/>
      <c r="D864" s="70"/>
      <c r="E864" s="70"/>
      <c r="R864" s="551"/>
    </row>
    <row r="865">
      <c r="C865" s="70"/>
      <c r="D865" s="70"/>
      <c r="E865" s="70"/>
      <c r="R865" s="551"/>
    </row>
    <row r="866">
      <c r="C866" s="70"/>
      <c r="D866" s="70"/>
      <c r="E866" s="70"/>
      <c r="R866" s="551"/>
    </row>
    <row r="867">
      <c r="C867" s="70"/>
      <c r="D867" s="70"/>
      <c r="E867" s="70"/>
      <c r="R867" s="551"/>
    </row>
    <row r="868">
      <c r="C868" s="70"/>
      <c r="D868" s="70"/>
      <c r="E868" s="70"/>
      <c r="R868" s="551"/>
    </row>
    <row r="869">
      <c r="C869" s="70"/>
      <c r="D869" s="70"/>
      <c r="E869" s="70"/>
      <c r="R869" s="551"/>
    </row>
    <row r="870">
      <c r="C870" s="70"/>
      <c r="D870" s="70"/>
      <c r="E870" s="70"/>
      <c r="R870" s="551"/>
    </row>
    <row r="871">
      <c r="C871" s="70"/>
      <c r="D871" s="70"/>
      <c r="E871" s="70"/>
      <c r="R871" s="551"/>
    </row>
    <row r="872">
      <c r="C872" s="70"/>
      <c r="D872" s="70"/>
      <c r="E872" s="70"/>
      <c r="R872" s="551"/>
    </row>
    <row r="873">
      <c r="C873" s="70"/>
      <c r="D873" s="70"/>
      <c r="E873" s="70"/>
      <c r="R873" s="551"/>
    </row>
    <row r="874">
      <c r="C874" s="70"/>
      <c r="D874" s="70"/>
      <c r="E874" s="70"/>
      <c r="R874" s="551"/>
    </row>
    <row r="875">
      <c r="C875" s="70"/>
      <c r="D875" s="70"/>
      <c r="E875" s="70"/>
      <c r="R875" s="551"/>
    </row>
    <row r="876">
      <c r="C876" s="70"/>
      <c r="D876" s="70"/>
      <c r="E876" s="70"/>
      <c r="R876" s="551"/>
    </row>
    <row r="877">
      <c r="C877" s="70"/>
      <c r="D877" s="70"/>
      <c r="E877" s="70"/>
      <c r="R877" s="551"/>
    </row>
    <row r="878">
      <c r="C878" s="70"/>
      <c r="D878" s="70"/>
      <c r="E878" s="70"/>
      <c r="R878" s="551"/>
    </row>
    <row r="879">
      <c r="C879" s="70"/>
      <c r="D879" s="70"/>
      <c r="E879" s="70"/>
      <c r="R879" s="551"/>
    </row>
    <row r="880">
      <c r="C880" s="70"/>
      <c r="D880" s="70"/>
      <c r="E880" s="70"/>
      <c r="R880" s="551"/>
    </row>
    <row r="881">
      <c r="C881" s="70"/>
      <c r="D881" s="70"/>
      <c r="E881" s="70"/>
      <c r="R881" s="551"/>
    </row>
    <row r="882">
      <c r="C882" s="70"/>
      <c r="D882" s="70"/>
      <c r="E882" s="70"/>
      <c r="R882" s="551"/>
    </row>
    <row r="883">
      <c r="C883" s="70"/>
      <c r="D883" s="70"/>
      <c r="E883" s="70"/>
      <c r="R883" s="551"/>
    </row>
    <row r="884">
      <c r="C884" s="70"/>
      <c r="D884" s="70"/>
      <c r="E884" s="70"/>
      <c r="R884" s="551"/>
    </row>
    <row r="885">
      <c r="C885" s="70"/>
      <c r="D885" s="70"/>
      <c r="E885" s="70"/>
      <c r="R885" s="551"/>
    </row>
    <row r="886">
      <c r="C886" s="70"/>
      <c r="D886" s="70"/>
      <c r="E886" s="70"/>
      <c r="R886" s="551"/>
    </row>
    <row r="887">
      <c r="C887" s="70"/>
      <c r="D887" s="70"/>
      <c r="E887" s="70"/>
      <c r="R887" s="551"/>
    </row>
    <row r="888">
      <c r="C888" s="70"/>
      <c r="D888" s="70"/>
      <c r="E888" s="70"/>
      <c r="R888" s="551"/>
    </row>
    <row r="889">
      <c r="C889" s="70"/>
      <c r="D889" s="70"/>
      <c r="E889" s="70"/>
      <c r="R889" s="551"/>
    </row>
    <row r="890">
      <c r="C890" s="70"/>
      <c r="D890" s="70"/>
      <c r="E890" s="70"/>
      <c r="R890" s="551"/>
    </row>
    <row r="891">
      <c r="C891" s="70"/>
      <c r="D891" s="70"/>
      <c r="E891" s="70"/>
      <c r="R891" s="551"/>
    </row>
    <row r="892">
      <c r="C892" s="70"/>
      <c r="D892" s="70"/>
      <c r="E892" s="70"/>
      <c r="R892" s="551"/>
    </row>
    <row r="893">
      <c r="C893" s="70"/>
      <c r="D893" s="70"/>
      <c r="E893" s="70"/>
      <c r="R893" s="551"/>
    </row>
    <row r="894">
      <c r="C894" s="70"/>
      <c r="D894" s="70"/>
      <c r="E894" s="70"/>
      <c r="R894" s="551"/>
    </row>
    <row r="895">
      <c r="C895" s="70"/>
      <c r="D895" s="70"/>
      <c r="E895" s="70"/>
      <c r="R895" s="551"/>
    </row>
    <row r="896">
      <c r="C896" s="70"/>
      <c r="D896" s="70"/>
      <c r="E896" s="70"/>
      <c r="R896" s="551"/>
    </row>
    <row r="897">
      <c r="C897" s="70"/>
      <c r="D897" s="70"/>
      <c r="E897" s="70"/>
      <c r="R897" s="551"/>
    </row>
    <row r="898">
      <c r="C898" s="70"/>
      <c r="D898" s="70"/>
      <c r="E898" s="70"/>
      <c r="R898" s="551"/>
    </row>
    <row r="899">
      <c r="C899" s="70"/>
      <c r="D899" s="70"/>
      <c r="E899" s="70"/>
      <c r="R899" s="551"/>
    </row>
    <row r="900">
      <c r="C900" s="70"/>
      <c r="D900" s="70"/>
      <c r="E900" s="70"/>
      <c r="R900" s="551"/>
    </row>
    <row r="901">
      <c r="C901" s="70"/>
      <c r="D901" s="70"/>
      <c r="E901" s="70"/>
      <c r="R901" s="551"/>
    </row>
    <row r="902">
      <c r="C902" s="70"/>
      <c r="D902" s="70"/>
      <c r="E902" s="70"/>
      <c r="R902" s="551"/>
    </row>
    <row r="903">
      <c r="C903" s="70"/>
      <c r="D903" s="70"/>
      <c r="E903" s="70"/>
      <c r="R903" s="551"/>
    </row>
    <row r="904">
      <c r="C904" s="70"/>
      <c r="D904" s="70"/>
      <c r="E904" s="70"/>
      <c r="R904" s="551"/>
    </row>
    <row r="905">
      <c r="C905" s="70"/>
      <c r="D905" s="70"/>
      <c r="E905" s="70"/>
      <c r="R905" s="551"/>
    </row>
    <row r="906">
      <c r="C906" s="70"/>
      <c r="D906" s="70"/>
      <c r="E906" s="70"/>
      <c r="R906" s="551"/>
    </row>
    <row r="907">
      <c r="C907" s="70"/>
      <c r="D907" s="70"/>
      <c r="E907" s="70"/>
      <c r="R907" s="551"/>
    </row>
    <row r="908">
      <c r="C908" s="70"/>
      <c r="D908" s="70"/>
      <c r="E908" s="70"/>
      <c r="R908" s="551"/>
    </row>
    <row r="909">
      <c r="C909" s="70"/>
      <c r="D909" s="70"/>
      <c r="E909" s="70"/>
      <c r="R909" s="551"/>
    </row>
    <row r="910">
      <c r="C910" s="70"/>
      <c r="D910" s="70"/>
      <c r="E910" s="70"/>
      <c r="R910" s="551"/>
    </row>
    <row r="911">
      <c r="C911" s="70"/>
      <c r="D911" s="70"/>
      <c r="E911" s="70"/>
      <c r="R911" s="551"/>
    </row>
    <row r="912">
      <c r="C912" s="70"/>
      <c r="D912" s="70"/>
      <c r="E912" s="70"/>
      <c r="R912" s="551"/>
    </row>
    <row r="913">
      <c r="C913" s="70"/>
      <c r="D913" s="70"/>
      <c r="E913" s="70"/>
      <c r="R913" s="551"/>
    </row>
    <row r="914">
      <c r="C914" s="70"/>
      <c r="D914" s="70"/>
      <c r="E914" s="70"/>
      <c r="R914" s="551"/>
    </row>
    <row r="915">
      <c r="C915" s="70"/>
      <c r="D915" s="70"/>
      <c r="E915" s="70"/>
      <c r="R915" s="551"/>
    </row>
    <row r="916">
      <c r="C916" s="70"/>
      <c r="D916" s="70"/>
      <c r="E916" s="70"/>
      <c r="R916" s="551"/>
    </row>
    <row r="917">
      <c r="C917" s="70"/>
      <c r="D917" s="70"/>
      <c r="E917" s="70"/>
      <c r="R917" s="551"/>
    </row>
    <row r="918">
      <c r="C918" s="70"/>
      <c r="D918" s="70"/>
      <c r="E918" s="70"/>
      <c r="R918" s="551"/>
    </row>
    <row r="919">
      <c r="C919" s="70"/>
      <c r="D919" s="70"/>
      <c r="E919" s="70"/>
      <c r="R919" s="551"/>
    </row>
    <row r="920">
      <c r="C920" s="70"/>
      <c r="D920" s="70"/>
      <c r="E920" s="70"/>
      <c r="R920" s="551"/>
    </row>
    <row r="921">
      <c r="C921" s="70"/>
      <c r="D921" s="70"/>
      <c r="E921" s="70"/>
      <c r="R921" s="551"/>
    </row>
    <row r="922">
      <c r="C922" s="70"/>
      <c r="D922" s="70"/>
      <c r="E922" s="70"/>
      <c r="R922" s="551"/>
    </row>
    <row r="923">
      <c r="C923" s="70"/>
      <c r="D923" s="70"/>
      <c r="E923" s="70"/>
      <c r="R923" s="551"/>
    </row>
    <row r="924">
      <c r="C924" s="70"/>
      <c r="D924" s="70"/>
      <c r="E924" s="70"/>
      <c r="R924" s="551"/>
    </row>
    <row r="925">
      <c r="C925" s="70"/>
      <c r="D925" s="70"/>
      <c r="E925" s="70"/>
      <c r="R925" s="551"/>
    </row>
    <row r="926">
      <c r="C926" s="70"/>
      <c r="D926" s="70"/>
      <c r="E926" s="70"/>
      <c r="R926" s="551"/>
    </row>
    <row r="927">
      <c r="C927" s="70"/>
      <c r="D927" s="70"/>
      <c r="E927" s="70"/>
      <c r="R927" s="551"/>
    </row>
    <row r="928">
      <c r="C928" s="70"/>
      <c r="D928" s="70"/>
      <c r="E928" s="70"/>
      <c r="R928" s="551"/>
    </row>
    <row r="929">
      <c r="C929" s="70"/>
      <c r="D929" s="70"/>
      <c r="E929" s="70"/>
      <c r="R929" s="551"/>
    </row>
    <row r="930">
      <c r="C930" s="70"/>
      <c r="D930" s="70"/>
      <c r="E930" s="70"/>
      <c r="R930" s="551"/>
    </row>
    <row r="931">
      <c r="C931" s="70"/>
      <c r="D931" s="70"/>
      <c r="E931" s="70"/>
      <c r="R931" s="551"/>
    </row>
    <row r="932">
      <c r="C932" s="70"/>
      <c r="D932" s="70"/>
      <c r="E932" s="70"/>
      <c r="R932" s="551"/>
    </row>
    <row r="933">
      <c r="C933" s="70"/>
      <c r="D933" s="70"/>
      <c r="E933" s="70"/>
      <c r="R933" s="551"/>
    </row>
    <row r="934">
      <c r="C934" s="70"/>
      <c r="D934" s="70"/>
      <c r="E934" s="70"/>
      <c r="R934" s="551"/>
    </row>
    <row r="935">
      <c r="C935" s="70"/>
      <c r="D935" s="70"/>
      <c r="E935" s="70"/>
      <c r="R935" s="551"/>
    </row>
    <row r="936">
      <c r="C936" s="70"/>
      <c r="D936" s="70"/>
      <c r="E936" s="70"/>
      <c r="R936" s="551"/>
    </row>
    <row r="937">
      <c r="C937" s="70"/>
      <c r="D937" s="70"/>
      <c r="E937" s="70"/>
      <c r="R937" s="551"/>
    </row>
    <row r="938">
      <c r="C938" s="70"/>
      <c r="D938" s="70"/>
      <c r="E938" s="70"/>
      <c r="R938" s="551"/>
    </row>
    <row r="939">
      <c r="C939" s="70"/>
      <c r="D939" s="70"/>
      <c r="E939" s="70"/>
      <c r="R939" s="551"/>
    </row>
    <row r="940">
      <c r="C940" s="70"/>
      <c r="D940" s="70"/>
      <c r="E940" s="70"/>
      <c r="R940" s="551"/>
    </row>
    <row r="941">
      <c r="C941" s="70"/>
      <c r="D941" s="70"/>
      <c r="E941" s="70"/>
      <c r="R941" s="551"/>
    </row>
    <row r="942">
      <c r="C942" s="70"/>
      <c r="D942" s="70"/>
      <c r="E942" s="70"/>
      <c r="R942" s="551"/>
    </row>
    <row r="943">
      <c r="C943" s="70"/>
      <c r="D943" s="70"/>
      <c r="E943" s="70"/>
      <c r="R943" s="551"/>
    </row>
    <row r="944">
      <c r="C944" s="70"/>
      <c r="D944" s="70"/>
      <c r="E944" s="70"/>
      <c r="R944" s="551"/>
    </row>
    <row r="945">
      <c r="C945" s="70"/>
      <c r="D945" s="70"/>
      <c r="E945" s="70"/>
      <c r="R945" s="551"/>
    </row>
    <row r="946">
      <c r="C946" s="70"/>
      <c r="D946" s="70"/>
      <c r="E946" s="70"/>
      <c r="R946" s="551"/>
    </row>
    <row r="947">
      <c r="C947" s="70"/>
      <c r="D947" s="70"/>
      <c r="E947" s="70"/>
      <c r="R947" s="551"/>
    </row>
    <row r="948">
      <c r="C948" s="70"/>
      <c r="D948" s="70"/>
      <c r="E948" s="70"/>
      <c r="R948" s="551"/>
    </row>
    <row r="949">
      <c r="C949" s="70"/>
      <c r="D949" s="70"/>
      <c r="E949" s="70"/>
      <c r="R949" s="551"/>
    </row>
    <row r="950">
      <c r="C950" s="70"/>
      <c r="D950" s="70"/>
      <c r="E950" s="70"/>
      <c r="R950" s="551"/>
    </row>
    <row r="951">
      <c r="C951" s="70"/>
      <c r="D951" s="70"/>
      <c r="E951" s="70"/>
      <c r="R951" s="551"/>
    </row>
    <row r="952">
      <c r="C952" s="70"/>
      <c r="D952" s="70"/>
      <c r="E952" s="70"/>
      <c r="R952" s="551"/>
    </row>
    <row r="953">
      <c r="C953" s="70"/>
      <c r="D953" s="70"/>
      <c r="E953" s="70"/>
      <c r="R953" s="551"/>
    </row>
    <row r="954">
      <c r="C954" s="70"/>
      <c r="D954" s="70"/>
      <c r="E954" s="70"/>
      <c r="R954" s="551"/>
    </row>
    <row r="955">
      <c r="C955" s="70"/>
      <c r="D955" s="70"/>
      <c r="E955" s="70"/>
      <c r="R955" s="551"/>
    </row>
    <row r="956">
      <c r="C956" s="70"/>
      <c r="D956" s="70"/>
      <c r="E956" s="70"/>
      <c r="R956" s="551"/>
    </row>
    <row r="957">
      <c r="C957" s="70"/>
      <c r="D957" s="70"/>
      <c r="E957" s="70"/>
      <c r="R957" s="551"/>
    </row>
    <row r="958">
      <c r="C958" s="70"/>
      <c r="D958" s="70"/>
      <c r="E958" s="70"/>
      <c r="R958" s="551"/>
    </row>
    <row r="959">
      <c r="C959" s="70"/>
      <c r="D959" s="70"/>
      <c r="E959" s="70"/>
      <c r="R959" s="551"/>
    </row>
    <row r="960">
      <c r="C960" s="70"/>
      <c r="D960" s="70"/>
      <c r="E960" s="70"/>
      <c r="R960" s="551"/>
    </row>
    <row r="961">
      <c r="C961" s="70"/>
      <c r="D961" s="70"/>
      <c r="E961" s="70"/>
      <c r="R961" s="551"/>
    </row>
    <row r="962">
      <c r="C962" s="70"/>
      <c r="D962" s="70"/>
      <c r="E962" s="70"/>
      <c r="R962" s="551"/>
    </row>
    <row r="963">
      <c r="C963" s="70"/>
      <c r="D963" s="70"/>
      <c r="E963" s="70"/>
      <c r="R963" s="551"/>
    </row>
    <row r="964">
      <c r="C964" s="70"/>
      <c r="D964" s="70"/>
      <c r="E964" s="70"/>
      <c r="R964" s="551"/>
    </row>
    <row r="965">
      <c r="C965" s="70"/>
      <c r="D965" s="70"/>
      <c r="E965" s="70"/>
      <c r="R965" s="551"/>
    </row>
    <row r="966">
      <c r="C966" s="70"/>
      <c r="D966" s="70"/>
      <c r="E966" s="70"/>
      <c r="R966" s="551"/>
    </row>
    <row r="967">
      <c r="C967" s="70"/>
      <c r="D967" s="70"/>
      <c r="E967" s="70"/>
      <c r="R967" s="551"/>
    </row>
    <row r="968">
      <c r="C968" s="70"/>
      <c r="D968" s="70"/>
      <c r="E968" s="70"/>
      <c r="R968" s="551"/>
    </row>
    <row r="969">
      <c r="C969" s="70"/>
      <c r="D969" s="70"/>
      <c r="E969" s="70"/>
      <c r="R969" s="551"/>
    </row>
    <row r="970">
      <c r="C970" s="70"/>
      <c r="D970" s="70"/>
      <c r="E970" s="70"/>
      <c r="R970" s="551"/>
    </row>
    <row r="971">
      <c r="C971" s="70"/>
      <c r="D971" s="70"/>
      <c r="E971" s="70"/>
      <c r="R971" s="551"/>
    </row>
    <row r="972">
      <c r="C972" s="70"/>
      <c r="D972" s="70"/>
      <c r="E972" s="70"/>
      <c r="R972" s="551"/>
    </row>
    <row r="973">
      <c r="C973" s="70"/>
      <c r="D973" s="70"/>
      <c r="E973" s="70"/>
      <c r="R973" s="551"/>
    </row>
    <row r="974">
      <c r="C974" s="70"/>
      <c r="D974" s="70"/>
      <c r="E974" s="70"/>
      <c r="R974" s="551"/>
    </row>
    <row r="975">
      <c r="C975" s="70"/>
      <c r="D975" s="70"/>
      <c r="E975" s="70"/>
      <c r="R975" s="551"/>
    </row>
    <row r="976">
      <c r="C976" s="70"/>
      <c r="D976" s="70"/>
      <c r="E976" s="70"/>
      <c r="R976" s="551"/>
    </row>
    <row r="977">
      <c r="C977" s="70"/>
      <c r="D977" s="70"/>
      <c r="E977" s="70"/>
      <c r="R977" s="551"/>
    </row>
    <row r="978">
      <c r="C978" s="70"/>
      <c r="D978" s="70"/>
      <c r="E978" s="70"/>
      <c r="R978" s="551"/>
    </row>
    <row r="979">
      <c r="C979" s="70"/>
      <c r="D979" s="70"/>
      <c r="E979" s="70"/>
      <c r="R979" s="551"/>
    </row>
    <row r="980">
      <c r="C980" s="70"/>
      <c r="D980" s="70"/>
      <c r="E980" s="70"/>
      <c r="R980" s="551"/>
    </row>
    <row r="981">
      <c r="C981" s="70"/>
      <c r="D981" s="70"/>
      <c r="E981" s="70"/>
      <c r="R981" s="551"/>
    </row>
    <row r="982">
      <c r="C982" s="70"/>
      <c r="D982" s="70"/>
      <c r="E982" s="70"/>
      <c r="R982" s="551"/>
    </row>
    <row r="983">
      <c r="C983" s="70"/>
      <c r="D983" s="70"/>
      <c r="E983" s="70"/>
      <c r="R983" s="551"/>
    </row>
    <row r="984">
      <c r="C984" s="70"/>
      <c r="D984" s="70"/>
      <c r="E984" s="70"/>
      <c r="R984" s="551"/>
    </row>
    <row r="985">
      <c r="C985" s="70"/>
      <c r="D985" s="70"/>
      <c r="E985" s="70"/>
      <c r="R985" s="551"/>
    </row>
    <row r="986">
      <c r="C986" s="70"/>
      <c r="D986" s="70"/>
      <c r="E986" s="70"/>
      <c r="R986" s="551"/>
    </row>
    <row r="987">
      <c r="C987" s="70"/>
      <c r="D987" s="70"/>
      <c r="E987" s="70"/>
      <c r="R987" s="551"/>
    </row>
    <row r="988">
      <c r="C988" s="70"/>
      <c r="D988" s="70"/>
      <c r="E988" s="70"/>
      <c r="R988" s="551"/>
    </row>
    <row r="989">
      <c r="C989" s="70"/>
      <c r="D989" s="70"/>
      <c r="E989" s="70"/>
      <c r="R989" s="551"/>
    </row>
    <row r="990">
      <c r="C990" s="70"/>
      <c r="D990" s="70"/>
      <c r="E990" s="70"/>
      <c r="R990" s="551"/>
    </row>
    <row r="991">
      <c r="C991" s="70"/>
      <c r="D991" s="70"/>
      <c r="E991" s="70"/>
      <c r="R991" s="551"/>
    </row>
    <row r="992">
      <c r="C992" s="70"/>
      <c r="D992" s="70"/>
      <c r="E992" s="70"/>
      <c r="R992" s="551"/>
    </row>
    <row r="993">
      <c r="C993" s="70"/>
      <c r="D993" s="70"/>
      <c r="E993" s="70"/>
      <c r="R993" s="551"/>
    </row>
    <row r="994">
      <c r="C994" s="70"/>
      <c r="D994" s="70"/>
      <c r="E994" s="70"/>
      <c r="R994" s="551"/>
    </row>
    <row r="995">
      <c r="C995" s="70"/>
      <c r="D995" s="70"/>
      <c r="E995" s="70"/>
      <c r="R995" s="551"/>
    </row>
    <row r="996">
      <c r="C996" s="70"/>
      <c r="D996" s="70"/>
      <c r="E996" s="70"/>
      <c r="R996" s="551"/>
    </row>
    <row r="997">
      <c r="C997" s="70"/>
      <c r="D997" s="70"/>
      <c r="E997" s="70"/>
      <c r="R997" s="551"/>
    </row>
    <row r="998">
      <c r="C998" s="70"/>
      <c r="D998" s="70"/>
      <c r="E998" s="70"/>
      <c r="R998" s="551"/>
    </row>
    <row r="999">
      <c r="C999" s="70"/>
      <c r="D999" s="70"/>
      <c r="E999" s="70"/>
      <c r="R999" s="551"/>
    </row>
    <row r="1000">
      <c r="C1000" s="70"/>
      <c r="D1000" s="70"/>
      <c r="E1000" s="70"/>
      <c r="R1000" s="551"/>
    </row>
    <row r="1001">
      <c r="C1001" s="70"/>
      <c r="D1001" s="70"/>
      <c r="E1001" s="70"/>
      <c r="R1001" s="551"/>
    </row>
    <row r="1002">
      <c r="C1002" s="70"/>
      <c r="D1002" s="70"/>
      <c r="E1002" s="70"/>
      <c r="R1002" s="551"/>
    </row>
    <row r="1003">
      <c r="C1003" s="70"/>
      <c r="D1003" s="70"/>
      <c r="E1003" s="70"/>
      <c r="R1003" s="551"/>
    </row>
  </sheetData>
  <mergeCells count="15">
    <mergeCell ref="H3:H4"/>
    <mergeCell ref="I3:I4"/>
    <mergeCell ref="J3:J4"/>
    <mergeCell ref="K3:K4"/>
    <mergeCell ref="L3:L4"/>
    <mergeCell ref="M3:M4"/>
    <mergeCell ref="N3:N4"/>
    <mergeCell ref="O3:O4"/>
    <mergeCell ref="C1:O1"/>
    <mergeCell ref="C2:O2"/>
    <mergeCell ref="C3:C4"/>
    <mergeCell ref="D3:D4"/>
    <mergeCell ref="E3:E4"/>
    <mergeCell ref="F3:F4"/>
    <mergeCell ref="G3:G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15" width="6.13"/>
  </cols>
  <sheetData>
    <row r="1">
      <c r="A1" s="72"/>
      <c r="B1" s="72"/>
      <c r="C1" s="441" t="s">
        <v>628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Q1" s="441" t="s">
        <v>619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</row>
    <row r="2">
      <c r="A2" s="72"/>
      <c r="B2" s="72"/>
      <c r="C2" s="78" t="s">
        <v>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Q2" s="78" t="s">
        <v>46</v>
      </c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</row>
    <row r="3">
      <c r="A3" s="67" t="s">
        <v>47</v>
      </c>
      <c r="B3" s="67" t="s">
        <v>48</v>
      </c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  <c r="Q3" s="81" t="s">
        <v>0</v>
      </c>
      <c r="R3" s="82" t="s">
        <v>1</v>
      </c>
      <c r="S3" s="82" t="s">
        <v>2</v>
      </c>
      <c r="T3" s="82" t="s">
        <v>3</v>
      </c>
      <c r="U3" s="82" t="s">
        <v>4</v>
      </c>
      <c r="V3" s="82" t="s">
        <v>5</v>
      </c>
      <c r="W3" s="82" t="s">
        <v>6</v>
      </c>
      <c r="X3" s="82" t="s">
        <v>7</v>
      </c>
      <c r="Y3" s="82" t="s">
        <v>8</v>
      </c>
      <c r="Z3" s="82" t="s">
        <v>9</v>
      </c>
      <c r="AA3" s="82" t="s">
        <v>10</v>
      </c>
      <c r="AB3" s="82" t="s">
        <v>11</v>
      </c>
      <c r="AC3" s="83"/>
    </row>
    <row r="4">
      <c r="A4" s="72"/>
      <c r="B4" s="72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Q4" s="84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6"/>
    </row>
    <row r="5" hidden="1">
      <c r="A5" s="87" t="s">
        <v>49</v>
      </c>
      <c r="B5" s="88">
        <v>329.0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  <c r="Q5" s="89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1"/>
    </row>
    <row r="6" hidden="1">
      <c r="A6" s="87" t="s">
        <v>50</v>
      </c>
      <c r="B6" s="88">
        <v>329.0</v>
      </c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  <c r="Q6" s="89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1"/>
    </row>
    <row r="7" hidden="1">
      <c r="A7" s="87" t="s">
        <v>51</v>
      </c>
      <c r="B7" s="88">
        <v>329.0</v>
      </c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1"/>
      <c r="Q7" s="89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1"/>
    </row>
    <row r="8">
      <c r="A8" s="92" t="s">
        <v>52</v>
      </c>
      <c r="B8" s="93">
        <v>329.0</v>
      </c>
      <c r="C8" s="317"/>
      <c r="D8" s="542"/>
      <c r="E8" s="542"/>
      <c r="F8" s="96"/>
      <c r="G8" s="97"/>
      <c r="H8" s="97"/>
      <c r="I8" s="97"/>
      <c r="J8" s="97"/>
      <c r="K8" s="97"/>
      <c r="L8" s="97"/>
      <c r="M8" s="97"/>
      <c r="N8" s="97"/>
      <c r="O8" s="91"/>
      <c r="Q8" s="548">
        <f t="shared" ref="Q8:Q99" si="1">B8*C8</f>
        <v>0</v>
      </c>
      <c r="R8" s="443">
        <f t="shared" ref="R8:R99" si="2">B8*D8</f>
        <v>0</v>
      </c>
      <c r="S8" s="443">
        <f t="shared" ref="S8:S99" si="3">B8*E8</f>
        <v>0</v>
      </c>
      <c r="T8" s="96"/>
      <c r="U8" s="97"/>
      <c r="V8" s="97"/>
      <c r="W8" s="97"/>
      <c r="X8" s="97"/>
      <c r="Y8" s="97"/>
      <c r="Z8" s="97"/>
      <c r="AA8" s="97"/>
      <c r="AB8" s="97"/>
      <c r="AC8" s="91"/>
    </row>
    <row r="9" hidden="1">
      <c r="A9" s="98" t="s">
        <v>53</v>
      </c>
      <c r="B9" s="93">
        <v>329.0</v>
      </c>
      <c r="C9" s="317"/>
      <c r="D9" s="542"/>
      <c r="E9" s="542"/>
      <c r="F9" s="96"/>
      <c r="G9" s="97"/>
      <c r="H9" s="97"/>
      <c r="I9" s="97"/>
      <c r="J9" s="97"/>
      <c r="K9" s="97"/>
      <c r="L9" s="97"/>
      <c r="M9" s="97"/>
      <c r="N9" s="97"/>
      <c r="O9" s="91"/>
      <c r="Q9" s="548">
        <f t="shared" si="1"/>
        <v>0</v>
      </c>
      <c r="R9" s="443">
        <f t="shared" si="2"/>
        <v>0</v>
      </c>
      <c r="S9" s="443">
        <f t="shared" si="3"/>
        <v>0</v>
      </c>
      <c r="T9" s="96"/>
      <c r="U9" s="97"/>
      <c r="V9" s="97"/>
      <c r="W9" s="97"/>
      <c r="X9" s="97"/>
      <c r="Y9" s="97"/>
      <c r="Z9" s="97"/>
      <c r="AA9" s="97"/>
      <c r="AB9" s="97"/>
      <c r="AC9" s="91"/>
    </row>
    <row r="10">
      <c r="A10" s="98" t="s">
        <v>54</v>
      </c>
      <c r="B10" s="93">
        <v>329.0</v>
      </c>
      <c r="C10" s="323">
        <v>1.0</v>
      </c>
      <c r="D10" s="543">
        <v>1.0</v>
      </c>
      <c r="E10" s="542"/>
      <c r="F10" s="96"/>
      <c r="G10" s="97"/>
      <c r="H10" s="97"/>
      <c r="I10" s="97"/>
      <c r="J10" s="97"/>
      <c r="K10" s="97"/>
      <c r="L10" s="97"/>
      <c r="M10" s="97"/>
      <c r="N10" s="97"/>
      <c r="O10" s="91"/>
      <c r="Q10" s="548">
        <f t="shared" si="1"/>
        <v>329</v>
      </c>
      <c r="R10" s="443">
        <f t="shared" si="2"/>
        <v>329</v>
      </c>
      <c r="S10" s="443">
        <f t="shared" si="3"/>
        <v>0</v>
      </c>
      <c r="T10" s="96"/>
      <c r="U10" s="97"/>
      <c r="V10" s="97"/>
      <c r="W10" s="97"/>
      <c r="X10" s="97"/>
      <c r="Y10" s="97"/>
      <c r="Z10" s="97"/>
      <c r="AA10" s="97"/>
      <c r="AB10" s="97"/>
      <c r="AC10" s="91"/>
    </row>
    <row r="11">
      <c r="A11" s="98" t="s">
        <v>55</v>
      </c>
      <c r="B11" s="93">
        <v>329.0</v>
      </c>
      <c r="C11" s="317"/>
      <c r="D11" s="543">
        <v>3.0</v>
      </c>
      <c r="E11" s="542"/>
      <c r="F11" s="96"/>
      <c r="G11" s="97"/>
      <c r="H11" s="97"/>
      <c r="I11" s="97"/>
      <c r="J11" s="97"/>
      <c r="K11" s="97"/>
      <c r="L11" s="97"/>
      <c r="M11" s="97"/>
      <c r="N11" s="97"/>
      <c r="O11" s="91"/>
      <c r="Q11" s="548">
        <f t="shared" si="1"/>
        <v>0</v>
      </c>
      <c r="R11" s="443">
        <f t="shared" si="2"/>
        <v>987</v>
      </c>
      <c r="S11" s="443">
        <f t="shared" si="3"/>
        <v>0</v>
      </c>
      <c r="T11" s="96"/>
      <c r="U11" s="97"/>
      <c r="V11" s="97"/>
      <c r="W11" s="97"/>
      <c r="X11" s="97"/>
      <c r="Y11" s="97"/>
      <c r="Z11" s="97"/>
      <c r="AA11" s="97"/>
      <c r="AB11" s="97"/>
      <c r="AC11" s="91"/>
    </row>
    <row r="12">
      <c r="A12" s="98" t="s">
        <v>56</v>
      </c>
      <c r="B12" s="93">
        <v>329.0</v>
      </c>
      <c r="C12" s="323">
        <v>1.0</v>
      </c>
      <c r="D12" s="542"/>
      <c r="E12" s="542"/>
      <c r="F12" s="96"/>
      <c r="G12" s="97"/>
      <c r="H12" s="97"/>
      <c r="I12" s="97"/>
      <c r="J12" s="97"/>
      <c r="K12" s="97"/>
      <c r="L12" s="97"/>
      <c r="M12" s="97"/>
      <c r="N12" s="97"/>
      <c r="O12" s="91"/>
      <c r="Q12" s="548">
        <f t="shared" si="1"/>
        <v>329</v>
      </c>
      <c r="R12" s="443">
        <f t="shared" si="2"/>
        <v>0</v>
      </c>
      <c r="S12" s="443">
        <f t="shared" si="3"/>
        <v>0</v>
      </c>
      <c r="T12" s="96"/>
      <c r="U12" s="97"/>
      <c r="V12" s="97"/>
      <c r="W12" s="97"/>
      <c r="X12" s="97"/>
      <c r="Y12" s="97"/>
      <c r="Z12" s="97"/>
      <c r="AA12" s="97"/>
      <c r="AB12" s="97"/>
      <c r="AC12" s="91"/>
    </row>
    <row r="13">
      <c r="A13" s="98" t="s">
        <v>57</v>
      </c>
      <c r="B13" s="93">
        <v>329.0</v>
      </c>
      <c r="C13" s="317"/>
      <c r="D13" s="542"/>
      <c r="E13" s="542"/>
      <c r="F13" s="96"/>
      <c r="G13" s="97"/>
      <c r="H13" s="97"/>
      <c r="I13" s="97"/>
      <c r="J13" s="97"/>
      <c r="K13" s="97"/>
      <c r="L13" s="97"/>
      <c r="M13" s="97"/>
      <c r="N13" s="97"/>
      <c r="O13" s="91"/>
      <c r="Q13" s="548">
        <f t="shared" si="1"/>
        <v>0</v>
      </c>
      <c r="R13" s="443">
        <f t="shared" si="2"/>
        <v>0</v>
      </c>
      <c r="S13" s="443">
        <f t="shared" si="3"/>
        <v>0</v>
      </c>
      <c r="T13" s="96"/>
      <c r="U13" s="97"/>
      <c r="V13" s="97"/>
      <c r="W13" s="97"/>
      <c r="X13" s="97"/>
      <c r="Y13" s="97"/>
      <c r="Z13" s="97"/>
      <c r="AA13" s="97"/>
      <c r="AB13" s="97"/>
      <c r="AC13" s="91"/>
    </row>
    <row r="14">
      <c r="A14" s="98" t="s">
        <v>58</v>
      </c>
      <c r="B14" s="93">
        <v>329.0</v>
      </c>
      <c r="C14" s="317"/>
      <c r="D14" s="542"/>
      <c r="E14" s="542"/>
      <c r="F14" s="96"/>
      <c r="G14" s="97"/>
      <c r="H14" s="97"/>
      <c r="I14" s="97"/>
      <c r="J14" s="97"/>
      <c r="K14" s="97"/>
      <c r="L14" s="97"/>
      <c r="M14" s="97"/>
      <c r="N14" s="97"/>
      <c r="O14" s="91"/>
      <c r="Q14" s="548">
        <f t="shared" si="1"/>
        <v>0</v>
      </c>
      <c r="R14" s="443">
        <f t="shared" si="2"/>
        <v>0</v>
      </c>
      <c r="S14" s="443">
        <f t="shared" si="3"/>
        <v>0</v>
      </c>
      <c r="T14" s="96"/>
      <c r="U14" s="97"/>
      <c r="V14" s="97"/>
      <c r="W14" s="97"/>
      <c r="X14" s="97"/>
      <c r="Y14" s="97"/>
      <c r="Z14" s="97"/>
      <c r="AA14" s="97"/>
      <c r="AB14" s="97"/>
      <c r="AC14" s="91"/>
    </row>
    <row r="15">
      <c r="A15" s="98" t="s">
        <v>59</v>
      </c>
      <c r="B15" s="93">
        <v>219.0</v>
      </c>
      <c r="C15" s="317"/>
      <c r="D15" s="542"/>
      <c r="E15" s="542"/>
      <c r="F15" s="96"/>
      <c r="G15" s="97"/>
      <c r="H15" s="97"/>
      <c r="I15" s="97"/>
      <c r="J15" s="97"/>
      <c r="K15" s="97"/>
      <c r="L15" s="97"/>
      <c r="M15" s="97"/>
      <c r="N15" s="97"/>
      <c r="O15" s="91"/>
      <c r="Q15" s="548">
        <f t="shared" si="1"/>
        <v>0</v>
      </c>
      <c r="R15" s="443">
        <f t="shared" si="2"/>
        <v>0</v>
      </c>
      <c r="S15" s="443">
        <f t="shared" si="3"/>
        <v>0</v>
      </c>
      <c r="T15" s="96"/>
      <c r="U15" s="97"/>
      <c r="V15" s="97"/>
      <c r="W15" s="97"/>
      <c r="X15" s="97"/>
      <c r="Y15" s="97"/>
      <c r="Z15" s="97"/>
      <c r="AA15" s="97"/>
      <c r="AB15" s="97"/>
      <c r="AC15" s="91"/>
    </row>
    <row r="16" hidden="1">
      <c r="A16" s="98" t="s">
        <v>60</v>
      </c>
      <c r="B16" s="99"/>
      <c r="C16" s="317"/>
      <c r="D16" s="542"/>
      <c r="E16" s="542"/>
      <c r="F16" s="96"/>
      <c r="G16" s="97"/>
      <c r="H16" s="97"/>
      <c r="I16" s="97"/>
      <c r="J16" s="97"/>
      <c r="K16" s="97"/>
      <c r="L16" s="97"/>
      <c r="M16" s="97"/>
      <c r="N16" s="97"/>
      <c r="O16" s="91"/>
      <c r="Q16" s="548">
        <f t="shared" si="1"/>
        <v>0</v>
      </c>
      <c r="R16" s="443">
        <f t="shared" si="2"/>
        <v>0</v>
      </c>
      <c r="S16" s="443">
        <f t="shared" si="3"/>
        <v>0</v>
      </c>
      <c r="T16" s="96"/>
      <c r="U16" s="97"/>
      <c r="V16" s="97"/>
      <c r="W16" s="97"/>
      <c r="X16" s="97"/>
      <c r="Y16" s="97"/>
      <c r="Z16" s="97"/>
      <c r="AA16" s="97"/>
      <c r="AB16" s="97"/>
      <c r="AC16" s="91"/>
    </row>
    <row r="17" hidden="1">
      <c r="A17" s="98" t="s">
        <v>61</v>
      </c>
      <c r="B17" s="99"/>
      <c r="C17" s="317"/>
      <c r="D17" s="542"/>
      <c r="E17" s="542"/>
      <c r="F17" s="96"/>
      <c r="G17" s="97"/>
      <c r="H17" s="97"/>
      <c r="I17" s="97"/>
      <c r="J17" s="97"/>
      <c r="K17" s="97"/>
      <c r="L17" s="97"/>
      <c r="M17" s="97"/>
      <c r="N17" s="97"/>
      <c r="O17" s="91"/>
      <c r="Q17" s="548">
        <f t="shared" si="1"/>
        <v>0</v>
      </c>
      <c r="R17" s="443">
        <f t="shared" si="2"/>
        <v>0</v>
      </c>
      <c r="S17" s="443">
        <f t="shared" si="3"/>
        <v>0</v>
      </c>
      <c r="T17" s="96"/>
      <c r="U17" s="97"/>
      <c r="V17" s="97"/>
      <c r="W17" s="97"/>
      <c r="X17" s="97"/>
      <c r="Y17" s="97"/>
      <c r="Z17" s="97"/>
      <c r="AA17" s="97"/>
      <c r="AB17" s="97"/>
      <c r="AC17" s="91"/>
    </row>
    <row r="18">
      <c r="A18" s="100"/>
      <c r="B18" s="99"/>
      <c r="C18" s="317"/>
      <c r="D18" s="542"/>
      <c r="E18" s="542"/>
      <c r="F18" s="96"/>
      <c r="G18" s="97"/>
      <c r="H18" s="97"/>
      <c r="I18" s="97"/>
      <c r="J18" s="97"/>
      <c r="K18" s="97"/>
      <c r="L18" s="97"/>
      <c r="M18" s="97"/>
      <c r="N18" s="97"/>
      <c r="O18" s="91"/>
      <c r="Q18" s="548">
        <f t="shared" si="1"/>
        <v>0</v>
      </c>
      <c r="R18" s="443">
        <f t="shared" si="2"/>
        <v>0</v>
      </c>
      <c r="S18" s="443">
        <f t="shared" si="3"/>
        <v>0</v>
      </c>
      <c r="T18" s="96"/>
      <c r="U18" s="97"/>
      <c r="V18" s="97"/>
      <c r="W18" s="97"/>
      <c r="X18" s="97"/>
      <c r="Y18" s="97"/>
      <c r="Z18" s="97"/>
      <c r="AA18" s="97"/>
      <c r="AB18" s="97"/>
      <c r="AC18" s="91"/>
    </row>
    <row r="19">
      <c r="A19" s="98" t="s">
        <v>62</v>
      </c>
      <c r="B19" s="93">
        <v>239.0</v>
      </c>
      <c r="C19" s="323">
        <v>3.0</v>
      </c>
      <c r="D19" s="543">
        <v>1.0</v>
      </c>
      <c r="E19" s="542"/>
      <c r="F19" s="96"/>
      <c r="G19" s="97"/>
      <c r="H19" s="97"/>
      <c r="I19" s="97"/>
      <c r="J19" s="97"/>
      <c r="K19" s="97"/>
      <c r="L19" s="97"/>
      <c r="M19" s="97"/>
      <c r="N19" s="97"/>
      <c r="O19" s="91"/>
      <c r="Q19" s="548">
        <f t="shared" si="1"/>
        <v>717</v>
      </c>
      <c r="R19" s="443">
        <f t="shared" si="2"/>
        <v>239</v>
      </c>
      <c r="S19" s="443">
        <f t="shared" si="3"/>
        <v>0</v>
      </c>
      <c r="T19" s="96"/>
      <c r="U19" s="97"/>
      <c r="V19" s="97"/>
      <c r="W19" s="97"/>
      <c r="X19" s="97"/>
      <c r="Y19" s="97"/>
      <c r="Z19" s="97"/>
      <c r="AA19" s="97"/>
      <c r="AB19" s="97"/>
      <c r="AC19" s="91"/>
    </row>
    <row r="20">
      <c r="A20" s="98" t="s">
        <v>63</v>
      </c>
      <c r="B20" s="93">
        <v>239.0</v>
      </c>
      <c r="C20" s="323">
        <v>2.0</v>
      </c>
      <c r="D20" s="543">
        <v>2.0</v>
      </c>
      <c r="E20" s="542"/>
      <c r="F20" s="96"/>
      <c r="G20" s="97"/>
      <c r="H20" s="97"/>
      <c r="I20" s="97"/>
      <c r="J20" s="97"/>
      <c r="K20" s="97"/>
      <c r="L20" s="97"/>
      <c r="M20" s="97"/>
      <c r="N20" s="97"/>
      <c r="O20" s="91"/>
      <c r="Q20" s="548">
        <f t="shared" si="1"/>
        <v>478</v>
      </c>
      <c r="R20" s="443">
        <f t="shared" si="2"/>
        <v>478</v>
      </c>
      <c r="S20" s="443">
        <f t="shared" si="3"/>
        <v>0</v>
      </c>
      <c r="T20" s="96"/>
      <c r="U20" s="97"/>
      <c r="V20" s="97"/>
      <c r="W20" s="97"/>
      <c r="X20" s="97"/>
      <c r="Y20" s="97"/>
      <c r="Z20" s="97"/>
      <c r="AA20" s="97"/>
      <c r="AB20" s="97"/>
      <c r="AC20" s="91"/>
    </row>
    <row r="21">
      <c r="A21" s="98" t="s">
        <v>64</v>
      </c>
      <c r="B21" s="93">
        <v>239.0</v>
      </c>
      <c r="C21" s="317"/>
      <c r="D21" s="543">
        <v>4.0</v>
      </c>
      <c r="E21" s="542"/>
      <c r="F21" s="96"/>
      <c r="G21" s="97"/>
      <c r="H21" s="97"/>
      <c r="I21" s="97"/>
      <c r="J21" s="97"/>
      <c r="K21" s="97"/>
      <c r="L21" s="97"/>
      <c r="M21" s="97"/>
      <c r="N21" s="97"/>
      <c r="O21" s="91"/>
      <c r="Q21" s="548">
        <f t="shared" si="1"/>
        <v>0</v>
      </c>
      <c r="R21" s="443">
        <f t="shared" si="2"/>
        <v>956</v>
      </c>
      <c r="S21" s="443">
        <f t="shared" si="3"/>
        <v>0</v>
      </c>
      <c r="T21" s="96"/>
      <c r="U21" s="97"/>
      <c r="V21" s="97"/>
      <c r="W21" s="97"/>
      <c r="X21" s="97"/>
      <c r="Y21" s="97"/>
      <c r="Z21" s="97"/>
      <c r="AA21" s="97"/>
      <c r="AB21" s="97"/>
      <c r="AC21" s="91"/>
    </row>
    <row r="22">
      <c r="A22" s="98" t="s">
        <v>65</v>
      </c>
      <c r="B22" s="93">
        <v>219.0</v>
      </c>
      <c r="C22" s="323">
        <v>1.0</v>
      </c>
      <c r="D22" s="543">
        <v>2.0</v>
      </c>
      <c r="E22" s="543">
        <v>2.0</v>
      </c>
      <c r="F22" s="96"/>
      <c r="G22" s="97"/>
      <c r="H22" s="97"/>
      <c r="I22" s="97"/>
      <c r="J22" s="97"/>
      <c r="K22" s="97"/>
      <c r="L22" s="97"/>
      <c r="M22" s="97"/>
      <c r="N22" s="97"/>
      <c r="O22" s="91"/>
      <c r="Q22" s="548">
        <f t="shared" si="1"/>
        <v>219</v>
      </c>
      <c r="R22" s="443">
        <f t="shared" si="2"/>
        <v>438</v>
      </c>
      <c r="S22" s="443">
        <f t="shared" si="3"/>
        <v>438</v>
      </c>
      <c r="T22" s="96"/>
      <c r="U22" s="97"/>
      <c r="V22" s="97"/>
      <c r="W22" s="97"/>
      <c r="X22" s="97"/>
      <c r="Y22" s="97"/>
      <c r="Z22" s="97"/>
      <c r="AA22" s="97"/>
      <c r="AB22" s="97"/>
      <c r="AC22" s="91"/>
    </row>
    <row r="23">
      <c r="A23" s="98" t="s">
        <v>66</v>
      </c>
      <c r="B23" s="93">
        <v>219.0</v>
      </c>
      <c r="C23" s="317"/>
      <c r="D23" s="543">
        <v>2.0</v>
      </c>
      <c r="E23" s="542"/>
      <c r="F23" s="96"/>
      <c r="G23" s="97"/>
      <c r="H23" s="97"/>
      <c r="I23" s="97"/>
      <c r="J23" s="97"/>
      <c r="K23" s="97"/>
      <c r="L23" s="97"/>
      <c r="M23" s="97"/>
      <c r="N23" s="97"/>
      <c r="O23" s="91"/>
      <c r="Q23" s="548">
        <f t="shared" si="1"/>
        <v>0</v>
      </c>
      <c r="R23" s="443">
        <f t="shared" si="2"/>
        <v>438</v>
      </c>
      <c r="S23" s="443">
        <f t="shared" si="3"/>
        <v>0</v>
      </c>
      <c r="T23" s="96"/>
      <c r="U23" s="97"/>
      <c r="V23" s="97"/>
      <c r="W23" s="97"/>
      <c r="X23" s="97"/>
      <c r="Y23" s="97"/>
      <c r="Z23" s="97"/>
      <c r="AA23" s="97"/>
      <c r="AB23" s="97"/>
      <c r="AC23" s="91"/>
    </row>
    <row r="24">
      <c r="A24" s="98" t="s">
        <v>67</v>
      </c>
      <c r="B24" s="93">
        <v>219.0</v>
      </c>
      <c r="C24" s="323">
        <v>2.0</v>
      </c>
      <c r="D24" s="543">
        <v>4.0</v>
      </c>
      <c r="E24" s="543">
        <v>2.0</v>
      </c>
      <c r="F24" s="96"/>
      <c r="G24" s="97"/>
      <c r="H24" s="97"/>
      <c r="I24" s="97"/>
      <c r="J24" s="97"/>
      <c r="K24" s="97"/>
      <c r="L24" s="97"/>
      <c r="M24" s="97"/>
      <c r="N24" s="97"/>
      <c r="O24" s="91"/>
      <c r="Q24" s="548">
        <f t="shared" si="1"/>
        <v>438</v>
      </c>
      <c r="R24" s="443">
        <f t="shared" si="2"/>
        <v>876</v>
      </c>
      <c r="S24" s="443">
        <f t="shared" si="3"/>
        <v>438</v>
      </c>
      <c r="T24" s="96"/>
      <c r="U24" s="97"/>
      <c r="V24" s="97"/>
      <c r="W24" s="97"/>
      <c r="X24" s="97"/>
      <c r="Y24" s="97"/>
      <c r="Z24" s="97"/>
      <c r="AA24" s="97"/>
      <c r="AB24" s="97"/>
      <c r="AC24" s="91"/>
    </row>
    <row r="25" hidden="1">
      <c r="A25" s="98" t="s">
        <v>68</v>
      </c>
      <c r="B25" s="93">
        <v>219.0</v>
      </c>
      <c r="C25" s="317"/>
      <c r="D25" s="542"/>
      <c r="E25" s="542"/>
      <c r="F25" s="96"/>
      <c r="G25" s="97"/>
      <c r="H25" s="97"/>
      <c r="I25" s="97"/>
      <c r="J25" s="97"/>
      <c r="K25" s="97"/>
      <c r="L25" s="97"/>
      <c r="M25" s="97"/>
      <c r="N25" s="97"/>
      <c r="O25" s="91"/>
      <c r="Q25" s="548">
        <f t="shared" si="1"/>
        <v>0</v>
      </c>
      <c r="R25" s="443">
        <f t="shared" si="2"/>
        <v>0</v>
      </c>
      <c r="S25" s="443">
        <f t="shared" si="3"/>
        <v>0</v>
      </c>
      <c r="T25" s="96"/>
      <c r="U25" s="97"/>
      <c r="V25" s="97"/>
      <c r="W25" s="97"/>
      <c r="X25" s="97"/>
      <c r="Y25" s="97"/>
      <c r="Z25" s="97"/>
      <c r="AA25" s="97"/>
      <c r="AB25" s="97"/>
      <c r="AC25" s="91"/>
    </row>
    <row r="26" hidden="1">
      <c r="A26" s="98" t="s">
        <v>69</v>
      </c>
      <c r="B26" s="93">
        <v>219.0</v>
      </c>
      <c r="C26" s="317"/>
      <c r="D26" s="542"/>
      <c r="E26" s="542"/>
      <c r="F26" s="96"/>
      <c r="G26" s="97"/>
      <c r="H26" s="97"/>
      <c r="I26" s="97"/>
      <c r="J26" s="97"/>
      <c r="K26" s="97"/>
      <c r="L26" s="97"/>
      <c r="M26" s="97"/>
      <c r="N26" s="97"/>
      <c r="O26" s="91"/>
      <c r="Q26" s="548">
        <f t="shared" si="1"/>
        <v>0</v>
      </c>
      <c r="R26" s="443">
        <f t="shared" si="2"/>
        <v>0</v>
      </c>
      <c r="S26" s="443">
        <f t="shared" si="3"/>
        <v>0</v>
      </c>
      <c r="T26" s="96"/>
      <c r="U26" s="97"/>
      <c r="V26" s="97"/>
      <c r="W26" s="97"/>
      <c r="X26" s="97"/>
      <c r="Y26" s="97"/>
      <c r="Z26" s="97"/>
      <c r="AA26" s="97"/>
      <c r="AB26" s="97"/>
      <c r="AC26" s="91"/>
    </row>
    <row r="27">
      <c r="A27" s="101" t="s">
        <v>70</v>
      </c>
      <c r="B27" s="93">
        <v>799.0</v>
      </c>
      <c r="C27" s="317"/>
      <c r="D27" s="543">
        <v>1.0</v>
      </c>
      <c r="E27" s="543">
        <v>2.0</v>
      </c>
      <c r="F27" s="96"/>
      <c r="G27" s="97"/>
      <c r="H27" s="97"/>
      <c r="I27" s="97"/>
      <c r="J27" s="97"/>
      <c r="K27" s="97"/>
      <c r="L27" s="97"/>
      <c r="M27" s="97"/>
      <c r="N27" s="97"/>
      <c r="O27" s="91"/>
      <c r="Q27" s="548">
        <f t="shared" si="1"/>
        <v>0</v>
      </c>
      <c r="R27" s="443">
        <f t="shared" si="2"/>
        <v>799</v>
      </c>
      <c r="S27" s="443">
        <f t="shared" si="3"/>
        <v>1598</v>
      </c>
      <c r="T27" s="96"/>
      <c r="U27" s="97"/>
      <c r="V27" s="97"/>
      <c r="W27" s="97"/>
      <c r="X27" s="97"/>
      <c r="Y27" s="97"/>
      <c r="Z27" s="97"/>
      <c r="AA27" s="97"/>
      <c r="AB27" s="97"/>
      <c r="AC27" s="91"/>
    </row>
    <row r="28">
      <c r="A28" s="102" t="s">
        <v>71</v>
      </c>
      <c r="B28" s="93">
        <v>609.0</v>
      </c>
      <c r="C28" s="317"/>
      <c r="D28" s="542"/>
      <c r="E28" s="542"/>
      <c r="F28" s="96"/>
      <c r="G28" s="97"/>
      <c r="H28" s="97"/>
      <c r="I28" s="97"/>
      <c r="J28" s="97"/>
      <c r="K28" s="97"/>
      <c r="L28" s="97"/>
      <c r="M28" s="97"/>
      <c r="N28" s="97"/>
      <c r="O28" s="91"/>
      <c r="Q28" s="548">
        <f t="shared" si="1"/>
        <v>0</v>
      </c>
      <c r="R28" s="443">
        <f t="shared" si="2"/>
        <v>0</v>
      </c>
      <c r="S28" s="443">
        <f t="shared" si="3"/>
        <v>0</v>
      </c>
      <c r="T28" s="96"/>
      <c r="U28" s="97"/>
      <c r="V28" s="97"/>
      <c r="W28" s="97"/>
      <c r="X28" s="97"/>
      <c r="Y28" s="97"/>
      <c r="Z28" s="97"/>
      <c r="AA28" s="97"/>
      <c r="AB28" s="97"/>
      <c r="AC28" s="91"/>
    </row>
    <row r="29">
      <c r="A29" s="101" t="s">
        <v>72</v>
      </c>
      <c r="B29" s="93">
        <v>329.0</v>
      </c>
      <c r="C29" s="317"/>
      <c r="D29" s="543">
        <v>1.0</v>
      </c>
      <c r="E29" s="542"/>
      <c r="F29" s="96"/>
      <c r="G29" s="97"/>
      <c r="H29" s="97"/>
      <c r="I29" s="97"/>
      <c r="J29" s="97"/>
      <c r="K29" s="97"/>
      <c r="L29" s="97"/>
      <c r="M29" s="97"/>
      <c r="N29" s="97"/>
      <c r="O29" s="91"/>
      <c r="Q29" s="548">
        <f t="shared" si="1"/>
        <v>0</v>
      </c>
      <c r="R29" s="443">
        <f t="shared" si="2"/>
        <v>329</v>
      </c>
      <c r="S29" s="443">
        <f t="shared" si="3"/>
        <v>0</v>
      </c>
      <c r="T29" s="96"/>
      <c r="U29" s="97"/>
      <c r="V29" s="97"/>
      <c r="W29" s="97"/>
      <c r="X29" s="97"/>
      <c r="Y29" s="97"/>
      <c r="Z29" s="97"/>
      <c r="AA29" s="97"/>
      <c r="AB29" s="97"/>
      <c r="AC29" s="91"/>
    </row>
    <row r="30">
      <c r="A30" s="101" t="s">
        <v>73</v>
      </c>
      <c r="B30" s="93">
        <v>329.0</v>
      </c>
      <c r="C30" s="317"/>
      <c r="D30" s="542"/>
      <c r="E30" s="542"/>
      <c r="F30" s="96"/>
      <c r="G30" s="97"/>
      <c r="H30" s="97"/>
      <c r="I30" s="97"/>
      <c r="J30" s="97"/>
      <c r="K30" s="97"/>
      <c r="L30" s="97"/>
      <c r="M30" s="97"/>
      <c r="N30" s="97"/>
      <c r="O30" s="91"/>
      <c r="Q30" s="548">
        <f t="shared" si="1"/>
        <v>0</v>
      </c>
      <c r="R30" s="443">
        <f t="shared" si="2"/>
        <v>0</v>
      </c>
      <c r="S30" s="443">
        <f t="shared" si="3"/>
        <v>0</v>
      </c>
      <c r="T30" s="96"/>
      <c r="U30" s="97"/>
      <c r="V30" s="97"/>
      <c r="W30" s="97"/>
      <c r="X30" s="97"/>
      <c r="Y30" s="97"/>
      <c r="Z30" s="97"/>
      <c r="AA30" s="97"/>
      <c r="AB30" s="97"/>
      <c r="AC30" s="91"/>
    </row>
    <row r="31">
      <c r="A31" s="101" t="s">
        <v>74</v>
      </c>
      <c r="B31" s="93">
        <v>219.0</v>
      </c>
      <c r="C31" s="323">
        <v>1.0</v>
      </c>
      <c r="D31" s="542"/>
      <c r="E31" s="542"/>
      <c r="F31" s="96"/>
      <c r="G31" s="97"/>
      <c r="H31" s="97"/>
      <c r="I31" s="97"/>
      <c r="J31" s="97"/>
      <c r="K31" s="97"/>
      <c r="L31" s="97"/>
      <c r="M31" s="97"/>
      <c r="N31" s="97"/>
      <c r="O31" s="91"/>
      <c r="Q31" s="548">
        <f t="shared" si="1"/>
        <v>219</v>
      </c>
      <c r="R31" s="443">
        <f t="shared" si="2"/>
        <v>0</v>
      </c>
      <c r="S31" s="443">
        <f t="shared" si="3"/>
        <v>0</v>
      </c>
      <c r="T31" s="96"/>
      <c r="U31" s="97"/>
      <c r="V31" s="97"/>
      <c r="W31" s="97"/>
      <c r="X31" s="97"/>
      <c r="Y31" s="97"/>
      <c r="Z31" s="97"/>
      <c r="AA31" s="97"/>
      <c r="AB31" s="97"/>
      <c r="AC31" s="91"/>
    </row>
    <row r="32">
      <c r="A32" s="101" t="s">
        <v>75</v>
      </c>
      <c r="B32" s="93">
        <v>219.0</v>
      </c>
      <c r="C32" s="317"/>
      <c r="D32" s="542"/>
      <c r="E32" s="542"/>
      <c r="F32" s="96"/>
      <c r="G32" s="97"/>
      <c r="H32" s="97"/>
      <c r="I32" s="97"/>
      <c r="J32" s="97"/>
      <c r="K32" s="97"/>
      <c r="L32" s="97"/>
      <c r="M32" s="97"/>
      <c r="N32" s="97"/>
      <c r="O32" s="91"/>
      <c r="Q32" s="548">
        <f t="shared" si="1"/>
        <v>0</v>
      </c>
      <c r="R32" s="443">
        <f t="shared" si="2"/>
        <v>0</v>
      </c>
      <c r="S32" s="443">
        <f t="shared" si="3"/>
        <v>0</v>
      </c>
      <c r="T32" s="96"/>
      <c r="U32" s="97"/>
      <c r="V32" s="97"/>
      <c r="W32" s="97"/>
      <c r="X32" s="97"/>
      <c r="Y32" s="97"/>
      <c r="Z32" s="97"/>
      <c r="AA32" s="97"/>
      <c r="AB32" s="97"/>
      <c r="AC32" s="91"/>
    </row>
    <row r="33">
      <c r="A33" s="101" t="s">
        <v>76</v>
      </c>
      <c r="B33" s="93">
        <v>439.0</v>
      </c>
      <c r="C33" s="317"/>
      <c r="D33" s="542"/>
      <c r="E33" s="542"/>
      <c r="F33" s="96"/>
      <c r="G33" s="97"/>
      <c r="H33" s="97"/>
      <c r="I33" s="97"/>
      <c r="J33" s="97"/>
      <c r="K33" s="97"/>
      <c r="L33" s="97"/>
      <c r="M33" s="97"/>
      <c r="N33" s="97"/>
      <c r="O33" s="91"/>
      <c r="Q33" s="548">
        <f t="shared" si="1"/>
        <v>0</v>
      </c>
      <c r="R33" s="443">
        <f t="shared" si="2"/>
        <v>0</v>
      </c>
      <c r="S33" s="443">
        <f t="shared" si="3"/>
        <v>0</v>
      </c>
      <c r="T33" s="96"/>
      <c r="U33" s="97"/>
      <c r="V33" s="97"/>
      <c r="W33" s="97"/>
      <c r="X33" s="97"/>
      <c r="Y33" s="97"/>
      <c r="Z33" s="97"/>
      <c r="AA33" s="97"/>
      <c r="AB33" s="97"/>
      <c r="AC33" s="91"/>
    </row>
    <row r="34">
      <c r="A34" s="101" t="s">
        <v>77</v>
      </c>
      <c r="B34" s="93">
        <v>899.0</v>
      </c>
      <c r="C34" s="317"/>
      <c r="D34" s="542"/>
      <c r="E34" s="178"/>
      <c r="F34" s="96"/>
      <c r="G34" s="97"/>
      <c r="H34" s="97"/>
      <c r="I34" s="97"/>
      <c r="J34" s="97"/>
      <c r="K34" s="97"/>
      <c r="L34" s="97"/>
      <c r="M34" s="97"/>
      <c r="N34" s="97"/>
      <c r="O34" s="91"/>
      <c r="Q34" s="548">
        <f t="shared" si="1"/>
        <v>0</v>
      </c>
      <c r="R34" s="443">
        <f t="shared" si="2"/>
        <v>0</v>
      </c>
      <c r="S34" s="443">
        <f t="shared" si="3"/>
        <v>0</v>
      </c>
      <c r="T34" s="96"/>
      <c r="U34" s="97"/>
      <c r="V34" s="97"/>
      <c r="W34" s="97"/>
      <c r="X34" s="97"/>
      <c r="Y34" s="97"/>
      <c r="Z34" s="97"/>
      <c r="AA34" s="97"/>
      <c r="AB34" s="97"/>
      <c r="AC34" s="91"/>
    </row>
    <row r="35">
      <c r="A35" s="101" t="s">
        <v>78</v>
      </c>
      <c r="B35" s="93">
        <v>549.0</v>
      </c>
      <c r="C35" s="317"/>
      <c r="D35" s="178"/>
      <c r="E35" s="542"/>
      <c r="F35" s="96"/>
      <c r="G35" s="97"/>
      <c r="H35" s="97"/>
      <c r="I35" s="97"/>
      <c r="J35" s="97"/>
      <c r="K35" s="97"/>
      <c r="L35" s="97"/>
      <c r="M35" s="97"/>
      <c r="N35" s="97"/>
      <c r="O35" s="91"/>
      <c r="Q35" s="548">
        <f t="shared" si="1"/>
        <v>0</v>
      </c>
      <c r="R35" s="443">
        <f t="shared" si="2"/>
        <v>0</v>
      </c>
      <c r="S35" s="443">
        <f t="shared" si="3"/>
        <v>0</v>
      </c>
      <c r="T35" s="96"/>
      <c r="U35" s="97"/>
      <c r="V35" s="97"/>
      <c r="W35" s="97"/>
      <c r="X35" s="97"/>
      <c r="Y35" s="97"/>
      <c r="Z35" s="97"/>
      <c r="AA35" s="97"/>
      <c r="AB35" s="97"/>
      <c r="AC35" s="91"/>
    </row>
    <row r="36">
      <c r="A36" s="101" t="s">
        <v>79</v>
      </c>
      <c r="B36" s="93">
        <v>549.0</v>
      </c>
      <c r="C36" s="317"/>
      <c r="D36" s="178"/>
      <c r="E36" s="542"/>
      <c r="F36" s="96"/>
      <c r="G36" s="97"/>
      <c r="H36" s="97"/>
      <c r="I36" s="97"/>
      <c r="J36" s="97"/>
      <c r="K36" s="97"/>
      <c r="L36" s="97"/>
      <c r="M36" s="97"/>
      <c r="N36" s="97"/>
      <c r="O36" s="91"/>
      <c r="Q36" s="548">
        <f t="shared" si="1"/>
        <v>0</v>
      </c>
      <c r="R36" s="443">
        <f t="shared" si="2"/>
        <v>0</v>
      </c>
      <c r="S36" s="443">
        <f t="shared" si="3"/>
        <v>0</v>
      </c>
      <c r="T36" s="96"/>
      <c r="U36" s="97"/>
      <c r="V36" s="97"/>
      <c r="W36" s="97"/>
      <c r="X36" s="97"/>
      <c r="Y36" s="97"/>
      <c r="Z36" s="97"/>
      <c r="AA36" s="97"/>
      <c r="AB36" s="97"/>
      <c r="AC36" s="91"/>
    </row>
    <row r="37">
      <c r="A37" s="101" t="s">
        <v>80</v>
      </c>
      <c r="B37" s="93">
        <v>549.0</v>
      </c>
      <c r="C37" s="317"/>
      <c r="D37" s="542"/>
      <c r="E37" s="542"/>
      <c r="F37" s="96"/>
      <c r="G37" s="97"/>
      <c r="H37" s="97"/>
      <c r="I37" s="97"/>
      <c r="J37" s="97"/>
      <c r="K37" s="97"/>
      <c r="L37" s="97"/>
      <c r="M37" s="97"/>
      <c r="N37" s="97"/>
      <c r="O37" s="91"/>
      <c r="Q37" s="548">
        <f t="shared" si="1"/>
        <v>0</v>
      </c>
      <c r="R37" s="443">
        <f t="shared" si="2"/>
        <v>0</v>
      </c>
      <c r="S37" s="443">
        <f t="shared" si="3"/>
        <v>0</v>
      </c>
      <c r="T37" s="96"/>
      <c r="U37" s="97"/>
      <c r="V37" s="97"/>
      <c r="W37" s="97"/>
      <c r="X37" s="97"/>
      <c r="Y37" s="97"/>
      <c r="Z37" s="97"/>
      <c r="AA37" s="97"/>
      <c r="AB37" s="97"/>
      <c r="AC37" s="91"/>
    </row>
    <row r="38">
      <c r="A38" s="102" t="s">
        <v>81</v>
      </c>
      <c r="B38" s="93">
        <v>799.0</v>
      </c>
      <c r="C38" s="317"/>
      <c r="D38" s="543">
        <v>1.0</v>
      </c>
      <c r="E38" s="543">
        <v>3.0</v>
      </c>
      <c r="F38" s="96"/>
      <c r="G38" s="97"/>
      <c r="H38" s="97"/>
      <c r="I38" s="97"/>
      <c r="J38" s="97"/>
      <c r="K38" s="97"/>
      <c r="L38" s="97"/>
      <c r="M38" s="97"/>
      <c r="N38" s="97"/>
      <c r="O38" s="91"/>
      <c r="Q38" s="548">
        <f t="shared" si="1"/>
        <v>0</v>
      </c>
      <c r="R38" s="443">
        <f t="shared" si="2"/>
        <v>799</v>
      </c>
      <c r="S38" s="443">
        <f t="shared" si="3"/>
        <v>2397</v>
      </c>
      <c r="T38" s="96"/>
      <c r="U38" s="97"/>
      <c r="V38" s="97"/>
      <c r="W38" s="97"/>
      <c r="X38" s="97"/>
      <c r="Y38" s="97"/>
      <c r="Z38" s="97"/>
      <c r="AA38" s="97"/>
      <c r="AB38" s="97"/>
      <c r="AC38" s="91"/>
    </row>
    <row r="39">
      <c r="A39" s="102" t="s">
        <v>82</v>
      </c>
      <c r="B39" s="93">
        <v>799.0</v>
      </c>
      <c r="C39" s="317"/>
      <c r="D39" s="543">
        <v>1.0</v>
      </c>
      <c r="E39" s="543">
        <v>3.0</v>
      </c>
      <c r="F39" s="96"/>
      <c r="G39" s="97"/>
      <c r="H39" s="97"/>
      <c r="I39" s="97"/>
      <c r="J39" s="97"/>
      <c r="K39" s="97"/>
      <c r="L39" s="97"/>
      <c r="M39" s="97"/>
      <c r="N39" s="97"/>
      <c r="O39" s="91"/>
      <c r="Q39" s="548">
        <f t="shared" si="1"/>
        <v>0</v>
      </c>
      <c r="R39" s="443">
        <f t="shared" si="2"/>
        <v>799</v>
      </c>
      <c r="S39" s="443">
        <f t="shared" si="3"/>
        <v>2397</v>
      </c>
      <c r="T39" s="96"/>
      <c r="U39" s="97"/>
      <c r="V39" s="97"/>
      <c r="W39" s="97"/>
      <c r="X39" s="97"/>
      <c r="Y39" s="97"/>
      <c r="Z39" s="97"/>
      <c r="AA39" s="97"/>
      <c r="AB39" s="97"/>
      <c r="AC39" s="91"/>
    </row>
    <row r="40">
      <c r="A40" s="101" t="s">
        <v>83</v>
      </c>
      <c r="B40" s="93">
        <v>439.0</v>
      </c>
      <c r="C40" s="317"/>
      <c r="D40" s="542"/>
      <c r="E40" s="542"/>
      <c r="F40" s="96"/>
      <c r="G40" s="97"/>
      <c r="H40" s="97"/>
      <c r="I40" s="97"/>
      <c r="J40" s="97"/>
      <c r="K40" s="97"/>
      <c r="L40" s="97"/>
      <c r="M40" s="97"/>
      <c r="N40" s="97"/>
      <c r="O40" s="91"/>
      <c r="Q40" s="548">
        <f t="shared" si="1"/>
        <v>0</v>
      </c>
      <c r="R40" s="443">
        <f t="shared" si="2"/>
        <v>0</v>
      </c>
      <c r="S40" s="443">
        <f t="shared" si="3"/>
        <v>0</v>
      </c>
      <c r="T40" s="96"/>
      <c r="U40" s="97"/>
      <c r="V40" s="97"/>
      <c r="W40" s="97"/>
      <c r="X40" s="97"/>
      <c r="Y40" s="97"/>
      <c r="Z40" s="97"/>
      <c r="AA40" s="97"/>
      <c r="AB40" s="97"/>
      <c r="AC40" s="91"/>
    </row>
    <row r="41">
      <c r="A41" s="101" t="s">
        <v>84</v>
      </c>
      <c r="B41" s="93">
        <v>439.0</v>
      </c>
      <c r="C41" s="317"/>
      <c r="D41" s="542"/>
      <c r="E41" s="542"/>
      <c r="F41" s="96"/>
      <c r="G41" s="97"/>
      <c r="H41" s="97"/>
      <c r="I41" s="97"/>
      <c r="J41" s="97"/>
      <c r="K41" s="97"/>
      <c r="L41" s="97"/>
      <c r="M41" s="97"/>
      <c r="N41" s="97"/>
      <c r="O41" s="91"/>
      <c r="Q41" s="548">
        <f t="shared" si="1"/>
        <v>0</v>
      </c>
      <c r="R41" s="443">
        <f t="shared" si="2"/>
        <v>0</v>
      </c>
      <c r="S41" s="443">
        <f t="shared" si="3"/>
        <v>0</v>
      </c>
      <c r="T41" s="96"/>
      <c r="U41" s="97"/>
      <c r="V41" s="97"/>
      <c r="W41" s="97"/>
      <c r="X41" s="97"/>
      <c r="Y41" s="97"/>
      <c r="Z41" s="97"/>
      <c r="AA41" s="97"/>
      <c r="AB41" s="97"/>
      <c r="AC41" s="91"/>
    </row>
    <row r="42">
      <c r="A42" s="101" t="s">
        <v>85</v>
      </c>
      <c r="B42" s="93">
        <v>60.0</v>
      </c>
      <c r="C42" s="317"/>
      <c r="D42" s="542"/>
      <c r="E42" s="542"/>
      <c r="F42" s="96"/>
      <c r="G42" s="97"/>
      <c r="H42" s="97"/>
      <c r="I42" s="97"/>
      <c r="J42" s="97"/>
      <c r="K42" s="97"/>
      <c r="L42" s="97"/>
      <c r="M42" s="97"/>
      <c r="N42" s="97"/>
      <c r="O42" s="91"/>
      <c r="Q42" s="548">
        <f t="shared" si="1"/>
        <v>0</v>
      </c>
      <c r="R42" s="443">
        <f t="shared" si="2"/>
        <v>0</v>
      </c>
      <c r="S42" s="443">
        <f t="shared" si="3"/>
        <v>0</v>
      </c>
      <c r="T42" s="96"/>
      <c r="U42" s="97"/>
      <c r="V42" s="97"/>
      <c r="W42" s="97"/>
      <c r="X42" s="97"/>
      <c r="Y42" s="97"/>
      <c r="Z42" s="97"/>
      <c r="AA42" s="97"/>
      <c r="AB42" s="97"/>
      <c r="AC42" s="91"/>
    </row>
    <row r="43">
      <c r="A43" s="101" t="s">
        <v>86</v>
      </c>
      <c r="B43" s="93">
        <v>609.0</v>
      </c>
      <c r="C43" s="212">
        <v>1.0</v>
      </c>
      <c r="D43" s="327"/>
      <c r="E43" s="327"/>
      <c r="F43" s="96"/>
      <c r="G43" s="97"/>
      <c r="H43" s="97"/>
      <c r="I43" s="97"/>
      <c r="J43" s="97"/>
      <c r="K43" s="97"/>
      <c r="L43" s="97"/>
      <c r="M43" s="97"/>
      <c r="N43" s="97"/>
      <c r="O43" s="91"/>
      <c r="Q43" s="548">
        <f t="shared" si="1"/>
        <v>609</v>
      </c>
      <c r="R43" s="443">
        <f t="shared" si="2"/>
        <v>0</v>
      </c>
      <c r="S43" s="443">
        <f t="shared" si="3"/>
        <v>0</v>
      </c>
      <c r="T43" s="96"/>
      <c r="U43" s="97"/>
      <c r="V43" s="97"/>
      <c r="W43" s="97"/>
      <c r="X43" s="97"/>
      <c r="Y43" s="97"/>
      <c r="Z43" s="97"/>
      <c r="AA43" s="97"/>
      <c r="AB43" s="97"/>
      <c r="AC43" s="91"/>
    </row>
    <row r="44">
      <c r="A44" s="101" t="s">
        <v>87</v>
      </c>
      <c r="B44" s="93">
        <v>379.0</v>
      </c>
      <c r="C44" s="329"/>
      <c r="D44" s="327"/>
      <c r="E44" s="327"/>
      <c r="F44" s="96"/>
      <c r="G44" s="97"/>
      <c r="H44" s="97"/>
      <c r="I44" s="97"/>
      <c r="J44" s="97"/>
      <c r="K44" s="97"/>
      <c r="L44" s="97"/>
      <c r="M44" s="97"/>
      <c r="N44" s="97"/>
      <c r="O44" s="91"/>
      <c r="Q44" s="548">
        <f t="shared" si="1"/>
        <v>0</v>
      </c>
      <c r="R44" s="443">
        <f t="shared" si="2"/>
        <v>0</v>
      </c>
      <c r="S44" s="443">
        <f t="shared" si="3"/>
        <v>0</v>
      </c>
      <c r="T44" s="96"/>
      <c r="U44" s="97"/>
      <c r="V44" s="97"/>
      <c r="W44" s="97"/>
      <c r="X44" s="97"/>
      <c r="Y44" s="97"/>
      <c r="Z44" s="97"/>
      <c r="AA44" s="97"/>
      <c r="AB44" s="97"/>
      <c r="AC44" s="91"/>
    </row>
    <row r="45">
      <c r="A45" s="101" t="s">
        <v>88</v>
      </c>
      <c r="B45" s="93">
        <v>379.0</v>
      </c>
      <c r="C45" s="329"/>
      <c r="D45" s="327"/>
      <c r="E45" s="327"/>
      <c r="F45" s="96"/>
      <c r="G45" s="97"/>
      <c r="H45" s="97"/>
      <c r="I45" s="97"/>
      <c r="J45" s="97"/>
      <c r="K45" s="97"/>
      <c r="L45" s="97"/>
      <c r="M45" s="97"/>
      <c r="N45" s="97"/>
      <c r="O45" s="91"/>
      <c r="Q45" s="548">
        <f t="shared" si="1"/>
        <v>0</v>
      </c>
      <c r="R45" s="443">
        <f t="shared" si="2"/>
        <v>0</v>
      </c>
      <c r="S45" s="443">
        <f t="shared" si="3"/>
        <v>0</v>
      </c>
      <c r="T45" s="96"/>
      <c r="U45" s="97"/>
      <c r="V45" s="97"/>
      <c r="W45" s="97"/>
      <c r="X45" s="97"/>
      <c r="Y45" s="97"/>
      <c r="Z45" s="97"/>
      <c r="AA45" s="97"/>
      <c r="AB45" s="97"/>
      <c r="AC45" s="91"/>
    </row>
    <row r="46">
      <c r="A46" s="101" t="s">
        <v>89</v>
      </c>
      <c r="B46" s="93">
        <v>1299.0</v>
      </c>
      <c r="C46" s="329"/>
      <c r="D46" s="327"/>
      <c r="E46" s="327"/>
      <c r="F46" s="96"/>
      <c r="G46" s="97"/>
      <c r="H46" s="97"/>
      <c r="I46" s="97"/>
      <c r="J46" s="97"/>
      <c r="K46" s="97"/>
      <c r="L46" s="97"/>
      <c r="M46" s="97"/>
      <c r="N46" s="97"/>
      <c r="O46" s="91"/>
      <c r="Q46" s="548">
        <f t="shared" si="1"/>
        <v>0</v>
      </c>
      <c r="R46" s="443">
        <f t="shared" si="2"/>
        <v>0</v>
      </c>
      <c r="S46" s="443">
        <f t="shared" si="3"/>
        <v>0</v>
      </c>
      <c r="T46" s="96"/>
      <c r="U46" s="97"/>
      <c r="V46" s="97"/>
      <c r="W46" s="97"/>
      <c r="X46" s="97"/>
      <c r="Y46" s="97"/>
      <c r="Z46" s="97"/>
      <c r="AA46" s="97"/>
      <c r="AB46" s="97"/>
      <c r="AC46" s="91"/>
    </row>
    <row r="47">
      <c r="A47" s="67" t="s">
        <v>90</v>
      </c>
      <c r="B47" s="93">
        <v>1299.0</v>
      </c>
      <c r="C47" s="329"/>
      <c r="D47" s="327"/>
      <c r="E47" s="327"/>
      <c r="F47" s="96"/>
      <c r="G47" s="97"/>
      <c r="H47" s="97"/>
      <c r="I47" s="97"/>
      <c r="J47" s="97"/>
      <c r="K47" s="97"/>
      <c r="L47" s="97"/>
      <c r="M47" s="97"/>
      <c r="N47" s="97"/>
      <c r="O47" s="91"/>
      <c r="Q47" s="548">
        <f t="shared" si="1"/>
        <v>0</v>
      </c>
      <c r="R47" s="443">
        <f t="shared" si="2"/>
        <v>0</v>
      </c>
      <c r="S47" s="443">
        <f t="shared" si="3"/>
        <v>0</v>
      </c>
      <c r="T47" s="96"/>
      <c r="U47" s="97"/>
      <c r="V47" s="97"/>
      <c r="W47" s="97"/>
      <c r="X47" s="97"/>
      <c r="Y47" s="97"/>
      <c r="Z47" s="97"/>
      <c r="AA47" s="97"/>
      <c r="AB47" s="97"/>
      <c r="AC47" s="91"/>
    </row>
    <row r="48">
      <c r="A48" s="101" t="s">
        <v>91</v>
      </c>
      <c r="B48" s="103">
        <v>0.0</v>
      </c>
      <c r="C48" s="329"/>
      <c r="D48" s="327"/>
      <c r="E48" s="327"/>
      <c r="F48" s="96"/>
      <c r="G48" s="97"/>
      <c r="H48" s="97"/>
      <c r="I48" s="97"/>
      <c r="J48" s="97"/>
      <c r="K48" s="97"/>
      <c r="L48" s="97"/>
      <c r="M48" s="97"/>
      <c r="N48" s="97"/>
      <c r="O48" s="91"/>
      <c r="Q48" s="548">
        <f t="shared" si="1"/>
        <v>0</v>
      </c>
      <c r="R48" s="443">
        <f t="shared" si="2"/>
        <v>0</v>
      </c>
      <c r="S48" s="443">
        <f t="shared" si="3"/>
        <v>0</v>
      </c>
      <c r="T48" s="96"/>
      <c r="U48" s="97"/>
      <c r="V48" s="97"/>
      <c r="W48" s="97"/>
      <c r="X48" s="97"/>
      <c r="Y48" s="97"/>
      <c r="Z48" s="97"/>
      <c r="AA48" s="97"/>
      <c r="AB48" s="97"/>
      <c r="AC48" s="91"/>
    </row>
    <row r="49">
      <c r="A49" s="104"/>
      <c r="B49" s="105"/>
      <c r="C49" s="329"/>
      <c r="D49" s="327"/>
      <c r="E49" s="327"/>
      <c r="F49" s="96"/>
      <c r="G49" s="97"/>
      <c r="H49" s="97"/>
      <c r="I49" s="97"/>
      <c r="J49" s="97"/>
      <c r="K49" s="97"/>
      <c r="L49" s="97"/>
      <c r="M49" s="97"/>
      <c r="N49" s="97"/>
      <c r="O49" s="91"/>
      <c r="Q49" s="548">
        <f t="shared" si="1"/>
        <v>0</v>
      </c>
      <c r="R49" s="443">
        <f t="shared" si="2"/>
        <v>0</v>
      </c>
      <c r="S49" s="443">
        <f t="shared" si="3"/>
        <v>0</v>
      </c>
      <c r="T49" s="96"/>
      <c r="U49" s="97"/>
      <c r="V49" s="97"/>
      <c r="W49" s="97"/>
      <c r="X49" s="97"/>
      <c r="Y49" s="97"/>
      <c r="Z49" s="97"/>
      <c r="AA49" s="97"/>
      <c r="AB49" s="97"/>
      <c r="AC49" s="91"/>
    </row>
    <row r="50">
      <c r="A50" s="102" t="s">
        <v>92</v>
      </c>
      <c r="B50" s="106">
        <v>609.0</v>
      </c>
      <c r="C50" s="212">
        <v>2.0</v>
      </c>
      <c r="D50" s="321">
        <v>1.0</v>
      </c>
      <c r="E50" s="321">
        <v>1.0</v>
      </c>
      <c r="F50" s="96"/>
      <c r="G50" s="97"/>
      <c r="H50" s="97"/>
      <c r="I50" s="97"/>
      <c r="J50" s="97"/>
      <c r="K50" s="97"/>
      <c r="L50" s="97"/>
      <c r="M50" s="97"/>
      <c r="N50" s="97"/>
      <c r="O50" s="91"/>
      <c r="Q50" s="548">
        <f t="shared" si="1"/>
        <v>1218</v>
      </c>
      <c r="R50" s="443">
        <f t="shared" si="2"/>
        <v>609</v>
      </c>
      <c r="S50" s="443">
        <f t="shared" si="3"/>
        <v>609</v>
      </c>
      <c r="T50" s="96"/>
      <c r="U50" s="97"/>
      <c r="V50" s="97"/>
      <c r="W50" s="97"/>
      <c r="X50" s="97"/>
      <c r="Y50" s="97"/>
      <c r="Z50" s="97"/>
      <c r="AA50" s="97"/>
      <c r="AB50" s="97"/>
      <c r="AC50" s="91"/>
    </row>
    <row r="51">
      <c r="A51" s="102" t="s">
        <v>93</v>
      </c>
      <c r="B51" s="93">
        <v>609.0</v>
      </c>
      <c r="C51" s="329"/>
      <c r="D51" s="321">
        <v>2.0</v>
      </c>
      <c r="E51" s="327"/>
      <c r="F51" s="96"/>
      <c r="G51" s="97"/>
      <c r="H51" s="97"/>
      <c r="I51" s="97"/>
      <c r="J51" s="97"/>
      <c r="K51" s="97"/>
      <c r="L51" s="97"/>
      <c r="M51" s="97"/>
      <c r="N51" s="97"/>
      <c r="O51" s="91"/>
      <c r="Q51" s="548">
        <f t="shared" si="1"/>
        <v>0</v>
      </c>
      <c r="R51" s="443">
        <f t="shared" si="2"/>
        <v>1218</v>
      </c>
      <c r="S51" s="443">
        <f t="shared" si="3"/>
        <v>0</v>
      </c>
      <c r="T51" s="96"/>
      <c r="U51" s="97"/>
      <c r="V51" s="97"/>
      <c r="W51" s="97"/>
      <c r="X51" s="97"/>
      <c r="Y51" s="97"/>
      <c r="Z51" s="97"/>
      <c r="AA51" s="97"/>
      <c r="AB51" s="97"/>
      <c r="AC51" s="91"/>
    </row>
    <row r="52">
      <c r="A52" s="102" t="s">
        <v>94</v>
      </c>
      <c r="B52" s="93">
        <v>329.0</v>
      </c>
      <c r="C52" s="329"/>
      <c r="D52" s="327"/>
      <c r="E52" s="327"/>
      <c r="F52" s="96"/>
      <c r="G52" s="97"/>
      <c r="H52" s="97"/>
      <c r="I52" s="97"/>
      <c r="J52" s="97"/>
      <c r="K52" s="97"/>
      <c r="L52" s="97"/>
      <c r="M52" s="97"/>
      <c r="N52" s="97"/>
      <c r="O52" s="91"/>
      <c r="Q52" s="548">
        <f t="shared" si="1"/>
        <v>0</v>
      </c>
      <c r="R52" s="443">
        <f t="shared" si="2"/>
        <v>0</v>
      </c>
      <c r="S52" s="443">
        <f t="shared" si="3"/>
        <v>0</v>
      </c>
      <c r="T52" s="96"/>
      <c r="U52" s="97"/>
      <c r="V52" s="97"/>
      <c r="W52" s="97"/>
      <c r="X52" s="97"/>
      <c r="Y52" s="97"/>
      <c r="Z52" s="97"/>
      <c r="AA52" s="97"/>
      <c r="AB52" s="97"/>
      <c r="AC52" s="91"/>
    </row>
    <row r="53">
      <c r="A53" s="102" t="s">
        <v>95</v>
      </c>
      <c r="B53" s="93">
        <v>199.0</v>
      </c>
      <c r="C53" s="329"/>
      <c r="D53" s="327"/>
      <c r="E53" s="327"/>
      <c r="F53" s="96"/>
      <c r="G53" s="97"/>
      <c r="H53" s="97"/>
      <c r="I53" s="97"/>
      <c r="J53" s="97"/>
      <c r="K53" s="97"/>
      <c r="L53" s="97"/>
      <c r="M53" s="97"/>
      <c r="N53" s="97"/>
      <c r="O53" s="91"/>
      <c r="Q53" s="548">
        <f t="shared" si="1"/>
        <v>0</v>
      </c>
      <c r="R53" s="443">
        <f t="shared" si="2"/>
        <v>0</v>
      </c>
      <c r="S53" s="443">
        <f t="shared" si="3"/>
        <v>0</v>
      </c>
      <c r="T53" s="96"/>
      <c r="U53" s="97"/>
      <c r="V53" s="97"/>
      <c r="W53" s="97"/>
      <c r="X53" s="97"/>
      <c r="Y53" s="97"/>
      <c r="Z53" s="97"/>
      <c r="AA53" s="97"/>
      <c r="AB53" s="97"/>
      <c r="AC53" s="91"/>
    </row>
    <row r="54">
      <c r="A54" s="102" t="s">
        <v>96</v>
      </c>
      <c r="B54" s="93">
        <v>199.0</v>
      </c>
      <c r="C54" s="329"/>
      <c r="D54" s="327"/>
      <c r="E54" s="327"/>
      <c r="F54" s="96"/>
      <c r="G54" s="97"/>
      <c r="H54" s="97"/>
      <c r="I54" s="97"/>
      <c r="J54" s="97"/>
      <c r="K54" s="97"/>
      <c r="L54" s="97"/>
      <c r="M54" s="97"/>
      <c r="N54" s="97"/>
      <c r="O54" s="91"/>
      <c r="Q54" s="548">
        <f t="shared" si="1"/>
        <v>0</v>
      </c>
      <c r="R54" s="443">
        <f t="shared" si="2"/>
        <v>0</v>
      </c>
      <c r="S54" s="443">
        <f t="shared" si="3"/>
        <v>0</v>
      </c>
      <c r="T54" s="96"/>
      <c r="U54" s="97"/>
      <c r="V54" s="97"/>
      <c r="W54" s="97"/>
      <c r="X54" s="97"/>
      <c r="Y54" s="97"/>
      <c r="Z54" s="97"/>
      <c r="AA54" s="97"/>
      <c r="AB54" s="97"/>
      <c r="AC54" s="91"/>
    </row>
    <row r="55">
      <c r="A55" s="67" t="s">
        <v>97</v>
      </c>
      <c r="B55" s="93">
        <v>599.0</v>
      </c>
      <c r="C55" s="329"/>
      <c r="D55" s="327"/>
      <c r="E55" s="321">
        <v>10.0</v>
      </c>
      <c r="F55" s="96"/>
      <c r="G55" s="97"/>
      <c r="H55" s="97"/>
      <c r="I55" s="97"/>
      <c r="J55" s="97"/>
      <c r="K55" s="97"/>
      <c r="L55" s="97"/>
      <c r="M55" s="97"/>
      <c r="N55" s="97"/>
      <c r="O55" s="91"/>
      <c r="Q55" s="548">
        <f t="shared" si="1"/>
        <v>0</v>
      </c>
      <c r="R55" s="443">
        <f t="shared" si="2"/>
        <v>0</v>
      </c>
      <c r="S55" s="443">
        <f t="shared" si="3"/>
        <v>5990</v>
      </c>
      <c r="T55" s="96"/>
      <c r="U55" s="97"/>
      <c r="V55" s="97"/>
      <c r="W55" s="97"/>
      <c r="X55" s="97"/>
      <c r="Y55" s="97"/>
      <c r="Z55" s="97"/>
      <c r="AA55" s="97"/>
      <c r="AB55" s="97"/>
      <c r="AC55" s="91"/>
    </row>
    <row r="56">
      <c r="A56" s="102" t="s">
        <v>98</v>
      </c>
      <c r="B56" s="93">
        <v>1499.0</v>
      </c>
      <c r="C56" s="329"/>
      <c r="D56" s="327"/>
      <c r="E56" s="327"/>
      <c r="F56" s="96"/>
      <c r="G56" s="97"/>
      <c r="H56" s="97"/>
      <c r="I56" s="97"/>
      <c r="J56" s="97"/>
      <c r="K56" s="97"/>
      <c r="L56" s="97"/>
      <c r="M56" s="97"/>
      <c r="N56" s="97"/>
      <c r="O56" s="91"/>
      <c r="Q56" s="548">
        <f t="shared" si="1"/>
        <v>0</v>
      </c>
      <c r="R56" s="443">
        <f t="shared" si="2"/>
        <v>0</v>
      </c>
      <c r="S56" s="443">
        <f t="shared" si="3"/>
        <v>0</v>
      </c>
      <c r="T56" s="96"/>
      <c r="U56" s="97"/>
      <c r="V56" s="97"/>
      <c r="W56" s="97"/>
      <c r="X56" s="97"/>
      <c r="Y56" s="97"/>
      <c r="Z56" s="97"/>
      <c r="AA56" s="97"/>
      <c r="AB56" s="97"/>
      <c r="AC56" s="91"/>
    </row>
    <row r="57">
      <c r="A57" s="104"/>
      <c r="B57" s="99"/>
      <c r="C57" s="329"/>
      <c r="D57" s="327"/>
      <c r="E57" s="327"/>
      <c r="F57" s="96"/>
      <c r="G57" s="97"/>
      <c r="H57" s="97"/>
      <c r="I57" s="97"/>
      <c r="J57" s="97"/>
      <c r="K57" s="97"/>
      <c r="L57" s="97"/>
      <c r="M57" s="97"/>
      <c r="N57" s="97"/>
      <c r="O57" s="91"/>
      <c r="Q57" s="548">
        <f t="shared" si="1"/>
        <v>0</v>
      </c>
      <c r="R57" s="443">
        <f t="shared" si="2"/>
        <v>0</v>
      </c>
      <c r="S57" s="443">
        <f t="shared" si="3"/>
        <v>0</v>
      </c>
      <c r="T57" s="96"/>
      <c r="U57" s="97"/>
      <c r="V57" s="97"/>
      <c r="W57" s="97"/>
      <c r="X57" s="97"/>
      <c r="Y57" s="97"/>
      <c r="Z57" s="97"/>
      <c r="AA57" s="97"/>
      <c r="AB57" s="97"/>
      <c r="AC57" s="91"/>
    </row>
    <row r="58">
      <c r="A58" s="102" t="s">
        <v>99</v>
      </c>
      <c r="B58" s="93">
        <v>329.0</v>
      </c>
      <c r="C58" s="329"/>
      <c r="D58" s="327"/>
      <c r="E58" s="327"/>
      <c r="F58" s="96"/>
      <c r="G58" s="97"/>
      <c r="H58" s="97"/>
      <c r="I58" s="97"/>
      <c r="J58" s="97"/>
      <c r="K58" s="97"/>
      <c r="L58" s="97"/>
      <c r="M58" s="97"/>
      <c r="N58" s="97"/>
      <c r="O58" s="91"/>
      <c r="Q58" s="548">
        <f t="shared" si="1"/>
        <v>0</v>
      </c>
      <c r="R58" s="443">
        <f t="shared" si="2"/>
        <v>0</v>
      </c>
      <c r="S58" s="443">
        <f t="shared" si="3"/>
        <v>0</v>
      </c>
      <c r="T58" s="96"/>
      <c r="U58" s="97"/>
      <c r="V58" s="97"/>
      <c r="W58" s="97"/>
      <c r="X58" s="97"/>
      <c r="Y58" s="97"/>
      <c r="Z58" s="97"/>
      <c r="AA58" s="97"/>
      <c r="AB58" s="97"/>
      <c r="AC58" s="91"/>
    </row>
    <row r="59">
      <c r="A59" s="102" t="s">
        <v>100</v>
      </c>
      <c r="B59" s="93">
        <v>329.0</v>
      </c>
      <c r="C59" s="329"/>
      <c r="D59" s="327"/>
      <c r="E59" s="327"/>
      <c r="F59" s="96"/>
      <c r="G59" s="97"/>
      <c r="H59" s="97"/>
      <c r="I59" s="97"/>
      <c r="J59" s="97"/>
      <c r="K59" s="97"/>
      <c r="L59" s="97"/>
      <c r="M59" s="97"/>
      <c r="N59" s="97"/>
      <c r="O59" s="91"/>
      <c r="Q59" s="548">
        <f t="shared" si="1"/>
        <v>0</v>
      </c>
      <c r="R59" s="443">
        <f t="shared" si="2"/>
        <v>0</v>
      </c>
      <c r="S59" s="443">
        <f t="shared" si="3"/>
        <v>0</v>
      </c>
      <c r="T59" s="96"/>
      <c r="U59" s="97"/>
      <c r="V59" s="97"/>
      <c r="W59" s="97"/>
      <c r="X59" s="97"/>
      <c r="Y59" s="97"/>
      <c r="Z59" s="97"/>
      <c r="AA59" s="97"/>
      <c r="AB59" s="97"/>
      <c r="AC59" s="91"/>
    </row>
    <row r="60">
      <c r="A60" s="102" t="s">
        <v>101</v>
      </c>
      <c r="B60" s="93">
        <v>329.0</v>
      </c>
      <c r="C60" s="329"/>
      <c r="D60" s="327"/>
      <c r="E60" s="327"/>
      <c r="F60" s="96"/>
      <c r="G60" s="97"/>
      <c r="H60" s="97"/>
      <c r="I60" s="97"/>
      <c r="J60" s="97"/>
      <c r="K60" s="97"/>
      <c r="L60" s="97"/>
      <c r="M60" s="97"/>
      <c r="N60" s="97"/>
      <c r="O60" s="91"/>
      <c r="Q60" s="548">
        <f t="shared" si="1"/>
        <v>0</v>
      </c>
      <c r="R60" s="443">
        <f t="shared" si="2"/>
        <v>0</v>
      </c>
      <c r="S60" s="443">
        <f t="shared" si="3"/>
        <v>0</v>
      </c>
      <c r="T60" s="96"/>
      <c r="U60" s="97"/>
      <c r="V60" s="97"/>
      <c r="W60" s="97"/>
      <c r="X60" s="97"/>
      <c r="Y60" s="97"/>
      <c r="Z60" s="97"/>
      <c r="AA60" s="97"/>
      <c r="AB60" s="97"/>
      <c r="AC60" s="91"/>
    </row>
    <row r="61">
      <c r="A61" s="102" t="s">
        <v>102</v>
      </c>
      <c r="B61" s="93">
        <v>249.0</v>
      </c>
      <c r="C61" s="329"/>
      <c r="D61" s="327"/>
      <c r="E61" s="327"/>
      <c r="F61" s="96"/>
      <c r="G61" s="97"/>
      <c r="H61" s="97"/>
      <c r="I61" s="97"/>
      <c r="J61" s="97"/>
      <c r="K61" s="97"/>
      <c r="L61" s="97"/>
      <c r="M61" s="97"/>
      <c r="N61" s="97"/>
      <c r="O61" s="91"/>
      <c r="Q61" s="548">
        <f t="shared" si="1"/>
        <v>0</v>
      </c>
      <c r="R61" s="443">
        <f t="shared" si="2"/>
        <v>0</v>
      </c>
      <c r="S61" s="443">
        <f t="shared" si="3"/>
        <v>0</v>
      </c>
      <c r="T61" s="96"/>
      <c r="U61" s="97"/>
      <c r="V61" s="97"/>
      <c r="W61" s="97"/>
      <c r="X61" s="97"/>
      <c r="Y61" s="97"/>
      <c r="Z61" s="97"/>
      <c r="AA61" s="97"/>
      <c r="AB61" s="97"/>
      <c r="AC61" s="91"/>
    </row>
    <row r="62">
      <c r="A62" s="102" t="s">
        <v>103</v>
      </c>
      <c r="B62" s="93">
        <v>439.0</v>
      </c>
      <c r="C62" s="329"/>
      <c r="D62" s="200"/>
      <c r="E62" s="327"/>
      <c r="F62" s="96"/>
      <c r="G62" s="97"/>
      <c r="H62" s="97"/>
      <c r="I62" s="97"/>
      <c r="J62" s="97"/>
      <c r="K62" s="97"/>
      <c r="L62" s="97"/>
      <c r="M62" s="97"/>
      <c r="N62" s="97"/>
      <c r="O62" s="91"/>
      <c r="Q62" s="548">
        <f t="shared" si="1"/>
        <v>0</v>
      </c>
      <c r="R62" s="443">
        <f t="shared" si="2"/>
        <v>0</v>
      </c>
      <c r="S62" s="443">
        <f t="shared" si="3"/>
        <v>0</v>
      </c>
      <c r="T62" s="96"/>
      <c r="U62" s="97"/>
      <c r="V62" s="97"/>
      <c r="W62" s="97"/>
      <c r="X62" s="97"/>
      <c r="Y62" s="97"/>
      <c r="Z62" s="97"/>
      <c r="AA62" s="97"/>
      <c r="AB62" s="97"/>
      <c r="AC62" s="91"/>
    </row>
    <row r="63">
      <c r="A63" s="102" t="s">
        <v>104</v>
      </c>
      <c r="B63" s="93">
        <v>439.0</v>
      </c>
      <c r="C63" s="329"/>
      <c r="D63" s="327"/>
      <c r="E63" s="327"/>
      <c r="F63" s="96"/>
      <c r="G63" s="97"/>
      <c r="H63" s="97"/>
      <c r="I63" s="97"/>
      <c r="J63" s="97"/>
      <c r="K63" s="97"/>
      <c r="L63" s="97"/>
      <c r="M63" s="97"/>
      <c r="N63" s="97"/>
      <c r="O63" s="91"/>
      <c r="Q63" s="548">
        <f t="shared" si="1"/>
        <v>0</v>
      </c>
      <c r="R63" s="443">
        <f t="shared" si="2"/>
        <v>0</v>
      </c>
      <c r="S63" s="443">
        <f t="shared" si="3"/>
        <v>0</v>
      </c>
      <c r="T63" s="96"/>
      <c r="U63" s="97"/>
      <c r="V63" s="97"/>
      <c r="W63" s="97"/>
      <c r="X63" s="97"/>
      <c r="Y63" s="97"/>
      <c r="Z63" s="97"/>
      <c r="AA63" s="97"/>
      <c r="AB63" s="97"/>
      <c r="AC63" s="91"/>
    </row>
    <row r="64">
      <c r="A64" s="102" t="s">
        <v>105</v>
      </c>
      <c r="B64" s="93">
        <v>439.0</v>
      </c>
      <c r="C64" s="329"/>
      <c r="D64" s="327"/>
      <c r="E64" s="327"/>
      <c r="F64" s="96"/>
      <c r="G64" s="97"/>
      <c r="H64" s="97"/>
      <c r="I64" s="97"/>
      <c r="J64" s="97"/>
      <c r="K64" s="97"/>
      <c r="L64" s="97"/>
      <c r="M64" s="97"/>
      <c r="N64" s="97"/>
      <c r="O64" s="91"/>
      <c r="Q64" s="548">
        <f t="shared" si="1"/>
        <v>0</v>
      </c>
      <c r="R64" s="443">
        <f t="shared" si="2"/>
        <v>0</v>
      </c>
      <c r="S64" s="443">
        <f t="shared" si="3"/>
        <v>0</v>
      </c>
      <c r="T64" s="96"/>
      <c r="U64" s="97"/>
      <c r="V64" s="97"/>
      <c r="W64" s="97"/>
      <c r="X64" s="97"/>
      <c r="Y64" s="97"/>
      <c r="Z64" s="97"/>
      <c r="AA64" s="97"/>
      <c r="AB64" s="97"/>
      <c r="AC64" s="91"/>
    </row>
    <row r="65">
      <c r="A65" s="102" t="s">
        <v>106</v>
      </c>
      <c r="B65" s="93">
        <v>799.0</v>
      </c>
      <c r="C65" s="329"/>
      <c r="D65" s="321">
        <v>2.0</v>
      </c>
      <c r="E65" s="321">
        <v>3.0</v>
      </c>
      <c r="F65" s="96"/>
      <c r="G65" s="97"/>
      <c r="H65" s="97"/>
      <c r="I65" s="97"/>
      <c r="J65" s="97"/>
      <c r="K65" s="97"/>
      <c r="L65" s="97"/>
      <c r="M65" s="97"/>
      <c r="N65" s="97"/>
      <c r="O65" s="91"/>
      <c r="Q65" s="548">
        <f t="shared" si="1"/>
        <v>0</v>
      </c>
      <c r="R65" s="443">
        <f t="shared" si="2"/>
        <v>1598</v>
      </c>
      <c r="S65" s="443">
        <f t="shared" si="3"/>
        <v>2397</v>
      </c>
      <c r="T65" s="96"/>
      <c r="U65" s="97"/>
      <c r="V65" s="97"/>
      <c r="W65" s="97"/>
      <c r="X65" s="97"/>
      <c r="Y65" s="97"/>
      <c r="Z65" s="97"/>
      <c r="AA65" s="97"/>
      <c r="AB65" s="97"/>
      <c r="AC65" s="91"/>
    </row>
    <row r="66">
      <c r="A66" s="102" t="s">
        <v>107</v>
      </c>
      <c r="B66" s="93">
        <v>799.0</v>
      </c>
      <c r="C66" s="329"/>
      <c r="D66" s="327"/>
      <c r="E66" s="321">
        <v>3.0</v>
      </c>
      <c r="F66" s="96"/>
      <c r="G66" s="97"/>
      <c r="H66" s="97"/>
      <c r="I66" s="97"/>
      <c r="J66" s="97"/>
      <c r="K66" s="97"/>
      <c r="L66" s="97"/>
      <c r="M66" s="97"/>
      <c r="N66" s="97"/>
      <c r="O66" s="91"/>
      <c r="Q66" s="548">
        <f t="shared" si="1"/>
        <v>0</v>
      </c>
      <c r="R66" s="443">
        <f t="shared" si="2"/>
        <v>0</v>
      </c>
      <c r="S66" s="443">
        <f t="shared" si="3"/>
        <v>2397</v>
      </c>
      <c r="T66" s="96"/>
      <c r="U66" s="97"/>
      <c r="V66" s="97"/>
      <c r="W66" s="97"/>
      <c r="X66" s="97"/>
      <c r="Y66" s="97"/>
      <c r="Z66" s="97"/>
      <c r="AA66" s="97"/>
      <c r="AB66" s="97"/>
      <c r="AC66" s="91"/>
    </row>
    <row r="67">
      <c r="A67" s="102" t="s">
        <v>108</v>
      </c>
      <c r="B67" s="93">
        <v>799.0</v>
      </c>
      <c r="C67" s="329"/>
      <c r="D67" s="321">
        <v>1.0</v>
      </c>
      <c r="E67" s="327"/>
      <c r="F67" s="96"/>
      <c r="G67" s="97"/>
      <c r="H67" s="97"/>
      <c r="I67" s="97"/>
      <c r="J67" s="97"/>
      <c r="K67" s="97"/>
      <c r="L67" s="97"/>
      <c r="M67" s="97"/>
      <c r="N67" s="97"/>
      <c r="O67" s="91"/>
      <c r="Q67" s="548">
        <f t="shared" si="1"/>
        <v>0</v>
      </c>
      <c r="R67" s="443">
        <f t="shared" si="2"/>
        <v>799</v>
      </c>
      <c r="S67" s="443">
        <f t="shared" si="3"/>
        <v>0</v>
      </c>
      <c r="T67" s="96"/>
      <c r="U67" s="97"/>
      <c r="V67" s="97"/>
      <c r="W67" s="97"/>
      <c r="X67" s="97"/>
      <c r="Y67" s="97"/>
      <c r="Z67" s="97"/>
      <c r="AA67" s="97"/>
      <c r="AB67" s="97"/>
      <c r="AC67" s="91"/>
    </row>
    <row r="68">
      <c r="A68" s="102" t="s">
        <v>109</v>
      </c>
      <c r="B68" s="96">
        <v>1299.0</v>
      </c>
      <c r="C68" s="329"/>
      <c r="D68" s="327"/>
      <c r="E68" s="327"/>
      <c r="F68" s="96"/>
      <c r="G68" s="97"/>
      <c r="H68" s="97"/>
      <c r="I68" s="97"/>
      <c r="J68" s="97"/>
      <c r="K68" s="97"/>
      <c r="L68" s="97"/>
      <c r="M68" s="97"/>
      <c r="N68" s="97"/>
      <c r="O68" s="91"/>
      <c r="Q68" s="548">
        <f t="shared" si="1"/>
        <v>0</v>
      </c>
      <c r="R68" s="443">
        <f t="shared" si="2"/>
        <v>0</v>
      </c>
      <c r="S68" s="443">
        <f t="shared" si="3"/>
        <v>0</v>
      </c>
      <c r="T68" s="96"/>
      <c r="U68" s="97"/>
      <c r="V68" s="97"/>
      <c r="W68" s="97"/>
      <c r="X68" s="97"/>
      <c r="Y68" s="97"/>
      <c r="Z68" s="97"/>
      <c r="AA68" s="97"/>
      <c r="AB68" s="97"/>
      <c r="AC68" s="91"/>
    </row>
    <row r="69">
      <c r="A69" s="102" t="s">
        <v>110</v>
      </c>
      <c r="B69" s="96">
        <v>1299.0</v>
      </c>
      <c r="C69" s="329"/>
      <c r="D69" s="327"/>
      <c r="E69" s="327"/>
      <c r="F69" s="96"/>
      <c r="G69" s="97"/>
      <c r="H69" s="97"/>
      <c r="I69" s="97"/>
      <c r="J69" s="97"/>
      <c r="K69" s="97"/>
      <c r="L69" s="97"/>
      <c r="M69" s="97"/>
      <c r="N69" s="97"/>
      <c r="O69" s="91"/>
      <c r="Q69" s="548">
        <f t="shared" si="1"/>
        <v>0</v>
      </c>
      <c r="R69" s="443">
        <f t="shared" si="2"/>
        <v>0</v>
      </c>
      <c r="S69" s="443">
        <f t="shared" si="3"/>
        <v>0</v>
      </c>
      <c r="T69" s="96"/>
      <c r="U69" s="97"/>
      <c r="V69" s="97"/>
      <c r="W69" s="97"/>
      <c r="X69" s="97"/>
      <c r="Y69" s="97"/>
      <c r="Z69" s="97"/>
      <c r="AA69" s="97"/>
      <c r="AB69" s="97"/>
      <c r="AC69" s="91"/>
    </row>
    <row r="70">
      <c r="A70" s="101" t="s">
        <v>111</v>
      </c>
      <c r="B70" s="96">
        <v>1299.0</v>
      </c>
      <c r="C70" s="329"/>
      <c r="D70" s="327"/>
      <c r="E70" s="327"/>
      <c r="F70" s="96"/>
      <c r="G70" s="97"/>
      <c r="H70" s="97"/>
      <c r="I70" s="97"/>
      <c r="J70" s="97"/>
      <c r="K70" s="97"/>
      <c r="L70" s="97"/>
      <c r="M70" s="97"/>
      <c r="N70" s="97"/>
      <c r="O70" s="91"/>
      <c r="Q70" s="548">
        <f t="shared" si="1"/>
        <v>0</v>
      </c>
      <c r="R70" s="443">
        <f t="shared" si="2"/>
        <v>0</v>
      </c>
      <c r="S70" s="443">
        <f t="shared" si="3"/>
        <v>0</v>
      </c>
      <c r="T70" s="96"/>
      <c r="U70" s="97"/>
      <c r="V70" s="97"/>
      <c r="W70" s="97"/>
      <c r="X70" s="97"/>
      <c r="Y70" s="97"/>
      <c r="Z70" s="97"/>
      <c r="AA70" s="97"/>
      <c r="AB70" s="97"/>
      <c r="AC70" s="91"/>
    </row>
    <row r="71">
      <c r="A71" s="101" t="s">
        <v>112</v>
      </c>
      <c r="B71" s="93">
        <v>609.0</v>
      </c>
      <c r="C71" s="329"/>
      <c r="D71" s="327"/>
      <c r="E71" s="327"/>
      <c r="F71" s="96"/>
      <c r="G71" s="97"/>
      <c r="H71" s="97"/>
      <c r="I71" s="97"/>
      <c r="J71" s="97"/>
      <c r="K71" s="97"/>
      <c r="L71" s="97"/>
      <c r="M71" s="97"/>
      <c r="N71" s="97"/>
      <c r="O71" s="91"/>
      <c r="Q71" s="548">
        <f t="shared" si="1"/>
        <v>0</v>
      </c>
      <c r="R71" s="443">
        <f t="shared" si="2"/>
        <v>0</v>
      </c>
      <c r="S71" s="443">
        <f t="shared" si="3"/>
        <v>0</v>
      </c>
      <c r="T71" s="96"/>
      <c r="U71" s="97"/>
      <c r="V71" s="97"/>
      <c r="W71" s="97"/>
      <c r="X71" s="97"/>
      <c r="Y71" s="97"/>
      <c r="Z71" s="97"/>
      <c r="AA71" s="97"/>
      <c r="AB71" s="97"/>
      <c r="AC71" s="91"/>
    </row>
    <row r="72">
      <c r="A72" s="101" t="s">
        <v>113</v>
      </c>
      <c r="B72" s="107">
        <v>999.0</v>
      </c>
      <c r="C72" s="329"/>
      <c r="D72" s="321">
        <v>1.0</v>
      </c>
      <c r="E72" s="327"/>
      <c r="F72" s="96"/>
      <c r="G72" s="97"/>
      <c r="H72" s="97"/>
      <c r="I72" s="97"/>
      <c r="J72" s="97"/>
      <c r="K72" s="97"/>
      <c r="L72" s="97"/>
      <c r="M72" s="97"/>
      <c r="N72" s="97"/>
      <c r="O72" s="91"/>
      <c r="Q72" s="548">
        <f t="shared" si="1"/>
        <v>0</v>
      </c>
      <c r="R72" s="443">
        <f t="shared" si="2"/>
        <v>999</v>
      </c>
      <c r="S72" s="443">
        <f t="shared" si="3"/>
        <v>0</v>
      </c>
      <c r="T72" s="96"/>
      <c r="U72" s="97"/>
      <c r="V72" s="97"/>
      <c r="W72" s="97"/>
      <c r="X72" s="97"/>
      <c r="Y72" s="97"/>
      <c r="Z72" s="97"/>
      <c r="AA72" s="97"/>
      <c r="AB72" s="97"/>
      <c r="AC72" s="91"/>
    </row>
    <row r="73">
      <c r="A73" s="101" t="s">
        <v>114</v>
      </c>
      <c r="B73" s="107">
        <v>999.0</v>
      </c>
      <c r="C73" s="329"/>
      <c r="D73" s="327"/>
      <c r="E73" s="321">
        <v>2.0</v>
      </c>
      <c r="F73" s="96"/>
      <c r="G73" s="97"/>
      <c r="H73" s="97"/>
      <c r="I73" s="97"/>
      <c r="J73" s="97"/>
      <c r="K73" s="97"/>
      <c r="L73" s="97"/>
      <c r="M73" s="97"/>
      <c r="N73" s="97"/>
      <c r="O73" s="91"/>
      <c r="Q73" s="548">
        <f t="shared" si="1"/>
        <v>0</v>
      </c>
      <c r="R73" s="443">
        <f t="shared" si="2"/>
        <v>0</v>
      </c>
      <c r="S73" s="443">
        <f t="shared" si="3"/>
        <v>1998</v>
      </c>
      <c r="T73" s="96"/>
      <c r="U73" s="97"/>
      <c r="V73" s="97"/>
      <c r="W73" s="97"/>
      <c r="X73" s="97"/>
      <c r="Y73" s="97"/>
      <c r="Z73" s="97"/>
      <c r="AA73" s="97"/>
      <c r="AB73" s="97"/>
      <c r="AC73" s="91"/>
    </row>
    <row r="74">
      <c r="A74" s="101" t="s">
        <v>115</v>
      </c>
      <c r="B74" s="107">
        <v>999.0</v>
      </c>
      <c r="C74" s="329"/>
      <c r="D74" s="321">
        <v>1.0</v>
      </c>
      <c r="E74" s="327"/>
      <c r="F74" s="96"/>
      <c r="G74" s="97"/>
      <c r="H74" s="97"/>
      <c r="I74" s="97"/>
      <c r="J74" s="97"/>
      <c r="K74" s="97"/>
      <c r="L74" s="97"/>
      <c r="M74" s="97"/>
      <c r="N74" s="97"/>
      <c r="O74" s="91"/>
      <c r="Q74" s="548">
        <f t="shared" si="1"/>
        <v>0</v>
      </c>
      <c r="R74" s="443">
        <f t="shared" si="2"/>
        <v>999</v>
      </c>
      <c r="S74" s="443">
        <f t="shared" si="3"/>
        <v>0</v>
      </c>
      <c r="T74" s="96"/>
      <c r="U74" s="97"/>
      <c r="V74" s="97"/>
      <c r="W74" s="97"/>
      <c r="X74" s="97"/>
      <c r="Y74" s="97"/>
      <c r="Z74" s="97"/>
      <c r="AA74" s="97"/>
      <c r="AB74" s="97"/>
      <c r="AC74" s="91"/>
    </row>
    <row r="75">
      <c r="A75" s="101" t="s">
        <v>116</v>
      </c>
      <c r="B75" s="108"/>
      <c r="C75" s="329"/>
      <c r="D75" s="327"/>
      <c r="E75" s="327"/>
      <c r="F75" s="96"/>
      <c r="G75" s="97"/>
      <c r="H75" s="97"/>
      <c r="I75" s="97"/>
      <c r="J75" s="97"/>
      <c r="K75" s="97"/>
      <c r="L75" s="97"/>
      <c r="M75" s="97"/>
      <c r="N75" s="97"/>
      <c r="O75" s="91"/>
      <c r="Q75" s="548">
        <f t="shared" si="1"/>
        <v>0</v>
      </c>
      <c r="R75" s="443">
        <f t="shared" si="2"/>
        <v>0</v>
      </c>
      <c r="S75" s="443">
        <f t="shared" si="3"/>
        <v>0</v>
      </c>
      <c r="T75" s="96"/>
      <c r="U75" s="97"/>
      <c r="V75" s="97"/>
      <c r="W75" s="97"/>
      <c r="X75" s="97"/>
      <c r="Y75" s="97"/>
      <c r="Z75" s="97"/>
      <c r="AA75" s="97"/>
      <c r="AB75" s="97"/>
      <c r="AC75" s="91"/>
    </row>
    <row r="76">
      <c r="A76" s="109"/>
      <c r="B76" s="108"/>
      <c r="C76" s="329"/>
      <c r="D76" s="327"/>
      <c r="E76" s="327"/>
      <c r="F76" s="96"/>
      <c r="G76" s="97"/>
      <c r="H76" s="97"/>
      <c r="I76" s="97"/>
      <c r="J76" s="97"/>
      <c r="K76" s="97"/>
      <c r="L76" s="97"/>
      <c r="M76" s="97"/>
      <c r="N76" s="97"/>
      <c r="O76" s="91"/>
      <c r="Q76" s="548">
        <f t="shared" si="1"/>
        <v>0</v>
      </c>
      <c r="R76" s="443">
        <f t="shared" si="2"/>
        <v>0</v>
      </c>
      <c r="S76" s="443">
        <f t="shared" si="3"/>
        <v>0</v>
      </c>
      <c r="T76" s="96"/>
      <c r="U76" s="97"/>
      <c r="V76" s="97"/>
      <c r="W76" s="97"/>
      <c r="X76" s="97"/>
      <c r="Y76" s="97"/>
      <c r="Z76" s="97"/>
      <c r="AA76" s="97"/>
      <c r="AB76" s="97"/>
      <c r="AC76" s="91"/>
    </row>
    <row r="77">
      <c r="A77" s="110" t="s">
        <v>117</v>
      </c>
      <c r="B77" s="96">
        <v>379.0</v>
      </c>
      <c r="C77" s="329"/>
      <c r="D77" s="327"/>
      <c r="E77" s="327"/>
      <c r="F77" s="96"/>
      <c r="G77" s="97"/>
      <c r="H77" s="97"/>
      <c r="I77" s="97"/>
      <c r="J77" s="97"/>
      <c r="K77" s="97"/>
      <c r="L77" s="97"/>
      <c r="M77" s="97"/>
      <c r="N77" s="97"/>
      <c r="O77" s="91"/>
      <c r="Q77" s="548">
        <f t="shared" si="1"/>
        <v>0</v>
      </c>
      <c r="R77" s="443">
        <f t="shared" si="2"/>
        <v>0</v>
      </c>
      <c r="S77" s="443">
        <f t="shared" si="3"/>
        <v>0</v>
      </c>
      <c r="T77" s="96"/>
      <c r="U77" s="97"/>
      <c r="V77" s="97"/>
      <c r="W77" s="97"/>
      <c r="X77" s="97"/>
      <c r="Y77" s="97"/>
      <c r="Z77" s="97"/>
      <c r="AA77" s="97"/>
      <c r="AB77" s="97"/>
      <c r="AC77" s="91"/>
    </row>
    <row r="78">
      <c r="A78" s="110" t="s">
        <v>118</v>
      </c>
      <c r="B78" s="96">
        <v>799.0</v>
      </c>
      <c r="C78" s="329"/>
      <c r="D78" s="327"/>
      <c r="E78" s="327"/>
      <c r="F78" s="96"/>
      <c r="G78" s="97"/>
      <c r="H78" s="97"/>
      <c r="I78" s="97"/>
      <c r="J78" s="97"/>
      <c r="K78" s="97"/>
      <c r="L78" s="97"/>
      <c r="M78" s="97"/>
      <c r="N78" s="97"/>
      <c r="O78" s="91"/>
      <c r="Q78" s="548">
        <f t="shared" si="1"/>
        <v>0</v>
      </c>
      <c r="R78" s="443">
        <f t="shared" si="2"/>
        <v>0</v>
      </c>
      <c r="S78" s="443">
        <f t="shared" si="3"/>
        <v>0</v>
      </c>
      <c r="T78" s="96"/>
      <c r="U78" s="97"/>
      <c r="V78" s="97"/>
      <c r="W78" s="97"/>
      <c r="X78" s="97"/>
      <c r="Y78" s="97"/>
      <c r="Z78" s="97"/>
      <c r="AA78" s="97"/>
      <c r="AB78" s="97"/>
      <c r="AC78" s="91"/>
    </row>
    <row r="79">
      <c r="A79" s="110" t="s">
        <v>119</v>
      </c>
      <c r="B79" s="96">
        <v>439.0</v>
      </c>
      <c r="C79" s="329"/>
      <c r="D79" s="327"/>
      <c r="E79" s="327"/>
      <c r="F79" s="96"/>
      <c r="G79" s="97"/>
      <c r="H79" s="97"/>
      <c r="I79" s="97"/>
      <c r="J79" s="97"/>
      <c r="K79" s="97"/>
      <c r="L79" s="97"/>
      <c r="M79" s="97"/>
      <c r="N79" s="97"/>
      <c r="O79" s="91"/>
      <c r="Q79" s="548">
        <f t="shared" si="1"/>
        <v>0</v>
      </c>
      <c r="R79" s="443">
        <f t="shared" si="2"/>
        <v>0</v>
      </c>
      <c r="S79" s="443">
        <f t="shared" si="3"/>
        <v>0</v>
      </c>
      <c r="T79" s="96"/>
      <c r="U79" s="97"/>
      <c r="V79" s="97"/>
      <c r="W79" s="97"/>
      <c r="X79" s="97"/>
      <c r="Y79" s="97"/>
      <c r="Z79" s="97"/>
      <c r="AA79" s="97"/>
      <c r="AB79" s="97"/>
      <c r="AC79" s="91"/>
    </row>
    <row r="80">
      <c r="A80" s="110" t="s">
        <v>120</v>
      </c>
      <c r="B80" s="96">
        <v>599.0</v>
      </c>
      <c r="C80" s="329"/>
      <c r="D80" s="327"/>
      <c r="E80" s="327"/>
      <c r="F80" s="96"/>
      <c r="G80" s="97"/>
      <c r="H80" s="97"/>
      <c r="I80" s="97"/>
      <c r="J80" s="97"/>
      <c r="K80" s="97"/>
      <c r="L80" s="97"/>
      <c r="M80" s="97"/>
      <c r="N80" s="97"/>
      <c r="O80" s="91"/>
      <c r="Q80" s="548">
        <f t="shared" si="1"/>
        <v>0</v>
      </c>
      <c r="R80" s="443">
        <f t="shared" si="2"/>
        <v>0</v>
      </c>
      <c r="S80" s="443">
        <f t="shared" si="3"/>
        <v>0</v>
      </c>
      <c r="T80" s="96"/>
      <c r="U80" s="97"/>
      <c r="V80" s="97"/>
      <c r="W80" s="97"/>
      <c r="X80" s="97"/>
      <c r="Y80" s="97"/>
      <c r="Z80" s="97"/>
      <c r="AA80" s="97"/>
      <c r="AB80" s="97"/>
      <c r="AC80" s="91"/>
    </row>
    <row r="81">
      <c r="A81" s="110" t="s">
        <v>121</v>
      </c>
      <c r="B81" s="96">
        <v>229.0</v>
      </c>
      <c r="C81" s="329"/>
      <c r="D81" s="327"/>
      <c r="E81" s="327"/>
      <c r="F81" s="96"/>
      <c r="G81" s="97"/>
      <c r="H81" s="97"/>
      <c r="I81" s="97"/>
      <c r="J81" s="97"/>
      <c r="K81" s="97"/>
      <c r="L81" s="97"/>
      <c r="M81" s="97"/>
      <c r="N81" s="97"/>
      <c r="O81" s="91"/>
      <c r="Q81" s="548">
        <f t="shared" si="1"/>
        <v>0</v>
      </c>
      <c r="R81" s="443">
        <f t="shared" si="2"/>
        <v>0</v>
      </c>
      <c r="S81" s="443">
        <f t="shared" si="3"/>
        <v>0</v>
      </c>
      <c r="T81" s="96"/>
      <c r="U81" s="97"/>
      <c r="V81" s="97"/>
      <c r="W81" s="97"/>
      <c r="X81" s="97"/>
      <c r="Y81" s="97"/>
      <c r="Z81" s="97"/>
      <c r="AA81" s="97"/>
      <c r="AB81" s="97"/>
      <c r="AC81" s="91"/>
    </row>
    <row r="82">
      <c r="A82" s="110" t="s">
        <v>122</v>
      </c>
      <c r="B82" s="96">
        <v>219.0</v>
      </c>
      <c r="C82" s="329"/>
      <c r="D82" s="327"/>
      <c r="E82" s="327"/>
      <c r="F82" s="96"/>
      <c r="G82" s="97"/>
      <c r="H82" s="97"/>
      <c r="I82" s="97"/>
      <c r="J82" s="97"/>
      <c r="K82" s="97"/>
      <c r="L82" s="97"/>
      <c r="M82" s="97"/>
      <c r="N82" s="97"/>
      <c r="O82" s="91"/>
      <c r="Q82" s="548">
        <f t="shared" si="1"/>
        <v>0</v>
      </c>
      <c r="R82" s="443">
        <f t="shared" si="2"/>
        <v>0</v>
      </c>
      <c r="S82" s="443">
        <f t="shared" si="3"/>
        <v>0</v>
      </c>
      <c r="T82" s="96"/>
      <c r="U82" s="97"/>
      <c r="V82" s="97"/>
      <c r="W82" s="97"/>
      <c r="X82" s="97"/>
      <c r="Y82" s="97"/>
      <c r="Z82" s="97"/>
      <c r="AA82" s="97"/>
      <c r="AB82" s="97"/>
      <c r="AC82" s="91"/>
    </row>
    <row r="83">
      <c r="A83" s="110" t="s">
        <v>123</v>
      </c>
      <c r="B83" s="96">
        <v>1299.0</v>
      </c>
      <c r="C83" s="329"/>
      <c r="D83" s="327"/>
      <c r="E83" s="327"/>
      <c r="F83" s="96"/>
      <c r="G83" s="97"/>
      <c r="H83" s="97"/>
      <c r="I83" s="97"/>
      <c r="J83" s="97"/>
      <c r="K83" s="97"/>
      <c r="L83" s="97"/>
      <c r="M83" s="97"/>
      <c r="N83" s="97"/>
      <c r="O83" s="91"/>
      <c r="Q83" s="548">
        <f t="shared" si="1"/>
        <v>0</v>
      </c>
      <c r="R83" s="443">
        <f t="shared" si="2"/>
        <v>0</v>
      </c>
      <c r="S83" s="443">
        <f t="shared" si="3"/>
        <v>0</v>
      </c>
      <c r="T83" s="96"/>
      <c r="U83" s="97"/>
      <c r="V83" s="97"/>
      <c r="W83" s="97"/>
      <c r="X83" s="97"/>
      <c r="Y83" s="97"/>
      <c r="Z83" s="97"/>
      <c r="AA83" s="97"/>
      <c r="AB83" s="97"/>
      <c r="AC83" s="91"/>
    </row>
    <row r="84">
      <c r="A84" s="102" t="s">
        <v>124</v>
      </c>
      <c r="B84" s="96">
        <v>1299.0</v>
      </c>
      <c r="C84" s="329"/>
      <c r="D84" s="327"/>
      <c r="E84" s="327"/>
      <c r="F84" s="96"/>
      <c r="G84" s="97"/>
      <c r="H84" s="97"/>
      <c r="I84" s="97"/>
      <c r="J84" s="97"/>
      <c r="K84" s="97"/>
      <c r="L84" s="97"/>
      <c r="M84" s="97"/>
      <c r="N84" s="97"/>
      <c r="O84" s="91"/>
      <c r="Q84" s="548">
        <f t="shared" si="1"/>
        <v>0</v>
      </c>
      <c r="R84" s="443">
        <f t="shared" si="2"/>
        <v>0</v>
      </c>
      <c r="S84" s="443">
        <f t="shared" si="3"/>
        <v>0</v>
      </c>
      <c r="T84" s="96"/>
      <c r="U84" s="97"/>
      <c r="V84" s="97"/>
      <c r="W84" s="97"/>
      <c r="X84" s="97"/>
      <c r="Y84" s="97"/>
      <c r="Z84" s="97"/>
      <c r="AA84" s="97"/>
      <c r="AB84" s="97"/>
      <c r="AC84" s="91"/>
    </row>
    <row r="85">
      <c r="A85" s="111" t="s">
        <v>125</v>
      </c>
      <c r="B85" s="96">
        <v>1299.0</v>
      </c>
      <c r="C85" s="329"/>
      <c r="D85" s="327"/>
      <c r="E85" s="327"/>
      <c r="F85" s="96"/>
      <c r="G85" s="97"/>
      <c r="H85" s="97"/>
      <c r="I85" s="97"/>
      <c r="J85" s="97"/>
      <c r="K85" s="97"/>
      <c r="L85" s="97"/>
      <c r="M85" s="97"/>
      <c r="N85" s="97"/>
      <c r="O85" s="91"/>
      <c r="Q85" s="548">
        <f t="shared" si="1"/>
        <v>0</v>
      </c>
      <c r="R85" s="443">
        <f t="shared" si="2"/>
        <v>0</v>
      </c>
      <c r="S85" s="443">
        <f t="shared" si="3"/>
        <v>0</v>
      </c>
      <c r="T85" s="96"/>
      <c r="U85" s="97"/>
      <c r="V85" s="97"/>
      <c r="W85" s="97"/>
      <c r="X85" s="97"/>
      <c r="Y85" s="97"/>
      <c r="Z85" s="97"/>
      <c r="AA85" s="97"/>
      <c r="AB85" s="97"/>
      <c r="AC85" s="91"/>
    </row>
    <row r="86">
      <c r="A86" s="112" t="s">
        <v>126</v>
      </c>
      <c r="B86" s="96">
        <v>1299.0</v>
      </c>
      <c r="C86" s="334"/>
      <c r="D86" s="333"/>
      <c r="E86" s="333"/>
      <c r="F86" s="96"/>
      <c r="G86" s="97"/>
      <c r="H86" s="97"/>
      <c r="I86" s="97"/>
      <c r="J86" s="97"/>
      <c r="K86" s="97"/>
      <c r="L86" s="97"/>
      <c r="M86" s="97"/>
      <c r="N86" s="97"/>
      <c r="O86" s="91"/>
      <c r="Q86" s="548">
        <f t="shared" si="1"/>
        <v>0</v>
      </c>
      <c r="R86" s="443">
        <f t="shared" si="2"/>
        <v>0</v>
      </c>
      <c r="S86" s="443">
        <f t="shared" si="3"/>
        <v>0</v>
      </c>
      <c r="T86" s="96"/>
      <c r="U86" s="97"/>
      <c r="V86" s="97"/>
      <c r="W86" s="97"/>
      <c r="X86" s="97"/>
      <c r="Y86" s="97"/>
      <c r="Z86" s="97"/>
      <c r="AA86" s="97"/>
      <c r="AB86" s="97"/>
      <c r="AC86" s="91"/>
    </row>
    <row r="87">
      <c r="A87" s="113"/>
      <c r="B87" s="114"/>
      <c r="C87" s="329"/>
      <c r="D87" s="327"/>
      <c r="E87" s="327"/>
      <c r="F87" s="96"/>
      <c r="G87" s="97"/>
      <c r="H87" s="97"/>
      <c r="I87" s="97"/>
      <c r="J87" s="97"/>
      <c r="K87" s="97"/>
      <c r="L87" s="97"/>
      <c r="M87" s="97"/>
      <c r="N87" s="97"/>
      <c r="O87" s="91"/>
      <c r="Q87" s="548">
        <f t="shared" si="1"/>
        <v>0</v>
      </c>
      <c r="R87" s="443">
        <f t="shared" si="2"/>
        <v>0</v>
      </c>
      <c r="S87" s="443">
        <f t="shared" si="3"/>
        <v>0</v>
      </c>
      <c r="T87" s="96"/>
      <c r="U87" s="97"/>
      <c r="V87" s="97"/>
      <c r="W87" s="97"/>
      <c r="X87" s="97"/>
      <c r="Y87" s="97"/>
      <c r="Z87" s="97"/>
      <c r="AA87" s="97"/>
      <c r="AB87" s="97"/>
      <c r="AC87" s="91"/>
    </row>
    <row r="88">
      <c r="A88" s="94" t="s">
        <v>127</v>
      </c>
      <c r="B88" s="96">
        <v>679.0</v>
      </c>
      <c r="C88" s="329"/>
      <c r="D88" s="335"/>
      <c r="E88" s="335"/>
      <c r="F88" s="96"/>
      <c r="G88" s="97"/>
      <c r="H88" s="97"/>
      <c r="I88" s="97"/>
      <c r="J88" s="97"/>
      <c r="K88" s="97"/>
      <c r="L88" s="97"/>
      <c r="M88" s="97"/>
      <c r="N88" s="97"/>
      <c r="O88" s="91"/>
      <c r="Q88" s="548">
        <f t="shared" si="1"/>
        <v>0</v>
      </c>
      <c r="R88" s="443">
        <f t="shared" si="2"/>
        <v>0</v>
      </c>
      <c r="S88" s="443">
        <f t="shared" si="3"/>
        <v>0</v>
      </c>
      <c r="T88" s="96"/>
      <c r="U88" s="97"/>
      <c r="V88" s="97"/>
      <c r="W88" s="97"/>
      <c r="X88" s="97"/>
      <c r="Y88" s="97"/>
      <c r="Z88" s="97"/>
      <c r="AA88" s="97"/>
      <c r="AB88" s="97"/>
      <c r="AC88" s="91"/>
    </row>
    <row r="89">
      <c r="A89" s="94" t="s">
        <v>128</v>
      </c>
      <c r="B89" s="96">
        <v>679.0</v>
      </c>
      <c r="C89" s="208"/>
      <c r="D89" s="335"/>
      <c r="E89" s="335"/>
      <c r="F89" s="96"/>
      <c r="G89" s="97"/>
      <c r="H89" s="97"/>
      <c r="I89" s="97"/>
      <c r="J89" s="97"/>
      <c r="K89" s="97"/>
      <c r="L89" s="97"/>
      <c r="M89" s="97"/>
      <c r="N89" s="97"/>
      <c r="O89" s="91"/>
      <c r="Q89" s="548">
        <f t="shared" si="1"/>
        <v>0</v>
      </c>
      <c r="R89" s="443">
        <f t="shared" si="2"/>
        <v>0</v>
      </c>
      <c r="S89" s="443">
        <f t="shared" si="3"/>
        <v>0</v>
      </c>
      <c r="T89" s="96"/>
      <c r="U89" s="97"/>
      <c r="V89" s="97"/>
      <c r="W89" s="97"/>
      <c r="X89" s="97"/>
      <c r="Y89" s="97"/>
      <c r="Z89" s="97"/>
      <c r="AA89" s="97"/>
      <c r="AB89" s="97"/>
      <c r="AC89" s="91"/>
    </row>
    <row r="90">
      <c r="A90" s="94" t="s">
        <v>129</v>
      </c>
      <c r="B90" s="96">
        <v>679.0</v>
      </c>
      <c r="C90" s="208"/>
      <c r="D90" s="335"/>
      <c r="E90" s="335"/>
      <c r="F90" s="96"/>
      <c r="G90" s="97"/>
      <c r="H90" s="97"/>
      <c r="I90" s="97"/>
      <c r="J90" s="97"/>
      <c r="K90" s="97"/>
      <c r="L90" s="97"/>
      <c r="M90" s="97"/>
      <c r="N90" s="97"/>
      <c r="O90" s="91"/>
      <c r="Q90" s="548">
        <f t="shared" si="1"/>
        <v>0</v>
      </c>
      <c r="R90" s="443">
        <f t="shared" si="2"/>
        <v>0</v>
      </c>
      <c r="S90" s="443">
        <f t="shared" si="3"/>
        <v>0</v>
      </c>
      <c r="T90" s="96"/>
      <c r="U90" s="97"/>
      <c r="V90" s="97"/>
      <c r="W90" s="97"/>
      <c r="X90" s="97"/>
      <c r="Y90" s="97"/>
      <c r="Z90" s="97"/>
      <c r="AA90" s="97"/>
      <c r="AB90" s="97"/>
      <c r="AC90" s="91"/>
    </row>
    <row r="91">
      <c r="A91" s="115"/>
      <c r="B91" s="116"/>
      <c r="C91" s="208"/>
      <c r="D91" s="335"/>
      <c r="E91" s="335"/>
      <c r="F91" s="96"/>
      <c r="G91" s="97"/>
      <c r="H91" s="97"/>
      <c r="I91" s="97"/>
      <c r="J91" s="97"/>
      <c r="K91" s="97"/>
      <c r="L91" s="97"/>
      <c r="M91" s="97"/>
      <c r="N91" s="97"/>
      <c r="O91" s="91"/>
      <c r="Q91" s="548">
        <f t="shared" si="1"/>
        <v>0</v>
      </c>
      <c r="R91" s="443">
        <f t="shared" si="2"/>
        <v>0</v>
      </c>
      <c r="S91" s="443">
        <f t="shared" si="3"/>
        <v>0</v>
      </c>
      <c r="T91" s="96"/>
      <c r="U91" s="97"/>
      <c r="V91" s="97"/>
      <c r="W91" s="97"/>
      <c r="X91" s="97"/>
      <c r="Y91" s="97"/>
      <c r="Z91" s="97"/>
      <c r="AA91" s="97"/>
      <c r="AB91" s="97"/>
      <c r="AC91" s="91"/>
    </row>
    <row r="92">
      <c r="A92" s="94" t="s">
        <v>130</v>
      </c>
      <c r="B92" s="96">
        <v>490.0</v>
      </c>
      <c r="C92" s="208"/>
      <c r="D92" s="335"/>
      <c r="E92" s="335"/>
      <c r="F92" s="96"/>
      <c r="G92" s="97"/>
      <c r="H92" s="97"/>
      <c r="I92" s="97"/>
      <c r="J92" s="97"/>
      <c r="K92" s="97"/>
      <c r="L92" s="97"/>
      <c r="M92" s="97"/>
      <c r="N92" s="97"/>
      <c r="O92" s="91"/>
      <c r="Q92" s="548">
        <f t="shared" si="1"/>
        <v>0</v>
      </c>
      <c r="R92" s="443">
        <f t="shared" si="2"/>
        <v>0</v>
      </c>
      <c r="S92" s="443">
        <f t="shared" si="3"/>
        <v>0</v>
      </c>
      <c r="T92" s="96"/>
      <c r="U92" s="97"/>
      <c r="V92" s="97"/>
      <c r="W92" s="97"/>
      <c r="X92" s="97"/>
      <c r="Y92" s="97"/>
      <c r="Z92" s="97"/>
      <c r="AA92" s="97"/>
      <c r="AB92" s="97"/>
      <c r="AC92" s="91"/>
    </row>
    <row r="93">
      <c r="A93" s="94" t="s">
        <v>131</v>
      </c>
      <c r="B93" s="96">
        <v>490.0</v>
      </c>
      <c r="C93" s="208"/>
      <c r="D93" s="335"/>
      <c r="E93" s="335"/>
      <c r="F93" s="96"/>
      <c r="G93" s="97"/>
      <c r="H93" s="97"/>
      <c r="I93" s="97"/>
      <c r="J93" s="97"/>
      <c r="K93" s="97"/>
      <c r="L93" s="97"/>
      <c r="M93" s="97"/>
      <c r="N93" s="97"/>
      <c r="O93" s="91"/>
      <c r="Q93" s="548">
        <f t="shared" si="1"/>
        <v>0</v>
      </c>
      <c r="R93" s="443">
        <f t="shared" si="2"/>
        <v>0</v>
      </c>
      <c r="S93" s="443">
        <f t="shared" si="3"/>
        <v>0</v>
      </c>
      <c r="T93" s="96"/>
      <c r="U93" s="97"/>
      <c r="V93" s="97"/>
      <c r="W93" s="97"/>
      <c r="X93" s="97"/>
      <c r="Y93" s="97"/>
      <c r="Z93" s="97"/>
      <c r="AA93" s="97"/>
      <c r="AB93" s="97"/>
      <c r="AC93" s="91"/>
    </row>
    <row r="94">
      <c r="A94" s="94" t="s">
        <v>132</v>
      </c>
      <c r="B94" s="96">
        <v>450.0</v>
      </c>
      <c r="C94" s="208"/>
      <c r="D94" s="335"/>
      <c r="E94" s="335"/>
      <c r="F94" s="96"/>
      <c r="G94" s="97"/>
      <c r="H94" s="97"/>
      <c r="I94" s="97"/>
      <c r="J94" s="97"/>
      <c r="K94" s="97"/>
      <c r="L94" s="97"/>
      <c r="M94" s="97"/>
      <c r="N94" s="97"/>
      <c r="O94" s="91"/>
      <c r="Q94" s="548">
        <f t="shared" si="1"/>
        <v>0</v>
      </c>
      <c r="R94" s="443">
        <f t="shared" si="2"/>
        <v>0</v>
      </c>
      <c r="S94" s="443">
        <f t="shared" si="3"/>
        <v>0</v>
      </c>
      <c r="T94" s="96"/>
      <c r="U94" s="97"/>
      <c r="V94" s="97"/>
      <c r="W94" s="97"/>
      <c r="X94" s="97"/>
      <c r="Y94" s="97"/>
      <c r="Z94" s="97"/>
      <c r="AA94" s="97"/>
      <c r="AB94" s="97"/>
      <c r="AC94" s="91"/>
    </row>
    <row r="95">
      <c r="A95" s="117"/>
      <c r="B95" s="118"/>
      <c r="C95" s="208"/>
      <c r="D95" s="335"/>
      <c r="E95" s="335"/>
      <c r="F95" s="96"/>
      <c r="G95" s="97"/>
      <c r="H95" s="97"/>
      <c r="I95" s="97"/>
      <c r="J95" s="97"/>
      <c r="K95" s="97"/>
      <c r="L95" s="97"/>
      <c r="M95" s="97"/>
      <c r="N95" s="97"/>
      <c r="O95" s="91"/>
      <c r="Q95" s="548">
        <f t="shared" si="1"/>
        <v>0</v>
      </c>
      <c r="R95" s="443">
        <f t="shared" si="2"/>
        <v>0</v>
      </c>
      <c r="S95" s="443">
        <f t="shared" si="3"/>
        <v>0</v>
      </c>
      <c r="T95" s="96"/>
      <c r="U95" s="97"/>
      <c r="V95" s="97"/>
      <c r="W95" s="97"/>
      <c r="X95" s="97"/>
      <c r="Y95" s="97"/>
      <c r="Z95" s="97"/>
      <c r="AA95" s="97"/>
      <c r="AB95" s="97"/>
      <c r="AC95" s="91"/>
    </row>
    <row r="96">
      <c r="A96" s="117"/>
      <c r="B96" s="118"/>
      <c r="C96" s="208"/>
      <c r="D96" s="335"/>
      <c r="E96" s="335"/>
      <c r="F96" s="96"/>
      <c r="G96" s="97"/>
      <c r="H96" s="97"/>
      <c r="I96" s="97"/>
      <c r="J96" s="97"/>
      <c r="K96" s="97"/>
      <c r="L96" s="97"/>
      <c r="M96" s="97"/>
      <c r="N96" s="97"/>
      <c r="O96" s="91"/>
      <c r="Q96" s="548">
        <f t="shared" si="1"/>
        <v>0</v>
      </c>
      <c r="R96" s="443">
        <f t="shared" si="2"/>
        <v>0</v>
      </c>
      <c r="S96" s="443">
        <f t="shared" si="3"/>
        <v>0</v>
      </c>
      <c r="T96" s="96"/>
      <c r="U96" s="97"/>
      <c r="V96" s="97"/>
      <c r="W96" s="97"/>
      <c r="X96" s="97"/>
      <c r="Y96" s="97"/>
      <c r="Z96" s="97"/>
      <c r="AA96" s="97"/>
      <c r="AB96" s="97"/>
      <c r="AC96" s="91"/>
    </row>
    <row r="97">
      <c r="A97" s="117"/>
      <c r="B97" s="118"/>
      <c r="C97" s="208"/>
      <c r="D97" s="335"/>
      <c r="E97" s="335"/>
      <c r="F97" s="96"/>
      <c r="G97" s="97"/>
      <c r="H97" s="97"/>
      <c r="I97" s="97"/>
      <c r="J97" s="97"/>
      <c r="K97" s="97"/>
      <c r="L97" s="97"/>
      <c r="M97" s="97"/>
      <c r="N97" s="97"/>
      <c r="O97" s="91"/>
      <c r="Q97" s="548">
        <f t="shared" si="1"/>
        <v>0</v>
      </c>
      <c r="R97" s="443">
        <f t="shared" si="2"/>
        <v>0</v>
      </c>
      <c r="S97" s="443">
        <f t="shared" si="3"/>
        <v>0</v>
      </c>
      <c r="T97" s="96"/>
      <c r="U97" s="122"/>
      <c r="V97" s="97"/>
      <c r="W97" s="97"/>
      <c r="X97" s="97"/>
      <c r="Y97" s="97"/>
      <c r="Z97" s="97"/>
      <c r="AA97" s="97"/>
      <c r="AB97" s="97"/>
      <c r="AC97" s="91"/>
    </row>
    <row r="98">
      <c r="A98" s="117" t="s">
        <v>133</v>
      </c>
      <c r="B98" s="118">
        <v>450.0</v>
      </c>
      <c r="C98" s="208"/>
      <c r="D98" s="335"/>
      <c r="E98" s="335"/>
      <c r="F98" s="96"/>
      <c r="G98" s="97"/>
      <c r="H98" s="97"/>
      <c r="I98" s="97"/>
      <c r="J98" s="97"/>
      <c r="K98" s="97"/>
      <c r="L98" s="97"/>
      <c r="M98" s="97"/>
      <c r="N98" s="97"/>
      <c r="O98" s="91"/>
      <c r="Q98" s="548">
        <f t="shared" si="1"/>
        <v>0</v>
      </c>
      <c r="R98" s="443">
        <f t="shared" si="2"/>
        <v>0</v>
      </c>
      <c r="S98" s="443">
        <f t="shared" si="3"/>
        <v>0</v>
      </c>
      <c r="T98" s="550"/>
      <c r="U98" s="120"/>
      <c r="V98" s="450"/>
      <c r="W98" s="450"/>
      <c r="X98" s="449"/>
      <c r="Y98" s="449"/>
      <c r="Z98" s="449"/>
      <c r="AA98" s="449"/>
      <c r="AB98" s="449"/>
      <c r="AC98" s="83"/>
    </row>
    <row r="99">
      <c r="A99" s="119"/>
      <c r="B99" s="120"/>
      <c r="C99" s="208"/>
      <c r="D99" s="337"/>
      <c r="E99" s="337"/>
      <c r="F99" s="96"/>
      <c r="G99" s="97"/>
      <c r="H99" s="97"/>
      <c r="I99" s="97"/>
      <c r="J99" s="97"/>
      <c r="K99" s="97"/>
      <c r="L99" s="97"/>
      <c r="M99" s="97"/>
      <c r="N99" s="97"/>
      <c r="O99" s="91"/>
      <c r="Q99" s="548">
        <f t="shared" si="1"/>
        <v>0</v>
      </c>
      <c r="R99" s="443">
        <f t="shared" si="2"/>
        <v>0</v>
      </c>
      <c r="S99" s="443">
        <f t="shared" si="3"/>
        <v>0</v>
      </c>
      <c r="T99" s="550"/>
      <c r="U99" s="120"/>
      <c r="V99" s="450"/>
      <c r="W99" s="450"/>
      <c r="X99" s="449"/>
      <c r="Y99" s="449"/>
      <c r="Z99" s="449"/>
      <c r="AA99" s="449"/>
      <c r="AB99" s="449"/>
      <c r="AC99" s="83"/>
    </row>
    <row r="100">
      <c r="A100" s="121" t="s">
        <v>134</v>
      </c>
      <c r="B100" s="118">
        <v>1054.0</v>
      </c>
      <c r="C100" s="94"/>
      <c r="D100" s="96"/>
      <c r="E100" s="96"/>
      <c r="F100" s="96"/>
      <c r="G100" s="122"/>
      <c r="H100" s="97"/>
      <c r="I100" s="97"/>
      <c r="J100" s="97"/>
      <c r="K100" s="97"/>
      <c r="L100" s="97"/>
      <c r="M100" s="97"/>
      <c r="N100" s="97"/>
      <c r="O100" s="91"/>
      <c r="Q100" s="438"/>
      <c r="R100" s="449"/>
      <c r="S100" s="449"/>
      <c r="T100" s="550"/>
      <c r="U100" s="120"/>
      <c r="V100" s="450"/>
      <c r="W100" s="450"/>
      <c r="X100" s="449"/>
      <c r="Y100" s="449"/>
      <c r="Z100" s="449"/>
      <c r="AA100" s="449"/>
      <c r="AB100" s="449"/>
      <c r="AC100" s="83"/>
    </row>
    <row r="101">
      <c r="A101" s="123" t="s">
        <v>135</v>
      </c>
      <c r="B101" s="124"/>
      <c r="C101" s="125"/>
      <c r="D101" s="125"/>
      <c r="E101" s="125"/>
      <c r="F101" s="126"/>
      <c r="G101" s="124"/>
      <c r="H101" s="127"/>
      <c r="I101" s="127"/>
      <c r="J101" s="125"/>
      <c r="K101" s="125"/>
      <c r="L101" s="125"/>
      <c r="M101" s="125"/>
      <c r="N101" s="125"/>
      <c r="O101" s="128"/>
      <c r="Q101" s="125"/>
      <c r="R101" s="125"/>
      <c r="S101" s="125"/>
      <c r="T101" s="126"/>
      <c r="U101" s="124"/>
      <c r="V101" s="127"/>
      <c r="W101" s="127"/>
      <c r="X101" s="125"/>
      <c r="Y101" s="125"/>
      <c r="Z101" s="125"/>
      <c r="AA101" s="125"/>
      <c r="AB101" s="125"/>
      <c r="AC101" s="128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Q102" s="283">
        <f>'9 Matters'!C99</f>
        <v>4656</v>
      </c>
      <c r="R102" s="283">
        <f>'9 Matters'!D99</f>
        <v>15029</v>
      </c>
      <c r="S102" s="283">
        <f>'9 Matters'!E99</f>
        <v>21859</v>
      </c>
      <c r="T102" s="283">
        <f>'9 Matters'!F99</f>
        <v>5239</v>
      </c>
      <c r="U102" s="283">
        <f>'9 Matters'!G99</f>
        <v>0</v>
      </c>
      <c r="V102" s="72"/>
      <c r="W102" s="72"/>
      <c r="X102" s="72"/>
      <c r="Y102" s="72"/>
      <c r="Z102" s="72"/>
      <c r="AA102" s="72"/>
      <c r="AB102" s="72"/>
      <c r="A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</sheetData>
  <mergeCells count="30">
    <mergeCell ref="U3:U4"/>
    <mergeCell ref="V3:V4"/>
    <mergeCell ref="W3:W4"/>
    <mergeCell ref="X3:X4"/>
    <mergeCell ref="Y3:Y4"/>
    <mergeCell ref="Z3:Z4"/>
    <mergeCell ref="AA3:AA4"/>
    <mergeCell ref="AB3:AB4"/>
    <mergeCell ref="C1:O1"/>
    <mergeCell ref="Q1:AC1"/>
    <mergeCell ref="C2:O2"/>
    <mergeCell ref="Q2:AC2"/>
    <mergeCell ref="C3:C4"/>
    <mergeCell ref="D3:D4"/>
    <mergeCell ref="E3:E4"/>
    <mergeCell ref="AC3:A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S3:S4"/>
    <mergeCell ref="T3:T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27.38"/>
    <col customWidth="1" min="3" max="4" width="9.0"/>
    <col customWidth="1" min="5" max="5" width="6.75"/>
    <col customWidth="1" min="6" max="6" width="7.88"/>
    <col customWidth="1" min="7" max="14" width="6.75"/>
  </cols>
  <sheetData>
    <row r="1">
      <c r="C1" s="70"/>
      <c r="D1" s="70"/>
      <c r="E1" s="70"/>
    </row>
    <row r="2">
      <c r="A2" s="130"/>
      <c r="B2" s="131"/>
      <c r="C2" s="138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4"/>
      <c r="O2" s="135"/>
      <c r="P2" s="136"/>
    </row>
    <row r="3" ht="33.75" customHeight="1">
      <c r="A3" s="296" t="s">
        <v>47</v>
      </c>
      <c r="B3" s="297" t="s">
        <v>48</v>
      </c>
      <c r="C3" s="299" t="s">
        <v>0</v>
      </c>
      <c r="D3" s="299" t="s">
        <v>1</v>
      </c>
      <c r="E3" s="299" t="s">
        <v>2</v>
      </c>
      <c r="F3" s="299" t="s">
        <v>3</v>
      </c>
      <c r="G3" s="299" t="s">
        <v>4</v>
      </c>
      <c r="H3" s="299" t="s">
        <v>5</v>
      </c>
      <c r="I3" s="299" t="s">
        <v>6</v>
      </c>
      <c r="J3" s="299" t="s">
        <v>7</v>
      </c>
      <c r="K3" s="299" t="s">
        <v>8</v>
      </c>
      <c r="L3" s="299" t="s">
        <v>9</v>
      </c>
      <c r="M3" s="299" t="s">
        <v>10</v>
      </c>
      <c r="N3" s="299" t="s">
        <v>11</v>
      </c>
      <c r="O3" s="147"/>
      <c r="P3" s="148"/>
    </row>
    <row r="4">
      <c r="A4" s="160"/>
      <c r="B4" s="160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84"/>
      <c r="P4" s="86"/>
    </row>
    <row r="5" hidden="1">
      <c r="A5" s="167" t="s">
        <v>49</v>
      </c>
      <c r="B5" s="168">
        <v>329.0</v>
      </c>
      <c r="C5" s="314"/>
      <c r="D5" s="541"/>
      <c r="E5" s="541"/>
      <c r="F5" s="170"/>
      <c r="G5" s="171"/>
      <c r="H5" s="171"/>
      <c r="I5" s="171"/>
      <c r="J5" s="171"/>
      <c r="K5" s="171"/>
      <c r="L5" s="171"/>
      <c r="M5" s="171"/>
      <c r="N5" s="186"/>
      <c r="O5" s="178"/>
      <c r="P5" s="173"/>
    </row>
    <row r="6" hidden="1">
      <c r="A6" s="101" t="s">
        <v>50</v>
      </c>
      <c r="B6" s="187">
        <v>329.0</v>
      </c>
      <c r="C6" s="317"/>
      <c r="D6" s="542"/>
      <c r="E6" s="542"/>
      <c r="F6" s="188"/>
      <c r="G6" s="171"/>
      <c r="H6" s="171"/>
      <c r="I6" s="171"/>
      <c r="J6" s="171"/>
      <c r="K6" s="171"/>
      <c r="L6" s="171"/>
      <c r="M6" s="171"/>
      <c r="N6" s="186"/>
      <c r="O6" s="178"/>
      <c r="P6" s="173"/>
    </row>
    <row r="7" hidden="1">
      <c r="A7" s="101" t="s">
        <v>51</v>
      </c>
      <c r="B7" s="187">
        <v>329.0</v>
      </c>
      <c r="C7" s="317"/>
      <c r="D7" s="542"/>
      <c r="E7" s="542"/>
      <c r="F7" s="188"/>
      <c r="G7" s="171"/>
      <c r="H7" s="171"/>
      <c r="I7" s="171"/>
      <c r="J7" s="171"/>
      <c r="K7" s="171"/>
      <c r="L7" s="171"/>
      <c r="M7" s="171"/>
      <c r="N7" s="186"/>
      <c r="O7" s="178"/>
      <c r="P7" s="173"/>
    </row>
    <row r="8">
      <c r="A8" s="101" t="s">
        <v>52</v>
      </c>
      <c r="B8" s="93">
        <v>329.0</v>
      </c>
      <c r="C8" s="317"/>
      <c r="D8" s="542"/>
      <c r="E8" s="542"/>
      <c r="F8" s="194">
        <v>1.0</v>
      </c>
      <c r="G8" s="171"/>
      <c r="H8" s="171"/>
      <c r="I8" s="195"/>
      <c r="J8" s="171"/>
      <c r="K8" s="171"/>
      <c r="L8" s="171"/>
      <c r="M8" s="171"/>
      <c r="N8" s="186"/>
      <c r="O8" s="178"/>
      <c r="P8" s="173"/>
    </row>
    <row r="9" hidden="1">
      <c r="A9" s="101" t="s">
        <v>53</v>
      </c>
      <c r="B9" s="93">
        <v>329.0</v>
      </c>
      <c r="C9" s="317"/>
      <c r="D9" s="542"/>
      <c r="E9" s="542"/>
      <c r="F9" s="188"/>
      <c r="G9" s="171"/>
      <c r="H9" s="171"/>
      <c r="I9" s="171"/>
      <c r="J9" s="171"/>
      <c r="K9" s="171"/>
      <c r="L9" s="171"/>
      <c r="M9" s="171"/>
      <c r="N9" s="186"/>
      <c r="O9" s="178"/>
      <c r="P9" s="173"/>
    </row>
    <row r="10">
      <c r="A10" s="101" t="s">
        <v>54</v>
      </c>
      <c r="B10" s="93">
        <v>329.0</v>
      </c>
      <c r="C10" s="323">
        <v>1.0</v>
      </c>
      <c r="D10" s="543">
        <v>1.0</v>
      </c>
      <c r="E10" s="542"/>
      <c r="F10" s="194">
        <v>1.0</v>
      </c>
      <c r="G10" s="171"/>
      <c r="H10" s="171"/>
      <c r="I10" s="195"/>
      <c r="J10" s="171"/>
      <c r="K10" s="171"/>
      <c r="L10" s="195"/>
      <c r="M10" s="195"/>
      <c r="N10" s="186"/>
      <c r="O10" s="178"/>
      <c r="P10" s="173"/>
    </row>
    <row r="11">
      <c r="A11" s="101" t="s">
        <v>55</v>
      </c>
      <c r="B11" s="93">
        <v>329.0</v>
      </c>
      <c r="C11" s="317"/>
      <c r="D11" s="543">
        <v>3.0</v>
      </c>
      <c r="E11" s="542"/>
      <c r="F11" s="188"/>
      <c r="G11" s="171"/>
      <c r="H11" s="171"/>
      <c r="I11" s="195"/>
      <c r="J11" s="171"/>
      <c r="K11" s="171"/>
      <c r="L11" s="171"/>
      <c r="M11" s="171"/>
      <c r="N11" s="186"/>
      <c r="O11" s="178"/>
      <c r="P11" s="173"/>
    </row>
    <row r="12">
      <c r="A12" s="101" t="s">
        <v>56</v>
      </c>
      <c r="B12" s="93">
        <v>329.0</v>
      </c>
      <c r="C12" s="323">
        <v>1.0</v>
      </c>
      <c r="D12" s="542"/>
      <c r="E12" s="542"/>
      <c r="F12" s="188"/>
      <c r="G12" s="171"/>
      <c r="H12" s="171"/>
      <c r="I12" s="195"/>
      <c r="J12" s="171"/>
      <c r="K12" s="171"/>
      <c r="L12" s="171"/>
      <c r="M12" s="171"/>
      <c r="N12" s="186"/>
      <c r="O12" s="178"/>
      <c r="P12" s="173"/>
    </row>
    <row r="13">
      <c r="A13" s="101" t="s">
        <v>57</v>
      </c>
      <c r="B13" s="93">
        <v>329.0</v>
      </c>
      <c r="C13" s="317"/>
      <c r="D13" s="542"/>
      <c r="E13" s="542"/>
      <c r="F13" s="188"/>
      <c r="G13" s="171"/>
      <c r="H13" s="171"/>
      <c r="I13" s="195"/>
      <c r="J13" s="171"/>
      <c r="K13" s="195"/>
      <c r="L13" s="171"/>
      <c r="M13" s="171"/>
      <c r="N13" s="186"/>
      <c r="O13" s="178"/>
      <c r="P13" s="173"/>
    </row>
    <row r="14">
      <c r="A14" s="101" t="s">
        <v>58</v>
      </c>
      <c r="B14" s="93">
        <v>329.0</v>
      </c>
      <c r="C14" s="317"/>
      <c r="D14" s="542"/>
      <c r="E14" s="542"/>
      <c r="F14" s="188"/>
      <c r="G14" s="171"/>
      <c r="H14" s="171"/>
      <c r="I14" s="195"/>
      <c r="J14" s="171"/>
      <c r="K14" s="171"/>
      <c r="L14" s="171"/>
      <c r="M14" s="171"/>
      <c r="N14" s="186"/>
      <c r="O14" s="178"/>
      <c r="P14" s="173"/>
    </row>
    <row r="15">
      <c r="A15" s="101" t="s">
        <v>59</v>
      </c>
      <c r="B15" s="93">
        <v>219.0</v>
      </c>
      <c r="C15" s="317"/>
      <c r="D15" s="542"/>
      <c r="E15" s="542"/>
      <c r="F15" s="188"/>
      <c r="G15" s="171"/>
      <c r="H15" s="171"/>
      <c r="I15" s="171"/>
      <c r="J15" s="171"/>
      <c r="K15" s="171"/>
      <c r="L15" s="171"/>
      <c r="M15" s="171"/>
      <c r="N15" s="186"/>
      <c r="O15" s="178"/>
      <c r="P15" s="173"/>
    </row>
    <row r="16">
      <c r="A16" s="101" t="s">
        <v>60</v>
      </c>
      <c r="B16" s="99"/>
      <c r="C16" s="317"/>
      <c r="D16" s="542"/>
      <c r="E16" s="542"/>
      <c r="F16" s="188"/>
      <c r="G16" s="171"/>
      <c r="H16" s="171"/>
      <c r="I16" s="171"/>
      <c r="J16" s="171"/>
      <c r="K16" s="171"/>
      <c r="L16" s="171"/>
      <c r="M16" s="171"/>
      <c r="N16" s="186"/>
      <c r="O16" s="178"/>
      <c r="P16" s="173"/>
    </row>
    <row r="17">
      <c r="A17" s="101" t="s">
        <v>61</v>
      </c>
      <c r="B17" s="99"/>
      <c r="C17" s="317"/>
      <c r="D17" s="542"/>
      <c r="E17" s="542"/>
      <c r="F17" s="188"/>
      <c r="G17" s="171"/>
      <c r="H17" s="171"/>
      <c r="I17" s="171"/>
      <c r="J17" s="171"/>
      <c r="K17" s="171"/>
      <c r="L17" s="171"/>
      <c r="M17" s="171"/>
      <c r="N17" s="186"/>
      <c r="O17" s="178"/>
      <c r="P17" s="173"/>
    </row>
    <row r="18">
      <c r="A18" s="109"/>
      <c r="B18" s="99"/>
      <c r="C18" s="317"/>
      <c r="D18" s="542"/>
      <c r="E18" s="542"/>
      <c r="F18" s="188"/>
      <c r="G18" s="171"/>
      <c r="H18" s="171"/>
      <c r="I18" s="171"/>
      <c r="J18" s="171"/>
      <c r="K18" s="171"/>
      <c r="L18" s="171"/>
      <c r="M18" s="171"/>
      <c r="N18" s="186"/>
      <c r="O18" s="178"/>
      <c r="P18" s="173"/>
    </row>
    <row r="19">
      <c r="A19" s="101" t="s">
        <v>62</v>
      </c>
      <c r="B19" s="93">
        <v>239.0</v>
      </c>
      <c r="C19" s="323">
        <v>3.0</v>
      </c>
      <c r="D19" s="543">
        <v>1.0</v>
      </c>
      <c r="E19" s="542"/>
      <c r="F19" s="194">
        <v>1.0</v>
      </c>
      <c r="G19" s="171"/>
      <c r="H19" s="171"/>
      <c r="I19" s="171"/>
      <c r="J19" s="171"/>
      <c r="K19" s="171"/>
      <c r="L19" s="171"/>
      <c r="M19" s="171"/>
      <c r="N19" s="186"/>
      <c r="O19" s="178"/>
      <c r="P19" s="173"/>
    </row>
    <row r="20">
      <c r="A20" s="101" t="s">
        <v>63</v>
      </c>
      <c r="B20" s="93">
        <v>239.0</v>
      </c>
      <c r="C20" s="323">
        <v>2.0</v>
      </c>
      <c r="D20" s="543">
        <v>2.0</v>
      </c>
      <c r="E20" s="542"/>
      <c r="F20" s="194">
        <v>2.0</v>
      </c>
      <c r="G20" s="171"/>
      <c r="H20" s="171"/>
      <c r="I20" s="171"/>
      <c r="J20" s="171"/>
      <c r="K20" s="171"/>
      <c r="L20" s="171"/>
      <c r="M20" s="171"/>
      <c r="N20" s="186"/>
      <c r="O20" s="178"/>
      <c r="P20" s="173"/>
    </row>
    <row r="21">
      <c r="A21" s="101" t="s">
        <v>64</v>
      </c>
      <c r="B21" s="93">
        <v>239.0</v>
      </c>
      <c r="C21" s="317"/>
      <c r="D21" s="543">
        <v>4.0</v>
      </c>
      <c r="E21" s="542"/>
      <c r="F21" s="188"/>
      <c r="G21" s="171"/>
      <c r="H21" s="171"/>
      <c r="I21" s="171"/>
      <c r="J21" s="171"/>
      <c r="K21" s="171"/>
      <c r="L21" s="171"/>
      <c r="M21" s="171"/>
      <c r="N21" s="186"/>
      <c r="O21" s="178"/>
      <c r="P21" s="173"/>
    </row>
    <row r="22">
      <c r="A22" s="101" t="s">
        <v>65</v>
      </c>
      <c r="B22" s="93">
        <v>219.0</v>
      </c>
      <c r="C22" s="323">
        <v>1.0</v>
      </c>
      <c r="D22" s="543">
        <v>2.0</v>
      </c>
      <c r="E22" s="543">
        <v>2.0</v>
      </c>
      <c r="F22" s="188"/>
      <c r="G22" s="171"/>
      <c r="H22" s="171"/>
      <c r="I22" s="171"/>
      <c r="J22" s="171"/>
      <c r="K22" s="171"/>
      <c r="L22" s="171"/>
      <c r="M22" s="171"/>
      <c r="N22" s="186"/>
      <c r="O22" s="178"/>
      <c r="P22" s="173"/>
    </row>
    <row r="23">
      <c r="A23" s="101" t="s">
        <v>66</v>
      </c>
      <c r="B23" s="93">
        <v>219.0</v>
      </c>
      <c r="C23" s="317"/>
      <c r="D23" s="543">
        <v>2.0</v>
      </c>
      <c r="E23" s="542"/>
      <c r="F23" s="194">
        <v>2.0</v>
      </c>
      <c r="G23" s="171"/>
      <c r="H23" s="171"/>
      <c r="I23" s="171"/>
      <c r="J23" s="171"/>
      <c r="K23" s="171"/>
      <c r="L23" s="171"/>
      <c r="M23" s="171"/>
      <c r="N23" s="186"/>
      <c r="O23" s="178"/>
      <c r="P23" s="173"/>
    </row>
    <row r="24">
      <c r="A24" s="101" t="s">
        <v>67</v>
      </c>
      <c r="B24" s="93">
        <v>219.0</v>
      </c>
      <c r="C24" s="323">
        <v>2.0</v>
      </c>
      <c r="D24" s="543">
        <v>4.0</v>
      </c>
      <c r="E24" s="543">
        <v>2.0</v>
      </c>
      <c r="F24" s="188"/>
      <c r="G24" s="171"/>
      <c r="H24" s="171"/>
      <c r="I24" s="171"/>
      <c r="J24" s="171"/>
      <c r="K24" s="171"/>
      <c r="L24" s="171"/>
      <c r="M24" s="171"/>
      <c r="N24" s="186"/>
      <c r="O24" s="178"/>
      <c r="P24" s="173"/>
    </row>
    <row r="25">
      <c r="A25" s="101" t="s">
        <v>68</v>
      </c>
      <c r="B25" s="93">
        <v>219.0</v>
      </c>
      <c r="C25" s="317"/>
      <c r="D25" s="542"/>
      <c r="E25" s="542"/>
      <c r="F25" s="188"/>
      <c r="G25" s="171"/>
      <c r="H25" s="171"/>
      <c r="I25" s="171"/>
      <c r="J25" s="171"/>
      <c r="K25" s="171"/>
      <c r="L25" s="171"/>
      <c r="M25" s="171"/>
      <c r="N25" s="186"/>
      <c r="O25" s="178"/>
      <c r="P25" s="173"/>
    </row>
    <row r="26">
      <c r="A26" s="101" t="s">
        <v>69</v>
      </c>
      <c r="B26" s="93">
        <v>219.0</v>
      </c>
      <c r="C26" s="317"/>
      <c r="D26" s="542"/>
      <c r="E26" s="542"/>
      <c r="F26" s="188"/>
      <c r="G26" s="171"/>
      <c r="H26" s="171"/>
      <c r="I26" s="171"/>
      <c r="J26" s="171"/>
      <c r="K26" s="171"/>
      <c r="L26" s="171"/>
      <c r="M26" s="171"/>
      <c r="N26" s="186"/>
      <c r="O26" s="178"/>
      <c r="P26" s="173"/>
    </row>
    <row r="27">
      <c r="A27" s="101" t="s">
        <v>70</v>
      </c>
      <c r="B27" s="93">
        <v>799.0</v>
      </c>
      <c r="C27" s="317"/>
      <c r="D27" s="543">
        <v>1.0</v>
      </c>
      <c r="E27" s="543">
        <v>2.0</v>
      </c>
      <c r="F27" s="188"/>
      <c r="G27" s="171"/>
      <c r="H27" s="171"/>
      <c r="I27" s="195"/>
      <c r="J27" s="171"/>
      <c r="K27" s="171"/>
      <c r="L27" s="171"/>
      <c r="M27" s="171"/>
      <c r="N27" s="186"/>
      <c r="O27" s="178"/>
      <c r="P27" s="173"/>
    </row>
    <row r="28">
      <c r="A28" s="102" t="s">
        <v>71</v>
      </c>
      <c r="B28" s="93">
        <v>609.0</v>
      </c>
      <c r="C28" s="317"/>
      <c r="D28" s="542"/>
      <c r="E28" s="542"/>
      <c r="F28" s="188"/>
      <c r="G28" s="171"/>
      <c r="H28" s="171"/>
      <c r="I28" s="171"/>
      <c r="J28" s="171"/>
      <c r="K28" s="195"/>
      <c r="L28" s="171"/>
      <c r="M28" s="171"/>
      <c r="N28" s="213"/>
      <c r="O28" s="178"/>
      <c r="P28" s="173"/>
    </row>
    <row r="29">
      <c r="A29" s="101" t="s">
        <v>72</v>
      </c>
      <c r="B29" s="93">
        <v>329.0</v>
      </c>
      <c r="C29" s="317"/>
      <c r="D29" s="543">
        <v>1.0</v>
      </c>
      <c r="E29" s="542"/>
      <c r="F29" s="188"/>
      <c r="G29" s="171"/>
      <c r="H29" s="171"/>
      <c r="I29" s="195"/>
      <c r="J29" s="171"/>
      <c r="K29" s="171"/>
      <c r="L29" s="171"/>
      <c r="M29" s="171"/>
      <c r="N29" s="186"/>
      <c r="O29" s="178"/>
      <c r="P29" s="173"/>
    </row>
    <row r="30">
      <c r="A30" s="101" t="s">
        <v>73</v>
      </c>
      <c r="B30" s="93">
        <v>329.0</v>
      </c>
      <c r="C30" s="317"/>
      <c r="D30" s="542"/>
      <c r="E30" s="542"/>
      <c r="F30" s="188"/>
      <c r="G30" s="171"/>
      <c r="H30" s="171"/>
      <c r="I30" s="171"/>
      <c r="J30" s="171"/>
      <c r="K30" s="171"/>
      <c r="L30" s="171"/>
      <c r="M30" s="171"/>
      <c r="N30" s="186"/>
      <c r="O30" s="178"/>
      <c r="P30" s="173"/>
    </row>
    <row r="31">
      <c r="A31" s="101" t="s">
        <v>74</v>
      </c>
      <c r="B31" s="93">
        <v>219.0</v>
      </c>
      <c r="C31" s="323">
        <v>1.0</v>
      </c>
      <c r="D31" s="542"/>
      <c r="E31" s="542"/>
      <c r="F31" s="188"/>
      <c r="G31" s="171"/>
      <c r="H31" s="171"/>
      <c r="I31" s="171"/>
      <c r="J31" s="171"/>
      <c r="K31" s="171"/>
      <c r="L31" s="171"/>
      <c r="M31" s="171"/>
      <c r="N31" s="186"/>
      <c r="O31" s="178"/>
      <c r="P31" s="173"/>
    </row>
    <row r="32">
      <c r="A32" s="101" t="s">
        <v>75</v>
      </c>
      <c r="B32" s="93">
        <v>219.0</v>
      </c>
      <c r="C32" s="317"/>
      <c r="D32" s="542"/>
      <c r="E32" s="542"/>
      <c r="F32" s="188"/>
      <c r="G32" s="171"/>
      <c r="H32" s="171"/>
      <c r="I32" s="171"/>
      <c r="J32" s="171"/>
      <c r="K32" s="171"/>
      <c r="L32" s="171"/>
      <c r="M32" s="171"/>
      <c r="N32" s="186"/>
      <c r="O32" s="178"/>
      <c r="P32" s="173"/>
    </row>
    <row r="33">
      <c r="A33" s="101" t="s">
        <v>76</v>
      </c>
      <c r="B33" s="93">
        <v>439.0</v>
      </c>
      <c r="C33" s="317"/>
      <c r="D33" s="542"/>
      <c r="E33" s="542"/>
      <c r="F33" s="188"/>
      <c r="G33" s="171"/>
      <c r="H33" s="171"/>
      <c r="I33" s="171"/>
      <c r="J33" s="171"/>
      <c r="K33" s="171"/>
      <c r="L33" s="171"/>
      <c r="M33" s="171"/>
      <c r="N33" s="186"/>
      <c r="O33" s="178"/>
      <c r="P33" s="173"/>
    </row>
    <row r="34">
      <c r="A34" s="101" t="s">
        <v>77</v>
      </c>
      <c r="B34" s="93">
        <v>899.0</v>
      </c>
      <c r="C34" s="317"/>
      <c r="D34" s="542"/>
      <c r="E34" s="178"/>
      <c r="F34" s="188"/>
      <c r="G34" s="171"/>
      <c r="H34" s="171"/>
      <c r="I34" s="171"/>
      <c r="J34" s="171"/>
      <c r="K34" s="171"/>
      <c r="L34" s="171"/>
      <c r="M34" s="171"/>
      <c r="N34" s="186"/>
      <c r="O34" s="178"/>
      <c r="P34" s="173"/>
    </row>
    <row r="35">
      <c r="A35" s="101" t="s">
        <v>78</v>
      </c>
      <c r="B35" s="93">
        <v>549.0</v>
      </c>
      <c r="C35" s="317"/>
      <c r="D35" s="178"/>
      <c r="E35" s="542"/>
      <c r="F35" s="188"/>
      <c r="G35" s="171"/>
      <c r="H35" s="195"/>
      <c r="I35" s="171"/>
      <c r="J35" s="171"/>
      <c r="K35" s="171"/>
      <c r="L35" s="171"/>
      <c r="M35" s="171"/>
      <c r="N35" s="186"/>
      <c r="O35" s="178"/>
      <c r="P35" s="173"/>
    </row>
    <row r="36">
      <c r="A36" s="101" t="s">
        <v>79</v>
      </c>
      <c r="B36" s="93">
        <v>549.0</v>
      </c>
      <c r="C36" s="317"/>
      <c r="D36" s="178"/>
      <c r="E36" s="542"/>
      <c r="F36" s="188"/>
      <c r="G36" s="171"/>
      <c r="H36" s="171"/>
      <c r="I36" s="171"/>
      <c r="J36" s="171"/>
      <c r="K36" s="171"/>
      <c r="L36" s="171"/>
      <c r="M36" s="171"/>
      <c r="N36" s="186"/>
      <c r="O36" s="178"/>
      <c r="P36" s="173"/>
    </row>
    <row r="37">
      <c r="A37" s="101" t="s">
        <v>80</v>
      </c>
      <c r="B37" s="93">
        <v>549.0</v>
      </c>
      <c r="C37" s="317"/>
      <c r="D37" s="542"/>
      <c r="E37" s="542"/>
      <c r="F37" s="188"/>
      <c r="G37" s="171"/>
      <c r="H37" s="171"/>
      <c r="I37" s="171"/>
      <c r="J37" s="171"/>
      <c r="K37" s="171"/>
      <c r="L37" s="171"/>
      <c r="M37" s="171"/>
      <c r="N37" s="186"/>
      <c r="O37" s="178"/>
      <c r="P37" s="173"/>
    </row>
    <row r="38">
      <c r="A38" s="102" t="s">
        <v>81</v>
      </c>
      <c r="B38" s="93">
        <v>799.0</v>
      </c>
      <c r="C38" s="317"/>
      <c r="D38" s="543">
        <v>1.0</v>
      </c>
      <c r="E38" s="543">
        <v>3.0</v>
      </c>
      <c r="F38" s="188"/>
      <c r="G38" s="171"/>
      <c r="H38" s="171"/>
      <c r="I38" s="171"/>
      <c r="J38" s="171"/>
      <c r="K38" s="171"/>
      <c r="L38" s="171"/>
      <c r="M38" s="171"/>
      <c r="N38" s="186"/>
      <c r="O38" s="178"/>
      <c r="P38" s="173"/>
    </row>
    <row r="39">
      <c r="A39" s="102" t="s">
        <v>82</v>
      </c>
      <c r="B39" s="93">
        <v>799.0</v>
      </c>
      <c r="C39" s="317"/>
      <c r="D39" s="543">
        <v>1.0</v>
      </c>
      <c r="E39" s="543">
        <v>3.0</v>
      </c>
      <c r="F39" s="188"/>
      <c r="G39" s="171"/>
      <c r="H39" s="171"/>
      <c r="I39" s="195"/>
      <c r="J39" s="171"/>
      <c r="K39" s="171"/>
      <c r="L39" s="171"/>
      <c r="M39" s="171"/>
      <c r="N39" s="186"/>
      <c r="O39" s="178"/>
      <c r="P39" s="173"/>
    </row>
    <row r="40">
      <c r="A40" s="101" t="s">
        <v>83</v>
      </c>
      <c r="B40" s="93">
        <v>439.0</v>
      </c>
      <c r="C40" s="317"/>
      <c r="D40" s="542"/>
      <c r="E40" s="542"/>
      <c r="F40" s="188"/>
      <c r="G40" s="171"/>
      <c r="H40" s="171"/>
      <c r="I40" s="171"/>
      <c r="J40" s="171"/>
      <c r="K40" s="171"/>
      <c r="L40" s="171"/>
      <c r="M40" s="171"/>
      <c r="N40" s="186"/>
      <c r="O40" s="178"/>
      <c r="P40" s="173"/>
    </row>
    <row r="41">
      <c r="A41" s="101" t="s">
        <v>84</v>
      </c>
      <c r="B41" s="93">
        <v>439.0</v>
      </c>
      <c r="C41" s="317"/>
      <c r="D41" s="542"/>
      <c r="E41" s="542"/>
      <c r="F41" s="188"/>
      <c r="G41" s="171"/>
      <c r="H41" s="171"/>
      <c r="I41" s="171"/>
      <c r="J41" s="171"/>
      <c r="K41" s="171"/>
      <c r="L41" s="171"/>
      <c r="M41" s="171"/>
      <c r="N41" s="186"/>
      <c r="O41" s="178"/>
      <c r="P41" s="173"/>
    </row>
    <row r="42">
      <c r="A42" s="101" t="s">
        <v>85</v>
      </c>
      <c r="B42" s="93">
        <v>60.0</v>
      </c>
      <c r="C42" s="317"/>
      <c r="D42" s="542"/>
      <c r="E42" s="542"/>
      <c r="F42" s="188"/>
      <c r="G42" s="171"/>
      <c r="H42" s="171"/>
      <c r="I42" s="171"/>
      <c r="J42" s="171"/>
      <c r="K42" s="171"/>
      <c r="L42" s="171"/>
      <c r="M42" s="171"/>
      <c r="N42" s="186"/>
      <c r="O42" s="178"/>
      <c r="P42" s="173"/>
    </row>
    <row r="43">
      <c r="A43" s="101" t="s">
        <v>86</v>
      </c>
      <c r="B43" s="93">
        <v>609.0</v>
      </c>
      <c r="C43" s="212">
        <v>1.0</v>
      </c>
      <c r="D43" s="327"/>
      <c r="E43" s="327"/>
      <c r="F43" s="217">
        <v>2.0</v>
      </c>
      <c r="G43" s="171"/>
      <c r="H43" s="171"/>
      <c r="I43" s="171"/>
      <c r="J43" s="171"/>
      <c r="K43" s="171"/>
      <c r="L43" s="171"/>
      <c r="M43" s="171"/>
      <c r="N43" s="186"/>
      <c r="O43" s="200"/>
      <c r="P43" s="173"/>
    </row>
    <row r="44">
      <c r="A44" s="101" t="s">
        <v>87</v>
      </c>
      <c r="B44" s="93">
        <v>379.0</v>
      </c>
      <c r="C44" s="329"/>
      <c r="D44" s="327"/>
      <c r="E44" s="327"/>
      <c r="F44" s="215"/>
      <c r="G44" s="171"/>
      <c r="H44" s="171"/>
      <c r="I44" s="171"/>
      <c r="J44" s="171"/>
      <c r="K44" s="171"/>
      <c r="L44" s="171"/>
      <c r="M44" s="171"/>
      <c r="N44" s="186"/>
      <c r="O44" s="200"/>
      <c r="P44" s="173"/>
    </row>
    <row r="45">
      <c r="A45" s="101" t="s">
        <v>88</v>
      </c>
      <c r="B45" s="93">
        <v>379.0</v>
      </c>
      <c r="C45" s="329"/>
      <c r="D45" s="327"/>
      <c r="E45" s="327"/>
      <c r="F45" s="215"/>
      <c r="G45" s="171"/>
      <c r="H45" s="171"/>
      <c r="I45" s="171"/>
      <c r="J45" s="171"/>
      <c r="K45" s="171"/>
      <c r="L45" s="171"/>
      <c r="M45" s="171"/>
      <c r="N45" s="186"/>
      <c r="O45" s="200"/>
      <c r="P45" s="173"/>
    </row>
    <row r="46">
      <c r="A46" s="101" t="s">
        <v>89</v>
      </c>
      <c r="B46" s="93">
        <v>1299.0</v>
      </c>
      <c r="C46" s="329"/>
      <c r="D46" s="327"/>
      <c r="E46" s="327"/>
      <c r="F46" s="215"/>
      <c r="G46" s="171"/>
      <c r="H46" s="171"/>
      <c r="I46" s="171"/>
      <c r="J46" s="171"/>
      <c r="K46" s="171"/>
      <c r="L46" s="171"/>
      <c r="M46" s="171"/>
      <c r="N46" s="186"/>
      <c r="O46" s="200"/>
      <c r="P46" s="173"/>
    </row>
    <row r="47">
      <c r="A47" s="67" t="s">
        <v>90</v>
      </c>
      <c r="B47" s="93">
        <v>1299.0</v>
      </c>
      <c r="C47" s="329"/>
      <c r="D47" s="327"/>
      <c r="E47" s="327"/>
      <c r="F47" s="215"/>
      <c r="G47" s="171"/>
      <c r="H47" s="171"/>
      <c r="I47" s="171"/>
      <c r="J47" s="171"/>
      <c r="K47" s="171"/>
      <c r="L47" s="171"/>
      <c r="M47" s="171"/>
      <c r="N47" s="186"/>
      <c r="O47" s="200"/>
      <c r="P47" s="173"/>
    </row>
    <row r="48">
      <c r="A48" s="101" t="s">
        <v>91</v>
      </c>
      <c r="B48" s="103">
        <v>0.0</v>
      </c>
      <c r="C48" s="329"/>
      <c r="D48" s="327"/>
      <c r="E48" s="327"/>
      <c r="F48" s="215"/>
      <c r="G48" s="171"/>
      <c r="H48" s="171"/>
      <c r="I48" s="171"/>
      <c r="J48" s="171"/>
      <c r="K48" s="171"/>
      <c r="L48" s="171"/>
      <c r="M48" s="171"/>
      <c r="N48" s="186"/>
      <c r="O48" s="200"/>
      <c r="P48" s="173"/>
    </row>
    <row r="49">
      <c r="A49" s="104"/>
      <c r="B49" s="105"/>
      <c r="C49" s="329"/>
      <c r="D49" s="327"/>
      <c r="E49" s="327"/>
      <c r="F49" s="215"/>
      <c r="G49" s="171"/>
      <c r="H49" s="171"/>
      <c r="I49" s="171"/>
      <c r="J49" s="171"/>
      <c r="K49" s="171"/>
      <c r="L49" s="171"/>
      <c r="M49" s="171"/>
      <c r="N49" s="186"/>
      <c r="O49" s="200"/>
      <c r="P49" s="173"/>
    </row>
    <row r="50">
      <c r="A50" s="102" t="s">
        <v>92</v>
      </c>
      <c r="B50" s="106">
        <v>609.0</v>
      </c>
      <c r="C50" s="212">
        <v>2.0</v>
      </c>
      <c r="D50" s="321">
        <v>1.0</v>
      </c>
      <c r="E50" s="321">
        <v>1.0</v>
      </c>
      <c r="F50" s="217">
        <v>1.0</v>
      </c>
      <c r="G50" s="171"/>
      <c r="H50" s="171"/>
      <c r="I50" s="171"/>
      <c r="J50" s="171"/>
      <c r="K50" s="171"/>
      <c r="L50" s="171"/>
      <c r="M50" s="171"/>
      <c r="N50" s="213"/>
      <c r="O50" s="200"/>
      <c r="P50" s="173"/>
    </row>
    <row r="51">
      <c r="A51" s="102" t="s">
        <v>93</v>
      </c>
      <c r="B51" s="93">
        <v>609.0</v>
      </c>
      <c r="C51" s="329"/>
      <c r="D51" s="321">
        <v>2.0</v>
      </c>
      <c r="E51" s="327"/>
      <c r="F51" s="215"/>
      <c r="G51" s="171"/>
      <c r="H51" s="171"/>
      <c r="I51" s="171"/>
      <c r="J51" s="171"/>
      <c r="K51" s="171"/>
      <c r="L51" s="171"/>
      <c r="M51" s="171"/>
      <c r="N51" s="213"/>
      <c r="O51" s="200"/>
      <c r="P51" s="173"/>
    </row>
    <row r="52">
      <c r="A52" s="102" t="s">
        <v>94</v>
      </c>
      <c r="B52" s="93">
        <v>329.0</v>
      </c>
      <c r="C52" s="329"/>
      <c r="D52" s="327"/>
      <c r="E52" s="327"/>
      <c r="F52" s="215"/>
      <c r="G52" s="171"/>
      <c r="H52" s="171"/>
      <c r="I52" s="195"/>
      <c r="J52" s="171"/>
      <c r="K52" s="171"/>
      <c r="L52" s="171"/>
      <c r="M52" s="171"/>
      <c r="N52" s="186"/>
      <c r="O52" s="200"/>
      <c r="P52" s="173"/>
    </row>
    <row r="53">
      <c r="A53" s="102" t="s">
        <v>263</v>
      </c>
      <c r="B53" s="93">
        <v>199.0</v>
      </c>
      <c r="C53" s="329"/>
      <c r="D53" s="327"/>
      <c r="E53" s="327"/>
      <c r="F53" s="215"/>
      <c r="G53" s="171"/>
      <c r="H53" s="171"/>
      <c r="I53" s="171"/>
      <c r="J53" s="171"/>
      <c r="K53" s="171"/>
      <c r="L53" s="171"/>
      <c r="M53" s="171"/>
      <c r="N53" s="186"/>
      <c r="O53" s="200"/>
      <c r="P53" s="173"/>
    </row>
    <row r="54">
      <c r="A54" s="102" t="s">
        <v>264</v>
      </c>
      <c r="B54" s="93">
        <v>199.0</v>
      </c>
      <c r="C54" s="329"/>
      <c r="D54" s="327"/>
      <c r="E54" s="327"/>
      <c r="F54" s="215"/>
      <c r="G54" s="171"/>
      <c r="H54" s="171"/>
      <c r="I54" s="171"/>
      <c r="J54" s="171"/>
      <c r="K54" s="171"/>
      <c r="L54" s="171"/>
      <c r="M54" s="171"/>
      <c r="N54" s="186"/>
      <c r="O54" s="200"/>
      <c r="P54" s="173"/>
    </row>
    <row r="55">
      <c r="A55" s="67" t="s">
        <v>97</v>
      </c>
      <c r="B55" s="93">
        <v>599.0</v>
      </c>
      <c r="C55" s="329"/>
      <c r="D55" s="327"/>
      <c r="E55" s="321">
        <v>10.0</v>
      </c>
      <c r="F55" s="215"/>
      <c r="G55" s="171"/>
      <c r="H55" s="171"/>
      <c r="I55" s="171"/>
      <c r="J55" s="171"/>
      <c r="K55" s="171"/>
      <c r="L55" s="171"/>
      <c r="M55" s="171"/>
      <c r="N55" s="186"/>
      <c r="O55" s="200"/>
      <c r="P55" s="173"/>
    </row>
    <row r="56">
      <c r="A56" s="102" t="s">
        <v>98</v>
      </c>
      <c r="B56" s="93">
        <v>1499.0</v>
      </c>
      <c r="C56" s="329"/>
      <c r="D56" s="327"/>
      <c r="E56" s="327"/>
      <c r="F56" s="215"/>
      <c r="G56" s="171"/>
      <c r="H56" s="171"/>
      <c r="I56" s="171"/>
      <c r="J56" s="171"/>
      <c r="K56" s="171"/>
      <c r="L56" s="171"/>
      <c r="M56" s="171"/>
      <c r="N56" s="186"/>
      <c r="O56" s="200"/>
      <c r="P56" s="173"/>
    </row>
    <row r="57">
      <c r="A57" s="104"/>
      <c r="B57" s="99"/>
      <c r="C57" s="329"/>
      <c r="D57" s="327"/>
      <c r="E57" s="327"/>
      <c r="F57" s="215"/>
      <c r="G57" s="171"/>
      <c r="H57" s="171"/>
      <c r="I57" s="171"/>
      <c r="J57" s="171"/>
      <c r="K57" s="171"/>
      <c r="L57" s="171"/>
      <c r="M57" s="171"/>
      <c r="N57" s="186"/>
      <c r="O57" s="200"/>
      <c r="P57" s="173"/>
    </row>
    <row r="58">
      <c r="A58" s="102" t="s">
        <v>99</v>
      </c>
      <c r="B58" s="93">
        <v>329.0</v>
      </c>
      <c r="C58" s="329"/>
      <c r="D58" s="327"/>
      <c r="E58" s="327"/>
      <c r="F58" s="215"/>
      <c r="G58" s="171"/>
      <c r="H58" s="171"/>
      <c r="I58" s="195"/>
      <c r="J58" s="171"/>
      <c r="K58" s="171"/>
      <c r="L58" s="171"/>
      <c r="M58" s="171"/>
      <c r="N58" s="186"/>
      <c r="O58" s="200"/>
      <c r="P58" s="173"/>
    </row>
    <row r="59">
      <c r="A59" s="102" t="s">
        <v>100</v>
      </c>
      <c r="B59" s="93">
        <v>329.0</v>
      </c>
      <c r="C59" s="329"/>
      <c r="D59" s="327"/>
      <c r="E59" s="327"/>
      <c r="F59" s="215"/>
      <c r="G59" s="171"/>
      <c r="H59" s="171"/>
      <c r="I59" s="195"/>
      <c r="J59" s="171"/>
      <c r="K59" s="171"/>
      <c r="L59" s="171"/>
      <c r="M59" s="171"/>
      <c r="N59" s="186"/>
      <c r="O59" s="200"/>
      <c r="P59" s="173"/>
    </row>
    <row r="60">
      <c r="A60" s="102" t="s">
        <v>101</v>
      </c>
      <c r="B60" s="93">
        <v>329.0</v>
      </c>
      <c r="C60" s="329"/>
      <c r="D60" s="327"/>
      <c r="E60" s="327"/>
      <c r="F60" s="215"/>
      <c r="G60" s="171"/>
      <c r="H60" s="171"/>
      <c r="I60" s="195"/>
      <c r="J60" s="171"/>
      <c r="K60" s="171"/>
      <c r="L60" s="171"/>
      <c r="M60" s="171"/>
      <c r="N60" s="186"/>
      <c r="O60" s="200"/>
      <c r="P60" s="173"/>
    </row>
    <row r="61">
      <c r="A61" s="102" t="s">
        <v>102</v>
      </c>
      <c r="B61" s="93">
        <v>249.0</v>
      </c>
      <c r="C61" s="329"/>
      <c r="D61" s="327"/>
      <c r="E61" s="327"/>
      <c r="F61" s="215"/>
      <c r="G61" s="171"/>
      <c r="H61" s="171"/>
      <c r="I61" s="171"/>
      <c r="J61" s="171"/>
      <c r="K61" s="171"/>
      <c r="L61" s="171"/>
      <c r="M61" s="171"/>
      <c r="N61" s="186"/>
      <c r="O61" s="200"/>
      <c r="P61" s="173"/>
    </row>
    <row r="62">
      <c r="A62" s="102" t="s">
        <v>103</v>
      </c>
      <c r="B62" s="93">
        <v>439.0</v>
      </c>
      <c r="C62" s="329"/>
      <c r="D62" s="200"/>
      <c r="E62" s="327"/>
      <c r="F62" s="215"/>
      <c r="G62" s="171"/>
      <c r="H62" s="171"/>
      <c r="I62" s="171"/>
      <c r="J62" s="171"/>
      <c r="K62" s="171"/>
      <c r="L62" s="171"/>
      <c r="M62" s="171"/>
      <c r="N62" s="186"/>
      <c r="O62" s="200"/>
      <c r="P62" s="173"/>
    </row>
    <row r="63">
      <c r="A63" s="102" t="s">
        <v>104</v>
      </c>
      <c r="B63" s="93">
        <v>439.0</v>
      </c>
      <c r="C63" s="329"/>
      <c r="D63" s="327"/>
      <c r="E63" s="327"/>
      <c r="F63" s="215"/>
      <c r="G63" s="171"/>
      <c r="H63" s="171"/>
      <c r="I63" s="171"/>
      <c r="J63" s="171"/>
      <c r="K63" s="171"/>
      <c r="L63" s="171"/>
      <c r="M63" s="171"/>
      <c r="N63" s="186"/>
      <c r="O63" s="200"/>
      <c r="P63" s="173"/>
    </row>
    <row r="64">
      <c r="A64" s="102" t="s">
        <v>105</v>
      </c>
      <c r="B64" s="93">
        <v>439.0</v>
      </c>
      <c r="C64" s="329"/>
      <c r="D64" s="327"/>
      <c r="E64" s="327"/>
      <c r="F64" s="215"/>
      <c r="G64" s="171"/>
      <c r="H64" s="171"/>
      <c r="I64" s="171"/>
      <c r="J64" s="171"/>
      <c r="K64" s="171"/>
      <c r="L64" s="171"/>
      <c r="M64" s="171"/>
      <c r="N64" s="186"/>
      <c r="O64" s="200"/>
      <c r="P64" s="173"/>
    </row>
    <row r="65">
      <c r="A65" s="102" t="s">
        <v>106</v>
      </c>
      <c r="B65" s="93">
        <v>799.0</v>
      </c>
      <c r="C65" s="329"/>
      <c r="D65" s="321">
        <v>2.0</v>
      </c>
      <c r="E65" s="321">
        <v>3.0</v>
      </c>
      <c r="F65" s="215"/>
      <c r="G65" s="171"/>
      <c r="H65" s="171"/>
      <c r="I65" s="171"/>
      <c r="J65" s="171"/>
      <c r="K65" s="171"/>
      <c r="L65" s="171"/>
      <c r="M65" s="171"/>
      <c r="N65" s="186"/>
      <c r="O65" s="200"/>
      <c r="P65" s="173"/>
    </row>
    <row r="66">
      <c r="A66" s="102" t="s">
        <v>107</v>
      </c>
      <c r="B66" s="93">
        <v>799.0</v>
      </c>
      <c r="C66" s="329"/>
      <c r="D66" s="327"/>
      <c r="E66" s="321">
        <v>3.0</v>
      </c>
      <c r="F66" s="215"/>
      <c r="G66" s="171"/>
      <c r="H66" s="171"/>
      <c r="I66" s="195"/>
      <c r="J66" s="171"/>
      <c r="K66" s="171"/>
      <c r="L66" s="171"/>
      <c r="M66" s="171"/>
      <c r="N66" s="186"/>
      <c r="O66" s="200"/>
      <c r="P66" s="173"/>
    </row>
    <row r="67">
      <c r="A67" s="102" t="s">
        <v>108</v>
      </c>
      <c r="B67" s="93">
        <v>799.0</v>
      </c>
      <c r="C67" s="329"/>
      <c r="D67" s="321">
        <v>1.0</v>
      </c>
      <c r="E67" s="327"/>
      <c r="F67" s="215"/>
      <c r="G67" s="171"/>
      <c r="H67" s="171"/>
      <c r="I67" s="171"/>
      <c r="J67" s="171"/>
      <c r="K67" s="171"/>
      <c r="L67" s="171"/>
      <c r="M67" s="171"/>
      <c r="N67" s="186"/>
      <c r="O67" s="200"/>
      <c r="P67" s="173"/>
    </row>
    <row r="68" hidden="1">
      <c r="A68" s="102" t="s">
        <v>109</v>
      </c>
      <c r="B68" s="96">
        <v>1299.0</v>
      </c>
      <c r="C68" s="329"/>
      <c r="D68" s="327"/>
      <c r="E68" s="327"/>
      <c r="F68" s="215"/>
      <c r="G68" s="171"/>
      <c r="H68" s="171"/>
      <c r="I68" s="171"/>
      <c r="J68" s="171"/>
      <c r="K68" s="171"/>
      <c r="L68" s="171"/>
      <c r="M68" s="171"/>
      <c r="N68" s="186"/>
      <c r="O68" s="200"/>
      <c r="P68" s="173"/>
    </row>
    <row r="69" hidden="1">
      <c r="A69" s="102" t="s">
        <v>110</v>
      </c>
      <c r="B69" s="96">
        <v>1299.0</v>
      </c>
      <c r="C69" s="329"/>
      <c r="D69" s="327"/>
      <c r="E69" s="327"/>
      <c r="F69" s="215"/>
      <c r="G69" s="171"/>
      <c r="H69" s="171"/>
      <c r="I69" s="171"/>
      <c r="J69" s="171"/>
      <c r="K69" s="171"/>
      <c r="L69" s="171"/>
      <c r="M69" s="171"/>
      <c r="N69" s="186"/>
      <c r="O69" s="200"/>
      <c r="P69" s="173"/>
    </row>
    <row r="70" hidden="1">
      <c r="A70" s="101" t="s">
        <v>111</v>
      </c>
      <c r="B70" s="96">
        <v>1299.0</v>
      </c>
      <c r="C70" s="329"/>
      <c r="D70" s="327"/>
      <c r="E70" s="327"/>
      <c r="F70" s="215"/>
      <c r="G70" s="171"/>
      <c r="H70" s="171"/>
      <c r="I70" s="171"/>
      <c r="J70" s="171"/>
      <c r="K70" s="171"/>
      <c r="L70" s="171"/>
      <c r="M70" s="171"/>
      <c r="N70" s="186"/>
      <c r="O70" s="200"/>
      <c r="P70" s="173"/>
    </row>
    <row r="71">
      <c r="A71" s="101" t="s">
        <v>112</v>
      </c>
      <c r="B71" s="93">
        <v>609.0</v>
      </c>
      <c r="C71" s="329"/>
      <c r="D71" s="327"/>
      <c r="E71" s="327"/>
      <c r="F71" s="215"/>
      <c r="G71" s="171"/>
      <c r="H71" s="171"/>
      <c r="I71" s="171"/>
      <c r="J71" s="171"/>
      <c r="K71" s="171"/>
      <c r="L71" s="171"/>
      <c r="M71" s="171"/>
      <c r="N71" s="186"/>
      <c r="O71" s="200"/>
      <c r="P71" s="173"/>
    </row>
    <row r="72">
      <c r="A72" s="101" t="s">
        <v>113</v>
      </c>
      <c r="B72" s="187">
        <v>1599.0</v>
      </c>
      <c r="C72" s="329"/>
      <c r="D72" s="321">
        <v>1.0</v>
      </c>
      <c r="E72" s="327"/>
      <c r="F72" s="215"/>
      <c r="G72" s="171"/>
      <c r="H72" s="171"/>
      <c r="I72" s="171"/>
      <c r="J72" s="171"/>
      <c r="K72" s="171"/>
      <c r="L72" s="171"/>
      <c r="M72" s="171"/>
      <c r="N72" s="186"/>
      <c r="O72" s="200"/>
      <c r="P72" s="173"/>
    </row>
    <row r="73">
      <c r="A73" s="101" t="s">
        <v>114</v>
      </c>
      <c r="B73" s="224">
        <v>1599.0</v>
      </c>
      <c r="C73" s="329"/>
      <c r="D73" s="327"/>
      <c r="E73" s="321">
        <v>2.0</v>
      </c>
      <c r="F73" s="217">
        <v>1.0</v>
      </c>
      <c r="G73" s="171"/>
      <c r="H73" s="171"/>
      <c r="I73" s="171"/>
      <c r="J73" s="171"/>
      <c r="K73" s="171"/>
      <c r="L73" s="171"/>
      <c r="M73" s="171"/>
      <c r="N73" s="186"/>
      <c r="O73" s="200"/>
      <c r="P73" s="173"/>
    </row>
    <row r="74">
      <c r="A74" s="101" t="s">
        <v>115</v>
      </c>
      <c r="B74" s="225">
        <v>1599.0</v>
      </c>
      <c r="C74" s="329"/>
      <c r="D74" s="321">
        <v>1.0</v>
      </c>
      <c r="E74" s="327"/>
      <c r="F74" s="215"/>
      <c r="G74" s="171"/>
      <c r="H74" s="171"/>
      <c r="I74" s="171"/>
      <c r="J74" s="171"/>
      <c r="K74" s="171"/>
      <c r="L74" s="171"/>
      <c r="M74" s="171"/>
      <c r="N74" s="186"/>
      <c r="O74" s="200"/>
      <c r="P74" s="173"/>
    </row>
    <row r="75">
      <c r="A75" s="101" t="s">
        <v>116</v>
      </c>
      <c r="B75" s="108"/>
      <c r="C75" s="329"/>
      <c r="D75" s="327"/>
      <c r="E75" s="327"/>
      <c r="F75" s="116"/>
      <c r="G75" s="171"/>
      <c r="H75" s="171"/>
      <c r="I75" s="171"/>
      <c r="J75" s="171"/>
      <c r="K75" s="171"/>
      <c r="L75" s="171"/>
      <c r="M75" s="171"/>
      <c r="N75" s="186"/>
      <c r="O75" s="200"/>
      <c r="P75" s="173"/>
    </row>
    <row r="76">
      <c r="A76" s="109"/>
      <c r="B76" s="108"/>
      <c r="C76" s="329"/>
      <c r="D76" s="327"/>
      <c r="E76" s="327"/>
      <c r="F76" s="116"/>
      <c r="G76" s="171"/>
      <c r="H76" s="171"/>
      <c r="I76" s="171"/>
      <c r="J76" s="171"/>
      <c r="K76" s="171"/>
      <c r="L76" s="171"/>
      <c r="M76" s="171"/>
      <c r="N76" s="186"/>
      <c r="O76" s="200"/>
      <c r="P76" s="173"/>
    </row>
    <row r="77">
      <c r="A77" s="110" t="s">
        <v>117</v>
      </c>
      <c r="B77" s="96">
        <v>379.0</v>
      </c>
      <c r="C77" s="329"/>
      <c r="D77" s="327"/>
      <c r="E77" s="327"/>
      <c r="F77" s="116"/>
      <c r="G77" s="171"/>
      <c r="H77" s="171"/>
      <c r="I77" s="171"/>
      <c r="J77" s="171"/>
      <c r="K77" s="171"/>
      <c r="L77" s="171"/>
      <c r="M77" s="171"/>
      <c r="N77" s="186"/>
      <c r="O77" s="200"/>
      <c r="P77" s="173"/>
    </row>
    <row r="78">
      <c r="A78" s="110" t="s">
        <v>118</v>
      </c>
      <c r="B78" s="96">
        <v>799.0</v>
      </c>
      <c r="C78" s="329"/>
      <c r="D78" s="327"/>
      <c r="E78" s="327"/>
      <c r="F78" s="116"/>
      <c r="G78" s="171"/>
      <c r="H78" s="171"/>
      <c r="I78" s="171"/>
      <c r="J78" s="171"/>
      <c r="K78" s="171"/>
      <c r="L78" s="171"/>
      <c r="M78" s="171"/>
      <c r="N78" s="186"/>
      <c r="O78" s="200"/>
      <c r="P78" s="173"/>
    </row>
    <row r="79">
      <c r="A79" s="110" t="s">
        <v>119</v>
      </c>
      <c r="B79" s="96">
        <v>439.0</v>
      </c>
      <c r="C79" s="329"/>
      <c r="D79" s="327"/>
      <c r="E79" s="327"/>
      <c r="F79" s="116"/>
      <c r="G79" s="171"/>
      <c r="H79" s="171"/>
      <c r="I79" s="171"/>
      <c r="J79" s="171"/>
      <c r="K79" s="171"/>
      <c r="L79" s="171"/>
      <c r="M79" s="171"/>
      <c r="N79" s="186"/>
      <c r="O79" s="200"/>
      <c r="P79" s="173"/>
    </row>
    <row r="80">
      <c r="A80" s="110" t="s">
        <v>120</v>
      </c>
      <c r="B80" s="96">
        <v>599.0</v>
      </c>
      <c r="C80" s="329"/>
      <c r="D80" s="327"/>
      <c r="E80" s="327"/>
      <c r="F80" s="116"/>
      <c r="G80" s="171"/>
      <c r="H80" s="171"/>
      <c r="I80" s="171"/>
      <c r="J80" s="171"/>
      <c r="K80" s="171"/>
      <c r="L80" s="171"/>
      <c r="M80" s="171"/>
      <c r="N80" s="186"/>
      <c r="O80" s="200"/>
      <c r="P80" s="173"/>
    </row>
    <row r="81">
      <c r="A81" s="110" t="s">
        <v>121</v>
      </c>
      <c r="B81" s="96">
        <v>229.0</v>
      </c>
      <c r="C81" s="329"/>
      <c r="D81" s="327"/>
      <c r="E81" s="327"/>
      <c r="F81" s="116"/>
      <c r="G81" s="171"/>
      <c r="H81" s="171"/>
      <c r="I81" s="171"/>
      <c r="J81" s="195"/>
      <c r="K81" s="171"/>
      <c r="L81" s="195"/>
      <c r="M81" s="195"/>
      <c r="N81" s="186"/>
      <c r="O81" s="200"/>
      <c r="P81" s="173"/>
    </row>
    <row r="82">
      <c r="A82" s="110" t="s">
        <v>122</v>
      </c>
      <c r="B82" s="96">
        <v>219.0</v>
      </c>
      <c r="C82" s="329"/>
      <c r="D82" s="327"/>
      <c r="E82" s="327"/>
      <c r="F82" s="116"/>
      <c r="G82" s="171"/>
      <c r="H82" s="171"/>
      <c r="I82" s="171"/>
      <c r="J82" s="171"/>
      <c r="K82" s="171"/>
      <c r="L82" s="171"/>
      <c r="M82" s="171"/>
      <c r="N82" s="186"/>
      <c r="O82" s="200"/>
      <c r="P82" s="173"/>
    </row>
    <row r="83">
      <c r="A83" s="110" t="s">
        <v>123</v>
      </c>
      <c r="B83" s="96">
        <v>1299.0</v>
      </c>
      <c r="C83" s="329"/>
      <c r="D83" s="327"/>
      <c r="E83" s="327"/>
      <c r="F83" s="116"/>
      <c r="G83" s="171"/>
      <c r="H83" s="171"/>
      <c r="I83" s="171"/>
      <c r="J83" s="171"/>
      <c r="K83" s="171"/>
      <c r="L83" s="171"/>
      <c r="M83" s="171"/>
      <c r="N83" s="186"/>
      <c r="O83" s="200"/>
      <c r="P83" s="173"/>
    </row>
    <row r="84">
      <c r="A84" s="102" t="s">
        <v>124</v>
      </c>
      <c r="B84" s="96">
        <v>1299.0</v>
      </c>
      <c r="C84" s="329"/>
      <c r="D84" s="327"/>
      <c r="E84" s="327"/>
      <c r="F84" s="116"/>
      <c r="G84" s="171"/>
      <c r="H84" s="171"/>
      <c r="I84" s="171"/>
      <c r="J84" s="171"/>
      <c r="K84" s="171"/>
      <c r="L84" s="171"/>
      <c r="M84" s="171"/>
      <c r="N84" s="186"/>
      <c r="O84" s="200"/>
      <c r="P84" s="173"/>
    </row>
    <row r="85">
      <c r="A85" s="111" t="s">
        <v>125</v>
      </c>
      <c r="B85" s="96">
        <v>1299.0</v>
      </c>
      <c r="C85" s="329"/>
      <c r="D85" s="327"/>
      <c r="E85" s="327"/>
      <c r="F85" s="116"/>
      <c r="G85" s="171"/>
      <c r="H85" s="171"/>
      <c r="I85" s="171"/>
      <c r="J85" s="171"/>
      <c r="K85" s="171"/>
      <c r="L85" s="171"/>
      <c r="M85" s="171"/>
      <c r="N85" s="186"/>
      <c r="O85" s="200"/>
      <c r="P85" s="173"/>
    </row>
    <row r="86">
      <c r="A86" s="112" t="s">
        <v>126</v>
      </c>
      <c r="B86" s="96">
        <v>1299.0</v>
      </c>
      <c r="C86" s="334"/>
      <c r="D86" s="333"/>
      <c r="E86" s="333"/>
      <c r="F86" s="120"/>
      <c r="G86" s="228"/>
      <c r="H86" s="228"/>
      <c r="I86" s="228"/>
      <c r="J86" s="228"/>
      <c r="K86" s="228"/>
      <c r="L86" s="228"/>
      <c r="M86" s="228"/>
      <c r="N86" s="186"/>
      <c r="O86" s="200"/>
      <c r="P86" s="173"/>
    </row>
    <row r="87">
      <c r="A87" s="113"/>
      <c r="B87" s="114"/>
      <c r="C87" s="329"/>
      <c r="D87" s="327"/>
      <c r="E87" s="327"/>
      <c r="F87" s="116"/>
      <c r="G87" s="171"/>
      <c r="H87" s="171"/>
      <c r="I87" s="171"/>
      <c r="J87" s="171"/>
      <c r="K87" s="171"/>
      <c r="L87" s="171"/>
      <c r="M87" s="171"/>
      <c r="N87" s="186"/>
      <c r="O87" s="200"/>
      <c r="P87" s="173"/>
    </row>
    <row r="88">
      <c r="A88" s="94" t="s">
        <v>127</v>
      </c>
      <c r="B88" s="96">
        <v>679.0</v>
      </c>
      <c r="C88" s="329"/>
      <c r="D88" s="335"/>
      <c r="E88" s="335"/>
      <c r="F88" s="231"/>
      <c r="G88" s="232"/>
      <c r="H88" s="232"/>
      <c r="I88" s="232"/>
      <c r="J88" s="232"/>
      <c r="K88" s="232"/>
      <c r="L88" s="232"/>
      <c r="M88" s="232"/>
      <c r="N88" s="186"/>
      <c r="O88" s="200"/>
      <c r="P88" s="173"/>
    </row>
    <row r="89">
      <c r="A89" s="94" t="s">
        <v>128</v>
      </c>
      <c r="B89" s="96">
        <v>679.0</v>
      </c>
      <c r="C89" s="208"/>
      <c r="D89" s="335"/>
      <c r="E89" s="335"/>
      <c r="F89" s="231"/>
      <c r="G89" s="232"/>
      <c r="H89" s="232"/>
      <c r="I89" s="232"/>
      <c r="J89" s="232"/>
      <c r="K89" s="232"/>
      <c r="L89" s="232"/>
      <c r="M89" s="232"/>
      <c r="N89" s="186"/>
      <c r="O89" s="200"/>
      <c r="P89" s="173"/>
    </row>
    <row r="90">
      <c r="A90" s="94" t="s">
        <v>129</v>
      </c>
      <c r="B90" s="96">
        <v>679.0</v>
      </c>
      <c r="C90" s="208"/>
      <c r="D90" s="335"/>
      <c r="E90" s="335"/>
      <c r="F90" s="231"/>
      <c r="G90" s="232"/>
      <c r="H90" s="232"/>
      <c r="I90" s="232"/>
      <c r="J90" s="232"/>
      <c r="K90" s="232"/>
      <c r="L90" s="232"/>
      <c r="M90" s="232"/>
      <c r="N90" s="186"/>
      <c r="O90" s="200"/>
      <c r="P90" s="173"/>
    </row>
    <row r="91">
      <c r="A91" s="115"/>
      <c r="B91" s="116"/>
      <c r="C91" s="208"/>
      <c r="D91" s="335"/>
      <c r="E91" s="335"/>
      <c r="F91" s="231"/>
      <c r="G91" s="232"/>
      <c r="H91" s="232"/>
      <c r="I91" s="232"/>
      <c r="J91" s="232"/>
      <c r="K91" s="232"/>
      <c r="L91" s="232"/>
      <c r="M91" s="232"/>
      <c r="N91" s="186"/>
      <c r="O91" s="200"/>
      <c r="P91" s="173"/>
    </row>
    <row r="92">
      <c r="A92" s="94" t="s">
        <v>130</v>
      </c>
      <c r="B92" s="96">
        <v>490.0</v>
      </c>
      <c r="C92" s="208"/>
      <c r="D92" s="335"/>
      <c r="E92" s="335"/>
      <c r="F92" s="231"/>
      <c r="G92" s="232"/>
      <c r="H92" s="232"/>
      <c r="I92" s="232"/>
      <c r="J92" s="232"/>
      <c r="K92" s="232"/>
      <c r="L92" s="232"/>
      <c r="M92" s="232"/>
      <c r="N92" s="186"/>
      <c r="O92" s="200"/>
      <c r="P92" s="173"/>
    </row>
    <row r="93">
      <c r="A93" s="94" t="s">
        <v>131</v>
      </c>
      <c r="B93" s="96">
        <v>490.0</v>
      </c>
      <c r="C93" s="208"/>
      <c r="D93" s="335"/>
      <c r="E93" s="335"/>
      <c r="F93" s="231"/>
      <c r="G93" s="232"/>
      <c r="H93" s="232"/>
      <c r="I93" s="232"/>
      <c r="J93" s="232"/>
      <c r="K93" s="232"/>
      <c r="L93" s="232"/>
      <c r="M93" s="232"/>
      <c r="N93" s="186"/>
      <c r="O93" s="200"/>
      <c r="P93" s="173"/>
    </row>
    <row r="94">
      <c r="A94" s="94" t="s">
        <v>132</v>
      </c>
      <c r="B94" s="96">
        <v>450.0</v>
      </c>
      <c r="C94" s="208"/>
      <c r="D94" s="335"/>
      <c r="E94" s="335"/>
      <c r="F94" s="231"/>
      <c r="G94" s="232"/>
      <c r="H94" s="232"/>
      <c r="I94" s="232"/>
      <c r="J94" s="232"/>
      <c r="K94" s="232"/>
      <c r="L94" s="232"/>
      <c r="M94" s="232"/>
      <c r="N94" s="186"/>
      <c r="O94" s="200"/>
      <c r="P94" s="173"/>
    </row>
    <row r="95">
      <c r="A95" s="117" t="s">
        <v>265</v>
      </c>
      <c r="B95" s="118">
        <v>450.0</v>
      </c>
      <c r="C95" s="208"/>
      <c r="D95" s="335"/>
      <c r="E95" s="335"/>
      <c r="F95" s="231"/>
      <c r="G95" s="232"/>
      <c r="H95" s="232"/>
      <c r="I95" s="232"/>
      <c r="J95" s="232"/>
      <c r="K95" s="232"/>
      <c r="L95" s="232"/>
      <c r="M95" s="232"/>
      <c r="N95" s="186"/>
      <c r="O95" s="200"/>
      <c r="P95" s="173"/>
    </row>
    <row r="96">
      <c r="A96" s="234"/>
      <c r="B96" s="120"/>
      <c r="C96" s="208"/>
      <c r="D96" s="337"/>
      <c r="E96" s="337"/>
      <c r="F96" s="236"/>
      <c r="G96" s="237"/>
      <c r="H96" s="237"/>
      <c r="I96" s="237"/>
      <c r="J96" s="237"/>
      <c r="K96" s="237"/>
      <c r="L96" s="237"/>
      <c r="M96" s="237"/>
      <c r="N96" s="418"/>
      <c r="O96" s="438"/>
      <c r="P96" s="173"/>
    </row>
    <row r="97">
      <c r="A97" s="372" t="s">
        <v>134</v>
      </c>
      <c r="B97" s="118">
        <v>1054.0</v>
      </c>
      <c r="C97" s="373"/>
      <c r="D97" s="373"/>
      <c r="E97" s="373"/>
      <c r="F97" s="373"/>
      <c r="G97" s="373"/>
      <c r="H97" s="373"/>
      <c r="I97" s="113"/>
      <c r="J97" s="113"/>
      <c r="K97" s="113"/>
      <c r="L97" s="113"/>
      <c r="M97" s="440"/>
      <c r="N97" s="440"/>
      <c r="O97" s="440"/>
      <c r="P97" s="173"/>
    </row>
    <row r="98">
      <c r="A98" s="351" t="s">
        <v>135</v>
      </c>
      <c r="B98" s="124"/>
      <c r="C98" s="352"/>
      <c r="D98" s="352"/>
      <c r="E98" s="352"/>
      <c r="F98" s="352"/>
      <c r="G98" s="352"/>
      <c r="H98" s="352"/>
      <c r="I98" s="353"/>
      <c r="J98" s="353"/>
      <c r="K98" s="353"/>
      <c r="L98" s="353"/>
      <c r="M98" s="353"/>
      <c r="N98" s="353"/>
      <c r="O98" s="353"/>
      <c r="P98" s="173"/>
    </row>
    <row r="99">
      <c r="A99" s="283"/>
      <c r="B99" s="280"/>
      <c r="C99" s="275">
        <f t="shared" ref="C99:D99" si="1">sum(C8:C14)*329+sum(C15)*219+sum(C19:C21)*259+sum(C22:C24)*219+sum(C27)*799+sum(C28)*609+sum(C29:C30)*329+sum(C31:C32)*219+sum(C33)*439+sum(C35:C37)*549+sum(C38:C39)*799+sum(C40:C41)*439+sum(C43)*609+sum(C44:C45)*379+sum(C50:C51)*609+sum(C52)*329+sum(C58:C60)*329+sum(C61)*249+sum(C62:C64)*439+sum(C65:C67)*799+sum(C71)*609+sum(C72:C74)*1599+sum(C77)*379+sum(C78)*799+sum(C79)*439+sum(C80)*599+sum(C81)*229+sum(C82)*219</f>
        <v>4656</v>
      </c>
      <c r="D99" s="275">
        <f t="shared" si="1"/>
        <v>15029</v>
      </c>
      <c r="E99" s="282">
        <v>21859.0</v>
      </c>
      <c r="F99" s="275">
        <f>329*2+609*3+239*3+219*2+1599</f>
        <v>5239</v>
      </c>
      <c r="G99" s="275">
        <f t="shared" ref="G99:H99" si="2">SUM(G4:G10)*329+SUM(G11)*219+SUM(G15:G17)*239+SUM(G18:G20)*219+SUM(G23)*799+SUM(G24)*609+SUM(G25:G26)*329+SUM(G27:G28)*219+SUM(G29)*439+SUM(G30)*899+SUM(G31:G33)*549+SUM(G34:G35)*799+SUM(G36:G37)*439+SUM(G38)*60+SUM(G39)*609+SUM(G40:G41)*379+SUM(G42:G43)*1299+SUM(G46:G47)*609+SUM(G48)*329+SUM(G51)*599+SUM(G54:G56)*329+SUM(G57)*249+SUM(G58:G60)*439+SUM(G61:G63)*799+SUM(G64:G66)*1299+SUM(G67)*609+SUM(G68:G70)*1599+SUM(G71)*3059+SUM(G73)*379+SUM(G74)*799+SUM(G75)*439+SUM(G76)*599+SUM(G77)*229+SUM(G78)*219+SUM(G79:G82)*1299+SUM(G84:G86)*679+SUM(G88:G89)*490+SUM(G90:G91)*450+SUM(G93)*1054</f>
        <v>0</v>
      </c>
      <c r="H99" s="275">
        <f t="shared" si="2"/>
        <v>0</v>
      </c>
      <c r="I99" s="277"/>
      <c r="J99" s="277"/>
      <c r="K99" s="277"/>
      <c r="L99" s="277"/>
      <c r="M99" s="277"/>
      <c r="N99" s="277"/>
      <c r="O99" s="279"/>
      <c r="P99" s="277"/>
    </row>
    <row r="100">
      <c r="A100" s="72"/>
      <c r="B100" s="280"/>
      <c r="C100" s="519">
        <f t="shared" ref="C100:H100" si="3">C99*30%</f>
        <v>1396.8</v>
      </c>
      <c r="D100" s="519">
        <f t="shared" si="3"/>
        <v>4508.7</v>
      </c>
      <c r="E100" s="519">
        <f t="shared" si="3"/>
        <v>6557.7</v>
      </c>
      <c r="F100" s="519">
        <f t="shared" si="3"/>
        <v>1571.7</v>
      </c>
      <c r="G100" s="519">
        <f t="shared" si="3"/>
        <v>0</v>
      </c>
      <c r="H100" s="519">
        <f t="shared" si="3"/>
        <v>0</v>
      </c>
    </row>
    <row r="101">
      <c r="A101" s="284"/>
      <c r="B101" s="284"/>
      <c r="C101" s="522">
        <f t="shared" ref="C101:H101" si="4">C99-C100</f>
        <v>3259.2</v>
      </c>
      <c r="D101" s="522">
        <f t="shared" si="4"/>
        <v>10520.3</v>
      </c>
      <c r="E101" s="522">
        <f t="shared" si="4"/>
        <v>15301.3</v>
      </c>
      <c r="F101" s="522">
        <f t="shared" si="4"/>
        <v>3667.3</v>
      </c>
      <c r="G101" s="522">
        <f t="shared" si="4"/>
        <v>0</v>
      </c>
      <c r="H101" s="522">
        <f t="shared" si="4"/>
        <v>0</v>
      </c>
    </row>
    <row r="102">
      <c r="A102" s="284"/>
      <c r="B102" s="560" t="s">
        <v>629</v>
      </c>
      <c r="C102" s="561">
        <v>6025.0</v>
      </c>
      <c r="D102" s="561">
        <v>14889.0</v>
      </c>
      <c r="E102" s="70"/>
    </row>
    <row r="103">
      <c r="A103" s="284" t="s">
        <v>270</v>
      </c>
      <c r="C103" s="70"/>
      <c r="D103" s="70"/>
      <c r="E103" s="70"/>
    </row>
    <row r="104">
      <c r="A104" s="283"/>
      <c r="B104" s="284" t="s">
        <v>271</v>
      </c>
      <c r="C104" s="70"/>
      <c r="D104" s="70"/>
      <c r="E104" s="70"/>
    </row>
    <row r="105">
      <c r="A105" s="286" t="s">
        <v>272</v>
      </c>
      <c r="C105" s="70"/>
      <c r="D105" s="70"/>
      <c r="E105" s="70"/>
    </row>
    <row r="106">
      <c r="A106" s="286" t="s">
        <v>273</v>
      </c>
      <c r="C106" s="70"/>
      <c r="D106" s="70"/>
      <c r="E106" s="70">
        <f>14*799+609+219*4+1599*2+599*10</f>
        <v>21859</v>
      </c>
    </row>
    <row r="107">
      <c r="A107" s="287" t="s">
        <v>274</v>
      </c>
      <c r="B107" s="288"/>
      <c r="C107" s="70"/>
      <c r="D107" s="70"/>
      <c r="E107" s="70"/>
    </row>
    <row r="108">
      <c r="A108" s="291" t="s">
        <v>275</v>
      </c>
      <c r="C108" s="70"/>
      <c r="D108" s="70"/>
      <c r="E108" s="70"/>
    </row>
    <row r="109">
      <c r="A109" s="72"/>
      <c r="B109" s="280"/>
      <c r="C109" s="70"/>
      <c r="D109" s="70"/>
      <c r="E109" s="70"/>
    </row>
    <row r="110">
      <c r="A110" s="291" t="str">
        <f>AS99</f>
        <v/>
      </c>
      <c r="B110" s="243" t="s">
        <v>136</v>
      </c>
      <c r="C110" s="70"/>
      <c r="D110" s="70"/>
      <c r="E110" s="70"/>
    </row>
    <row r="111">
      <c r="A111" s="291" t="str">
        <f>BM99</f>
        <v/>
      </c>
      <c r="B111" s="243" t="s">
        <v>276</v>
      </c>
      <c r="C111" s="70"/>
      <c r="D111" s="70"/>
      <c r="E111" s="70"/>
    </row>
    <row r="112">
      <c r="A112" s="291" t="str">
        <f>DF99</f>
        <v/>
      </c>
      <c r="B112" s="243" t="s">
        <v>277</v>
      </c>
      <c r="C112" s="70"/>
      <c r="D112" s="70"/>
      <c r="E112" s="70"/>
    </row>
    <row r="113">
      <c r="A113" s="291" t="str">
        <f>ES99</f>
        <v/>
      </c>
      <c r="B113" s="243" t="s">
        <v>278</v>
      </c>
      <c r="C113" s="70"/>
      <c r="D113" s="70"/>
      <c r="E113" s="70"/>
    </row>
    <row r="114">
      <c r="A114" s="291" t="str">
        <f>GH99</f>
        <v/>
      </c>
      <c r="B114" s="243" t="s">
        <v>4</v>
      </c>
      <c r="C114" s="70"/>
      <c r="D114" s="70"/>
      <c r="E114" s="70"/>
    </row>
    <row r="115">
      <c r="A115" s="291" t="str">
        <f>HR99</f>
        <v/>
      </c>
      <c r="B115" s="243" t="s">
        <v>279</v>
      </c>
      <c r="C115" s="70"/>
      <c r="D115" s="70"/>
      <c r="E115" s="70"/>
    </row>
    <row r="116">
      <c r="A116" s="291" t="str">
        <f>JH99</f>
        <v/>
      </c>
      <c r="B116" s="243" t="s">
        <v>280</v>
      </c>
      <c r="C116" s="70"/>
      <c r="D116" s="70"/>
      <c r="E116" s="70"/>
    </row>
    <row r="117">
      <c r="A117" s="291" t="str">
        <f>LC99</f>
        <v/>
      </c>
      <c r="B117" s="243" t="s">
        <v>281</v>
      </c>
      <c r="C117" s="70"/>
      <c r="D117" s="70"/>
      <c r="E117" s="70"/>
    </row>
    <row r="118">
      <c r="A118" s="291" t="str">
        <f>MZ99</f>
        <v/>
      </c>
      <c r="B118" s="243" t="s">
        <v>282</v>
      </c>
      <c r="C118" s="70"/>
      <c r="D118" s="70"/>
      <c r="E118" s="70"/>
    </row>
    <row r="119">
      <c r="A119" s="291" t="str">
        <f>OK99</f>
        <v/>
      </c>
      <c r="B119" s="243" t="s">
        <v>283</v>
      </c>
      <c r="C119" s="70"/>
      <c r="D119" s="70"/>
      <c r="E119" s="70"/>
    </row>
    <row r="120">
      <c r="A120" s="291" t="str">
        <f>QE99</f>
        <v/>
      </c>
      <c r="B120" s="243" t="s">
        <v>284</v>
      </c>
      <c r="C120" s="70"/>
      <c r="D120" s="70"/>
      <c r="E120" s="70"/>
    </row>
    <row r="121">
      <c r="A121" s="290" t="str">
        <f>ARD100</f>
        <v/>
      </c>
      <c r="B121" s="292" t="s">
        <v>285</v>
      </c>
      <c r="C121" s="70"/>
      <c r="D121" s="70"/>
      <c r="E121" s="70"/>
    </row>
    <row r="122">
      <c r="A122" s="291">
        <f>sum(A110:A118)</f>
        <v>0</v>
      </c>
      <c r="B122" s="280"/>
      <c r="C122" s="70"/>
      <c r="D122" s="70"/>
      <c r="E122" s="70"/>
    </row>
    <row r="123">
      <c r="A123" s="72"/>
      <c r="B123" s="280"/>
      <c r="C123" s="70"/>
      <c r="D123" s="70"/>
      <c r="E123" s="70"/>
    </row>
    <row r="124">
      <c r="A124" s="72"/>
      <c r="B124" s="280"/>
      <c r="C124" s="70"/>
      <c r="D124" s="70"/>
      <c r="E124" s="70"/>
    </row>
    <row r="125">
      <c r="C125" s="70"/>
      <c r="D125" s="70"/>
      <c r="E125" s="70"/>
    </row>
    <row r="126">
      <c r="C126" s="70"/>
      <c r="D126" s="70"/>
      <c r="E126" s="70"/>
    </row>
    <row r="127">
      <c r="C127" s="70"/>
      <c r="D127" s="70"/>
      <c r="E127" s="70"/>
    </row>
    <row r="128">
      <c r="C128" s="70"/>
      <c r="D128" s="70"/>
      <c r="E128" s="70"/>
    </row>
    <row r="129">
      <c r="C129" s="70"/>
      <c r="D129" s="70"/>
      <c r="E129" s="70"/>
    </row>
    <row r="130">
      <c r="C130" s="70"/>
      <c r="D130" s="70"/>
      <c r="E130" s="70"/>
    </row>
    <row r="131">
      <c r="C131" s="70"/>
      <c r="D131" s="70"/>
      <c r="E131" s="70"/>
    </row>
    <row r="132">
      <c r="C132" s="70"/>
      <c r="D132" s="70"/>
      <c r="E132" s="70"/>
    </row>
    <row r="133">
      <c r="C133" s="70"/>
      <c r="D133" s="70"/>
      <c r="E133" s="70"/>
    </row>
    <row r="134">
      <c r="C134" s="70"/>
      <c r="D134" s="70"/>
      <c r="E134" s="70"/>
    </row>
    <row r="135">
      <c r="C135" s="70"/>
      <c r="D135" s="70"/>
      <c r="E135" s="70"/>
    </row>
    <row r="136">
      <c r="C136" s="70"/>
      <c r="D136" s="70"/>
      <c r="E136" s="70"/>
    </row>
    <row r="137">
      <c r="C137" s="70"/>
      <c r="D137" s="70"/>
      <c r="E137" s="70"/>
    </row>
    <row r="138">
      <c r="C138" s="70"/>
      <c r="D138" s="70"/>
      <c r="E138" s="70"/>
    </row>
    <row r="139">
      <c r="C139" s="70"/>
      <c r="D139" s="70"/>
      <c r="E139" s="70"/>
    </row>
    <row r="140">
      <c r="C140" s="70"/>
      <c r="D140" s="70"/>
      <c r="E140" s="70"/>
    </row>
    <row r="141">
      <c r="C141" s="70"/>
      <c r="D141" s="70"/>
      <c r="E141" s="70"/>
    </row>
    <row r="142">
      <c r="C142" s="70"/>
      <c r="D142" s="70"/>
      <c r="E142" s="70"/>
    </row>
    <row r="143">
      <c r="C143" s="70"/>
      <c r="D143" s="70"/>
      <c r="E143" s="70"/>
    </row>
    <row r="144">
      <c r="C144" s="70"/>
      <c r="D144" s="70"/>
      <c r="E144" s="70"/>
    </row>
    <row r="145">
      <c r="C145" s="70"/>
      <c r="D145" s="70"/>
      <c r="E145" s="70"/>
    </row>
    <row r="146">
      <c r="C146" s="70"/>
      <c r="D146" s="70"/>
      <c r="E146" s="70"/>
    </row>
    <row r="147">
      <c r="C147" s="70"/>
      <c r="D147" s="70"/>
      <c r="E147" s="70"/>
    </row>
    <row r="148">
      <c r="C148" s="70"/>
      <c r="D148" s="70"/>
      <c r="E148" s="70"/>
    </row>
    <row r="149">
      <c r="C149" s="70"/>
      <c r="D149" s="70"/>
      <c r="E149" s="70"/>
    </row>
    <row r="150">
      <c r="C150" s="70"/>
      <c r="D150" s="70"/>
      <c r="E150" s="70"/>
    </row>
    <row r="151">
      <c r="C151" s="70"/>
      <c r="D151" s="70"/>
      <c r="E151" s="70"/>
    </row>
    <row r="152">
      <c r="C152" s="70"/>
      <c r="D152" s="70"/>
      <c r="E152" s="70"/>
    </row>
    <row r="153">
      <c r="C153" s="70"/>
      <c r="D153" s="70"/>
      <c r="E153" s="70"/>
    </row>
    <row r="154">
      <c r="C154" s="70"/>
      <c r="D154" s="70"/>
      <c r="E154" s="70"/>
    </row>
    <row r="155">
      <c r="C155" s="70"/>
      <c r="D155" s="70"/>
      <c r="E155" s="70"/>
    </row>
    <row r="156">
      <c r="C156" s="70"/>
      <c r="D156" s="70"/>
      <c r="E156" s="70"/>
    </row>
    <row r="157">
      <c r="C157" s="70"/>
      <c r="D157" s="70"/>
      <c r="E157" s="70"/>
    </row>
    <row r="158">
      <c r="C158" s="70"/>
      <c r="D158" s="70"/>
      <c r="E158" s="70"/>
    </row>
    <row r="159">
      <c r="C159" s="70"/>
      <c r="D159" s="70"/>
      <c r="E159" s="70"/>
    </row>
    <row r="160">
      <c r="C160" s="70"/>
      <c r="D160" s="70"/>
      <c r="E160" s="70"/>
    </row>
    <row r="161">
      <c r="C161" s="70"/>
      <c r="D161" s="70"/>
      <c r="E161" s="70"/>
    </row>
    <row r="162">
      <c r="C162" s="70"/>
      <c r="D162" s="70"/>
      <c r="E162" s="70"/>
    </row>
    <row r="163">
      <c r="C163" s="70"/>
      <c r="D163" s="70"/>
      <c r="E163" s="70"/>
    </row>
    <row r="164">
      <c r="C164" s="70"/>
      <c r="D164" s="70"/>
      <c r="E164" s="70"/>
    </row>
    <row r="165">
      <c r="C165" s="70"/>
      <c r="D165" s="70"/>
      <c r="E165" s="70"/>
    </row>
    <row r="166">
      <c r="C166" s="70"/>
      <c r="D166" s="70"/>
      <c r="E166" s="70"/>
    </row>
    <row r="167">
      <c r="C167" s="70"/>
      <c r="D167" s="70"/>
      <c r="E167" s="70"/>
    </row>
    <row r="168">
      <c r="C168" s="70"/>
      <c r="D168" s="70"/>
      <c r="E168" s="70"/>
    </row>
    <row r="169">
      <c r="C169" s="70"/>
      <c r="D169" s="70"/>
      <c r="E169" s="70"/>
    </row>
    <row r="170">
      <c r="C170" s="70"/>
      <c r="D170" s="70"/>
      <c r="E170" s="70"/>
    </row>
    <row r="171">
      <c r="C171" s="70"/>
      <c r="D171" s="70"/>
      <c r="E171" s="70"/>
    </row>
    <row r="172">
      <c r="C172" s="70"/>
      <c r="D172" s="70"/>
      <c r="E172" s="70"/>
    </row>
    <row r="173">
      <c r="C173" s="70"/>
      <c r="D173" s="70"/>
      <c r="E173" s="70"/>
    </row>
    <row r="174">
      <c r="C174" s="70"/>
      <c r="D174" s="70"/>
      <c r="E174" s="70"/>
    </row>
    <row r="175">
      <c r="C175" s="70"/>
      <c r="D175" s="70"/>
      <c r="E175" s="70"/>
    </row>
    <row r="176">
      <c r="C176" s="70"/>
      <c r="D176" s="70"/>
      <c r="E176" s="70"/>
    </row>
    <row r="177">
      <c r="C177" s="70"/>
      <c r="D177" s="70"/>
      <c r="E177" s="70"/>
    </row>
    <row r="178">
      <c r="C178" s="70"/>
      <c r="D178" s="70"/>
      <c r="E178" s="70"/>
    </row>
    <row r="179">
      <c r="C179" s="70"/>
      <c r="D179" s="70"/>
      <c r="E179" s="70"/>
    </row>
    <row r="180">
      <c r="C180" s="70"/>
      <c r="D180" s="70"/>
      <c r="E180" s="70"/>
    </row>
    <row r="181">
      <c r="C181" s="70"/>
      <c r="D181" s="70"/>
      <c r="E181" s="70"/>
    </row>
    <row r="182">
      <c r="C182" s="70"/>
      <c r="D182" s="70"/>
      <c r="E182" s="70"/>
    </row>
    <row r="183">
      <c r="C183" s="70"/>
      <c r="D183" s="70"/>
      <c r="E183" s="70"/>
    </row>
    <row r="184">
      <c r="C184" s="70"/>
      <c r="D184" s="70"/>
      <c r="E184" s="70"/>
    </row>
    <row r="185">
      <c r="C185" s="70"/>
      <c r="D185" s="70"/>
      <c r="E185" s="70"/>
    </row>
    <row r="186">
      <c r="C186" s="70"/>
      <c r="D186" s="70"/>
      <c r="E186" s="70"/>
    </row>
    <row r="187">
      <c r="C187" s="70"/>
      <c r="D187" s="70"/>
      <c r="E187" s="70"/>
    </row>
    <row r="188">
      <c r="C188" s="70"/>
      <c r="D188" s="70"/>
      <c r="E188" s="70"/>
    </row>
    <row r="189">
      <c r="C189" s="70"/>
      <c r="D189" s="70"/>
      <c r="E189" s="70"/>
    </row>
    <row r="190">
      <c r="C190" s="70"/>
      <c r="D190" s="70"/>
      <c r="E190" s="70"/>
    </row>
    <row r="191">
      <c r="C191" s="70"/>
      <c r="D191" s="70"/>
      <c r="E191" s="70"/>
    </row>
    <row r="192">
      <c r="C192" s="70"/>
      <c r="D192" s="70"/>
      <c r="E192" s="70"/>
    </row>
    <row r="193">
      <c r="C193" s="70"/>
      <c r="D193" s="70"/>
      <c r="E193" s="70"/>
    </row>
    <row r="194">
      <c r="C194" s="70"/>
      <c r="D194" s="70"/>
      <c r="E194" s="70"/>
    </row>
    <row r="195">
      <c r="C195" s="70"/>
      <c r="D195" s="70"/>
      <c r="E195" s="70"/>
    </row>
    <row r="196">
      <c r="C196" s="70"/>
      <c r="D196" s="70"/>
      <c r="E196" s="70"/>
    </row>
    <row r="197">
      <c r="C197" s="70"/>
      <c r="D197" s="70"/>
      <c r="E197" s="70"/>
    </row>
    <row r="198">
      <c r="C198" s="70"/>
      <c r="D198" s="70"/>
      <c r="E198" s="70"/>
    </row>
    <row r="199">
      <c r="C199" s="70"/>
      <c r="D199" s="70"/>
      <c r="E199" s="70"/>
    </row>
    <row r="200">
      <c r="C200" s="70"/>
      <c r="D200" s="70"/>
      <c r="E200" s="70"/>
    </row>
    <row r="201">
      <c r="C201" s="70"/>
      <c r="D201" s="70"/>
      <c r="E201" s="70"/>
    </row>
    <row r="202">
      <c r="C202" s="70"/>
      <c r="D202" s="70"/>
      <c r="E202" s="70"/>
    </row>
    <row r="203">
      <c r="C203" s="70"/>
      <c r="D203" s="70"/>
      <c r="E203" s="70"/>
    </row>
    <row r="204">
      <c r="C204" s="70"/>
      <c r="D204" s="70"/>
      <c r="E204" s="70"/>
    </row>
    <row r="205">
      <c r="C205" s="70"/>
      <c r="D205" s="70"/>
      <c r="E205" s="70"/>
    </row>
    <row r="206">
      <c r="C206" s="70"/>
      <c r="D206" s="70"/>
      <c r="E206" s="70"/>
    </row>
    <row r="207">
      <c r="C207" s="70"/>
      <c r="D207" s="70"/>
      <c r="E207" s="70"/>
    </row>
    <row r="208">
      <c r="C208" s="70"/>
      <c r="D208" s="70"/>
      <c r="E208" s="70"/>
    </row>
    <row r="209">
      <c r="C209" s="70"/>
      <c r="D209" s="70"/>
      <c r="E209" s="70"/>
    </row>
    <row r="210">
      <c r="C210" s="70"/>
      <c r="D210" s="70"/>
      <c r="E210" s="70"/>
    </row>
    <row r="211">
      <c r="C211" s="70"/>
      <c r="D211" s="70"/>
      <c r="E211" s="70"/>
    </row>
    <row r="212">
      <c r="C212" s="70"/>
      <c r="D212" s="70"/>
      <c r="E212" s="70"/>
    </row>
    <row r="213">
      <c r="C213" s="70"/>
      <c r="D213" s="70"/>
      <c r="E213" s="70"/>
    </row>
    <row r="214">
      <c r="C214" s="70"/>
      <c r="D214" s="70"/>
      <c r="E214" s="70"/>
    </row>
    <row r="215">
      <c r="C215" s="70"/>
      <c r="D215" s="70"/>
      <c r="E215" s="70"/>
    </row>
    <row r="216">
      <c r="C216" s="70"/>
      <c r="D216" s="70"/>
      <c r="E216" s="70"/>
    </row>
    <row r="217">
      <c r="C217" s="70"/>
      <c r="D217" s="70"/>
      <c r="E217" s="70"/>
    </row>
    <row r="218">
      <c r="C218" s="70"/>
      <c r="D218" s="70"/>
      <c r="E218" s="70"/>
    </row>
    <row r="219">
      <c r="C219" s="70"/>
      <c r="D219" s="70"/>
      <c r="E219" s="70"/>
    </row>
    <row r="220">
      <c r="C220" s="70"/>
      <c r="D220" s="70"/>
      <c r="E220" s="70"/>
    </row>
    <row r="221">
      <c r="C221" s="70"/>
      <c r="D221" s="70"/>
      <c r="E221" s="70"/>
    </row>
    <row r="222">
      <c r="C222" s="70"/>
      <c r="D222" s="70"/>
      <c r="E222" s="70"/>
    </row>
    <row r="223">
      <c r="C223" s="70"/>
      <c r="D223" s="70"/>
      <c r="E223" s="70"/>
    </row>
    <row r="224">
      <c r="C224" s="70"/>
      <c r="D224" s="70"/>
      <c r="E224" s="70"/>
    </row>
    <row r="225">
      <c r="C225" s="70"/>
      <c r="D225" s="70"/>
      <c r="E225" s="70"/>
    </row>
    <row r="226">
      <c r="C226" s="70"/>
      <c r="D226" s="70"/>
      <c r="E226" s="70"/>
    </row>
    <row r="227">
      <c r="C227" s="70"/>
      <c r="D227" s="70"/>
      <c r="E227" s="70"/>
    </row>
    <row r="228">
      <c r="C228" s="70"/>
      <c r="D228" s="70"/>
      <c r="E228" s="70"/>
    </row>
    <row r="229">
      <c r="C229" s="70"/>
      <c r="D229" s="70"/>
      <c r="E229" s="70"/>
    </row>
    <row r="230">
      <c r="C230" s="70"/>
      <c r="D230" s="70"/>
      <c r="E230" s="70"/>
    </row>
    <row r="231">
      <c r="C231" s="70"/>
      <c r="D231" s="70"/>
      <c r="E231" s="70"/>
    </row>
    <row r="232">
      <c r="C232" s="70"/>
      <c r="D232" s="70"/>
      <c r="E232" s="70"/>
    </row>
    <row r="233">
      <c r="C233" s="70"/>
      <c r="D233" s="70"/>
      <c r="E233" s="70"/>
    </row>
    <row r="234">
      <c r="C234" s="70"/>
      <c r="D234" s="70"/>
      <c r="E234" s="70"/>
    </row>
    <row r="235">
      <c r="C235" s="70"/>
      <c r="D235" s="70"/>
      <c r="E235" s="70"/>
    </row>
    <row r="236">
      <c r="C236" s="70"/>
      <c r="D236" s="70"/>
      <c r="E236" s="70"/>
    </row>
    <row r="237">
      <c r="C237" s="70"/>
      <c r="D237" s="70"/>
      <c r="E237" s="70"/>
    </row>
    <row r="238">
      <c r="C238" s="70"/>
      <c r="D238" s="70"/>
      <c r="E238" s="70"/>
    </row>
    <row r="239">
      <c r="C239" s="70"/>
      <c r="D239" s="70"/>
      <c r="E239" s="70"/>
    </row>
    <row r="240">
      <c r="C240" s="70"/>
      <c r="D240" s="70"/>
      <c r="E240" s="70"/>
    </row>
    <row r="241">
      <c r="C241" s="70"/>
      <c r="D241" s="70"/>
      <c r="E241" s="70"/>
    </row>
    <row r="242">
      <c r="C242" s="70"/>
      <c r="D242" s="70"/>
      <c r="E242" s="70"/>
    </row>
    <row r="243">
      <c r="C243" s="70"/>
      <c r="D243" s="70"/>
      <c r="E243" s="70"/>
    </row>
    <row r="244">
      <c r="C244" s="70"/>
      <c r="D244" s="70"/>
      <c r="E244" s="70"/>
    </row>
    <row r="245">
      <c r="C245" s="70"/>
      <c r="D245" s="70"/>
      <c r="E245" s="70"/>
    </row>
    <row r="246">
      <c r="C246" s="70"/>
      <c r="D246" s="70"/>
      <c r="E246" s="70"/>
    </row>
    <row r="247">
      <c r="C247" s="70"/>
      <c r="D247" s="70"/>
      <c r="E247" s="70"/>
    </row>
    <row r="248">
      <c r="C248" s="70"/>
      <c r="D248" s="70"/>
      <c r="E248" s="70"/>
    </row>
    <row r="249">
      <c r="C249" s="70"/>
      <c r="D249" s="70"/>
      <c r="E249" s="70"/>
    </row>
    <row r="250">
      <c r="C250" s="70"/>
      <c r="D250" s="70"/>
      <c r="E250" s="70"/>
    </row>
    <row r="251">
      <c r="C251" s="70"/>
      <c r="D251" s="70"/>
      <c r="E251" s="70"/>
    </row>
    <row r="252">
      <c r="C252" s="70"/>
      <c r="D252" s="70"/>
      <c r="E252" s="70"/>
    </row>
    <row r="253">
      <c r="C253" s="70"/>
      <c r="D253" s="70"/>
      <c r="E253" s="70"/>
    </row>
    <row r="254">
      <c r="C254" s="70"/>
      <c r="D254" s="70"/>
      <c r="E254" s="70"/>
    </row>
    <row r="255">
      <c r="C255" s="70"/>
      <c r="D255" s="70"/>
      <c r="E255" s="70"/>
    </row>
    <row r="256">
      <c r="C256" s="70"/>
      <c r="D256" s="70"/>
      <c r="E256" s="70"/>
    </row>
    <row r="257">
      <c r="C257" s="70"/>
      <c r="D257" s="70"/>
      <c r="E257" s="70"/>
    </row>
    <row r="258">
      <c r="C258" s="70"/>
      <c r="D258" s="70"/>
      <c r="E258" s="70"/>
    </row>
    <row r="259">
      <c r="C259" s="70"/>
      <c r="D259" s="70"/>
      <c r="E259" s="70"/>
    </row>
    <row r="260">
      <c r="C260" s="70"/>
      <c r="D260" s="70"/>
      <c r="E260" s="70"/>
    </row>
    <row r="261">
      <c r="C261" s="70"/>
      <c r="D261" s="70"/>
      <c r="E261" s="70"/>
    </row>
    <row r="262">
      <c r="C262" s="70"/>
      <c r="D262" s="70"/>
      <c r="E262" s="70"/>
    </row>
    <row r="263">
      <c r="C263" s="70"/>
      <c r="D263" s="70"/>
      <c r="E263" s="70"/>
    </row>
    <row r="264">
      <c r="C264" s="70"/>
      <c r="D264" s="70"/>
      <c r="E264" s="70"/>
    </row>
    <row r="265">
      <c r="C265" s="70"/>
      <c r="D265" s="70"/>
      <c r="E265" s="70"/>
    </row>
    <row r="266">
      <c r="C266" s="70"/>
      <c r="D266" s="70"/>
      <c r="E266" s="70"/>
    </row>
    <row r="267">
      <c r="C267" s="70"/>
      <c r="D267" s="70"/>
      <c r="E267" s="70"/>
    </row>
    <row r="268">
      <c r="C268" s="70"/>
      <c r="D268" s="70"/>
      <c r="E268" s="70"/>
    </row>
    <row r="269">
      <c r="C269" s="70"/>
      <c r="D269" s="70"/>
      <c r="E269" s="70"/>
    </row>
    <row r="270">
      <c r="C270" s="70"/>
      <c r="D270" s="70"/>
      <c r="E270" s="70"/>
    </row>
    <row r="271">
      <c r="C271" s="70"/>
      <c r="D271" s="70"/>
      <c r="E271" s="70"/>
    </row>
    <row r="272">
      <c r="C272" s="70"/>
      <c r="D272" s="70"/>
      <c r="E272" s="70"/>
    </row>
    <row r="273">
      <c r="C273" s="70"/>
      <c r="D273" s="70"/>
      <c r="E273" s="70"/>
    </row>
    <row r="274">
      <c r="C274" s="70"/>
      <c r="D274" s="70"/>
      <c r="E274" s="70"/>
    </row>
    <row r="275">
      <c r="C275" s="70"/>
      <c r="D275" s="70"/>
      <c r="E275" s="70"/>
    </row>
    <row r="276">
      <c r="C276" s="70"/>
      <c r="D276" s="70"/>
      <c r="E276" s="70"/>
    </row>
    <row r="277">
      <c r="C277" s="70"/>
      <c r="D277" s="70"/>
      <c r="E277" s="70"/>
    </row>
    <row r="278">
      <c r="C278" s="70"/>
      <c r="D278" s="70"/>
      <c r="E278" s="70"/>
    </row>
    <row r="279">
      <c r="C279" s="70"/>
      <c r="D279" s="70"/>
      <c r="E279" s="70"/>
    </row>
    <row r="280">
      <c r="C280" s="70"/>
      <c r="D280" s="70"/>
      <c r="E280" s="70"/>
    </row>
    <row r="281">
      <c r="C281" s="70"/>
      <c r="D281" s="70"/>
      <c r="E281" s="70"/>
    </row>
    <row r="282">
      <c r="C282" s="70"/>
      <c r="D282" s="70"/>
      <c r="E282" s="70"/>
    </row>
    <row r="283">
      <c r="C283" s="70"/>
      <c r="D283" s="70"/>
      <c r="E283" s="70"/>
    </row>
    <row r="284">
      <c r="C284" s="70"/>
      <c r="D284" s="70"/>
      <c r="E284" s="70"/>
    </row>
    <row r="285">
      <c r="C285" s="70"/>
      <c r="D285" s="70"/>
      <c r="E285" s="70"/>
    </row>
    <row r="286">
      <c r="C286" s="70"/>
      <c r="D286" s="70"/>
      <c r="E286" s="70"/>
    </row>
    <row r="287">
      <c r="C287" s="70"/>
      <c r="D287" s="70"/>
      <c r="E287" s="70"/>
    </row>
    <row r="288">
      <c r="C288" s="70"/>
      <c r="D288" s="70"/>
      <c r="E288" s="70"/>
    </row>
    <row r="289">
      <c r="C289" s="70"/>
      <c r="D289" s="70"/>
      <c r="E289" s="70"/>
    </row>
    <row r="290">
      <c r="C290" s="70"/>
      <c r="D290" s="70"/>
      <c r="E290" s="70"/>
    </row>
    <row r="291">
      <c r="C291" s="70"/>
      <c r="D291" s="70"/>
      <c r="E291" s="70"/>
    </row>
    <row r="292">
      <c r="C292" s="70"/>
      <c r="D292" s="70"/>
      <c r="E292" s="70"/>
    </row>
    <row r="293">
      <c r="C293" s="70"/>
      <c r="D293" s="70"/>
      <c r="E293" s="70"/>
    </row>
    <row r="294">
      <c r="C294" s="70"/>
      <c r="D294" s="70"/>
      <c r="E294" s="70"/>
    </row>
    <row r="295">
      <c r="C295" s="70"/>
      <c r="D295" s="70"/>
      <c r="E295" s="70"/>
    </row>
    <row r="296">
      <c r="C296" s="70"/>
      <c r="D296" s="70"/>
      <c r="E296" s="70"/>
    </row>
    <row r="297">
      <c r="C297" s="70"/>
      <c r="D297" s="70"/>
      <c r="E297" s="70"/>
    </row>
    <row r="298">
      <c r="C298" s="70"/>
      <c r="D298" s="70"/>
      <c r="E298" s="70"/>
    </row>
    <row r="299">
      <c r="C299" s="70"/>
      <c r="D299" s="70"/>
      <c r="E299" s="70"/>
    </row>
    <row r="300">
      <c r="C300" s="70"/>
      <c r="D300" s="70"/>
      <c r="E300" s="70"/>
    </row>
    <row r="301">
      <c r="C301" s="70"/>
      <c r="D301" s="70"/>
      <c r="E301" s="70"/>
    </row>
    <row r="302">
      <c r="C302" s="70"/>
      <c r="D302" s="70"/>
      <c r="E302" s="70"/>
    </row>
    <row r="303">
      <c r="C303" s="70"/>
      <c r="D303" s="70"/>
      <c r="E303" s="70"/>
    </row>
    <row r="304">
      <c r="C304" s="70"/>
      <c r="D304" s="70"/>
      <c r="E304" s="70"/>
    </row>
    <row r="305">
      <c r="C305" s="70"/>
      <c r="D305" s="70"/>
      <c r="E305" s="70"/>
    </row>
    <row r="306">
      <c r="C306" s="70"/>
      <c r="D306" s="70"/>
      <c r="E306" s="70"/>
    </row>
    <row r="307">
      <c r="C307" s="70"/>
      <c r="D307" s="70"/>
      <c r="E307" s="70"/>
    </row>
    <row r="308">
      <c r="C308" s="70"/>
      <c r="D308" s="70"/>
      <c r="E308" s="70"/>
    </row>
    <row r="309">
      <c r="C309" s="70"/>
      <c r="D309" s="70"/>
      <c r="E309" s="70"/>
    </row>
    <row r="310">
      <c r="C310" s="70"/>
      <c r="D310" s="70"/>
      <c r="E310" s="70"/>
    </row>
    <row r="311">
      <c r="C311" s="70"/>
      <c r="D311" s="70"/>
      <c r="E311" s="70"/>
    </row>
    <row r="312">
      <c r="C312" s="70"/>
      <c r="D312" s="70"/>
      <c r="E312" s="70"/>
    </row>
    <row r="313">
      <c r="C313" s="70"/>
      <c r="D313" s="70"/>
      <c r="E313" s="70"/>
    </row>
    <row r="314">
      <c r="C314" s="70"/>
      <c r="D314" s="70"/>
      <c r="E314" s="70"/>
    </row>
    <row r="315">
      <c r="C315" s="70"/>
      <c r="D315" s="70"/>
      <c r="E315" s="70"/>
    </row>
    <row r="316">
      <c r="C316" s="70"/>
      <c r="D316" s="70"/>
      <c r="E316" s="70"/>
    </row>
    <row r="317">
      <c r="C317" s="70"/>
      <c r="D317" s="70"/>
      <c r="E317" s="70"/>
    </row>
    <row r="318">
      <c r="C318" s="70"/>
      <c r="D318" s="70"/>
      <c r="E318" s="70"/>
    </row>
    <row r="319">
      <c r="C319" s="70"/>
      <c r="D319" s="70"/>
      <c r="E319" s="70"/>
    </row>
    <row r="320">
      <c r="C320" s="70"/>
      <c r="D320" s="70"/>
      <c r="E320" s="70"/>
    </row>
    <row r="321">
      <c r="C321" s="70"/>
      <c r="D321" s="70"/>
      <c r="E321" s="70"/>
    </row>
    <row r="322">
      <c r="C322" s="70"/>
      <c r="D322" s="70"/>
      <c r="E322" s="70"/>
    </row>
    <row r="323">
      <c r="C323" s="70"/>
      <c r="D323" s="70"/>
      <c r="E323" s="70"/>
    </row>
    <row r="324">
      <c r="C324" s="70"/>
      <c r="D324" s="70"/>
      <c r="E324" s="70"/>
    </row>
    <row r="325">
      <c r="C325" s="70"/>
      <c r="D325" s="70"/>
      <c r="E325" s="70"/>
    </row>
    <row r="326">
      <c r="C326" s="70"/>
      <c r="D326" s="70"/>
      <c r="E326" s="70"/>
    </row>
    <row r="327">
      <c r="C327" s="70"/>
      <c r="D327" s="70"/>
      <c r="E327" s="70"/>
    </row>
    <row r="328">
      <c r="C328" s="70"/>
      <c r="D328" s="70"/>
      <c r="E328" s="70"/>
    </row>
    <row r="329">
      <c r="C329" s="70"/>
      <c r="D329" s="70"/>
      <c r="E329" s="70"/>
    </row>
    <row r="330">
      <c r="C330" s="70"/>
      <c r="D330" s="70"/>
      <c r="E330" s="70"/>
    </row>
    <row r="331">
      <c r="C331" s="70"/>
      <c r="D331" s="70"/>
      <c r="E331" s="70"/>
    </row>
    <row r="332">
      <c r="C332" s="70"/>
      <c r="D332" s="70"/>
      <c r="E332" s="70"/>
    </row>
    <row r="333">
      <c r="C333" s="70"/>
      <c r="D333" s="70"/>
      <c r="E333" s="70"/>
    </row>
    <row r="334">
      <c r="C334" s="70"/>
      <c r="D334" s="70"/>
      <c r="E334" s="70"/>
    </row>
    <row r="335">
      <c r="C335" s="70"/>
      <c r="D335" s="70"/>
      <c r="E335" s="70"/>
    </row>
    <row r="336">
      <c r="C336" s="70"/>
      <c r="D336" s="70"/>
      <c r="E336" s="70"/>
    </row>
    <row r="337">
      <c r="C337" s="70"/>
      <c r="D337" s="70"/>
      <c r="E337" s="70"/>
    </row>
    <row r="338">
      <c r="C338" s="70"/>
      <c r="D338" s="70"/>
      <c r="E338" s="70"/>
    </row>
    <row r="339">
      <c r="C339" s="70"/>
      <c r="D339" s="70"/>
      <c r="E339" s="70"/>
    </row>
    <row r="340">
      <c r="C340" s="70"/>
      <c r="D340" s="70"/>
      <c r="E340" s="70"/>
    </row>
    <row r="341">
      <c r="C341" s="70"/>
      <c r="D341" s="70"/>
      <c r="E341" s="70"/>
    </row>
    <row r="342">
      <c r="C342" s="70"/>
      <c r="D342" s="70"/>
      <c r="E342" s="70"/>
    </row>
    <row r="343">
      <c r="C343" s="70"/>
      <c r="D343" s="70"/>
      <c r="E343" s="70"/>
    </row>
    <row r="344">
      <c r="C344" s="70"/>
      <c r="D344" s="70"/>
      <c r="E344" s="70"/>
    </row>
    <row r="345">
      <c r="C345" s="70"/>
      <c r="D345" s="70"/>
      <c r="E345" s="70"/>
    </row>
    <row r="346">
      <c r="C346" s="70"/>
      <c r="D346" s="70"/>
      <c r="E346" s="70"/>
    </row>
    <row r="347">
      <c r="C347" s="70"/>
      <c r="D347" s="70"/>
      <c r="E347" s="70"/>
    </row>
    <row r="348">
      <c r="C348" s="70"/>
      <c r="D348" s="70"/>
      <c r="E348" s="70"/>
    </row>
    <row r="349">
      <c r="C349" s="70"/>
      <c r="D349" s="70"/>
      <c r="E349" s="70"/>
    </row>
    <row r="350">
      <c r="C350" s="70"/>
      <c r="D350" s="70"/>
      <c r="E350" s="70"/>
    </row>
    <row r="351">
      <c r="C351" s="70"/>
      <c r="D351" s="70"/>
      <c r="E351" s="70"/>
    </row>
    <row r="352">
      <c r="C352" s="70"/>
      <c r="D352" s="70"/>
      <c r="E352" s="70"/>
    </row>
    <row r="353">
      <c r="C353" s="70"/>
      <c r="D353" s="70"/>
      <c r="E353" s="70"/>
    </row>
    <row r="354">
      <c r="C354" s="70"/>
      <c r="D354" s="70"/>
      <c r="E354" s="70"/>
    </row>
    <row r="355">
      <c r="C355" s="70"/>
      <c r="D355" s="70"/>
      <c r="E355" s="70"/>
    </row>
    <row r="356">
      <c r="C356" s="70"/>
      <c r="D356" s="70"/>
      <c r="E356" s="70"/>
    </row>
    <row r="357">
      <c r="C357" s="70"/>
      <c r="D357" s="70"/>
      <c r="E357" s="70"/>
    </row>
    <row r="358">
      <c r="C358" s="70"/>
      <c r="D358" s="70"/>
      <c r="E358" s="70"/>
    </row>
    <row r="359">
      <c r="C359" s="70"/>
      <c r="D359" s="70"/>
      <c r="E359" s="70"/>
    </row>
    <row r="360">
      <c r="C360" s="70"/>
      <c r="D360" s="70"/>
      <c r="E360" s="70"/>
    </row>
    <row r="361">
      <c r="C361" s="70"/>
      <c r="D361" s="70"/>
      <c r="E361" s="70"/>
    </row>
    <row r="362">
      <c r="C362" s="70"/>
      <c r="D362" s="70"/>
      <c r="E362" s="70"/>
    </row>
    <row r="363">
      <c r="C363" s="70"/>
      <c r="D363" s="70"/>
      <c r="E363" s="70"/>
    </row>
    <row r="364">
      <c r="C364" s="70"/>
      <c r="D364" s="70"/>
      <c r="E364" s="70"/>
    </row>
    <row r="365">
      <c r="C365" s="70"/>
      <c r="D365" s="70"/>
      <c r="E365" s="70"/>
    </row>
    <row r="366">
      <c r="C366" s="70"/>
      <c r="D366" s="70"/>
      <c r="E366" s="70"/>
    </row>
    <row r="367">
      <c r="C367" s="70"/>
      <c r="D367" s="70"/>
      <c r="E367" s="70"/>
    </row>
    <row r="368">
      <c r="C368" s="70"/>
      <c r="D368" s="70"/>
      <c r="E368" s="70"/>
    </row>
    <row r="369">
      <c r="C369" s="70"/>
      <c r="D369" s="70"/>
      <c r="E369" s="70"/>
    </row>
    <row r="370">
      <c r="C370" s="70"/>
      <c r="D370" s="70"/>
      <c r="E370" s="70"/>
    </row>
    <row r="371">
      <c r="C371" s="70"/>
      <c r="D371" s="70"/>
      <c r="E371" s="70"/>
    </row>
    <row r="372">
      <c r="C372" s="70"/>
      <c r="D372" s="70"/>
      <c r="E372" s="70"/>
    </row>
    <row r="373">
      <c r="C373" s="70"/>
      <c r="D373" s="70"/>
      <c r="E373" s="70"/>
    </row>
    <row r="374">
      <c r="C374" s="70"/>
      <c r="D374" s="70"/>
      <c r="E374" s="70"/>
    </row>
    <row r="375">
      <c r="C375" s="70"/>
      <c r="D375" s="70"/>
      <c r="E375" s="70"/>
    </row>
    <row r="376">
      <c r="C376" s="70"/>
      <c r="D376" s="70"/>
      <c r="E376" s="70"/>
    </row>
    <row r="377">
      <c r="C377" s="70"/>
      <c r="D377" s="70"/>
      <c r="E377" s="70"/>
    </row>
    <row r="378">
      <c r="C378" s="70"/>
      <c r="D378" s="70"/>
      <c r="E378" s="70"/>
    </row>
    <row r="379">
      <c r="C379" s="70"/>
      <c r="D379" s="70"/>
      <c r="E379" s="70"/>
    </row>
    <row r="380">
      <c r="C380" s="70"/>
      <c r="D380" s="70"/>
      <c r="E380" s="70"/>
    </row>
    <row r="381">
      <c r="C381" s="70"/>
      <c r="D381" s="70"/>
      <c r="E381" s="70"/>
    </row>
    <row r="382">
      <c r="C382" s="70"/>
      <c r="D382" s="70"/>
      <c r="E382" s="70"/>
    </row>
    <row r="383">
      <c r="C383" s="70"/>
      <c r="D383" s="70"/>
      <c r="E383" s="70"/>
    </row>
    <row r="384">
      <c r="C384" s="70"/>
      <c r="D384" s="70"/>
      <c r="E384" s="70"/>
    </row>
    <row r="385">
      <c r="C385" s="70"/>
      <c r="D385" s="70"/>
      <c r="E385" s="70"/>
    </row>
    <row r="386">
      <c r="C386" s="70"/>
      <c r="D386" s="70"/>
      <c r="E386" s="70"/>
    </row>
    <row r="387">
      <c r="C387" s="70"/>
      <c r="D387" s="70"/>
      <c r="E387" s="70"/>
    </row>
    <row r="388">
      <c r="C388" s="70"/>
      <c r="D388" s="70"/>
      <c r="E388" s="70"/>
    </row>
    <row r="389">
      <c r="C389" s="70"/>
      <c r="D389" s="70"/>
      <c r="E389" s="70"/>
    </row>
    <row r="390">
      <c r="C390" s="70"/>
      <c r="D390" s="70"/>
      <c r="E390" s="70"/>
    </row>
    <row r="391">
      <c r="C391" s="70"/>
      <c r="D391" s="70"/>
      <c r="E391" s="70"/>
    </row>
    <row r="392">
      <c r="C392" s="70"/>
      <c r="D392" s="70"/>
      <c r="E392" s="70"/>
    </row>
    <row r="393">
      <c r="C393" s="70"/>
      <c r="D393" s="70"/>
      <c r="E393" s="70"/>
    </row>
    <row r="394">
      <c r="C394" s="70"/>
      <c r="D394" s="70"/>
      <c r="E394" s="70"/>
    </row>
    <row r="395">
      <c r="C395" s="70"/>
      <c r="D395" s="70"/>
      <c r="E395" s="70"/>
    </row>
    <row r="396">
      <c r="C396" s="70"/>
      <c r="D396" s="70"/>
      <c r="E396" s="70"/>
    </row>
    <row r="397">
      <c r="C397" s="70"/>
      <c r="D397" s="70"/>
      <c r="E397" s="70"/>
    </row>
    <row r="398">
      <c r="C398" s="70"/>
      <c r="D398" s="70"/>
      <c r="E398" s="70"/>
    </row>
    <row r="399">
      <c r="C399" s="70"/>
      <c r="D399" s="70"/>
      <c r="E399" s="70"/>
    </row>
    <row r="400">
      <c r="C400" s="70"/>
      <c r="D400" s="70"/>
      <c r="E400" s="70"/>
    </row>
    <row r="401">
      <c r="C401" s="70"/>
      <c r="D401" s="70"/>
      <c r="E401" s="70"/>
    </row>
    <row r="402">
      <c r="C402" s="70"/>
      <c r="D402" s="70"/>
      <c r="E402" s="70"/>
    </row>
    <row r="403">
      <c r="C403" s="70"/>
      <c r="D403" s="70"/>
      <c r="E403" s="70"/>
    </row>
    <row r="404">
      <c r="C404" s="70"/>
      <c r="D404" s="70"/>
      <c r="E404" s="70"/>
    </row>
    <row r="405">
      <c r="C405" s="70"/>
      <c r="D405" s="70"/>
      <c r="E405" s="70"/>
    </row>
    <row r="406">
      <c r="C406" s="70"/>
      <c r="D406" s="70"/>
      <c r="E406" s="70"/>
    </row>
    <row r="407">
      <c r="C407" s="70"/>
      <c r="D407" s="70"/>
      <c r="E407" s="70"/>
    </row>
    <row r="408">
      <c r="C408" s="70"/>
      <c r="D408" s="70"/>
      <c r="E408" s="70"/>
    </row>
    <row r="409">
      <c r="C409" s="70"/>
      <c r="D409" s="70"/>
      <c r="E409" s="70"/>
    </row>
    <row r="410">
      <c r="C410" s="70"/>
      <c r="D410" s="70"/>
      <c r="E410" s="70"/>
    </row>
    <row r="411">
      <c r="C411" s="70"/>
      <c r="D411" s="70"/>
      <c r="E411" s="70"/>
    </row>
    <row r="412">
      <c r="C412" s="70"/>
      <c r="D412" s="70"/>
      <c r="E412" s="70"/>
    </row>
    <row r="413">
      <c r="C413" s="70"/>
      <c r="D413" s="70"/>
      <c r="E413" s="70"/>
    </row>
    <row r="414">
      <c r="C414" s="70"/>
      <c r="D414" s="70"/>
      <c r="E414" s="70"/>
    </row>
    <row r="415">
      <c r="C415" s="70"/>
      <c r="D415" s="70"/>
      <c r="E415" s="70"/>
    </row>
    <row r="416">
      <c r="C416" s="70"/>
      <c r="D416" s="70"/>
      <c r="E416" s="70"/>
    </row>
    <row r="417">
      <c r="C417" s="70"/>
      <c r="D417" s="70"/>
      <c r="E417" s="70"/>
    </row>
    <row r="418">
      <c r="C418" s="70"/>
      <c r="D418" s="70"/>
      <c r="E418" s="70"/>
    </row>
    <row r="419">
      <c r="C419" s="70"/>
      <c r="D419" s="70"/>
      <c r="E419" s="70"/>
    </row>
    <row r="420">
      <c r="C420" s="70"/>
      <c r="D420" s="70"/>
      <c r="E420" s="70"/>
    </row>
    <row r="421">
      <c r="C421" s="70"/>
      <c r="D421" s="70"/>
      <c r="E421" s="70"/>
    </row>
    <row r="422">
      <c r="C422" s="70"/>
      <c r="D422" s="70"/>
      <c r="E422" s="70"/>
    </row>
    <row r="423">
      <c r="C423" s="70"/>
      <c r="D423" s="70"/>
      <c r="E423" s="70"/>
    </row>
    <row r="424">
      <c r="C424" s="70"/>
      <c r="D424" s="70"/>
      <c r="E424" s="70"/>
    </row>
    <row r="425">
      <c r="C425" s="70"/>
      <c r="D425" s="70"/>
      <c r="E425" s="70"/>
    </row>
    <row r="426">
      <c r="C426" s="70"/>
      <c r="D426" s="70"/>
      <c r="E426" s="70"/>
    </row>
    <row r="427">
      <c r="C427" s="70"/>
      <c r="D427" s="70"/>
      <c r="E427" s="70"/>
    </row>
    <row r="428">
      <c r="C428" s="70"/>
      <c r="D428" s="70"/>
      <c r="E428" s="70"/>
    </row>
    <row r="429">
      <c r="C429" s="70"/>
      <c r="D429" s="70"/>
      <c r="E429" s="70"/>
    </row>
    <row r="430">
      <c r="C430" s="70"/>
      <c r="D430" s="70"/>
      <c r="E430" s="70"/>
    </row>
    <row r="431">
      <c r="C431" s="70"/>
      <c r="D431" s="70"/>
      <c r="E431" s="70"/>
    </row>
    <row r="432">
      <c r="C432" s="70"/>
      <c r="D432" s="70"/>
      <c r="E432" s="70"/>
    </row>
    <row r="433">
      <c r="C433" s="70"/>
      <c r="D433" s="70"/>
      <c r="E433" s="70"/>
    </row>
    <row r="434">
      <c r="C434" s="70"/>
      <c r="D434" s="70"/>
      <c r="E434" s="70"/>
    </row>
    <row r="435">
      <c r="C435" s="70"/>
      <c r="D435" s="70"/>
      <c r="E435" s="70"/>
    </row>
    <row r="436">
      <c r="C436" s="70"/>
      <c r="D436" s="70"/>
      <c r="E436" s="70"/>
    </row>
    <row r="437">
      <c r="C437" s="70"/>
      <c r="D437" s="70"/>
      <c r="E437" s="70"/>
    </row>
    <row r="438">
      <c r="C438" s="70"/>
      <c r="D438" s="70"/>
      <c r="E438" s="70"/>
    </row>
    <row r="439">
      <c r="C439" s="70"/>
      <c r="D439" s="70"/>
      <c r="E439" s="70"/>
    </row>
    <row r="440">
      <c r="C440" s="70"/>
      <c r="D440" s="70"/>
      <c r="E440" s="70"/>
    </row>
    <row r="441">
      <c r="C441" s="70"/>
      <c r="D441" s="70"/>
      <c r="E441" s="70"/>
    </row>
    <row r="442">
      <c r="C442" s="70"/>
      <c r="D442" s="70"/>
      <c r="E442" s="70"/>
    </row>
    <row r="443">
      <c r="C443" s="70"/>
      <c r="D443" s="70"/>
      <c r="E443" s="70"/>
    </row>
    <row r="444">
      <c r="C444" s="70"/>
      <c r="D444" s="70"/>
      <c r="E444" s="70"/>
    </row>
    <row r="445">
      <c r="C445" s="70"/>
      <c r="D445" s="70"/>
      <c r="E445" s="70"/>
    </row>
    <row r="446">
      <c r="C446" s="70"/>
      <c r="D446" s="70"/>
      <c r="E446" s="70"/>
    </row>
    <row r="447">
      <c r="C447" s="70"/>
      <c r="D447" s="70"/>
      <c r="E447" s="70"/>
    </row>
    <row r="448">
      <c r="C448" s="70"/>
      <c r="D448" s="70"/>
      <c r="E448" s="70"/>
    </row>
    <row r="449">
      <c r="C449" s="70"/>
      <c r="D449" s="70"/>
      <c r="E449" s="70"/>
    </row>
    <row r="450">
      <c r="C450" s="70"/>
      <c r="D450" s="70"/>
      <c r="E450" s="70"/>
    </row>
    <row r="451">
      <c r="C451" s="70"/>
      <c r="D451" s="70"/>
      <c r="E451" s="70"/>
    </row>
    <row r="452">
      <c r="C452" s="70"/>
      <c r="D452" s="70"/>
      <c r="E452" s="70"/>
    </row>
    <row r="453">
      <c r="C453" s="70"/>
      <c r="D453" s="70"/>
      <c r="E453" s="70"/>
    </row>
    <row r="454">
      <c r="C454" s="70"/>
      <c r="D454" s="70"/>
      <c r="E454" s="70"/>
    </row>
    <row r="455">
      <c r="C455" s="70"/>
      <c r="D455" s="70"/>
      <c r="E455" s="70"/>
    </row>
    <row r="456">
      <c r="C456" s="70"/>
      <c r="D456" s="70"/>
      <c r="E456" s="70"/>
    </row>
    <row r="457">
      <c r="C457" s="70"/>
      <c r="D457" s="70"/>
      <c r="E457" s="70"/>
    </row>
    <row r="458">
      <c r="C458" s="70"/>
      <c r="D458" s="70"/>
      <c r="E458" s="70"/>
    </row>
    <row r="459">
      <c r="C459" s="70"/>
      <c r="D459" s="70"/>
      <c r="E459" s="70"/>
    </row>
    <row r="460">
      <c r="C460" s="70"/>
      <c r="D460" s="70"/>
      <c r="E460" s="70"/>
    </row>
    <row r="461">
      <c r="C461" s="70"/>
      <c r="D461" s="70"/>
      <c r="E461" s="70"/>
    </row>
    <row r="462">
      <c r="C462" s="70"/>
      <c r="D462" s="70"/>
      <c r="E462" s="70"/>
    </row>
    <row r="463">
      <c r="C463" s="70"/>
      <c r="D463" s="70"/>
      <c r="E463" s="70"/>
    </row>
    <row r="464">
      <c r="C464" s="70"/>
      <c r="D464" s="70"/>
      <c r="E464" s="70"/>
    </row>
    <row r="465">
      <c r="C465" s="70"/>
      <c r="D465" s="70"/>
      <c r="E465" s="70"/>
    </row>
    <row r="466">
      <c r="C466" s="70"/>
      <c r="D466" s="70"/>
      <c r="E466" s="70"/>
    </row>
    <row r="467">
      <c r="C467" s="70"/>
      <c r="D467" s="70"/>
      <c r="E467" s="70"/>
    </row>
    <row r="468">
      <c r="C468" s="70"/>
      <c r="D468" s="70"/>
      <c r="E468" s="70"/>
    </row>
    <row r="469">
      <c r="C469" s="70"/>
      <c r="D469" s="70"/>
      <c r="E469" s="70"/>
    </row>
    <row r="470">
      <c r="C470" s="70"/>
      <c r="D470" s="70"/>
      <c r="E470" s="70"/>
    </row>
    <row r="471">
      <c r="C471" s="70"/>
      <c r="D471" s="70"/>
      <c r="E471" s="70"/>
    </row>
    <row r="472">
      <c r="C472" s="70"/>
      <c r="D472" s="70"/>
      <c r="E472" s="70"/>
    </row>
    <row r="473">
      <c r="C473" s="70"/>
      <c r="D473" s="70"/>
      <c r="E473" s="70"/>
    </row>
    <row r="474">
      <c r="C474" s="70"/>
      <c r="D474" s="70"/>
      <c r="E474" s="70"/>
    </row>
    <row r="475">
      <c r="C475" s="70"/>
      <c r="D475" s="70"/>
      <c r="E475" s="70"/>
    </row>
    <row r="476">
      <c r="C476" s="70"/>
      <c r="D476" s="70"/>
      <c r="E476" s="70"/>
    </row>
    <row r="477">
      <c r="C477" s="70"/>
      <c r="D477" s="70"/>
      <c r="E477" s="70"/>
    </row>
    <row r="478">
      <c r="C478" s="70"/>
      <c r="D478" s="70"/>
      <c r="E478" s="70"/>
    </row>
    <row r="479">
      <c r="C479" s="70"/>
      <c r="D479" s="70"/>
      <c r="E479" s="70"/>
    </row>
    <row r="480">
      <c r="C480" s="70"/>
      <c r="D480" s="70"/>
      <c r="E480" s="70"/>
    </row>
    <row r="481">
      <c r="C481" s="70"/>
      <c r="D481" s="70"/>
      <c r="E481" s="70"/>
    </row>
    <row r="482">
      <c r="C482" s="70"/>
      <c r="D482" s="70"/>
      <c r="E482" s="70"/>
    </row>
    <row r="483">
      <c r="C483" s="70"/>
      <c r="D483" s="70"/>
      <c r="E483" s="70"/>
    </row>
    <row r="484">
      <c r="C484" s="70"/>
      <c r="D484" s="70"/>
      <c r="E484" s="70"/>
    </row>
    <row r="485">
      <c r="C485" s="70"/>
      <c r="D485" s="70"/>
      <c r="E485" s="70"/>
    </row>
    <row r="486">
      <c r="C486" s="70"/>
      <c r="D486" s="70"/>
      <c r="E486" s="70"/>
    </row>
    <row r="487">
      <c r="C487" s="70"/>
      <c r="D487" s="70"/>
      <c r="E487" s="70"/>
    </row>
    <row r="488">
      <c r="C488" s="70"/>
      <c r="D488" s="70"/>
      <c r="E488" s="70"/>
    </row>
    <row r="489">
      <c r="C489" s="70"/>
      <c r="D489" s="70"/>
      <c r="E489" s="70"/>
    </row>
    <row r="490">
      <c r="C490" s="70"/>
      <c r="D490" s="70"/>
      <c r="E490" s="70"/>
    </row>
    <row r="491">
      <c r="C491" s="70"/>
      <c r="D491" s="70"/>
      <c r="E491" s="70"/>
    </row>
    <row r="492">
      <c r="C492" s="70"/>
      <c r="D492" s="70"/>
      <c r="E492" s="70"/>
    </row>
    <row r="493">
      <c r="C493" s="70"/>
      <c r="D493" s="70"/>
      <c r="E493" s="70"/>
    </row>
    <row r="494">
      <c r="C494" s="70"/>
      <c r="D494" s="70"/>
      <c r="E494" s="70"/>
    </row>
    <row r="495">
      <c r="C495" s="70"/>
      <c r="D495" s="70"/>
      <c r="E495" s="70"/>
    </row>
    <row r="496">
      <c r="C496" s="70"/>
      <c r="D496" s="70"/>
      <c r="E496" s="70"/>
    </row>
    <row r="497">
      <c r="C497" s="70"/>
      <c r="D497" s="70"/>
      <c r="E497" s="70"/>
    </row>
    <row r="498">
      <c r="C498" s="70"/>
      <c r="D498" s="70"/>
      <c r="E498" s="70"/>
    </row>
    <row r="499">
      <c r="C499" s="70"/>
      <c r="D499" s="70"/>
      <c r="E499" s="70"/>
    </row>
    <row r="500">
      <c r="C500" s="70"/>
      <c r="D500" s="70"/>
      <c r="E500" s="70"/>
    </row>
    <row r="501">
      <c r="C501" s="70"/>
      <c r="D501" s="70"/>
      <c r="E501" s="70"/>
    </row>
    <row r="502">
      <c r="C502" s="70"/>
      <c r="D502" s="70"/>
      <c r="E502" s="70"/>
    </row>
    <row r="503">
      <c r="C503" s="70"/>
      <c r="D503" s="70"/>
      <c r="E503" s="70"/>
    </row>
    <row r="504">
      <c r="C504" s="70"/>
      <c r="D504" s="70"/>
      <c r="E504" s="70"/>
    </row>
    <row r="505">
      <c r="C505" s="70"/>
      <c r="D505" s="70"/>
      <c r="E505" s="70"/>
    </row>
    <row r="506">
      <c r="C506" s="70"/>
      <c r="D506" s="70"/>
      <c r="E506" s="70"/>
    </row>
    <row r="507">
      <c r="C507" s="70"/>
      <c r="D507" s="70"/>
      <c r="E507" s="70"/>
    </row>
    <row r="508">
      <c r="C508" s="70"/>
      <c r="D508" s="70"/>
      <c r="E508" s="70"/>
    </row>
    <row r="509">
      <c r="C509" s="70"/>
      <c r="D509" s="70"/>
      <c r="E509" s="70"/>
    </row>
    <row r="510">
      <c r="C510" s="70"/>
      <c r="D510" s="70"/>
      <c r="E510" s="70"/>
    </row>
    <row r="511">
      <c r="C511" s="70"/>
      <c r="D511" s="70"/>
      <c r="E511" s="70"/>
    </row>
    <row r="512">
      <c r="C512" s="70"/>
      <c r="D512" s="70"/>
      <c r="E512" s="70"/>
    </row>
    <row r="513">
      <c r="C513" s="70"/>
      <c r="D513" s="70"/>
      <c r="E513" s="70"/>
    </row>
    <row r="514">
      <c r="C514" s="70"/>
      <c r="D514" s="70"/>
      <c r="E514" s="70"/>
    </row>
    <row r="515">
      <c r="C515" s="70"/>
      <c r="D515" s="70"/>
      <c r="E515" s="70"/>
    </row>
    <row r="516">
      <c r="C516" s="70"/>
      <c r="D516" s="70"/>
      <c r="E516" s="70"/>
    </row>
    <row r="517">
      <c r="C517" s="70"/>
      <c r="D517" s="70"/>
      <c r="E517" s="70"/>
    </row>
    <row r="518">
      <c r="C518" s="70"/>
      <c r="D518" s="70"/>
      <c r="E518" s="70"/>
    </row>
    <row r="519">
      <c r="C519" s="70"/>
      <c r="D519" s="70"/>
      <c r="E519" s="70"/>
    </row>
    <row r="520">
      <c r="C520" s="70"/>
      <c r="D520" s="70"/>
      <c r="E520" s="70"/>
    </row>
    <row r="521">
      <c r="C521" s="70"/>
      <c r="D521" s="70"/>
      <c r="E521" s="70"/>
    </row>
    <row r="522">
      <c r="C522" s="70"/>
      <c r="D522" s="70"/>
      <c r="E522" s="70"/>
    </row>
    <row r="523">
      <c r="C523" s="70"/>
      <c r="D523" s="70"/>
      <c r="E523" s="70"/>
    </row>
    <row r="524">
      <c r="C524" s="70"/>
      <c r="D524" s="70"/>
      <c r="E524" s="70"/>
    </row>
    <row r="525">
      <c r="C525" s="70"/>
      <c r="D525" s="70"/>
      <c r="E525" s="70"/>
    </row>
    <row r="526">
      <c r="C526" s="70"/>
      <c r="D526" s="70"/>
      <c r="E526" s="70"/>
    </row>
    <row r="527">
      <c r="C527" s="70"/>
      <c r="D527" s="70"/>
      <c r="E527" s="70"/>
    </row>
    <row r="528">
      <c r="C528" s="70"/>
      <c r="D528" s="70"/>
      <c r="E528" s="70"/>
    </row>
    <row r="529">
      <c r="C529" s="70"/>
      <c r="D529" s="70"/>
      <c r="E529" s="70"/>
    </row>
    <row r="530">
      <c r="C530" s="70"/>
      <c r="D530" s="70"/>
      <c r="E530" s="70"/>
    </row>
    <row r="531">
      <c r="C531" s="70"/>
      <c r="D531" s="70"/>
      <c r="E531" s="70"/>
    </row>
    <row r="532">
      <c r="C532" s="70"/>
      <c r="D532" s="70"/>
      <c r="E532" s="70"/>
    </row>
    <row r="533">
      <c r="C533" s="70"/>
      <c r="D533" s="70"/>
      <c r="E533" s="70"/>
    </row>
    <row r="534">
      <c r="C534" s="70"/>
      <c r="D534" s="70"/>
      <c r="E534" s="70"/>
    </row>
    <row r="535">
      <c r="C535" s="70"/>
      <c r="D535" s="70"/>
      <c r="E535" s="70"/>
    </row>
    <row r="536">
      <c r="C536" s="70"/>
      <c r="D536" s="70"/>
      <c r="E536" s="70"/>
    </row>
    <row r="537">
      <c r="C537" s="70"/>
      <c r="D537" s="70"/>
      <c r="E537" s="70"/>
    </row>
    <row r="538">
      <c r="C538" s="70"/>
      <c r="D538" s="70"/>
      <c r="E538" s="70"/>
    </row>
    <row r="539">
      <c r="C539" s="70"/>
      <c r="D539" s="70"/>
      <c r="E539" s="70"/>
    </row>
    <row r="540">
      <c r="C540" s="70"/>
      <c r="D540" s="70"/>
      <c r="E540" s="70"/>
    </row>
    <row r="541">
      <c r="C541" s="70"/>
      <c r="D541" s="70"/>
      <c r="E541" s="70"/>
    </row>
    <row r="542">
      <c r="C542" s="70"/>
      <c r="D542" s="70"/>
      <c r="E542" s="70"/>
    </row>
    <row r="543">
      <c r="C543" s="70"/>
      <c r="D543" s="70"/>
      <c r="E543" s="70"/>
    </row>
    <row r="544">
      <c r="C544" s="70"/>
      <c r="D544" s="70"/>
      <c r="E544" s="70"/>
    </row>
    <row r="545">
      <c r="C545" s="70"/>
      <c r="D545" s="70"/>
      <c r="E545" s="70"/>
    </row>
    <row r="546">
      <c r="C546" s="70"/>
      <c r="D546" s="70"/>
      <c r="E546" s="70"/>
    </row>
    <row r="547">
      <c r="C547" s="70"/>
      <c r="D547" s="70"/>
      <c r="E547" s="70"/>
    </row>
    <row r="548">
      <c r="C548" s="70"/>
      <c r="D548" s="70"/>
      <c r="E548" s="70"/>
    </row>
    <row r="549">
      <c r="C549" s="70"/>
      <c r="D549" s="70"/>
      <c r="E549" s="70"/>
    </row>
    <row r="550">
      <c r="C550" s="70"/>
      <c r="D550" s="70"/>
      <c r="E550" s="70"/>
    </row>
    <row r="551">
      <c r="C551" s="70"/>
      <c r="D551" s="70"/>
      <c r="E551" s="70"/>
    </row>
    <row r="552">
      <c r="C552" s="70"/>
      <c r="D552" s="70"/>
      <c r="E552" s="70"/>
    </row>
    <row r="553">
      <c r="C553" s="70"/>
      <c r="D553" s="70"/>
      <c r="E553" s="70"/>
    </row>
    <row r="554">
      <c r="C554" s="70"/>
      <c r="D554" s="70"/>
      <c r="E554" s="70"/>
    </row>
    <row r="555">
      <c r="C555" s="70"/>
      <c r="D555" s="70"/>
      <c r="E555" s="70"/>
    </row>
    <row r="556">
      <c r="C556" s="70"/>
      <c r="D556" s="70"/>
      <c r="E556" s="70"/>
    </row>
    <row r="557">
      <c r="C557" s="70"/>
      <c r="D557" s="70"/>
      <c r="E557" s="70"/>
    </row>
    <row r="558">
      <c r="C558" s="70"/>
      <c r="D558" s="70"/>
      <c r="E558" s="70"/>
    </row>
    <row r="559">
      <c r="C559" s="70"/>
      <c r="D559" s="70"/>
      <c r="E559" s="70"/>
    </row>
    <row r="560">
      <c r="C560" s="70"/>
      <c r="D560" s="70"/>
      <c r="E560" s="70"/>
    </row>
    <row r="561">
      <c r="C561" s="70"/>
      <c r="D561" s="70"/>
      <c r="E561" s="70"/>
    </row>
    <row r="562">
      <c r="C562" s="70"/>
      <c r="D562" s="70"/>
      <c r="E562" s="70"/>
    </row>
    <row r="563">
      <c r="C563" s="70"/>
      <c r="D563" s="70"/>
      <c r="E563" s="70"/>
    </row>
    <row r="564">
      <c r="C564" s="70"/>
      <c r="D564" s="70"/>
      <c r="E564" s="70"/>
    </row>
    <row r="565">
      <c r="C565" s="70"/>
      <c r="D565" s="70"/>
      <c r="E565" s="70"/>
    </row>
    <row r="566">
      <c r="C566" s="70"/>
      <c r="D566" s="70"/>
      <c r="E566" s="70"/>
    </row>
    <row r="567">
      <c r="C567" s="70"/>
      <c r="D567" s="70"/>
      <c r="E567" s="70"/>
    </row>
    <row r="568">
      <c r="C568" s="70"/>
      <c r="D568" s="70"/>
      <c r="E568" s="70"/>
    </row>
    <row r="569">
      <c r="C569" s="70"/>
      <c r="D569" s="70"/>
      <c r="E569" s="70"/>
    </row>
    <row r="570">
      <c r="C570" s="70"/>
      <c r="D570" s="70"/>
      <c r="E570" s="70"/>
    </row>
    <row r="571">
      <c r="C571" s="70"/>
      <c r="D571" s="70"/>
      <c r="E571" s="70"/>
    </row>
    <row r="572">
      <c r="C572" s="70"/>
      <c r="D572" s="70"/>
      <c r="E572" s="70"/>
    </row>
    <row r="573">
      <c r="C573" s="70"/>
      <c r="D573" s="70"/>
      <c r="E573" s="70"/>
    </row>
    <row r="574">
      <c r="C574" s="70"/>
      <c r="D574" s="70"/>
      <c r="E574" s="70"/>
    </row>
    <row r="575">
      <c r="C575" s="70"/>
      <c r="D575" s="70"/>
      <c r="E575" s="70"/>
    </row>
    <row r="576">
      <c r="C576" s="70"/>
      <c r="D576" s="70"/>
      <c r="E576" s="70"/>
    </row>
    <row r="577">
      <c r="C577" s="70"/>
      <c r="D577" s="70"/>
      <c r="E577" s="70"/>
    </row>
    <row r="578">
      <c r="C578" s="70"/>
      <c r="D578" s="70"/>
      <c r="E578" s="70"/>
    </row>
    <row r="579">
      <c r="C579" s="70"/>
      <c r="D579" s="70"/>
      <c r="E579" s="70"/>
    </row>
    <row r="580">
      <c r="C580" s="70"/>
      <c r="D580" s="70"/>
      <c r="E580" s="70"/>
    </row>
    <row r="581">
      <c r="C581" s="70"/>
      <c r="D581" s="70"/>
      <c r="E581" s="70"/>
    </row>
    <row r="582">
      <c r="C582" s="70"/>
      <c r="D582" s="70"/>
      <c r="E582" s="70"/>
    </row>
    <row r="583">
      <c r="C583" s="70"/>
      <c r="D583" s="70"/>
      <c r="E583" s="70"/>
    </row>
    <row r="584">
      <c r="C584" s="70"/>
      <c r="D584" s="70"/>
      <c r="E584" s="70"/>
    </row>
    <row r="585">
      <c r="C585" s="70"/>
      <c r="D585" s="70"/>
      <c r="E585" s="70"/>
    </row>
    <row r="586">
      <c r="C586" s="70"/>
      <c r="D586" s="70"/>
      <c r="E586" s="70"/>
    </row>
    <row r="587">
      <c r="C587" s="70"/>
      <c r="D587" s="70"/>
      <c r="E587" s="70"/>
    </row>
    <row r="588">
      <c r="C588" s="70"/>
      <c r="D588" s="70"/>
      <c r="E588" s="70"/>
    </row>
    <row r="589">
      <c r="C589" s="70"/>
      <c r="D589" s="70"/>
      <c r="E589" s="70"/>
    </row>
    <row r="590">
      <c r="C590" s="70"/>
      <c r="D590" s="70"/>
      <c r="E590" s="70"/>
    </row>
    <row r="591">
      <c r="C591" s="70"/>
      <c r="D591" s="70"/>
      <c r="E591" s="70"/>
    </row>
    <row r="592">
      <c r="C592" s="70"/>
      <c r="D592" s="70"/>
      <c r="E592" s="70"/>
    </row>
    <row r="593">
      <c r="C593" s="70"/>
      <c r="D593" s="70"/>
      <c r="E593" s="70"/>
    </row>
    <row r="594">
      <c r="C594" s="70"/>
      <c r="D594" s="70"/>
      <c r="E594" s="70"/>
    </row>
    <row r="595">
      <c r="C595" s="70"/>
      <c r="D595" s="70"/>
      <c r="E595" s="70"/>
    </row>
    <row r="596">
      <c r="C596" s="70"/>
      <c r="D596" s="70"/>
      <c r="E596" s="70"/>
    </row>
    <row r="597">
      <c r="C597" s="70"/>
      <c r="D597" s="70"/>
      <c r="E597" s="70"/>
    </row>
    <row r="598">
      <c r="C598" s="70"/>
      <c r="D598" s="70"/>
      <c r="E598" s="70"/>
    </row>
    <row r="599">
      <c r="C599" s="70"/>
      <c r="D599" s="70"/>
      <c r="E599" s="70"/>
    </row>
    <row r="600">
      <c r="C600" s="70"/>
      <c r="D600" s="70"/>
      <c r="E600" s="70"/>
    </row>
    <row r="601">
      <c r="C601" s="70"/>
      <c r="D601" s="70"/>
      <c r="E601" s="70"/>
    </row>
    <row r="602">
      <c r="C602" s="70"/>
      <c r="D602" s="70"/>
      <c r="E602" s="70"/>
    </row>
    <row r="603">
      <c r="C603" s="70"/>
      <c r="D603" s="70"/>
      <c r="E603" s="70"/>
    </row>
    <row r="604">
      <c r="C604" s="70"/>
      <c r="D604" s="70"/>
      <c r="E604" s="70"/>
    </row>
    <row r="605">
      <c r="C605" s="70"/>
      <c r="D605" s="70"/>
      <c r="E605" s="70"/>
    </row>
    <row r="606">
      <c r="C606" s="70"/>
      <c r="D606" s="70"/>
      <c r="E606" s="70"/>
    </row>
    <row r="607">
      <c r="C607" s="70"/>
      <c r="D607" s="70"/>
      <c r="E607" s="70"/>
    </row>
    <row r="608">
      <c r="C608" s="70"/>
      <c r="D608" s="70"/>
      <c r="E608" s="70"/>
    </row>
    <row r="609">
      <c r="C609" s="70"/>
      <c r="D609" s="70"/>
      <c r="E609" s="70"/>
    </row>
    <row r="610">
      <c r="C610" s="70"/>
      <c r="D610" s="70"/>
      <c r="E610" s="70"/>
    </row>
    <row r="611">
      <c r="C611" s="70"/>
      <c r="D611" s="70"/>
      <c r="E611" s="70"/>
    </row>
    <row r="612">
      <c r="C612" s="70"/>
      <c r="D612" s="70"/>
      <c r="E612" s="70"/>
    </row>
    <row r="613">
      <c r="C613" s="70"/>
      <c r="D613" s="70"/>
      <c r="E613" s="70"/>
    </row>
    <row r="614">
      <c r="C614" s="70"/>
      <c r="D614" s="70"/>
      <c r="E614" s="70"/>
    </row>
    <row r="615">
      <c r="C615" s="70"/>
      <c r="D615" s="70"/>
      <c r="E615" s="70"/>
    </row>
    <row r="616">
      <c r="C616" s="70"/>
      <c r="D616" s="70"/>
      <c r="E616" s="70"/>
    </row>
    <row r="617">
      <c r="C617" s="70"/>
      <c r="D617" s="70"/>
      <c r="E617" s="70"/>
    </row>
    <row r="618">
      <c r="C618" s="70"/>
      <c r="D618" s="70"/>
      <c r="E618" s="70"/>
    </row>
    <row r="619">
      <c r="C619" s="70"/>
      <c r="D619" s="70"/>
      <c r="E619" s="70"/>
    </row>
    <row r="620">
      <c r="C620" s="70"/>
      <c r="D620" s="70"/>
      <c r="E620" s="70"/>
    </row>
    <row r="621">
      <c r="C621" s="70"/>
      <c r="D621" s="70"/>
      <c r="E621" s="70"/>
    </row>
    <row r="622">
      <c r="C622" s="70"/>
      <c r="D622" s="70"/>
      <c r="E622" s="70"/>
    </row>
    <row r="623">
      <c r="C623" s="70"/>
      <c r="D623" s="70"/>
      <c r="E623" s="70"/>
    </row>
    <row r="624">
      <c r="C624" s="70"/>
      <c r="D624" s="70"/>
      <c r="E624" s="70"/>
    </row>
    <row r="625">
      <c r="C625" s="70"/>
      <c r="D625" s="70"/>
      <c r="E625" s="70"/>
    </row>
    <row r="626">
      <c r="C626" s="70"/>
      <c r="D626" s="70"/>
      <c r="E626" s="70"/>
    </row>
    <row r="627">
      <c r="C627" s="70"/>
      <c r="D627" s="70"/>
      <c r="E627" s="70"/>
    </row>
    <row r="628">
      <c r="C628" s="70"/>
      <c r="D628" s="70"/>
      <c r="E628" s="70"/>
    </row>
    <row r="629">
      <c r="C629" s="70"/>
      <c r="D629" s="70"/>
      <c r="E629" s="70"/>
    </row>
    <row r="630">
      <c r="C630" s="70"/>
      <c r="D630" s="70"/>
      <c r="E630" s="70"/>
    </row>
    <row r="631">
      <c r="C631" s="70"/>
      <c r="D631" s="70"/>
      <c r="E631" s="70"/>
    </row>
    <row r="632">
      <c r="C632" s="70"/>
      <c r="D632" s="70"/>
      <c r="E632" s="70"/>
    </row>
    <row r="633">
      <c r="C633" s="70"/>
      <c r="D633" s="70"/>
      <c r="E633" s="70"/>
    </row>
    <row r="634">
      <c r="C634" s="70"/>
      <c r="D634" s="70"/>
      <c r="E634" s="70"/>
    </row>
    <row r="635">
      <c r="C635" s="70"/>
      <c r="D635" s="70"/>
      <c r="E635" s="70"/>
    </row>
    <row r="636">
      <c r="C636" s="70"/>
      <c r="D636" s="70"/>
      <c r="E636" s="70"/>
    </row>
    <row r="637">
      <c r="C637" s="70"/>
      <c r="D637" s="70"/>
      <c r="E637" s="70"/>
    </row>
    <row r="638">
      <c r="C638" s="70"/>
      <c r="D638" s="70"/>
      <c r="E638" s="70"/>
    </row>
    <row r="639">
      <c r="C639" s="70"/>
      <c r="D639" s="70"/>
      <c r="E639" s="70"/>
    </row>
    <row r="640">
      <c r="C640" s="70"/>
      <c r="D640" s="70"/>
      <c r="E640" s="70"/>
    </row>
    <row r="641">
      <c r="C641" s="70"/>
      <c r="D641" s="70"/>
      <c r="E641" s="70"/>
    </row>
    <row r="642">
      <c r="C642" s="70"/>
      <c r="D642" s="70"/>
      <c r="E642" s="70"/>
    </row>
    <row r="643">
      <c r="C643" s="70"/>
      <c r="D643" s="70"/>
      <c r="E643" s="70"/>
    </row>
    <row r="644">
      <c r="C644" s="70"/>
      <c r="D644" s="70"/>
      <c r="E644" s="70"/>
    </row>
    <row r="645">
      <c r="C645" s="70"/>
      <c r="D645" s="70"/>
      <c r="E645" s="70"/>
    </row>
    <row r="646">
      <c r="C646" s="70"/>
      <c r="D646" s="70"/>
      <c r="E646" s="70"/>
    </row>
    <row r="647">
      <c r="C647" s="70"/>
      <c r="D647" s="70"/>
      <c r="E647" s="70"/>
    </row>
    <row r="648">
      <c r="C648" s="70"/>
      <c r="D648" s="70"/>
      <c r="E648" s="70"/>
    </row>
    <row r="649">
      <c r="C649" s="70"/>
      <c r="D649" s="70"/>
      <c r="E649" s="70"/>
    </row>
    <row r="650">
      <c r="C650" s="70"/>
      <c r="D650" s="70"/>
      <c r="E650" s="70"/>
    </row>
    <row r="651">
      <c r="C651" s="70"/>
      <c r="D651" s="70"/>
      <c r="E651" s="70"/>
    </row>
    <row r="652">
      <c r="C652" s="70"/>
      <c r="D652" s="70"/>
      <c r="E652" s="70"/>
    </row>
    <row r="653">
      <c r="C653" s="70"/>
      <c r="D653" s="70"/>
      <c r="E653" s="70"/>
    </row>
    <row r="654">
      <c r="C654" s="70"/>
      <c r="D654" s="70"/>
      <c r="E654" s="70"/>
    </row>
    <row r="655">
      <c r="C655" s="70"/>
      <c r="D655" s="70"/>
      <c r="E655" s="70"/>
    </row>
    <row r="656">
      <c r="C656" s="70"/>
      <c r="D656" s="70"/>
      <c r="E656" s="70"/>
    </row>
    <row r="657">
      <c r="C657" s="70"/>
      <c r="D657" s="70"/>
      <c r="E657" s="70"/>
    </row>
    <row r="658">
      <c r="C658" s="70"/>
      <c r="D658" s="70"/>
      <c r="E658" s="70"/>
    </row>
    <row r="659">
      <c r="C659" s="70"/>
      <c r="D659" s="70"/>
      <c r="E659" s="70"/>
    </row>
    <row r="660">
      <c r="C660" s="70"/>
      <c r="D660" s="70"/>
      <c r="E660" s="70"/>
    </row>
    <row r="661">
      <c r="C661" s="70"/>
      <c r="D661" s="70"/>
      <c r="E661" s="70"/>
    </row>
    <row r="662">
      <c r="C662" s="70"/>
      <c r="D662" s="70"/>
      <c r="E662" s="70"/>
    </row>
    <row r="663">
      <c r="C663" s="70"/>
      <c r="D663" s="70"/>
      <c r="E663" s="70"/>
    </row>
    <row r="664">
      <c r="C664" s="70"/>
      <c r="D664" s="70"/>
      <c r="E664" s="70"/>
    </row>
    <row r="665">
      <c r="C665" s="70"/>
      <c r="D665" s="70"/>
      <c r="E665" s="70"/>
    </row>
    <row r="666">
      <c r="C666" s="70"/>
      <c r="D666" s="70"/>
      <c r="E666" s="70"/>
    </row>
    <row r="667">
      <c r="C667" s="70"/>
      <c r="D667" s="70"/>
      <c r="E667" s="70"/>
    </row>
    <row r="668">
      <c r="C668" s="70"/>
      <c r="D668" s="70"/>
      <c r="E668" s="70"/>
    </row>
    <row r="669">
      <c r="C669" s="70"/>
      <c r="D669" s="70"/>
      <c r="E669" s="70"/>
    </row>
    <row r="670">
      <c r="C670" s="70"/>
      <c r="D670" s="70"/>
      <c r="E670" s="70"/>
    </row>
    <row r="671">
      <c r="C671" s="70"/>
      <c r="D671" s="70"/>
      <c r="E671" s="70"/>
    </row>
    <row r="672">
      <c r="C672" s="70"/>
      <c r="D672" s="70"/>
      <c r="E672" s="70"/>
    </row>
    <row r="673">
      <c r="C673" s="70"/>
      <c r="D673" s="70"/>
      <c r="E673" s="70"/>
    </row>
    <row r="674">
      <c r="C674" s="70"/>
      <c r="D674" s="70"/>
      <c r="E674" s="70"/>
    </row>
    <row r="675">
      <c r="C675" s="70"/>
      <c r="D675" s="70"/>
      <c r="E675" s="70"/>
    </row>
    <row r="676">
      <c r="C676" s="70"/>
      <c r="D676" s="70"/>
      <c r="E676" s="70"/>
    </row>
    <row r="677">
      <c r="C677" s="70"/>
      <c r="D677" s="70"/>
      <c r="E677" s="70"/>
    </row>
    <row r="678">
      <c r="C678" s="70"/>
      <c r="D678" s="70"/>
      <c r="E678" s="70"/>
    </row>
    <row r="679">
      <c r="C679" s="70"/>
      <c r="D679" s="70"/>
      <c r="E679" s="70"/>
    </row>
    <row r="680">
      <c r="C680" s="70"/>
      <c r="D680" s="70"/>
      <c r="E680" s="70"/>
    </row>
    <row r="681">
      <c r="C681" s="70"/>
      <c r="D681" s="70"/>
      <c r="E681" s="70"/>
    </row>
    <row r="682">
      <c r="C682" s="70"/>
      <c r="D682" s="70"/>
      <c r="E682" s="70"/>
    </row>
    <row r="683">
      <c r="C683" s="70"/>
      <c r="D683" s="70"/>
      <c r="E683" s="70"/>
    </row>
    <row r="684">
      <c r="C684" s="70"/>
      <c r="D684" s="70"/>
      <c r="E684" s="70"/>
    </row>
    <row r="685">
      <c r="C685" s="70"/>
      <c r="D685" s="70"/>
      <c r="E685" s="70"/>
    </row>
    <row r="686">
      <c r="C686" s="70"/>
      <c r="D686" s="70"/>
      <c r="E686" s="70"/>
    </row>
    <row r="687">
      <c r="C687" s="70"/>
      <c r="D687" s="70"/>
      <c r="E687" s="70"/>
    </row>
    <row r="688">
      <c r="C688" s="70"/>
      <c r="D688" s="70"/>
      <c r="E688" s="70"/>
    </row>
    <row r="689">
      <c r="C689" s="70"/>
      <c r="D689" s="70"/>
      <c r="E689" s="70"/>
    </row>
    <row r="690">
      <c r="C690" s="70"/>
      <c r="D690" s="70"/>
      <c r="E690" s="70"/>
    </row>
    <row r="691">
      <c r="C691" s="70"/>
      <c r="D691" s="70"/>
      <c r="E691" s="70"/>
    </row>
    <row r="692">
      <c r="C692" s="70"/>
      <c r="D692" s="70"/>
      <c r="E692" s="70"/>
    </row>
    <row r="693">
      <c r="C693" s="70"/>
      <c r="D693" s="70"/>
      <c r="E693" s="70"/>
    </row>
    <row r="694">
      <c r="C694" s="70"/>
      <c r="D694" s="70"/>
      <c r="E694" s="70"/>
    </row>
    <row r="695">
      <c r="C695" s="70"/>
      <c r="D695" s="70"/>
      <c r="E695" s="70"/>
    </row>
    <row r="696">
      <c r="C696" s="70"/>
      <c r="D696" s="70"/>
      <c r="E696" s="70"/>
    </row>
    <row r="697">
      <c r="C697" s="70"/>
      <c r="D697" s="70"/>
      <c r="E697" s="70"/>
    </row>
    <row r="698">
      <c r="C698" s="70"/>
      <c r="D698" s="70"/>
      <c r="E698" s="70"/>
    </row>
    <row r="699">
      <c r="C699" s="70"/>
      <c r="D699" s="70"/>
      <c r="E699" s="70"/>
    </row>
    <row r="700">
      <c r="C700" s="70"/>
      <c r="D700" s="70"/>
      <c r="E700" s="70"/>
    </row>
    <row r="701">
      <c r="C701" s="70"/>
      <c r="D701" s="70"/>
      <c r="E701" s="70"/>
    </row>
    <row r="702">
      <c r="C702" s="70"/>
      <c r="D702" s="70"/>
      <c r="E702" s="70"/>
    </row>
    <row r="703">
      <c r="C703" s="70"/>
      <c r="D703" s="70"/>
      <c r="E703" s="70"/>
    </row>
    <row r="704">
      <c r="C704" s="70"/>
      <c r="D704" s="70"/>
      <c r="E704" s="70"/>
    </row>
    <row r="705">
      <c r="C705" s="70"/>
      <c r="D705" s="70"/>
      <c r="E705" s="70"/>
    </row>
    <row r="706">
      <c r="C706" s="70"/>
      <c r="D706" s="70"/>
      <c r="E706" s="70"/>
    </row>
    <row r="707">
      <c r="C707" s="70"/>
      <c r="D707" s="70"/>
      <c r="E707" s="70"/>
    </row>
    <row r="708">
      <c r="C708" s="70"/>
      <c r="D708" s="70"/>
      <c r="E708" s="70"/>
    </row>
    <row r="709">
      <c r="C709" s="70"/>
      <c r="D709" s="70"/>
      <c r="E709" s="70"/>
    </row>
    <row r="710">
      <c r="C710" s="70"/>
      <c r="D710" s="70"/>
      <c r="E710" s="70"/>
    </row>
    <row r="711">
      <c r="C711" s="70"/>
      <c r="D711" s="70"/>
      <c r="E711" s="70"/>
    </row>
    <row r="712">
      <c r="C712" s="70"/>
      <c r="D712" s="70"/>
      <c r="E712" s="70"/>
    </row>
    <row r="713">
      <c r="C713" s="70"/>
      <c r="D713" s="70"/>
      <c r="E713" s="70"/>
    </row>
    <row r="714">
      <c r="C714" s="70"/>
      <c r="D714" s="70"/>
      <c r="E714" s="70"/>
    </row>
    <row r="715">
      <c r="C715" s="70"/>
      <c r="D715" s="70"/>
      <c r="E715" s="70"/>
    </row>
    <row r="716">
      <c r="C716" s="70"/>
      <c r="D716" s="70"/>
      <c r="E716" s="70"/>
    </row>
    <row r="717">
      <c r="C717" s="70"/>
      <c r="D717" s="70"/>
      <c r="E717" s="70"/>
    </row>
    <row r="718">
      <c r="C718" s="70"/>
      <c r="D718" s="70"/>
      <c r="E718" s="70"/>
    </row>
    <row r="719">
      <c r="C719" s="70"/>
      <c r="D719" s="70"/>
      <c r="E719" s="70"/>
    </row>
    <row r="720">
      <c r="C720" s="70"/>
      <c r="D720" s="70"/>
      <c r="E720" s="70"/>
    </row>
    <row r="721">
      <c r="C721" s="70"/>
      <c r="D721" s="70"/>
      <c r="E721" s="70"/>
    </row>
    <row r="722">
      <c r="C722" s="70"/>
      <c r="D722" s="70"/>
      <c r="E722" s="70"/>
    </row>
    <row r="723">
      <c r="C723" s="70"/>
      <c r="D723" s="70"/>
      <c r="E723" s="70"/>
    </row>
    <row r="724">
      <c r="C724" s="70"/>
      <c r="D724" s="70"/>
      <c r="E724" s="70"/>
    </row>
    <row r="725">
      <c r="C725" s="70"/>
      <c r="D725" s="70"/>
      <c r="E725" s="70"/>
    </row>
    <row r="726">
      <c r="C726" s="70"/>
      <c r="D726" s="70"/>
      <c r="E726" s="70"/>
    </row>
    <row r="727">
      <c r="C727" s="70"/>
      <c r="D727" s="70"/>
      <c r="E727" s="70"/>
    </row>
    <row r="728">
      <c r="C728" s="70"/>
      <c r="D728" s="70"/>
      <c r="E728" s="70"/>
    </row>
    <row r="729">
      <c r="C729" s="70"/>
      <c r="D729" s="70"/>
      <c r="E729" s="70"/>
    </row>
    <row r="730">
      <c r="C730" s="70"/>
      <c r="D730" s="70"/>
      <c r="E730" s="70"/>
    </row>
    <row r="731">
      <c r="C731" s="70"/>
      <c r="D731" s="70"/>
      <c r="E731" s="70"/>
    </row>
    <row r="732">
      <c r="C732" s="70"/>
      <c r="D732" s="70"/>
      <c r="E732" s="70"/>
    </row>
    <row r="733">
      <c r="C733" s="70"/>
      <c r="D733" s="70"/>
      <c r="E733" s="70"/>
    </row>
    <row r="734">
      <c r="C734" s="70"/>
      <c r="D734" s="70"/>
      <c r="E734" s="70"/>
    </row>
    <row r="735">
      <c r="C735" s="70"/>
      <c r="D735" s="70"/>
      <c r="E735" s="70"/>
    </row>
    <row r="736">
      <c r="C736" s="70"/>
      <c r="D736" s="70"/>
      <c r="E736" s="70"/>
    </row>
    <row r="737">
      <c r="C737" s="70"/>
      <c r="D737" s="70"/>
      <c r="E737" s="70"/>
    </row>
    <row r="738">
      <c r="C738" s="70"/>
      <c r="D738" s="70"/>
      <c r="E738" s="70"/>
    </row>
    <row r="739">
      <c r="C739" s="70"/>
      <c r="D739" s="70"/>
      <c r="E739" s="70"/>
    </row>
    <row r="740">
      <c r="C740" s="70"/>
      <c r="D740" s="70"/>
      <c r="E740" s="70"/>
    </row>
    <row r="741">
      <c r="C741" s="70"/>
      <c r="D741" s="70"/>
      <c r="E741" s="70"/>
    </row>
    <row r="742">
      <c r="C742" s="70"/>
      <c r="D742" s="70"/>
      <c r="E742" s="70"/>
    </row>
    <row r="743">
      <c r="C743" s="70"/>
      <c r="D743" s="70"/>
      <c r="E743" s="70"/>
    </row>
    <row r="744">
      <c r="C744" s="70"/>
      <c r="D744" s="70"/>
      <c r="E744" s="70"/>
    </row>
    <row r="745">
      <c r="C745" s="70"/>
      <c r="D745" s="70"/>
      <c r="E745" s="70"/>
    </row>
    <row r="746">
      <c r="C746" s="70"/>
      <c r="D746" s="70"/>
      <c r="E746" s="70"/>
    </row>
    <row r="747">
      <c r="C747" s="70"/>
      <c r="D747" s="70"/>
      <c r="E747" s="70"/>
    </row>
    <row r="748">
      <c r="C748" s="70"/>
      <c r="D748" s="70"/>
      <c r="E748" s="70"/>
    </row>
    <row r="749">
      <c r="C749" s="70"/>
      <c r="D749" s="70"/>
      <c r="E749" s="70"/>
    </row>
    <row r="750">
      <c r="C750" s="70"/>
      <c r="D750" s="70"/>
      <c r="E750" s="70"/>
    </row>
    <row r="751">
      <c r="C751" s="70"/>
      <c r="D751" s="70"/>
      <c r="E751" s="70"/>
    </row>
    <row r="752">
      <c r="C752" s="70"/>
      <c r="D752" s="70"/>
      <c r="E752" s="70"/>
    </row>
    <row r="753">
      <c r="C753" s="70"/>
      <c r="D753" s="70"/>
      <c r="E753" s="70"/>
    </row>
    <row r="754">
      <c r="C754" s="70"/>
      <c r="D754" s="70"/>
      <c r="E754" s="70"/>
    </row>
    <row r="755">
      <c r="C755" s="70"/>
      <c r="D755" s="70"/>
      <c r="E755" s="70"/>
    </row>
    <row r="756">
      <c r="C756" s="70"/>
      <c r="D756" s="70"/>
      <c r="E756" s="70"/>
    </row>
    <row r="757">
      <c r="C757" s="70"/>
      <c r="D757" s="70"/>
      <c r="E757" s="70"/>
    </row>
    <row r="758">
      <c r="C758" s="70"/>
      <c r="D758" s="70"/>
      <c r="E758" s="70"/>
    </row>
    <row r="759">
      <c r="C759" s="70"/>
      <c r="D759" s="70"/>
      <c r="E759" s="70"/>
    </row>
    <row r="760">
      <c r="C760" s="70"/>
      <c r="D760" s="70"/>
      <c r="E760" s="70"/>
    </row>
    <row r="761">
      <c r="C761" s="70"/>
      <c r="D761" s="70"/>
      <c r="E761" s="70"/>
    </row>
    <row r="762">
      <c r="C762" s="70"/>
      <c r="D762" s="70"/>
      <c r="E762" s="70"/>
    </row>
    <row r="763">
      <c r="C763" s="70"/>
      <c r="D763" s="70"/>
      <c r="E763" s="70"/>
    </row>
    <row r="764">
      <c r="C764" s="70"/>
      <c r="D764" s="70"/>
      <c r="E764" s="70"/>
    </row>
    <row r="765">
      <c r="C765" s="70"/>
      <c r="D765" s="70"/>
      <c r="E765" s="70"/>
    </row>
    <row r="766">
      <c r="C766" s="70"/>
      <c r="D766" s="70"/>
      <c r="E766" s="70"/>
    </row>
    <row r="767">
      <c r="C767" s="70"/>
      <c r="D767" s="70"/>
      <c r="E767" s="70"/>
    </row>
    <row r="768">
      <c r="C768" s="70"/>
      <c r="D768" s="70"/>
      <c r="E768" s="70"/>
    </row>
    <row r="769">
      <c r="C769" s="70"/>
      <c r="D769" s="70"/>
      <c r="E769" s="70"/>
    </row>
    <row r="770">
      <c r="C770" s="70"/>
      <c r="D770" s="70"/>
      <c r="E770" s="70"/>
    </row>
    <row r="771">
      <c r="C771" s="70"/>
      <c r="D771" s="70"/>
      <c r="E771" s="70"/>
    </row>
    <row r="772">
      <c r="C772" s="70"/>
      <c r="D772" s="70"/>
      <c r="E772" s="70"/>
    </row>
    <row r="773">
      <c r="C773" s="70"/>
      <c r="D773" s="70"/>
      <c r="E773" s="70"/>
    </row>
    <row r="774">
      <c r="C774" s="70"/>
      <c r="D774" s="70"/>
      <c r="E774" s="70"/>
    </row>
    <row r="775">
      <c r="C775" s="70"/>
      <c r="D775" s="70"/>
      <c r="E775" s="70"/>
    </row>
    <row r="776">
      <c r="C776" s="70"/>
      <c r="D776" s="70"/>
      <c r="E776" s="70"/>
    </row>
    <row r="777">
      <c r="C777" s="70"/>
      <c r="D777" s="70"/>
      <c r="E777" s="70"/>
    </row>
    <row r="778">
      <c r="C778" s="70"/>
      <c r="D778" s="70"/>
      <c r="E778" s="70"/>
    </row>
    <row r="779">
      <c r="C779" s="70"/>
      <c r="D779" s="70"/>
      <c r="E779" s="70"/>
    </row>
    <row r="780">
      <c r="C780" s="70"/>
      <c r="D780" s="70"/>
      <c r="E780" s="70"/>
    </row>
    <row r="781">
      <c r="C781" s="70"/>
      <c r="D781" s="70"/>
      <c r="E781" s="70"/>
    </row>
    <row r="782">
      <c r="C782" s="70"/>
      <c r="D782" s="70"/>
      <c r="E782" s="70"/>
    </row>
    <row r="783">
      <c r="C783" s="70"/>
      <c r="D783" s="70"/>
      <c r="E783" s="70"/>
    </row>
    <row r="784">
      <c r="C784" s="70"/>
      <c r="D784" s="70"/>
      <c r="E784" s="70"/>
    </row>
    <row r="785">
      <c r="C785" s="70"/>
      <c r="D785" s="70"/>
      <c r="E785" s="70"/>
    </row>
    <row r="786">
      <c r="C786" s="70"/>
      <c r="D786" s="70"/>
      <c r="E786" s="70"/>
    </row>
    <row r="787">
      <c r="C787" s="70"/>
      <c r="D787" s="70"/>
      <c r="E787" s="70"/>
    </row>
    <row r="788">
      <c r="C788" s="70"/>
      <c r="D788" s="70"/>
      <c r="E788" s="70"/>
    </row>
    <row r="789">
      <c r="C789" s="70"/>
      <c r="D789" s="70"/>
      <c r="E789" s="70"/>
    </row>
    <row r="790">
      <c r="C790" s="70"/>
      <c r="D790" s="70"/>
      <c r="E790" s="70"/>
    </row>
    <row r="791">
      <c r="C791" s="70"/>
      <c r="D791" s="70"/>
      <c r="E791" s="70"/>
    </row>
    <row r="792">
      <c r="C792" s="70"/>
      <c r="D792" s="70"/>
      <c r="E792" s="70"/>
    </row>
    <row r="793">
      <c r="C793" s="70"/>
      <c r="D793" s="70"/>
      <c r="E793" s="70"/>
    </row>
    <row r="794">
      <c r="C794" s="70"/>
      <c r="D794" s="70"/>
      <c r="E794" s="70"/>
    </row>
    <row r="795">
      <c r="C795" s="70"/>
      <c r="D795" s="70"/>
      <c r="E795" s="70"/>
    </row>
    <row r="796">
      <c r="C796" s="70"/>
      <c r="D796" s="70"/>
      <c r="E796" s="70"/>
    </row>
    <row r="797">
      <c r="C797" s="70"/>
      <c r="D797" s="70"/>
      <c r="E797" s="70"/>
    </row>
    <row r="798">
      <c r="C798" s="70"/>
      <c r="D798" s="70"/>
      <c r="E798" s="70"/>
    </row>
    <row r="799">
      <c r="C799" s="70"/>
      <c r="D799" s="70"/>
      <c r="E799" s="70"/>
    </row>
    <row r="800">
      <c r="C800" s="70"/>
      <c r="D800" s="70"/>
      <c r="E800" s="70"/>
    </row>
    <row r="801">
      <c r="C801" s="70"/>
      <c r="D801" s="70"/>
      <c r="E801" s="70"/>
    </row>
    <row r="802">
      <c r="C802" s="70"/>
      <c r="D802" s="70"/>
      <c r="E802" s="70"/>
    </row>
    <row r="803">
      <c r="C803" s="70"/>
      <c r="D803" s="70"/>
      <c r="E803" s="70"/>
    </row>
    <row r="804">
      <c r="C804" s="70"/>
      <c r="D804" s="70"/>
      <c r="E804" s="70"/>
    </row>
    <row r="805">
      <c r="C805" s="70"/>
      <c r="D805" s="70"/>
      <c r="E805" s="70"/>
    </row>
    <row r="806">
      <c r="C806" s="70"/>
      <c r="D806" s="70"/>
      <c r="E806" s="70"/>
    </row>
    <row r="807">
      <c r="C807" s="70"/>
      <c r="D807" s="70"/>
      <c r="E807" s="70"/>
    </row>
    <row r="808">
      <c r="C808" s="70"/>
      <c r="D808" s="70"/>
      <c r="E808" s="70"/>
    </row>
    <row r="809">
      <c r="C809" s="70"/>
      <c r="D809" s="70"/>
      <c r="E809" s="70"/>
    </row>
    <row r="810">
      <c r="C810" s="70"/>
      <c r="D810" s="70"/>
      <c r="E810" s="70"/>
    </row>
    <row r="811">
      <c r="C811" s="70"/>
      <c r="D811" s="70"/>
      <c r="E811" s="70"/>
    </row>
    <row r="812">
      <c r="C812" s="70"/>
      <c r="D812" s="70"/>
      <c r="E812" s="70"/>
    </row>
    <row r="813">
      <c r="C813" s="70"/>
      <c r="D813" s="70"/>
      <c r="E813" s="70"/>
    </row>
    <row r="814">
      <c r="C814" s="70"/>
      <c r="D814" s="70"/>
      <c r="E814" s="70"/>
    </row>
    <row r="815">
      <c r="C815" s="70"/>
      <c r="D815" s="70"/>
      <c r="E815" s="70"/>
    </row>
    <row r="816">
      <c r="C816" s="70"/>
      <c r="D816" s="70"/>
      <c r="E816" s="70"/>
    </row>
    <row r="817">
      <c r="C817" s="70"/>
      <c r="D817" s="70"/>
      <c r="E817" s="70"/>
    </row>
    <row r="818">
      <c r="C818" s="70"/>
      <c r="D818" s="70"/>
      <c r="E818" s="70"/>
    </row>
    <row r="819">
      <c r="C819" s="70"/>
      <c r="D819" s="70"/>
      <c r="E819" s="70"/>
    </row>
    <row r="820">
      <c r="C820" s="70"/>
      <c r="D820" s="70"/>
      <c r="E820" s="70"/>
    </row>
    <row r="821">
      <c r="C821" s="70"/>
      <c r="D821" s="70"/>
      <c r="E821" s="70"/>
    </row>
    <row r="822">
      <c r="C822" s="70"/>
      <c r="D822" s="70"/>
      <c r="E822" s="70"/>
    </row>
    <row r="823">
      <c r="C823" s="70"/>
      <c r="D823" s="70"/>
      <c r="E823" s="70"/>
    </row>
    <row r="824">
      <c r="C824" s="70"/>
      <c r="D824" s="70"/>
      <c r="E824" s="70"/>
    </row>
    <row r="825">
      <c r="C825" s="70"/>
      <c r="D825" s="70"/>
      <c r="E825" s="70"/>
    </row>
    <row r="826">
      <c r="C826" s="70"/>
      <c r="D826" s="70"/>
      <c r="E826" s="70"/>
    </row>
    <row r="827">
      <c r="C827" s="70"/>
      <c r="D827" s="70"/>
      <c r="E827" s="70"/>
    </row>
    <row r="828">
      <c r="C828" s="70"/>
      <c r="D828" s="70"/>
      <c r="E828" s="70"/>
    </row>
    <row r="829">
      <c r="C829" s="70"/>
      <c r="D829" s="70"/>
      <c r="E829" s="70"/>
    </row>
    <row r="830">
      <c r="C830" s="70"/>
      <c r="D830" s="70"/>
      <c r="E830" s="70"/>
    </row>
    <row r="831">
      <c r="C831" s="70"/>
      <c r="D831" s="70"/>
      <c r="E831" s="70"/>
    </row>
    <row r="832">
      <c r="C832" s="70"/>
      <c r="D832" s="70"/>
      <c r="E832" s="70"/>
    </row>
    <row r="833">
      <c r="C833" s="70"/>
      <c r="D833" s="70"/>
      <c r="E833" s="70"/>
    </row>
    <row r="834">
      <c r="C834" s="70"/>
      <c r="D834" s="70"/>
      <c r="E834" s="70"/>
    </row>
    <row r="835">
      <c r="C835" s="70"/>
      <c r="D835" s="70"/>
      <c r="E835" s="70"/>
    </row>
    <row r="836">
      <c r="C836" s="70"/>
      <c r="D836" s="70"/>
      <c r="E836" s="70"/>
    </row>
    <row r="837">
      <c r="C837" s="70"/>
      <c r="D837" s="70"/>
      <c r="E837" s="70"/>
    </row>
    <row r="838">
      <c r="C838" s="70"/>
      <c r="D838" s="70"/>
      <c r="E838" s="70"/>
    </row>
    <row r="839">
      <c r="C839" s="70"/>
      <c r="D839" s="70"/>
      <c r="E839" s="70"/>
    </row>
    <row r="840">
      <c r="C840" s="70"/>
      <c r="D840" s="70"/>
      <c r="E840" s="70"/>
    </row>
    <row r="841">
      <c r="C841" s="70"/>
      <c r="D841" s="70"/>
      <c r="E841" s="70"/>
    </row>
    <row r="842">
      <c r="C842" s="70"/>
      <c r="D842" s="70"/>
      <c r="E842" s="70"/>
    </row>
    <row r="843">
      <c r="C843" s="70"/>
      <c r="D843" s="70"/>
      <c r="E843" s="70"/>
    </row>
    <row r="844">
      <c r="C844" s="70"/>
      <c r="D844" s="70"/>
      <c r="E844" s="70"/>
    </row>
    <row r="845">
      <c r="C845" s="70"/>
      <c r="D845" s="70"/>
      <c r="E845" s="70"/>
    </row>
    <row r="846">
      <c r="C846" s="70"/>
      <c r="D846" s="70"/>
      <c r="E846" s="70"/>
    </row>
    <row r="847">
      <c r="C847" s="70"/>
      <c r="D847" s="70"/>
      <c r="E847" s="70"/>
    </row>
    <row r="848">
      <c r="C848" s="70"/>
      <c r="D848" s="70"/>
      <c r="E848" s="70"/>
    </row>
    <row r="849">
      <c r="C849" s="70"/>
      <c r="D849" s="70"/>
      <c r="E849" s="70"/>
    </row>
    <row r="850">
      <c r="C850" s="70"/>
      <c r="D850" s="70"/>
      <c r="E850" s="70"/>
    </row>
    <row r="851">
      <c r="C851" s="70"/>
      <c r="D851" s="70"/>
      <c r="E851" s="70"/>
    </row>
    <row r="852">
      <c r="C852" s="70"/>
      <c r="D852" s="70"/>
      <c r="E852" s="70"/>
    </row>
    <row r="853">
      <c r="C853" s="70"/>
      <c r="D853" s="70"/>
      <c r="E853" s="70"/>
    </row>
    <row r="854">
      <c r="C854" s="70"/>
      <c r="D854" s="70"/>
      <c r="E854" s="70"/>
    </row>
    <row r="855">
      <c r="C855" s="70"/>
      <c r="D855" s="70"/>
      <c r="E855" s="70"/>
    </row>
    <row r="856">
      <c r="C856" s="70"/>
      <c r="D856" s="70"/>
      <c r="E856" s="70"/>
    </row>
    <row r="857">
      <c r="C857" s="70"/>
      <c r="D857" s="70"/>
      <c r="E857" s="70"/>
    </row>
    <row r="858">
      <c r="C858" s="70"/>
      <c r="D858" s="70"/>
      <c r="E858" s="70"/>
    </row>
    <row r="859">
      <c r="C859" s="70"/>
      <c r="D859" s="70"/>
      <c r="E859" s="70"/>
    </row>
    <row r="860">
      <c r="C860" s="70"/>
      <c r="D860" s="70"/>
      <c r="E860" s="70"/>
    </row>
    <row r="861">
      <c r="C861" s="70"/>
      <c r="D861" s="70"/>
      <c r="E861" s="70"/>
    </row>
    <row r="862">
      <c r="C862" s="70"/>
      <c r="D862" s="70"/>
      <c r="E862" s="70"/>
    </row>
    <row r="863">
      <c r="C863" s="70"/>
      <c r="D863" s="70"/>
      <c r="E863" s="70"/>
    </row>
    <row r="864">
      <c r="C864" s="70"/>
      <c r="D864" s="70"/>
      <c r="E864" s="70"/>
    </row>
    <row r="865">
      <c r="C865" s="70"/>
      <c r="D865" s="70"/>
      <c r="E865" s="70"/>
    </row>
    <row r="866">
      <c r="C866" s="70"/>
      <c r="D866" s="70"/>
      <c r="E866" s="70"/>
    </row>
    <row r="867">
      <c r="C867" s="70"/>
      <c r="D867" s="70"/>
      <c r="E867" s="70"/>
    </row>
    <row r="868">
      <c r="C868" s="70"/>
      <c r="D868" s="70"/>
      <c r="E868" s="70"/>
    </row>
    <row r="869">
      <c r="C869" s="70"/>
      <c r="D869" s="70"/>
      <c r="E869" s="70"/>
    </row>
    <row r="870">
      <c r="C870" s="70"/>
      <c r="D870" s="70"/>
      <c r="E870" s="70"/>
    </row>
    <row r="871">
      <c r="C871" s="70"/>
      <c r="D871" s="70"/>
      <c r="E871" s="70"/>
    </row>
    <row r="872">
      <c r="C872" s="70"/>
      <c r="D872" s="70"/>
      <c r="E872" s="70"/>
    </row>
    <row r="873">
      <c r="C873" s="70"/>
      <c r="D873" s="70"/>
      <c r="E873" s="70"/>
    </row>
    <row r="874">
      <c r="C874" s="70"/>
      <c r="D874" s="70"/>
      <c r="E874" s="70"/>
    </row>
    <row r="875">
      <c r="C875" s="70"/>
      <c r="D875" s="70"/>
      <c r="E875" s="70"/>
    </row>
    <row r="876">
      <c r="C876" s="70"/>
      <c r="D876" s="70"/>
      <c r="E876" s="70"/>
    </row>
    <row r="877">
      <c r="C877" s="70"/>
      <c r="D877" s="70"/>
      <c r="E877" s="70"/>
    </row>
    <row r="878">
      <c r="C878" s="70"/>
      <c r="D878" s="70"/>
      <c r="E878" s="70"/>
    </row>
    <row r="879">
      <c r="C879" s="70"/>
      <c r="D879" s="70"/>
      <c r="E879" s="70"/>
    </row>
    <row r="880">
      <c r="C880" s="70"/>
      <c r="D880" s="70"/>
      <c r="E880" s="70"/>
    </row>
    <row r="881">
      <c r="C881" s="70"/>
      <c r="D881" s="70"/>
      <c r="E881" s="70"/>
    </row>
    <row r="882">
      <c r="C882" s="70"/>
      <c r="D882" s="70"/>
      <c r="E882" s="70"/>
    </row>
    <row r="883">
      <c r="C883" s="70"/>
      <c r="D883" s="70"/>
      <c r="E883" s="70"/>
    </row>
    <row r="884">
      <c r="C884" s="70"/>
      <c r="D884" s="70"/>
      <c r="E884" s="70"/>
    </row>
    <row r="885">
      <c r="C885" s="70"/>
      <c r="D885" s="70"/>
      <c r="E885" s="70"/>
    </row>
    <row r="886">
      <c r="C886" s="70"/>
      <c r="D886" s="70"/>
      <c r="E886" s="70"/>
    </row>
    <row r="887">
      <c r="C887" s="70"/>
      <c r="D887" s="70"/>
      <c r="E887" s="70"/>
    </row>
    <row r="888">
      <c r="C888" s="70"/>
      <c r="D888" s="70"/>
      <c r="E888" s="70"/>
    </row>
    <row r="889">
      <c r="C889" s="70"/>
      <c r="D889" s="70"/>
      <c r="E889" s="70"/>
    </row>
    <row r="890">
      <c r="C890" s="70"/>
      <c r="D890" s="70"/>
      <c r="E890" s="70"/>
    </row>
    <row r="891">
      <c r="C891" s="70"/>
      <c r="D891" s="70"/>
      <c r="E891" s="70"/>
    </row>
    <row r="892">
      <c r="C892" s="70"/>
      <c r="D892" s="70"/>
      <c r="E892" s="70"/>
    </row>
    <row r="893">
      <c r="C893" s="70"/>
      <c r="D893" s="70"/>
      <c r="E893" s="70"/>
    </row>
    <row r="894">
      <c r="C894" s="70"/>
      <c r="D894" s="70"/>
      <c r="E894" s="70"/>
    </row>
    <row r="895">
      <c r="C895" s="70"/>
      <c r="D895" s="70"/>
      <c r="E895" s="70"/>
    </row>
    <row r="896">
      <c r="C896" s="70"/>
      <c r="D896" s="70"/>
      <c r="E896" s="70"/>
    </row>
    <row r="897">
      <c r="C897" s="70"/>
      <c r="D897" s="70"/>
      <c r="E897" s="70"/>
    </row>
    <row r="898">
      <c r="C898" s="70"/>
      <c r="D898" s="70"/>
      <c r="E898" s="70"/>
    </row>
    <row r="899">
      <c r="C899" s="70"/>
      <c r="D899" s="70"/>
      <c r="E899" s="70"/>
    </row>
    <row r="900">
      <c r="C900" s="70"/>
      <c r="D900" s="70"/>
      <c r="E900" s="70"/>
    </row>
    <row r="901">
      <c r="C901" s="70"/>
      <c r="D901" s="70"/>
      <c r="E901" s="70"/>
    </row>
    <row r="902">
      <c r="C902" s="70"/>
      <c r="D902" s="70"/>
      <c r="E902" s="70"/>
    </row>
    <row r="903">
      <c r="C903" s="70"/>
      <c r="D903" s="70"/>
      <c r="E903" s="70"/>
    </row>
    <row r="904">
      <c r="C904" s="70"/>
      <c r="D904" s="70"/>
      <c r="E904" s="70"/>
    </row>
    <row r="905">
      <c r="C905" s="70"/>
      <c r="D905" s="70"/>
      <c r="E905" s="70"/>
    </row>
    <row r="906">
      <c r="C906" s="70"/>
      <c r="D906" s="70"/>
      <c r="E906" s="70"/>
    </row>
    <row r="907">
      <c r="C907" s="70"/>
      <c r="D907" s="70"/>
      <c r="E907" s="70"/>
    </row>
    <row r="908">
      <c r="C908" s="70"/>
      <c r="D908" s="70"/>
      <c r="E908" s="70"/>
    </row>
    <row r="909">
      <c r="C909" s="70"/>
      <c r="D909" s="70"/>
      <c r="E909" s="70"/>
    </row>
    <row r="910">
      <c r="C910" s="70"/>
      <c r="D910" s="70"/>
      <c r="E910" s="70"/>
    </row>
    <row r="911">
      <c r="C911" s="70"/>
      <c r="D911" s="70"/>
      <c r="E911" s="70"/>
    </row>
    <row r="912">
      <c r="C912" s="70"/>
      <c r="D912" s="70"/>
      <c r="E912" s="70"/>
    </row>
    <row r="913">
      <c r="C913" s="70"/>
      <c r="D913" s="70"/>
      <c r="E913" s="70"/>
    </row>
    <row r="914">
      <c r="C914" s="70"/>
      <c r="D914" s="70"/>
      <c r="E914" s="70"/>
    </row>
    <row r="915">
      <c r="C915" s="70"/>
      <c r="D915" s="70"/>
      <c r="E915" s="70"/>
    </row>
    <row r="916">
      <c r="C916" s="70"/>
      <c r="D916" s="70"/>
      <c r="E916" s="70"/>
    </row>
    <row r="917">
      <c r="C917" s="70"/>
      <c r="D917" s="70"/>
      <c r="E917" s="70"/>
    </row>
    <row r="918">
      <c r="C918" s="70"/>
      <c r="D918" s="70"/>
      <c r="E918" s="70"/>
    </row>
    <row r="919">
      <c r="C919" s="70"/>
      <c r="D919" s="70"/>
      <c r="E919" s="70"/>
    </row>
    <row r="920">
      <c r="C920" s="70"/>
      <c r="D920" s="70"/>
      <c r="E920" s="70"/>
    </row>
    <row r="921">
      <c r="C921" s="70"/>
      <c r="D921" s="70"/>
      <c r="E921" s="70"/>
    </row>
    <row r="922">
      <c r="C922" s="70"/>
      <c r="D922" s="70"/>
      <c r="E922" s="70"/>
    </row>
    <row r="923">
      <c r="C923" s="70"/>
      <c r="D923" s="70"/>
      <c r="E923" s="70"/>
    </row>
    <row r="924">
      <c r="C924" s="70"/>
      <c r="D924" s="70"/>
      <c r="E924" s="70"/>
    </row>
    <row r="925">
      <c r="C925" s="70"/>
      <c r="D925" s="70"/>
      <c r="E925" s="70"/>
    </row>
    <row r="926">
      <c r="C926" s="70"/>
      <c r="D926" s="70"/>
      <c r="E926" s="70"/>
    </row>
    <row r="927">
      <c r="C927" s="70"/>
      <c r="D927" s="70"/>
      <c r="E927" s="70"/>
    </row>
    <row r="928">
      <c r="C928" s="70"/>
      <c r="D928" s="70"/>
      <c r="E928" s="70"/>
    </row>
    <row r="929">
      <c r="C929" s="70"/>
      <c r="D929" s="70"/>
      <c r="E929" s="70"/>
    </row>
    <row r="930">
      <c r="C930" s="70"/>
      <c r="D930" s="70"/>
      <c r="E930" s="70"/>
    </row>
    <row r="931">
      <c r="C931" s="70"/>
      <c r="D931" s="70"/>
      <c r="E931" s="70"/>
    </row>
    <row r="932">
      <c r="C932" s="70"/>
      <c r="D932" s="70"/>
      <c r="E932" s="70"/>
    </row>
    <row r="933">
      <c r="C933" s="70"/>
      <c r="D933" s="70"/>
      <c r="E933" s="70"/>
    </row>
    <row r="934">
      <c r="C934" s="70"/>
      <c r="D934" s="70"/>
      <c r="E934" s="70"/>
    </row>
    <row r="935">
      <c r="C935" s="70"/>
      <c r="D935" s="70"/>
      <c r="E935" s="70"/>
    </row>
    <row r="936">
      <c r="C936" s="70"/>
      <c r="D936" s="70"/>
      <c r="E936" s="70"/>
    </row>
    <row r="937">
      <c r="C937" s="70"/>
      <c r="D937" s="70"/>
      <c r="E937" s="70"/>
    </row>
    <row r="938">
      <c r="C938" s="70"/>
      <c r="D938" s="70"/>
      <c r="E938" s="70"/>
    </row>
    <row r="939">
      <c r="C939" s="70"/>
      <c r="D939" s="70"/>
      <c r="E939" s="70"/>
    </row>
    <row r="940">
      <c r="C940" s="70"/>
      <c r="D940" s="70"/>
      <c r="E940" s="70"/>
    </row>
    <row r="941">
      <c r="C941" s="70"/>
      <c r="D941" s="70"/>
      <c r="E941" s="70"/>
    </row>
    <row r="942">
      <c r="C942" s="70"/>
      <c r="D942" s="70"/>
      <c r="E942" s="70"/>
    </row>
    <row r="943">
      <c r="C943" s="70"/>
      <c r="D943" s="70"/>
      <c r="E943" s="70"/>
    </row>
    <row r="944">
      <c r="C944" s="70"/>
      <c r="D944" s="70"/>
      <c r="E944" s="70"/>
    </row>
    <row r="945">
      <c r="C945" s="70"/>
      <c r="D945" s="70"/>
      <c r="E945" s="70"/>
    </row>
    <row r="946">
      <c r="C946" s="70"/>
      <c r="D946" s="70"/>
      <c r="E946" s="70"/>
    </row>
    <row r="947">
      <c r="C947" s="70"/>
      <c r="D947" s="70"/>
      <c r="E947" s="70"/>
    </row>
    <row r="948">
      <c r="C948" s="70"/>
      <c r="D948" s="70"/>
      <c r="E948" s="70"/>
    </row>
    <row r="949">
      <c r="C949" s="70"/>
      <c r="D949" s="70"/>
      <c r="E949" s="70"/>
    </row>
    <row r="950">
      <c r="C950" s="70"/>
      <c r="D950" s="70"/>
      <c r="E950" s="70"/>
    </row>
    <row r="951">
      <c r="C951" s="70"/>
      <c r="D951" s="70"/>
      <c r="E951" s="70"/>
    </row>
    <row r="952">
      <c r="C952" s="70"/>
      <c r="D952" s="70"/>
      <c r="E952" s="70"/>
    </row>
    <row r="953">
      <c r="C953" s="70"/>
      <c r="D953" s="70"/>
      <c r="E953" s="70"/>
    </row>
    <row r="954">
      <c r="C954" s="70"/>
      <c r="D954" s="70"/>
      <c r="E954" s="70"/>
    </row>
    <row r="955">
      <c r="C955" s="70"/>
      <c r="D955" s="70"/>
      <c r="E955" s="70"/>
    </row>
    <row r="956">
      <c r="C956" s="70"/>
      <c r="D956" s="70"/>
      <c r="E956" s="70"/>
    </row>
    <row r="957">
      <c r="C957" s="70"/>
      <c r="D957" s="70"/>
      <c r="E957" s="70"/>
    </row>
    <row r="958">
      <c r="C958" s="70"/>
      <c r="D958" s="70"/>
      <c r="E958" s="70"/>
    </row>
    <row r="959">
      <c r="C959" s="70"/>
      <c r="D959" s="70"/>
      <c r="E959" s="70"/>
    </row>
    <row r="960">
      <c r="C960" s="70"/>
      <c r="D960" s="70"/>
      <c r="E960" s="70"/>
    </row>
    <row r="961">
      <c r="C961" s="70"/>
      <c r="D961" s="70"/>
      <c r="E961" s="70"/>
    </row>
    <row r="962">
      <c r="C962" s="70"/>
      <c r="D962" s="70"/>
      <c r="E962" s="70"/>
    </row>
    <row r="963">
      <c r="C963" s="70"/>
      <c r="D963" s="70"/>
      <c r="E963" s="70"/>
    </row>
    <row r="964">
      <c r="C964" s="70"/>
      <c r="D964" s="70"/>
      <c r="E964" s="70"/>
    </row>
    <row r="965">
      <c r="C965" s="70"/>
      <c r="D965" s="70"/>
      <c r="E965" s="70"/>
    </row>
    <row r="966">
      <c r="C966" s="70"/>
      <c r="D966" s="70"/>
      <c r="E966" s="70"/>
    </row>
    <row r="967">
      <c r="C967" s="70"/>
      <c r="D967" s="70"/>
      <c r="E967" s="70"/>
    </row>
    <row r="968">
      <c r="C968" s="70"/>
      <c r="D968" s="70"/>
      <c r="E968" s="70"/>
    </row>
    <row r="969">
      <c r="C969" s="70"/>
      <c r="D969" s="70"/>
      <c r="E969" s="70"/>
    </row>
    <row r="970">
      <c r="C970" s="70"/>
      <c r="D970" s="70"/>
      <c r="E970" s="70"/>
    </row>
    <row r="971">
      <c r="C971" s="70"/>
      <c r="D971" s="70"/>
      <c r="E971" s="70"/>
    </row>
    <row r="972">
      <c r="C972" s="70"/>
      <c r="D972" s="70"/>
      <c r="E972" s="70"/>
    </row>
    <row r="973">
      <c r="C973" s="70"/>
      <c r="D973" s="70"/>
      <c r="E973" s="70"/>
    </row>
    <row r="974">
      <c r="C974" s="70"/>
      <c r="D974" s="70"/>
      <c r="E974" s="70"/>
    </row>
    <row r="975">
      <c r="C975" s="70"/>
      <c r="D975" s="70"/>
      <c r="E975" s="70"/>
    </row>
    <row r="976">
      <c r="C976" s="70"/>
      <c r="D976" s="70"/>
      <c r="E976" s="70"/>
    </row>
    <row r="977">
      <c r="C977" s="70"/>
      <c r="D977" s="70"/>
      <c r="E977" s="70"/>
    </row>
    <row r="978">
      <c r="C978" s="70"/>
      <c r="D978" s="70"/>
      <c r="E978" s="70"/>
    </row>
    <row r="979">
      <c r="C979" s="70"/>
      <c r="D979" s="70"/>
      <c r="E979" s="70"/>
    </row>
    <row r="980">
      <c r="C980" s="70"/>
      <c r="D980" s="70"/>
      <c r="E980" s="70"/>
    </row>
    <row r="981">
      <c r="C981" s="70"/>
      <c r="D981" s="70"/>
      <c r="E981" s="70"/>
    </row>
    <row r="982">
      <c r="C982" s="70"/>
      <c r="D982" s="70"/>
      <c r="E982" s="70"/>
    </row>
    <row r="983">
      <c r="C983" s="70"/>
      <c r="D983" s="70"/>
      <c r="E983" s="70"/>
    </row>
    <row r="984">
      <c r="C984" s="70"/>
      <c r="D984" s="70"/>
      <c r="E984" s="70"/>
    </row>
    <row r="985">
      <c r="C985" s="70"/>
      <c r="D985" s="70"/>
      <c r="E985" s="70"/>
    </row>
    <row r="986">
      <c r="C986" s="70"/>
      <c r="D986" s="70"/>
      <c r="E986" s="70"/>
    </row>
    <row r="987">
      <c r="C987" s="70"/>
      <c r="D987" s="70"/>
      <c r="E987" s="70"/>
    </row>
    <row r="988">
      <c r="C988" s="70"/>
      <c r="D988" s="70"/>
      <c r="E988" s="70"/>
    </row>
    <row r="989">
      <c r="C989" s="70"/>
      <c r="D989" s="70"/>
      <c r="E989" s="70"/>
    </row>
    <row r="990">
      <c r="C990" s="70"/>
      <c r="D990" s="70"/>
      <c r="E990" s="70"/>
    </row>
    <row r="991">
      <c r="C991" s="70"/>
      <c r="D991" s="70"/>
      <c r="E991" s="70"/>
    </row>
    <row r="992">
      <c r="C992" s="70"/>
      <c r="D992" s="70"/>
      <c r="E992" s="70"/>
    </row>
    <row r="993">
      <c r="C993" s="70"/>
      <c r="D993" s="70"/>
      <c r="E993" s="70"/>
    </row>
    <row r="994">
      <c r="C994" s="70"/>
      <c r="D994" s="70"/>
      <c r="E994" s="70"/>
    </row>
    <row r="995">
      <c r="C995" s="70"/>
      <c r="D995" s="70"/>
      <c r="E995" s="70"/>
    </row>
    <row r="996">
      <c r="C996" s="70"/>
      <c r="D996" s="70"/>
      <c r="E996" s="70"/>
    </row>
    <row r="997">
      <c r="C997" s="70"/>
      <c r="D997" s="70"/>
      <c r="E997" s="70"/>
    </row>
    <row r="998">
      <c r="C998" s="70"/>
      <c r="D998" s="70"/>
      <c r="E998" s="70"/>
    </row>
    <row r="999">
      <c r="C999" s="70"/>
      <c r="D999" s="70"/>
      <c r="E999" s="70"/>
    </row>
    <row r="1000">
      <c r="C1000" s="70"/>
      <c r="D1000" s="70"/>
      <c r="E1000" s="70"/>
    </row>
    <row r="1001">
      <c r="C1001" s="70"/>
      <c r="D1001" s="70"/>
      <c r="E1001" s="70"/>
    </row>
    <row r="1002">
      <c r="C1002" s="70"/>
      <c r="D1002" s="70"/>
      <c r="E1002" s="70"/>
    </row>
  </sheetData>
  <mergeCells count="10">
    <mergeCell ref="A106:B106"/>
    <mergeCell ref="A107:B107"/>
    <mergeCell ref="A108:B108"/>
    <mergeCell ref="C2:N2"/>
    <mergeCell ref="O2:O4"/>
    <mergeCell ref="P2:P4"/>
    <mergeCell ref="A3:A4"/>
    <mergeCell ref="B3:B4"/>
    <mergeCell ref="A103:B103"/>
    <mergeCell ref="A105:B10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1.88"/>
    <col customWidth="1" min="3" max="15" width="6.13"/>
  </cols>
  <sheetData>
    <row r="1">
      <c r="A1" s="72"/>
      <c r="B1" s="72"/>
      <c r="C1" s="441" t="s">
        <v>630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Q1" s="441" t="s">
        <v>619</v>
      </c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</row>
    <row r="2">
      <c r="A2" s="72"/>
      <c r="B2" s="72"/>
      <c r="C2" s="78" t="s">
        <v>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Q2" s="78" t="s">
        <v>46</v>
      </c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</row>
    <row r="3">
      <c r="A3" s="67" t="s">
        <v>47</v>
      </c>
      <c r="B3" s="67" t="s">
        <v>48</v>
      </c>
      <c r="C3" s="81" t="s">
        <v>0</v>
      </c>
      <c r="D3" s="82" t="s">
        <v>1</v>
      </c>
      <c r="E3" s="82" t="s">
        <v>2</v>
      </c>
      <c r="F3" s="82" t="s">
        <v>3</v>
      </c>
      <c r="G3" s="82" t="s">
        <v>4</v>
      </c>
      <c r="H3" s="82" t="s">
        <v>5</v>
      </c>
      <c r="I3" s="82" t="s">
        <v>6</v>
      </c>
      <c r="J3" s="82" t="s">
        <v>7</v>
      </c>
      <c r="K3" s="82" t="s">
        <v>8</v>
      </c>
      <c r="L3" s="82" t="s">
        <v>9</v>
      </c>
      <c r="M3" s="82" t="s">
        <v>10</v>
      </c>
      <c r="N3" s="82" t="s">
        <v>11</v>
      </c>
      <c r="O3" s="83"/>
      <c r="Q3" s="81" t="s">
        <v>0</v>
      </c>
      <c r="R3" s="82" t="s">
        <v>1</v>
      </c>
      <c r="S3" s="82" t="s">
        <v>2</v>
      </c>
      <c r="T3" s="82" t="s">
        <v>3</v>
      </c>
      <c r="U3" s="82" t="s">
        <v>4</v>
      </c>
      <c r="V3" s="82" t="s">
        <v>5</v>
      </c>
      <c r="W3" s="82" t="s">
        <v>6</v>
      </c>
      <c r="X3" s="82" t="s">
        <v>7</v>
      </c>
      <c r="Y3" s="82" t="s">
        <v>8</v>
      </c>
      <c r="Z3" s="82" t="s">
        <v>9</v>
      </c>
      <c r="AA3" s="82" t="s">
        <v>10</v>
      </c>
      <c r="AB3" s="82" t="s">
        <v>11</v>
      </c>
      <c r="AC3" s="83"/>
    </row>
    <row r="4">
      <c r="A4" s="72"/>
      <c r="B4" s="72"/>
      <c r="C4" s="84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6"/>
      <c r="Q4" s="84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6"/>
    </row>
    <row r="5" hidden="1">
      <c r="A5" s="87" t="s">
        <v>49</v>
      </c>
      <c r="B5" s="88">
        <v>329.0</v>
      </c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  <c r="Q5" s="89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1"/>
    </row>
    <row r="6" hidden="1">
      <c r="A6" s="87" t="s">
        <v>50</v>
      </c>
      <c r="B6" s="88">
        <v>329.0</v>
      </c>
      <c r="C6" s="89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1"/>
      <c r="Q6" s="89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1"/>
    </row>
    <row r="7" hidden="1">
      <c r="A7" s="87" t="s">
        <v>51</v>
      </c>
      <c r="B7" s="88">
        <v>329.0</v>
      </c>
      <c r="C7" s="89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1"/>
      <c r="Q7" s="89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1"/>
    </row>
    <row r="8">
      <c r="A8" s="92" t="s">
        <v>52</v>
      </c>
      <c r="B8" s="93">
        <v>329.0</v>
      </c>
      <c r="C8" s="317"/>
      <c r="D8" s="194">
        <v>2.0</v>
      </c>
      <c r="E8" s="543">
        <v>2.0</v>
      </c>
      <c r="F8" s="188"/>
      <c r="G8" s="97"/>
      <c r="H8" s="97"/>
      <c r="I8" s="97"/>
      <c r="J8" s="97"/>
      <c r="K8" s="97"/>
      <c r="L8" s="97"/>
      <c r="M8" s="97"/>
      <c r="N8" s="97"/>
      <c r="O8" s="91"/>
      <c r="Q8" s="548">
        <f t="shared" ref="Q8:Q99" si="1">B8*C8</f>
        <v>0</v>
      </c>
      <c r="R8" s="443">
        <f t="shared" ref="R8:R99" si="2">B8*D8</f>
        <v>658</v>
      </c>
      <c r="S8" s="443">
        <f t="shared" ref="S8:S99" si="3">B8*E8</f>
        <v>658</v>
      </c>
      <c r="T8" s="96"/>
      <c r="U8" s="97"/>
      <c r="V8" s="97"/>
      <c r="W8" s="97"/>
      <c r="X8" s="97"/>
      <c r="Y8" s="97"/>
      <c r="Z8" s="97"/>
      <c r="AA8" s="97"/>
      <c r="AB8" s="97"/>
      <c r="AC8" s="91"/>
    </row>
    <row r="9" hidden="1">
      <c r="A9" s="98" t="s">
        <v>53</v>
      </c>
      <c r="B9" s="93">
        <v>329.0</v>
      </c>
      <c r="C9" s="317"/>
      <c r="D9" s="188"/>
      <c r="E9" s="542"/>
      <c r="F9" s="188"/>
      <c r="G9" s="97"/>
      <c r="H9" s="97"/>
      <c r="I9" s="97"/>
      <c r="J9" s="97"/>
      <c r="K9" s="97"/>
      <c r="L9" s="97"/>
      <c r="M9" s="97"/>
      <c r="N9" s="97"/>
      <c r="O9" s="91"/>
      <c r="Q9" s="548">
        <f t="shared" si="1"/>
        <v>0</v>
      </c>
      <c r="R9" s="443">
        <f t="shared" si="2"/>
        <v>0</v>
      </c>
      <c r="S9" s="443">
        <f t="shared" si="3"/>
        <v>0</v>
      </c>
      <c r="T9" s="96"/>
      <c r="U9" s="97"/>
      <c r="V9" s="97"/>
      <c r="W9" s="97"/>
      <c r="X9" s="97"/>
      <c r="Y9" s="97"/>
      <c r="Z9" s="97"/>
      <c r="AA9" s="97"/>
      <c r="AB9" s="97"/>
      <c r="AC9" s="91"/>
    </row>
    <row r="10">
      <c r="A10" s="98" t="s">
        <v>54</v>
      </c>
      <c r="B10" s="93">
        <v>329.0</v>
      </c>
      <c r="C10" s="323"/>
      <c r="D10" s="188"/>
      <c r="E10" s="543">
        <v>2.0</v>
      </c>
      <c r="F10" s="188"/>
      <c r="G10" s="97"/>
      <c r="H10" s="97"/>
      <c r="I10" s="97"/>
      <c r="J10" s="97"/>
      <c r="K10" s="97"/>
      <c r="L10" s="97"/>
      <c r="M10" s="97"/>
      <c r="N10" s="97"/>
      <c r="O10" s="91"/>
      <c r="Q10" s="548">
        <f t="shared" si="1"/>
        <v>0</v>
      </c>
      <c r="R10" s="443">
        <f t="shared" si="2"/>
        <v>0</v>
      </c>
      <c r="S10" s="443">
        <f t="shared" si="3"/>
        <v>658</v>
      </c>
      <c r="T10" s="96"/>
      <c r="U10" s="97"/>
      <c r="V10" s="97"/>
      <c r="W10" s="97"/>
      <c r="X10" s="97"/>
      <c r="Y10" s="97"/>
      <c r="Z10" s="97"/>
      <c r="AA10" s="97"/>
      <c r="AB10" s="97"/>
      <c r="AC10" s="91"/>
    </row>
    <row r="11">
      <c r="A11" s="98" t="s">
        <v>55</v>
      </c>
      <c r="B11" s="93">
        <v>329.0</v>
      </c>
      <c r="C11" s="317"/>
      <c r="D11" s="194">
        <v>2.0</v>
      </c>
      <c r="E11" s="543">
        <v>4.0</v>
      </c>
      <c r="F11" s="188"/>
      <c r="G11" s="97"/>
      <c r="H11" s="97"/>
      <c r="I11" s="97"/>
      <c r="J11" s="97"/>
      <c r="K11" s="97"/>
      <c r="L11" s="97"/>
      <c r="M11" s="97"/>
      <c r="N11" s="97"/>
      <c r="O11" s="91"/>
      <c r="Q11" s="548">
        <f t="shared" si="1"/>
        <v>0</v>
      </c>
      <c r="R11" s="443">
        <f t="shared" si="2"/>
        <v>658</v>
      </c>
      <c r="S11" s="443">
        <f t="shared" si="3"/>
        <v>1316</v>
      </c>
      <c r="T11" s="96"/>
      <c r="U11" s="97"/>
      <c r="V11" s="97"/>
      <c r="W11" s="97"/>
      <c r="X11" s="97"/>
      <c r="Y11" s="97"/>
      <c r="Z11" s="97"/>
      <c r="AA11" s="97"/>
      <c r="AB11" s="97"/>
      <c r="AC11" s="91"/>
    </row>
    <row r="12">
      <c r="A12" s="98" t="s">
        <v>56</v>
      </c>
      <c r="B12" s="93">
        <v>329.0</v>
      </c>
      <c r="C12" s="323"/>
      <c r="D12" s="188"/>
      <c r="E12" s="542"/>
      <c r="F12" s="188"/>
      <c r="G12" s="97"/>
      <c r="H12" s="97"/>
      <c r="I12" s="97"/>
      <c r="J12" s="97"/>
      <c r="K12" s="97"/>
      <c r="L12" s="97"/>
      <c r="M12" s="97"/>
      <c r="N12" s="97"/>
      <c r="O12" s="91"/>
      <c r="Q12" s="548">
        <f t="shared" si="1"/>
        <v>0</v>
      </c>
      <c r="R12" s="443">
        <f t="shared" si="2"/>
        <v>0</v>
      </c>
      <c r="S12" s="443">
        <f t="shared" si="3"/>
        <v>0</v>
      </c>
      <c r="T12" s="96"/>
      <c r="U12" s="97"/>
      <c r="V12" s="97"/>
      <c r="W12" s="97"/>
      <c r="X12" s="97"/>
      <c r="Y12" s="97"/>
      <c r="Z12" s="97"/>
      <c r="AA12" s="97"/>
      <c r="AB12" s="97"/>
      <c r="AC12" s="91"/>
    </row>
    <row r="13">
      <c r="A13" s="98" t="s">
        <v>57</v>
      </c>
      <c r="B13" s="93">
        <v>329.0</v>
      </c>
      <c r="C13" s="317"/>
      <c r="D13" s="188"/>
      <c r="E13" s="542"/>
      <c r="F13" s="188"/>
      <c r="G13" s="97"/>
      <c r="H13" s="97"/>
      <c r="I13" s="97"/>
      <c r="J13" s="97"/>
      <c r="K13" s="97"/>
      <c r="L13" s="97"/>
      <c r="M13" s="97"/>
      <c r="N13" s="97"/>
      <c r="O13" s="91"/>
      <c r="Q13" s="548">
        <f t="shared" si="1"/>
        <v>0</v>
      </c>
      <c r="R13" s="443">
        <f t="shared" si="2"/>
        <v>0</v>
      </c>
      <c r="S13" s="443">
        <f t="shared" si="3"/>
        <v>0</v>
      </c>
      <c r="T13" s="96"/>
      <c r="U13" s="97"/>
      <c r="V13" s="97"/>
      <c r="W13" s="97"/>
      <c r="X13" s="97"/>
      <c r="Y13" s="97"/>
      <c r="Z13" s="97"/>
      <c r="AA13" s="97"/>
      <c r="AB13" s="97"/>
      <c r="AC13" s="91"/>
    </row>
    <row r="14">
      <c r="A14" s="98" t="s">
        <v>58</v>
      </c>
      <c r="B14" s="93">
        <v>329.0</v>
      </c>
      <c r="C14" s="317"/>
      <c r="D14" s="188"/>
      <c r="E14" s="542"/>
      <c r="F14" s="188"/>
      <c r="G14" s="97"/>
      <c r="H14" s="97"/>
      <c r="I14" s="97"/>
      <c r="J14" s="97"/>
      <c r="K14" s="97"/>
      <c r="L14" s="97"/>
      <c r="M14" s="97"/>
      <c r="N14" s="97"/>
      <c r="O14" s="91"/>
      <c r="Q14" s="548">
        <f t="shared" si="1"/>
        <v>0</v>
      </c>
      <c r="R14" s="443">
        <f t="shared" si="2"/>
        <v>0</v>
      </c>
      <c r="S14" s="443">
        <f t="shared" si="3"/>
        <v>0</v>
      </c>
      <c r="T14" s="96"/>
      <c r="U14" s="97"/>
      <c r="V14" s="97"/>
      <c r="W14" s="97"/>
      <c r="X14" s="97"/>
      <c r="Y14" s="97"/>
      <c r="Z14" s="97"/>
      <c r="AA14" s="97"/>
      <c r="AB14" s="97"/>
      <c r="AC14" s="91"/>
    </row>
    <row r="15">
      <c r="A15" s="98" t="s">
        <v>59</v>
      </c>
      <c r="B15" s="93">
        <v>219.0</v>
      </c>
      <c r="C15" s="323">
        <v>1.0</v>
      </c>
      <c r="D15" s="188"/>
      <c r="E15" s="543">
        <v>1.0</v>
      </c>
      <c r="F15" s="188"/>
      <c r="G15" s="97"/>
      <c r="H15" s="97"/>
      <c r="I15" s="97"/>
      <c r="J15" s="97"/>
      <c r="K15" s="97"/>
      <c r="L15" s="97"/>
      <c r="M15" s="97"/>
      <c r="N15" s="97"/>
      <c r="O15" s="91"/>
      <c r="Q15" s="548">
        <f t="shared" si="1"/>
        <v>219</v>
      </c>
      <c r="R15" s="443">
        <f t="shared" si="2"/>
        <v>0</v>
      </c>
      <c r="S15" s="443">
        <f t="shared" si="3"/>
        <v>219</v>
      </c>
      <c r="T15" s="96"/>
      <c r="U15" s="97"/>
      <c r="V15" s="97"/>
      <c r="W15" s="97"/>
      <c r="X15" s="97"/>
      <c r="Y15" s="97"/>
      <c r="Z15" s="97"/>
      <c r="AA15" s="97"/>
      <c r="AB15" s="97"/>
      <c r="AC15" s="91"/>
    </row>
    <row r="16" hidden="1">
      <c r="A16" s="98" t="s">
        <v>60</v>
      </c>
      <c r="B16" s="99"/>
      <c r="C16" s="317"/>
      <c r="D16" s="188"/>
      <c r="E16" s="542"/>
      <c r="F16" s="188"/>
      <c r="G16" s="97"/>
      <c r="H16" s="97"/>
      <c r="I16" s="97"/>
      <c r="J16" s="97"/>
      <c r="K16" s="97"/>
      <c r="L16" s="97"/>
      <c r="M16" s="97"/>
      <c r="N16" s="97"/>
      <c r="O16" s="91"/>
      <c r="Q16" s="548">
        <f t="shared" si="1"/>
        <v>0</v>
      </c>
      <c r="R16" s="443">
        <f t="shared" si="2"/>
        <v>0</v>
      </c>
      <c r="S16" s="443">
        <f t="shared" si="3"/>
        <v>0</v>
      </c>
      <c r="T16" s="96"/>
      <c r="U16" s="97"/>
      <c r="V16" s="97"/>
      <c r="W16" s="97"/>
      <c r="X16" s="97"/>
      <c r="Y16" s="97"/>
      <c r="Z16" s="97"/>
      <c r="AA16" s="97"/>
      <c r="AB16" s="97"/>
      <c r="AC16" s="91"/>
    </row>
    <row r="17" hidden="1">
      <c r="A17" s="98" t="s">
        <v>61</v>
      </c>
      <c r="B17" s="99"/>
      <c r="C17" s="317"/>
      <c r="D17" s="188"/>
      <c r="E17" s="542"/>
      <c r="F17" s="188"/>
      <c r="G17" s="97"/>
      <c r="H17" s="97"/>
      <c r="I17" s="97"/>
      <c r="J17" s="97"/>
      <c r="K17" s="97"/>
      <c r="L17" s="97"/>
      <c r="M17" s="97"/>
      <c r="N17" s="97"/>
      <c r="O17" s="91"/>
      <c r="Q17" s="548">
        <f t="shared" si="1"/>
        <v>0</v>
      </c>
      <c r="R17" s="443">
        <f t="shared" si="2"/>
        <v>0</v>
      </c>
      <c r="S17" s="443">
        <f t="shared" si="3"/>
        <v>0</v>
      </c>
      <c r="T17" s="96"/>
      <c r="U17" s="97"/>
      <c r="V17" s="97"/>
      <c r="W17" s="97"/>
      <c r="X17" s="97"/>
      <c r="Y17" s="97"/>
      <c r="Z17" s="97"/>
      <c r="AA17" s="97"/>
      <c r="AB17" s="97"/>
      <c r="AC17" s="91"/>
    </row>
    <row r="18">
      <c r="A18" s="100"/>
      <c r="B18" s="99"/>
      <c r="C18" s="317"/>
      <c r="D18" s="188"/>
      <c r="E18" s="542"/>
      <c r="F18" s="188"/>
      <c r="G18" s="97"/>
      <c r="H18" s="97"/>
      <c r="I18" s="97"/>
      <c r="J18" s="97"/>
      <c r="K18" s="97"/>
      <c r="L18" s="97"/>
      <c r="M18" s="97"/>
      <c r="N18" s="97"/>
      <c r="O18" s="91"/>
      <c r="Q18" s="548">
        <f t="shared" si="1"/>
        <v>0</v>
      </c>
      <c r="R18" s="443">
        <f t="shared" si="2"/>
        <v>0</v>
      </c>
      <c r="S18" s="443">
        <f t="shared" si="3"/>
        <v>0</v>
      </c>
      <c r="T18" s="96"/>
      <c r="U18" s="97"/>
      <c r="V18" s="97"/>
      <c r="W18" s="97"/>
      <c r="X18" s="97"/>
      <c r="Y18" s="97"/>
      <c r="Z18" s="97"/>
      <c r="AA18" s="97"/>
      <c r="AB18" s="97"/>
      <c r="AC18" s="91"/>
    </row>
    <row r="19">
      <c r="A19" s="98" t="s">
        <v>62</v>
      </c>
      <c r="B19" s="93">
        <v>239.0</v>
      </c>
      <c r="C19" s="323">
        <v>1.0</v>
      </c>
      <c r="D19" s="188"/>
      <c r="E19" s="542"/>
      <c r="F19" s="188"/>
      <c r="G19" s="97"/>
      <c r="H19" s="97"/>
      <c r="I19" s="97"/>
      <c r="J19" s="97"/>
      <c r="K19" s="97"/>
      <c r="L19" s="97"/>
      <c r="M19" s="97"/>
      <c r="N19" s="97"/>
      <c r="O19" s="91"/>
      <c r="Q19" s="548">
        <f t="shared" si="1"/>
        <v>239</v>
      </c>
      <c r="R19" s="443">
        <f t="shared" si="2"/>
        <v>0</v>
      </c>
      <c r="S19" s="443">
        <f t="shared" si="3"/>
        <v>0</v>
      </c>
      <c r="T19" s="96"/>
      <c r="U19" s="97"/>
      <c r="V19" s="97"/>
      <c r="W19" s="97"/>
      <c r="X19" s="97"/>
      <c r="Y19" s="97"/>
      <c r="Z19" s="97"/>
      <c r="AA19" s="97"/>
      <c r="AB19" s="97"/>
      <c r="AC19" s="91"/>
    </row>
    <row r="20">
      <c r="A20" s="98" t="s">
        <v>63</v>
      </c>
      <c r="B20" s="93">
        <v>239.0</v>
      </c>
      <c r="C20" s="323">
        <v>3.0</v>
      </c>
      <c r="D20" s="194">
        <v>1.0</v>
      </c>
      <c r="E20" s="542"/>
      <c r="F20" s="188"/>
      <c r="G20" s="97"/>
      <c r="H20" s="97"/>
      <c r="I20" s="97"/>
      <c r="J20" s="97"/>
      <c r="K20" s="97"/>
      <c r="L20" s="97"/>
      <c r="M20" s="97"/>
      <c r="N20" s="97"/>
      <c r="O20" s="91"/>
      <c r="Q20" s="548">
        <f t="shared" si="1"/>
        <v>717</v>
      </c>
      <c r="R20" s="443">
        <f t="shared" si="2"/>
        <v>239</v>
      </c>
      <c r="S20" s="443">
        <f t="shared" si="3"/>
        <v>0</v>
      </c>
      <c r="T20" s="96"/>
      <c r="U20" s="97"/>
      <c r="V20" s="97"/>
      <c r="W20" s="97"/>
      <c r="X20" s="97"/>
      <c r="Y20" s="97"/>
      <c r="Z20" s="97"/>
      <c r="AA20" s="97"/>
      <c r="AB20" s="97"/>
      <c r="AC20" s="91"/>
    </row>
    <row r="21">
      <c r="A21" s="98" t="s">
        <v>64</v>
      </c>
      <c r="B21" s="93">
        <v>239.0</v>
      </c>
      <c r="C21" s="317"/>
      <c r="D21" s="194">
        <v>1.0</v>
      </c>
      <c r="E21" s="542"/>
      <c r="F21" s="188"/>
      <c r="G21" s="97"/>
      <c r="H21" s="97"/>
      <c r="I21" s="97"/>
      <c r="J21" s="97"/>
      <c r="K21" s="97"/>
      <c r="L21" s="97"/>
      <c r="M21" s="97"/>
      <c r="N21" s="97"/>
      <c r="O21" s="91"/>
      <c r="Q21" s="548">
        <f t="shared" si="1"/>
        <v>0</v>
      </c>
      <c r="R21" s="443">
        <f t="shared" si="2"/>
        <v>239</v>
      </c>
      <c r="S21" s="443">
        <f t="shared" si="3"/>
        <v>0</v>
      </c>
      <c r="T21" s="96"/>
      <c r="U21" s="97"/>
      <c r="V21" s="97"/>
      <c r="W21" s="97"/>
      <c r="X21" s="97"/>
      <c r="Y21" s="97"/>
      <c r="Z21" s="97"/>
      <c r="AA21" s="97"/>
      <c r="AB21" s="97"/>
      <c r="AC21" s="91"/>
    </row>
    <row r="22">
      <c r="A22" s="98" t="s">
        <v>65</v>
      </c>
      <c r="B22" s="93">
        <v>219.0</v>
      </c>
      <c r="C22" s="323"/>
      <c r="D22" s="188"/>
      <c r="E22" s="542"/>
      <c r="F22" s="188"/>
      <c r="G22" s="97"/>
      <c r="H22" s="97"/>
      <c r="I22" s="97"/>
      <c r="J22" s="97"/>
      <c r="K22" s="97"/>
      <c r="L22" s="97"/>
      <c r="M22" s="97"/>
      <c r="N22" s="97"/>
      <c r="O22" s="91"/>
      <c r="Q22" s="548">
        <f t="shared" si="1"/>
        <v>0</v>
      </c>
      <c r="R22" s="443">
        <f t="shared" si="2"/>
        <v>0</v>
      </c>
      <c r="S22" s="443">
        <f t="shared" si="3"/>
        <v>0</v>
      </c>
      <c r="T22" s="96"/>
      <c r="U22" s="97"/>
      <c r="V22" s="97"/>
      <c r="W22" s="97"/>
      <c r="X22" s="97"/>
      <c r="Y22" s="97"/>
      <c r="Z22" s="97"/>
      <c r="AA22" s="97"/>
      <c r="AB22" s="97"/>
      <c r="AC22" s="91"/>
    </row>
    <row r="23">
      <c r="A23" s="98" t="s">
        <v>66</v>
      </c>
      <c r="B23" s="93">
        <v>219.0</v>
      </c>
      <c r="C23" s="317"/>
      <c r="D23" s="188"/>
      <c r="E23" s="543">
        <v>1.0</v>
      </c>
      <c r="F23" s="188"/>
      <c r="G23" s="97"/>
      <c r="H23" s="97"/>
      <c r="I23" s="97"/>
      <c r="J23" s="97"/>
      <c r="K23" s="97"/>
      <c r="L23" s="97"/>
      <c r="M23" s="97"/>
      <c r="N23" s="97"/>
      <c r="O23" s="91"/>
      <c r="Q23" s="548">
        <f t="shared" si="1"/>
        <v>0</v>
      </c>
      <c r="R23" s="443">
        <f t="shared" si="2"/>
        <v>0</v>
      </c>
      <c r="S23" s="443">
        <f t="shared" si="3"/>
        <v>219</v>
      </c>
      <c r="T23" s="96"/>
      <c r="U23" s="97"/>
      <c r="V23" s="97"/>
      <c r="W23" s="97"/>
      <c r="X23" s="97"/>
      <c r="Y23" s="97"/>
      <c r="Z23" s="97"/>
      <c r="AA23" s="97"/>
      <c r="AB23" s="97"/>
      <c r="AC23" s="91"/>
    </row>
    <row r="24">
      <c r="A24" s="98" t="s">
        <v>67</v>
      </c>
      <c r="B24" s="93">
        <v>219.0</v>
      </c>
      <c r="C24" s="323"/>
      <c r="D24" s="188"/>
      <c r="E24" s="542"/>
      <c r="F24" s="188"/>
      <c r="G24" s="97"/>
      <c r="H24" s="97"/>
      <c r="I24" s="97"/>
      <c r="J24" s="97"/>
      <c r="K24" s="97"/>
      <c r="L24" s="97"/>
      <c r="M24" s="97"/>
      <c r="N24" s="97"/>
      <c r="O24" s="91"/>
      <c r="Q24" s="548">
        <f t="shared" si="1"/>
        <v>0</v>
      </c>
      <c r="R24" s="443">
        <f t="shared" si="2"/>
        <v>0</v>
      </c>
      <c r="S24" s="443">
        <f t="shared" si="3"/>
        <v>0</v>
      </c>
      <c r="T24" s="96"/>
      <c r="U24" s="97"/>
      <c r="V24" s="97"/>
      <c r="W24" s="97"/>
      <c r="X24" s="97"/>
      <c r="Y24" s="97"/>
      <c r="Z24" s="97"/>
      <c r="AA24" s="97"/>
      <c r="AB24" s="97"/>
      <c r="AC24" s="91"/>
    </row>
    <row r="25" hidden="1">
      <c r="A25" s="98" t="s">
        <v>68</v>
      </c>
      <c r="B25" s="93">
        <v>219.0</v>
      </c>
      <c r="C25" s="317"/>
      <c r="D25" s="188"/>
      <c r="E25" s="542"/>
      <c r="F25" s="188"/>
      <c r="G25" s="97"/>
      <c r="H25" s="97"/>
      <c r="I25" s="97"/>
      <c r="J25" s="97"/>
      <c r="K25" s="97"/>
      <c r="L25" s="97"/>
      <c r="M25" s="97"/>
      <c r="N25" s="97"/>
      <c r="O25" s="91"/>
      <c r="Q25" s="548">
        <f t="shared" si="1"/>
        <v>0</v>
      </c>
      <c r="R25" s="443">
        <f t="shared" si="2"/>
        <v>0</v>
      </c>
      <c r="S25" s="443">
        <f t="shared" si="3"/>
        <v>0</v>
      </c>
      <c r="T25" s="96"/>
      <c r="U25" s="97"/>
      <c r="V25" s="97"/>
      <c r="W25" s="97"/>
      <c r="X25" s="97"/>
      <c r="Y25" s="97"/>
      <c r="Z25" s="97"/>
      <c r="AA25" s="97"/>
      <c r="AB25" s="97"/>
      <c r="AC25" s="91"/>
    </row>
    <row r="26" hidden="1">
      <c r="A26" s="98" t="s">
        <v>69</v>
      </c>
      <c r="B26" s="93">
        <v>219.0</v>
      </c>
      <c r="C26" s="317"/>
      <c r="D26" s="188"/>
      <c r="E26" s="542"/>
      <c r="F26" s="188"/>
      <c r="G26" s="97"/>
      <c r="H26" s="97"/>
      <c r="I26" s="97"/>
      <c r="J26" s="97"/>
      <c r="K26" s="97"/>
      <c r="L26" s="97"/>
      <c r="M26" s="97"/>
      <c r="N26" s="97"/>
      <c r="O26" s="91"/>
      <c r="Q26" s="548">
        <f t="shared" si="1"/>
        <v>0</v>
      </c>
      <c r="R26" s="443">
        <f t="shared" si="2"/>
        <v>0</v>
      </c>
      <c r="S26" s="443">
        <f t="shared" si="3"/>
        <v>0</v>
      </c>
      <c r="T26" s="96"/>
      <c r="U26" s="97"/>
      <c r="V26" s="97"/>
      <c r="W26" s="97"/>
      <c r="X26" s="97"/>
      <c r="Y26" s="97"/>
      <c r="Z26" s="97"/>
      <c r="AA26" s="97"/>
      <c r="AB26" s="97"/>
      <c r="AC26" s="91"/>
    </row>
    <row r="27">
      <c r="A27" s="101" t="s">
        <v>70</v>
      </c>
      <c r="B27" s="93">
        <v>799.0</v>
      </c>
      <c r="C27" s="317"/>
      <c r="D27" s="188"/>
      <c r="E27" s="542"/>
      <c r="F27" s="188"/>
      <c r="G27" s="97"/>
      <c r="H27" s="97"/>
      <c r="I27" s="97"/>
      <c r="J27" s="97"/>
      <c r="K27" s="97"/>
      <c r="L27" s="97"/>
      <c r="M27" s="97"/>
      <c r="N27" s="97"/>
      <c r="O27" s="91"/>
      <c r="Q27" s="548">
        <f t="shared" si="1"/>
        <v>0</v>
      </c>
      <c r="R27" s="443">
        <f t="shared" si="2"/>
        <v>0</v>
      </c>
      <c r="S27" s="443">
        <f t="shared" si="3"/>
        <v>0</v>
      </c>
      <c r="T27" s="96"/>
      <c r="U27" s="97"/>
      <c r="V27" s="97"/>
      <c r="W27" s="97"/>
      <c r="X27" s="97"/>
      <c r="Y27" s="97"/>
      <c r="Z27" s="97"/>
      <c r="AA27" s="97"/>
      <c r="AB27" s="97"/>
      <c r="AC27" s="91"/>
    </row>
    <row r="28">
      <c r="A28" s="102" t="s">
        <v>71</v>
      </c>
      <c r="B28" s="93">
        <v>609.0</v>
      </c>
      <c r="C28" s="317"/>
      <c r="D28" s="188"/>
      <c r="E28" s="542"/>
      <c r="F28" s="188"/>
      <c r="G28" s="97"/>
      <c r="H28" s="97"/>
      <c r="I28" s="97"/>
      <c r="J28" s="97"/>
      <c r="K28" s="97"/>
      <c r="L28" s="97"/>
      <c r="M28" s="97"/>
      <c r="N28" s="97"/>
      <c r="O28" s="91"/>
      <c r="Q28" s="548">
        <f t="shared" si="1"/>
        <v>0</v>
      </c>
      <c r="R28" s="443">
        <f t="shared" si="2"/>
        <v>0</v>
      </c>
      <c r="S28" s="443">
        <f t="shared" si="3"/>
        <v>0</v>
      </c>
      <c r="T28" s="96"/>
      <c r="U28" s="97"/>
      <c r="V28" s="97"/>
      <c r="W28" s="97"/>
      <c r="X28" s="97"/>
      <c r="Y28" s="97"/>
      <c r="Z28" s="97"/>
      <c r="AA28" s="97"/>
      <c r="AB28" s="97"/>
      <c r="AC28" s="91"/>
    </row>
    <row r="29">
      <c r="A29" s="101" t="s">
        <v>72</v>
      </c>
      <c r="B29" s="93">
        <v>329.0</v>
      </c>
      <c r="C29" s="317"/>
      <c r="D29" s="188"/>
      <c r="E29" s="542"/>
      <c r="F29" s="188"/>
      <c r="G29" s="97"/>
      <c r="H29" s="97"/>
      <c r="I29" s="97"/>
      <c r="J29" s="97"/>
      <c r="K29" s="97"/>
      <c r="L29" s="97"/>
      <c r="M29" s="97"/>
      <c r="N29" s="97"/>
      <c r="O29" s="91"/>
      <c r="Q29" s="548">
        <f t="shared" si="1"/>
        <v>0</v>
      </c>
      <c r="R29" s="443">
        <f t="shared" si="2"/>
        <v>0</v>
      </c>
      <c r="S29" s="443">
        <f t="shared" si="3"/>
        <v>0</v>
      </c>
      <c r="T29" s="96"/>
      <c r="U29" s="97"/>
      <c r="V29" s="97"/>
      <c r="W29" s="97"/>
      <c r="X29" s="97"/>
      <c r="Y29" s="97"/>
      <c r="Z29" s="97"/>
      <c r="AA29" s="97"/>
      <c r="AB29" s="97"/>
      <c r="AC29" s="91"/>
    </row>
    <row r="30">
      <c r="A30" s="101" t="s">
        <v>73</v>
      </c>
      <c r="B30" s="93">
        <v>329.0</v>
      </c>
      <c r="C30" s="317"/>
      <c r="D30" s="188"/>
      <c r="E30" s="542"/>
      <c r="F30" s="188"/>
      <c r="G30" s="97"/>
      <c r="H30" s="97"/>
      <c r="I30" s="97"/>
      <c r="J30" s="97"/>
      <c r="K30" s="97"/>
      <c r="L30" s="97"/>
      <c r="M30" s="97"/>
      <c r="N30" s="97"/>
      <c r="O30" s="91"/>
      <c r="Q30" s="548">
        <f t="shared" si="1"/>
        <v>0</v>
      </c>
      <c r="R30" s="443">
        <f t="shared" si="2"/>
        <v>0</v>
      </c>
      <c r="S30" s="443">
        <f t="shared" si="3"/>
        <v>0</v>
      </c>
      <c r="T30" s="96"/>
      <c r="U30" s="97"/>
      <c r="V30" s="97"/>
      <c r="W30" s="97"/>
      <c r="X30" s="97"/>
      <c r="Y30" s="97"/>
      <c r="Z30" s="97"/>
      <c r="AA30" s="97"/>
      <c r="AB30" s="97"/>
      <c r="AC30" s="91"/>
    </row>
    <row r="31">
      <c r="A31" s="101" t="s">
        <v>74</v>
      </c>
      <c r="B31" s="93">
        <v>219.0</v>
      </c>
      <c r="C31" s="323"/>
      <c r="D31" s="188"/>
      <c r="E31" s="542"/>
      <c r="F31" s="188"/>
      <c r="G31" s="97"/>
      <c r="H31" s="97"/>
      <c r="I31" s="97"/>
      <c r="J31" s="97"/>
      <c r="K31" s="97"/>
      <c r="L31" s="97"/>
      <c r="M31" s="97"/>
      <c r="N31" s="97"/>
      <c r="O31" s="91"/>
      <c r="Q31" s="548">
        <f t="shared" si="1"/>
        <v>0</v>
      </c>
      <c r="R31" s="443">
        <f t="shared" si="2"/>
        <v>0</v>
      </c>
      <c r="S31" s="443">
        <f t="shared" si="3"/>
        <v>0</v>
      </c>
      <c r="T31" s="96"/>
      <c r="U31" s="97"/>
      <c r="V31" s="97"/>
      <c r="W31" s="97"/>
      <c r="X31" s="97"/>
      <c r="Y31" s="97"/>
      <c r="Z31" s="97"/>
      <c r="AA31" s="97"/>
      <c r="AB31" s="97"/>
      <c r="AC31" s="91"/>
    </row>
    <row r="32">
      <c r="A32" s="101" t="s">
        <v>75</v>
      </c>
      <c r="B32" s="93">
        <v>219.0</v>
      </c>
      <c r="C32" s="317"/>
      <c r="D32" s="188"/>
      <c r="E32" s="542"/>
      <c r="F32" s="188"/>
      <c r="G32" s="97"/>
      <c r="H32" s="97"/>
      <c r="I32" s="97"/>
      <c r="J32" s="97"/>
      <c r="K32" s="97"/>
      <c r="L32" s="97"/>
      <c r="M32" s="97"/>
      <c r="N32" s="97"/>
      <c r="O32" s="91"/>
      <c r="Q32" s="548">
        <f t="shared" si="1"/>
        <v>0</v>
      </c>
      <c r="R32" s="443">
        <f t="shared" si="2"/>
        <v>0</v>
      </c>
      <c r="S32" s="443">
        <f t="shared" si="3"/>
        <v>0</v>
      </c>
      <c r="T32" s="96"/>
      <c r="U32" s="97"/>
      <c r="V32" s="97"/>
      <c r="W32" s="97"/>
      <c r="X32" s="97"/>
      <c r="Y32" s="97"/>
      <c r="Z32" s="97"/>
      <c r="AA32" s="97"/>
      <c r="AB32" s="97"/>
      <c r="AC32" s="91"/>
    </row>
    <row r="33">
      <c r="A33" s="101" t="s">
        <v>76</v>
      </c>
      <c r="B33" s="93">
        <v>439.0</v>
      </c>
      <c r="C33" s="317"/>
      <c r="D33" s="188"/>
      <c r="E33" s="542"/>
      <c r="F33" s="188"/>
      <c r="G33" s="97"/>
      <c r="H33" s="97"/>
      <c r="I33" s="97"/>
      <c r="J33" s="97"/>
      <c r="K33" s="97"/>
      <c r="L33" s="97"/>
      <c r="M33" s="97"/>
      <c r="N33" s="97"/>
      <c r="O33" s="91"/>
      <c r="Q33" s="548">
        <f t="shared" si="1"/>
        <v>0</v>
      </c>
      <c r="R33" s="443">
        <f t="shared" si="2"/>
        <v>0</v>
      </c>
      <c r="S33" s="443">
        <f t="shared" si="3"/>
        <v>0</v>
      </c>
      <c r="T33" s="96"/>
      <c r="U33" s="97"/>
      <c r="V33" s="97"/>
      <c r="W33" s="97"/>
      <c r="X33" s="97"/>
      <c r="Y33" s="97"/>
      <c r="Z33" s="97"/>
      <c r="AA33" s="97"/>
      <c r="AB33" s="97"/>
      <c r="AC33" s="91"/>
    </row>
    <row r="34">
      <c r="A34" s="101" t="s">
        <v>77</v>
      </c>
      <c r="B34" s="93">
        <v>899.0</v>
      </c>
      <c r="C34" s="317"/>
      <c r="D34" s="188"/>
      <c r="E34" s="178"/>
      <c r="F34" s="188"/>
      <c r="G34" s="97"/>
      <c r="H34" s="97"/>
      <c r="I34" s="97"/>
      <c r="J34" s="97"/>
      <c r="K34" s="97"/>
      <c r="L34" s="97"/>
      <c r="M34" s="97"/>
      <c r="N34" s="97"/>
      <c r="O34" s="91"/>
      <c r="Q34" s="548">
        <f t="shared" si="1"/>
        <v>0</v>
      </c>
      <c r="R34" s="443">
        <f t="shared" si="2"/>
        <v>0</v>
      </c>
      <c r="S34" s="443">
        <f t="shared" si="3"/>
        <v>0</v>
      </c>
      <c r="T34" s="96"/>
      <c r="U34" s="97"/>
      <c r="V34" s="97"/>
      <c r="W34" s="97"/>
      <c r="X34" s="97"/>
      <c r="Y34" s="97"/>
      <c r="Z34" s="97"/>
      <c r="AA34" s="97"/>
      <c r="AB34" s="97"/>
      <c r="AC34" s="91"/>
    </row>
    <row r="35">
      <c r="A35" s="101" t="s">
        <v>78</v>
      </c>
      <c r="B35" s="93">
        <v>549.0</v>
      </c>
      <c r="C35" s="317"/>
      <c r="D35" s="178"/>
      <c r="E35" s="542"/>
      <c r="F35" s="188"/>
      <c r="G35" s="97"/>
      <c r="H35" s="97"/>
      <c r="I35" s="97"/>
      <c r="J35" s="97"/>
      <c r="K35" s="97"/>
      <c r="L35" s="97"/>
      <c r="M35" s="97"/>
      <c r="N35" s="97"/>
      <c r="O35" s="91"/>
      <c r="Q35" s="548">
        <f t="shared" si="1"/>
        <v>0</v>
      </c>
      <c r="R35" s="443">
        <f t="shared" si="2"/>
        <v>0</v>
      </c>
      <c r="S35" s="443">
        <f t="shared" si="3"/>
        <v>0</v>
      </c>
      <c r="T35" s="96"/>
      <c r="U35" s="97"/>
      <c r="V35" s="97"/>
      <c r="W35" s="97"/>
      <c r="X35" s="97"/>
      <c r="Y35" s="97"/>
      <c r="Z35" s="97"/>
      <c r="AA35" s="97"/>
      <c r="AB35" s="97"/>
      <c r="AC35" s="91"/>
    </row>
    <row r="36">
      <c r="A36" s="101" t="s">
        <v>79</v>
      </c>
      <c r="B36" s="93">
        <v>549.0</v>
      </c>
      <c r="C36" s="317"/>
      <c r="D36" s="178"/>
      <c r="E36" s="542"/>
      <c r="F36" s="188"/>
      <c r="G36" s="97"/>
      <c r="H36" s="97"/>
      <c r="I36" s="97"/>
      <c r="J36" s="97"/>
      <c r="K36" s="97"/>
      <c r="L36" s="97"/>
      <c r="M36" s="97"/>
      <c r="N36" s="97"/>
      <c r="O36" s="91"/>
      <c r="Q36" s="548">
        <f t="shared" si="1"/>
        <v>0</v>
      </c>
      <c r="R36" s="443">
        <f t="shared" si="2"/>
        <v>0</v>
      </c>
      <c r="S36" s="443">
        <f t="shared" si="3"/>
        <v>0</v>
      </c>
      <c r="T36" s="96"/>
      <c r="U36" s="97"/>
      <c r="V36" s="97"/>
      <c r="W36" s="97"/>
      <c r="X36" s="97"/>
      <c r="Y36" s="97"/>
      <c r="Z36" s="97"/>
      <c r="AA36" s="97"/>
      <c r="AB36" s="97"/>
      <c r="AC36" s="91"/>
    </row>
    <row r="37">
      <c r="A37" s="101" t="s">
        <v>80</v>
      </c>
      <c r="B37" s="93">
        <v>549.0</v>
      </c>
      <c r="C37" s="317"/>
      <c r="D37" s="188"/>
      <c r="E37" s="542"/>
      <c r="F37" s="188"/>
      <c r="G37" s="97"/>
      <c r="H37" s="97"/>
      <c r="I37" s="97"/>
      <c r="J37" s="97"/>
      <c r="K37" s="97"/>
      <c r="L37" s="97"/>
      <c r="M37" s="97"/>
      <c r="N37" s="97"/>
      <c r="O37" s="91"/>
      <c r="Q37" s="548">
        <f t="shared" si="1"/>
        <v>0</v>
      </c>
      <c r="R37" s="443">
        <f t="shared" si="2"/>
        <v>0</v>
      </c>
      <c r="S37" s="443">
        <f t="shared" si="3"/>
        <v>0</v>
      </c>
      <c r="T37" s="96"/>
      <c r="U37" s="97"/>
      <c r="V37" s="97"/>
      <c r="W37" s="97"/>
      <c r="X37" s="97"/>
      <c r="Y37" s="97"/>
      <c r="Z37" s="97"/>
      <c r="AA37" s="97"/>
      <c r="AB37" s="97"/>
      <c r="AC37" s="91"/>
    </row>
    <row r="38">
      <c r="A38" s="102" t="s">
        <v>81</v>
      </c>
      <c r="B38" s="93">
        <v>799.0</v>
      </c>
      <c r="C38" s="317"/>
      <c r="D38" s="188"/>
      <c r="E38" s="542"/>
      <c r="F38" s="188"/>
      <c r="G38" s="97"/>
      <c r="H38" s="97"/>
      <c r="I38" s="97"/>
      <c r="J38" s="97"/>
      <c r="K38" s="97"/>
      <c r="L38" s="97"/>
      <c r="M38" s="97"/>
      <c r="N38" s="97"/>
      <c r="O38" s="91"/>
      <c r="Q38" s="548">
        <f t="shared" si="1"/>
        <v>0</v>
      </c>
      <c r="R38" s="443">
        <f t="shared" si="2"/>
        <v>0</v>
      </c>
      <c r="S38" s="443">
        <f t="shared" si="3"/>
        <v>0</v>
      </c>
      <c r="T38" s="96"/>
      <c r="U38" s="97"/>
      <c r="V38" s="97"/>
      <c r="W38" s="97"/>
      <c r="X38" s="97"/>
      <c r="Y38" s="97"/>
      <c r="Z38" s="97"/>
      <c r="AA38" s="97"/>
      <c r="AB38" s="97"/>
      <c r="AC38" s="91"/>
    </row>
    <row r="39">
      <c r="A39" s="102" t="s">
        <v>82</v>
      </c>
      <c r="B39" s="93">
        <v>799.0</v>
      </c>
      <c r="C39" s="317"/>
      <c r="D39" s="188"/>
      <c r="E39" s="542"/>
      <c r="F39" s="188"/>
      <c r="G39" s="97"/>
      <c r="H39" s="97"/>
      <c r="I39" s="97"/>
      <c r="J39" s="97"/>
      <c r="K39" s="97"/>
      <c r="L39" s="97"/>
      <c r="M39" s="97"/>
      <c r="N39" s="97"/>
      <c r="O39" s="91"/>
      <c r="Q39" s="548">
        <f t="shared" si="1"/>
        <v>0</v>
      </c>
      <c r="R39" s="443">
        <f t="shared" si="2"/>
        <v>0</v>
      </c>
      <c r="S39" s="443">
        <f t="shared" si="3"/>
        <v>0</v>
      </c>
      <c r="T39" s="96"/>
      <c r="U39" s="97"/>
      <c r="V39" s="97"/>
      <c r="W39" s="97"/>
      <c r="X39" s="97"/>
      <c r="Y39" s="97"/>
      <c r="Z39" s="97"/>
      <c r="AA39" s="97"/>
      <c r="AB39" s="97"/>
      <c r="AC39" s="91"/>
    </row>
    <row r="40">
      <c r="A40" s="101" t="s">
        <v>83</v>
      </c>
      <c r="B40" s="93">
        <v>439.0</v>
      </c>
      <c r="C40" s="317"/>
      <c r="D40" s="188"/>
      <c r="E40" s="542"/>
      <c r="F40" s="188"/>
      <c r="G40" s="97"/>
      <c r="H40" s="97"/>
      <c r="I40" s="97"/>
      <c r="J40" s="97"/>
      <c r="K40" s="97"/>
      <c r="L40" s="97"/>
      <c r="M40" s="97"/>
      <c r="N40" s="97"/>
      <c r="O40" s="91"/>
      <c r="Q40" s="548">
        <f t="shared" si="1"/>
        <v>0</v>
      </c>
      <c r="R40" s="443">
        <f t="shared" si="2"/>
        <v>0</v>
      </c>
      <c r="S40" s="443">
        <f t="shared" si="3"/>
        <v>0</v>
      </c>
      <c r="T40" s="96"/>
      <c r="U40" s="97"/>
      <c r="V40" s="97"/>
      <c r="W40" s="97"/>
      <c r="X40" s="97"/>
      <c r="Y40" s="97"/>
      <c r="Z40" s="97"/>
      <c r="AA40" s="97"/>
      <c r="AB40" s="97"/>
      <c r="AC40" s="91"/>
    </row>
    <row r="41">
      <c r="A41" s="101" t="s">
        <v>84</v>
      </c>
      <c r="B41" s="93">
        <v>439.0</v>
      </c>
      <c r="C41" s="317"/>
      <c r="D41" s="188"/>
      <c r="E41" s="542"/>
      <c r="F41" s="188"/>
      <c r="G41" s="97"/>
      <c r="H41" s="97"/>
      <c r="I41" s="97"/>
      <c r="J41" s="97"/>
      <c r="K41" s="97"/>
      <c r="L41" s="97"/>
      <c r="M41" s="97"/>
      <c r="N41" s="97"/>
      <c r="O41" s="91"/>
      <c r="Q41" s="548">
        <f t="shared" si="1"/>
        <v>0</v>
      </c>
      <c r="R41" s="443">
        <f t="shared" si="2"/>
        <v>0</v>
      </c>
      <c r="S41" s="443">
        <f t="shared" si="3"/>
        <v>0</v>
      </c>
      <c r="T41" s="96"/>
      <c r="U41" s="97"/>
      <c r="V41" s="97"/>
      <c r="W41" s="97"/>
      <c r="X41" s="97"/>
      <c r="Y41" s="97"/>
      <c r="Z41" s="97"/>
      <c r="AA41" s="97"/>
      <c r="AB41" s="97"/>
      <c r="AC41" s="91"/>
    </row>
    <row r="42">
      <c r="A42" s="101" t="s">
        <v>85</v>
      </c>
      <c r="B42" s="93">
        <v>60.0</v>
      </c>
      <c r="C42" s="317"/>
      <c r="D42" s="188"/>
      <c r="E42" s="542"/>
      <c r="F42" s="188"/>
      <c r="G42" s="97"/>
      <c r="H42" s="97"/>
      <c r="I42" s="97"/>
      <c r="J42" s="97"/>
      <c r="K42" s="97"/>
      <c r="L42" s="97"/>
      <c r="M42" s="97"/>
      <c r="N42" s="97"/>
      <c r="O42" s="91"/>
      <c r="Q42" s="548">
        <f t="shared" si="1"/>
        <v>0</v>
      </c>
      <c r="R42" s="443">
        <f t="shared" si="2"/>
        <v>0</v>
      </c>
      <c r="S42" s="443">
        <f t="shared" si="3"/>
        <v>0</v>
      </c>
      <c r="T42" s="96"/>
      <c r="U42" s="97"/>
      <c r="V42" s="97"/>
      <c r="W42" s="97"/>
      <c r="X42" s="97"/>
      <c r="Y42" s="97"/>
      <c r="Z42" s="97"/>
      <c r="AA42" s="97"/>
      <c r="AB42" s="97"/>
      <c r="AC42" s="91"/>
    </row>
    <row r="43">
      <c r="A43" s="101" t="s">
        <v>86</v>
      </c>
      <c r="B43" s="93">
        <v>609.0</v>
      </c>
      <c r="C43" s="212"/>
      <c r="D43" s="215"/>
      <c r="E43" s="327"/>
      <c r="F43" s="215"/>
      <c r="G43" s="97"/>
      <c r="H43" s="97"/>
      <c r="I43" s="97"/>
      <c r="J43" s="97"/>
      <c r="K43" s="97"/>
      <c r="L43" s="97"/>
      <c r="M43" s="97"/>
      <c r="N43" s="97"/>
      <c r="O43" s="91"/>
      <c r="Q43" s="548">
        <f t="shared" si="1"/>
        <v>0</v>
      </c>
      <c r="R43" s="443">
        <f t="shared" si="2"/>
        <v>0</v>
      </c>
      <c r="S43" s="443">
        <f t="shared" si="3"/>
        <v>0</v>
      </c>
      <c r="T43" s="96"/>
      <c r="U43" s="97"/>
      <c r="V43" s="97"/>
      <c r="W43" s="97"/>
      <c r="X43" s="97"/>
      <c r="Y43" s="97"/>
      <c r="Z43" s="97"/>
      <c r="AA43" s="97"/>
      <c r="AB43" s="97"/>
      <c r="AC43" s="91"/>
    </row>
    <row r="44">
      <c r="A44" s="101" t="s">
        <v>87</v>
      </c>
      <c r="B44" s="93">
        <v>379.0</v>
      </c>
      <c r="C44" s="329"/>
      <c r="D44" s="215"/>
      <c r="E44" s="327"/>
      <c r="F44" s="215"/>
      <c r="G44" s="97"/>
      <c r="H44" s="97"/>
      <c r="I44" s="97"/>
      <c r="J44" s="97"/>
      <c r="K44" s="97"/>
      <c r="L44" s="97"/>
      <c r="M44" s="97"/>
      <c r="N44" s="97"/>
      <c r="O44" s="91"/>
      <c r="Q44" s="548">
        <f t="shared" si="1"/>
        <v>0</v>
      </c>
      <c r="R44" s="443">
        <f t="shared" si="2"/>
        <v>0</v>
      </c>
      <c r="S44" s="443">
        <f t="shared" si="3"/>
        <v>0</v>
      </c>
      <c r="T44" s="96"/>
      <c r="U44" s="97"/>
      <c r="V44" s="97"/>
      <c r="W44" s="97"/>
      <c r="X44" s="97"/>
      <c r="Y44" s="97"/>
      <c r="Z44" s="97"/>
      <c r="AA44" s="97"/>
      <c r="AB44" s="97"/>
      <c r="AC44" s="91"/>
    </row>
    <row r="45">
      <c r="A45" s="101" t="s">
        <v>88</v>
      </c>
      <c r="B45" s="93">
        <v>379.0</v>
      </c>
      <c r="C45" s="329"/>
      <c r="D45" s="215"/>
      <c r="E45" s="327"/>
      <c r="F45" s="215"/>
      <c r="G45" s="97"/>
      <c r="H45" s="97"/>
      <c r="I45" s="97"/>
      <c r="J45" s="97"/>
      <c r="K45" s="97"/>
      <c r="L45" s="97"/>
      <c r="M45" s="97"/>
      <c r="N45" s="97"/>
      <c r="O45" s="91"/>
      <c r="Q45" s="548">
        <f t="shared" si="1"/>
        <v>0</v>
      </c>
      <c r="R45" s="443">
        <f t="shared" si="2"/>
        <v>0</v>
      </c>
      <c r="S45" s="443">
        <f t="shared" si="3"/>
        <v>0</v>
      </c>
      <c r="T45" s="96"/>
      <c r="U45" s="97"/>
      <c r="V45" s="97"/>
      <c r="W45" s="97"/>
      <c r="X45" s="97"/>
      <c r="Y45" s="97"/>
      <c r="Z45" s="97"/>
      <c r="AA45" s="97"/>
      <c r="AB45" s="97"/>
      <c r="AC45" s="91"/>
    </row>
    <row r="46">
      <c r="A46" s="101" t="s">
        <v>89</v>
      </c>
      <c r="B46" s="93">
        <v>1299.0</v>
      </c>
      <c r="C46" s="329"/>
      <c r="D46" s="215"/>
      <c r="E46" s="327"/>
      <c r="F46" s="215"/>
      <c r="G46" s="97"/>
      <c r="H46" s="97"/>
      <c r="I46" s="97"/>
      <c r="J46" s="97"/>
      <c r="K46" s="97"/>
      <c r="L46" s="97"/>
      <c r="M46" s="97"/>
      <c r="N46" s="97"/>
      <c r="O46" s="91"/>
      <c r="Q46" s="548">
        <f t="shared" si="1"/>
        <v>0</v>
      </c>
      <c r="R46" s="443">
        <f t="shared" si="2"/>
        <v>0</v>
      </c>
      <c r="S46" s="443">
        <f t="shared" si="3"/>
        <v>0</v>
      </c>
      <c r="T46" s="96"/>
      <c r="U46" s="97"/>
      <c r="V46" s="97"/>
      <c r="W46" s="97"/>
      <c r="X46" s="97"/>
      <c r="Y46" s="97"/>
      <c r="Z46" s="97"/>
      <c r="AA46" s="97"/>
      <c r="AB46" s="97"/>
      <c r="AC46" s="91"/>
    </row>
    <row r="47">
      <c r="A47" s="67" t="s">
        <v>90</v>
      </c>
      <c r="B47" s="93">
        <v>1299.0</v>
      </c>
      <c r="C47" s="329"/>
      <c r="D47" s="215"/>
      <c r="E47" s="327"/>
      <c r="F47" s="215"/>
      <c r="G47" s="97"/>
      <c r="H47" s="97"/>
      <c r="I47" s="97"/>
      <c r="J47" s="97"/>
      <c r="K47" s="97"/>
      <c r="L47" s="97"/>
      <c r="M47" s="97"/>
      <c r="N47" s="97"/>
      <c r="O47" s="91"/>
      <c r="Q47" s="548">
        <f t="shared" si="1"/>
        <v>0</v>
      </c>
      <c r="R47" s="443">
        <f t="shared" si="2"/>
        <v>0</v>
      </c>
      <c r="S47" s="443">
        <f t="shared" si="3"/>
        <v>0</v>
      </c>
      <c r="T47" s="96"/>
      <c r="U47" s="97"/>
      <c r="V47" s="97"/>
      <c r="W47" s="97"/>
      <c r="X47" s="97"/>
      <c r="Y47" s="97"/>
      <c r="Z47" s="97"/>
      <c r="AA47" s="97"/>
      <c r="AB47" s="97"/>
      <c r="AC47" s="91"/>
    </row>
    <row r="48">
      <c r="A48" s="101" t="s">
        <v>91</v>
      </c>
      <c r="B48" s="103">
        <v>0.0</v>
      </c>
      <c r="C48" s="329"/>
      <c r="D48" s="215"/>
      <c r="E48" s="327"/>
      <c r="F48" s="215"/>
      <c r="G48" s="97"/>
      <c r="H48" s="97"/>
      <c r="I48" s="97"/>
      <c r="J48" s="97"/>
      <c r="K48" s="97"/>
      <c r="L48" s="97"/>
      <c r="M48" s="97"/>
      <c r="N48" s="97"/>
      <c r="O48" s="91"/>
      <c r="Q48" s="548">
        <f t="shared" si="1"/>
        <v>0</v>
      </c>
      <c r="R48" s="443">
        <f t="shared" si="2"/>
        <v>0</v>
      </c>
      <c r="S48" s="443">
        <f t="shared" si="3"/>
        <v>0</v>
      </c>
      <c r="T48" s="96"/>
      <c r="U48" s="97"/>
      <c r="V48" s="97"/>
      <c r="W48" s="97"/>
      <c r="X48" s="97"/>
      <c r="Y48" s="97"/>
      <c r="Z48" s="97"/>
      <c r="AA48" s="97"/>
      <c r="AB48" s="97"/>
      <c r="AC48" s="91"/>
    </row>
    <row r="49">
      <c r="A49" s="104"/>
      <c r="B49" s="105"/>
      <c r="C49" s="329"/>
      <c r="D49" s="215"/>
      <c r="E49" s="327"/>
      <c r="F49" s="215"/>
      <c r="G49" s="97"/>
      <c r="H49" s="97"/>
      <c r="I49" s="97"/>
      <c r="J49" s="97"/>
      <c r="K49" s="97"/>
      <c r="L49" s="97"/>
      <c r="M49" s="97"/>
      <c r="N49" s="97"/>
      <c r="O49" s="91"/>
      <c r="Q49" s="548">
        <f t="shared" si="1"/>
        <v>0</v>
      </c>
      <c r="R49" s="443">
        <f t="shared" si="2"/>
        <v>0</v>
      </c>
      <c r="S49" s="443">
        <f t="shared" si="3"/>
        <v>0</v>
      </c>
      <c r="T49" s="96"/>
      <c r="U49" s="97"/>
      <c r="V49" s="97"/>
      <c r="W49" s="97"/>
      <c r="X49" s="97"/>
      <c r="Y49" s="97"/>
      <c r="Z49" s="97"/>
      <c r="AA49" s="97"/>
      <c r="AB49" s="97"/>
      <c r="AC49" s="91"/>
    </row>
    <row r="50">
      <c r="A50" s="102" t="s">
        <v>92</v>
      </c>
      <c r="B50" s="106">
        <v>609.0</v>
      </c>
      <c r="C50" s="212"/>
      <c r="D50" s="215"/>
      <c r="E50" s="327"/>
      <c r="F50" s="215"/>
      <c r="G50" s="97"/>
      <c r="H50" s="97"/>
      <c r="I50" s="97"/>
      <c r="J50" s="97"/>
      <c r="K50" s="97"/>
      <c r="L50" s="97"/>
      <c r="M50" s="97"/>
      <c r="N50" s="97"/>
      <c r="O50" s="91"/>
      <c r="Q50" s="548">
        <f t="shared" si="1"/>
        <v>0</v>
      </c>
      <c r="R50" s="443">
        <f t="shared" si="2"/>
        <v>0</v>
      </c>
      <c r="S50" s="443">
        <f t="shared" si="3"/>
        <v>0</v>
      </c>
      <c r="T50" s="96"/>
      <c r="U50" s="97"/>
      <c r="V50" s="97"/>
      <c r="W50" s="97"/>
      <c r="X50" s="97"/>
      <c r="Y50" s="97"/>
      <c r="Z50" s="97"/>
      <c r="AA50" s="97"/>
      <c r="AB50" s="97"/>
      <c r="AC50" s="91"/>
    </row>
    <row r="51">
      <c r="A51" s="102" t="s">
        <v>93</v>
      </c>
      <c r="B51" s="93">
        <v>609.0</v>
      </c>
      <c r="C51" s="329"/>
      <c r="D51" s="215"/>
      <c r="E51" s="327"/>
      <c r="F51" s="215"/>
      <c r="G51" s="97"/>
      <c r="H51" s="97"/>
      <c r="I51" s="97"/>
      <c r="J51" s="97"/>
      <c r="K51" s="97"/>
      <c r="L51" s="97"/>
      <c r="M51" s="97"/>
      <c r="N51" s="97"/>
      <c r="O51" s="91"/>
      <c r="Q51" s="548">
        <f t="shared" si="1"/>
        <v>0</v>
      </c>
      <c r="R51" s="443">
        <f t="shared" si="2"/>
        <v>0</v>
      </c>
      <c r="S51" s="443">
        <f t="shared" si="3"/>
        <v>0</v>
      </c>
      <c r="T51" s="96"/>
      <c r="U51" s="97"/>
      <c r="V51" s="97"/>
      <c r="W51" s="97"/>
      <c r="X51" s="97"/>
      <c r="Y51" s="97"/>
      <c r="Z51" s="97"/>
      <c r="AA51" s="97"/>
      <c r="AB51" s="97"/>
      <c r="AC51" s="91"/>
    </row>
    <row r="52">
      <c r="A52" s="102" t="s">
        <v>94</v>
      </c>
      <c r="B52" s="93">
        <v>329.0</v>
      </c>
      <c r="C52" s="329"/>
      <c r="D52" s="215"/>
      <c r="E52" s="327"/>
      <c r="F52" s="215"/>
      <c r="G52" s="97"/>
      <c r="H52" s="97"/>
      <c r="I52" s="97"/>
      <c r="J52" s="97"/>
      <c r="K52" s="97"/>
      <c r="L52" s="97"/>
      <c r="M52" s="97"/>
      <c r="N52" s="97"/>
      <c r="O52" s="91"/>
      <c r="Q52" s="548">
        <f t="shared" si="1"/>
        <v>0</v>
      </c>
      <c r="R52" s="443">
        <f t="shared" si="2"/>
        <v>0</v>
      </c>
      <c r="S52" s="443">
        <f t="shared" si="3"/>
        <v>0</v>
      </c>
      <c r="T52" s="96"/>
      <c r="U52" s="97"/>
      <c r="V52" s="97"/>
      <c r="W52" s="97"/>
      <c r="X52" s="97"/>
      <c r="Y52" s="97"/>
      <c r="Z52" s="97"/>
      <c r="AA52" s="97"/>
      <c r="AB52" s="97"/>
      <c r="AC52" s="91"/>
    </row>
    <row r="53">
      <c r="A53" s="102" t="s">
        <v>95</v>
      </c>
      <c r="B53" s="93">
        <v>199.0</v>
      </c>
      <c r="C53" s="329"/>
      <c r="D53" s="215"/>
      <c r="E53" s="327"/>
      <c r="F53" s="215"/>
      <c r="G53" s="97"/>
      <c r="H53" s="97"/>
      <c r="I53" s="97"/>
      <c r="J53" s="97"/>
      <c r="K53" s="97"/>
      <c r="L53" s="97"/>
      <c r="M53" s="97"/>
      <c r="N53" s="97"/>
      <c r="O53" s="91"/>
      <c r="Q53" s="548">
        <f t="shared" si="1"/>
        <v>0</v>
      </c>
      <c r="R53" s="443">
        <f t="shared" si="2"/>
        <v>0</v>
      </c>
      <c r="S53" s="443">
        <f t="shared" si="3"/>
        <v>0</v>
      </c>
      <c r="T53" s="96"/>
      <c r="U53" s="97"/>
      <c r="V53" s="97"/>
      <c r="W53" s="97"/>
      <c r="X53" s="97"/>
      <c r="Y53" s="97"/>
      <c r="Z53" s="97"/>
      <c r="AA53" s="97"/>
      <c r="AB53" s="97"/>
      <c r="AC53" s="91"/>
    </row>
    <row r="54">
      <c r="A54" s="102" t="s">
        <v>96</v>
      </c>
      <c r="B54" s="93">
        <v>199.0</v>
      </c>
      <c r="C54" s="329"/>
      <c r="D54" s="215"/>
      <c r="E54" s="327"/>
      <c r="F54" s="215"/>
      <c r="G54" s="97"/>
      <c r="H54" s="97"/>
      <c r="I54" s="97"/>
      <c r="J54" s="97"/>
      <c r="K54" s="97"/>
      <c r="L54" s="97"/>
      <c r="M54" s="97"/>
      <c r="N54" s="97"/>
      <c r="O54" s="91"/>
      <c r="Q54" s="548">
        <f t="shared" si="1"/>
        <v>0</v>
      </c>
      <c r="R54" s="443">
        <f t="shared" si="2"/>
        <v>0</v>
      </c>
      <c r="S54" s="443">
        <f t="shared" si="3"/>
        <v>0</v>
      </c>
      <c r="T54" s="96"/>
      <c r="U54" s="97"/>
      <c r="V54" s="97"/>
      <c r="W54" s="97"/>
      <c r="X54" s="97"/>
      <c r="Y54" s="97"/>
      <c r="Z54" s="97"/>
      <c r="AA54" s="97"/>
      <c r="AB54" s="97"/>
      <c r="AC54" s="91"/>
    </row>
    <row r="55">
      <c r="A55" s="67" t="s">
        <v>97</v>
      </c>
      <c r="B55" s="93">
        <v>599.0</v>
      </c>
      <c r="C55" s="329"/>
      <c r="D55" s="215"/>
      <c r="E55" s="327"/>
      <c r="F55" s="215"/>
      <c r="G55" s="97"/>
      <c r="H55" s="97"/>
      <c r="I55" s="97"/>
      <c r="J55" s="97"/>
      <c r="K55" s="97"/>
      <c r="L55" s="97"/>
      <c r="M55" s="97"/>
      <c r="N55" s="97"/>
      <c r="O55" s="91"/>
      <c r="Q55" s="548">
        <f t="shared" si="1"/>
        <v>0</v>
      </c>
      <c r="R55" s="443">
        <f t="shared" si="2"/>
        <v>0</v>
      </c>
      <c r="S55" s="443">
        <f t="shared" si="3"/>
        <v>0</v>
      </c>
      <c r="T55" s="96"/>
      <c r="U55" s="97"/>
      <c r="V55" s="97"/>
      <c r="W55" s="97"/>
      <c r="X55" s="97"/>
      <c r="Y55" s="97"/>
      <c r="Z55" s="97"/>
      <c r="AA55" s="97"/>
      <c r="AB55" s="97"/>
      <c r="AC55" s="91"/>
    </row>
    <row r="56">
      <c r="A56" s="102" t="s">
        <v>98</v>
      </c>
      <c r="B56" s="93">
        <v>1499.0</v>
      </c>
      <c r="C56" s="329"/>
      <c r="D56" s="215"/>
      <c r="E56" s="327"/>
      <c r="F56" s="215"/>
      <c r="G56" s="97"/>
      <c r="H56" s="97"/>
      <c r="I56" s="97"/>
      <c r="J56" s="97"/>
      <c r="K56" s="97"/>
      <c r="L56" s="97"/>
      <c r="M56" s="97"/>
      <c r="N56" s="97"/>
      <c r="O56" s="91"/>
      <c r="Q56" s="548">
        <f t="shared" si="1"/>
        <v>0</v>
      </c>
      <c r="R56" s="443">
        <f t="shared" si="2"/>
        <v>0</v>
      </c>
      <c r="S56" s="443">
        <f t="shared" si="3"/>
        <v>0</v>
      </c>
      <c r="T56" s="96"/>
      <c r="U56" s="97"/>
      <c r="V56" s="97"/>
      <c r="W56" s="97"/>
      <c r="X56" s="97"/>
      <c r="Y56" s="97"/>
      <c r="Z56" s="97"/>
      <c r="AA56" s="97"/>
      <c r="AB56" s="97"/>
      <c r="AC56" s="91"/>
    </row>
    <row r="57">
      <c r="A57" s="104"/>
      <c r="B57" s="99"/>
      <c r="C57" s="329"/>
      <c r="D57" s="215"/>
      <c r="E57" s="327"/>
      <c r="F57" s="215"/>
      <c r="G57" s="97"/>
      <c r="H57" s="97"/>
      <c r="I57" s="97"/>
      <c r="J57" s="97"/>
      <c r="K57" s="97"/>
      <c r="L57" s="97"/>
      <c r="M57" s="97"/>
      <c r="N57" s="97"/>
      <c r="O57" s="91"/>
      <c r="Q57" s="548">
        <f t="shared" si="1"/>
        <v>0</v>
      </c>
      <c r="R57" s="443">
        <f t="shared" si="2"/>
        <v>0</v>
      </c>
      <c r="S57" s="443">
        <f t="shared" si="3"/>
        <v>0</v>
      </c>
      <c r="T57" s="96"/>
      <c r="U57" s="97"/>
      <c r="V57" s="97"/>
      <c r="W57" s="97"/>
      <c r="X57" s="97"/>
      <c r="Y57" s="97"/>
      <c r="Z57" s="97"/>
      <c r="AA57" s="97"/>
      <c r="AB57" s="97"/>
      <c r="AC57" s="91"/>
    </row>
    <row r="58">
      <c r="A58" s="102" t="s">
        <v>99</v>
      </c>
      <c r="B58" s="93">
        <v>329.0</v>
      </c>
      <c r="C58" s="212">
        <v>6.0</v>
      </c>
      <c r="D58" s="217">
        <v>3.0</v>
      </c>
      <c r="E58" s="327"/>
      <c r="F58" s="215"/>
      <c r="G58" s="97"/>
      <c r="H58" s="97"/>
      <c r="I58" s="97"/>
      <c r="J58" s="97"/>
      <c r="K58" s="97"/>
      <c r="L58" s="97"/>
      <c r="M58" s="97"/>
      <c r="N58" s="97"/>
      <c r="O58" s="91"/>
      <c r="Q58" s="548">
        <f t="shared" si="1"/>
        <v>1974</v>
      </c>
      <c r="R58" s="443">
        <f t="shared" si="2"/>
        <v>987</v>
      </c>
      <c r="S58" s="443">
        <f t="shared" si="3"/>
        <v>0</v>
      </c>
      <c r="T58" s="96"/>
      <c r="U58" s="97"/>
      <c r="V58" s="97"/>
      <c r="W58" s="97"/>
      <c r="X58" s="97"/>
      <c r="Y58" s="97"/>
      <c r="Z58" s="97"/>
      <c r="AA58" s="97"/>
      <c r="AB58" s="97"/>
      <c r="AC58" s="91"/>
    </row>
    <row r="59">
      <c r="A59" s="102" t="s">
        <v>100</v>
      </c>
      <c r="B59" s="93">
        <v>329.0</v>
      </c>
      <c r="C59" s="212">
        <v>5.0</v>
      </c>
      <c r="D59" s="215"/>
      <c r="E59" s="327"/>
      <c r="F59" s="215"/>
      <c r="G59" s="97"/>
      <c r="H59" s="97"/>
      <c r="I59" s="97"/>
      <c r="J59" s="97"/>
      <c r="K59" s="97"/>
      <c r="L59" s="97"/>
      <c r="M59" s="97"/>
      <c r="N59" s="97"/>
      <c r="O59" s="91"/>
      <c r="Q59" s="548">
        <f t="shared" si="1"/>
        <v>1645</v>
      </c>
      <c r="R59" s="443">
        <f t="shared" si="2"/>
        <v>0</v>
      </c>
      <c r="S59" s="443">
        <f t="shared" si="3"/>
        <v>0</v>
      </c>
      <c r="T59" s="96"/>
      <c r="U59" s="97"/>
      <c r="V59" s="97"/>
      <c r="W59" s="97"/>
      <c r="X59" s="97"/>
      <c r="Y59" s="97"/>
      <c r="Z59" s="97"/>
      <c r="AA59" s="97"/>
      <c r="AB59" s="97"/>
      <c r="AC59" s="91"/>
    </row>
    <row r="60">
      <c r="A60" s="102" t="s">
        <v>101</v>
      </c>
      <c r="B60" s="93">
        <v>329.0</v>
      </c>
      <c r="C60" s="329"/>
      <c r="D60" s="215"/>
      <c r="E60" s="321">
        <v>2.0</v>
      </c>
      <c r="F60" s="215"/>
      <c r="G60" s="97"/>
      <c r="H60" s="97"/>
      <c r="I60" s="97"/>
      <c r="J60" s="97"/>
      <c r="K60" s="97"/>
      <c r="L60" s="97"/>
      <c r="M60" s="97"/>
      <c r="N60" s="97"/>
      <c r="O60" s="91"/>
      <c r="Q60" s="548">
        <f t="shared" si="1"/>
        <v>0</v>
      </c>
      <c r="R60" s="443">
        <f t="shared" si="2"/>
        <v>0</v>
      </c>
      <c r="S60" s="443">
        <f t="shared" si="3"/>
        <v>658</v>
      </c>
      <c r="T60" s="96"/>
      <c r="U60" s="97"/>
      <c r="V60" s="97"/>
      <c r="W60" s="97"/>
      <c r="X60" s="97"/>
      <c r="Y60" s="97"/>
      <c r="Z60" s="97"/>
      <c r="AA60" s="97"/>
      <c r="AB60" s="97"/>
      <c r="AC60" s="91"/>
    </row>
    <row r="61">
      <c r="A61" s="102" t="s">
        <v>102</v>
      </c>
      <c r="B61" s="93">
        <v>249.0</v>
      </c>
      <c r="C61" s="329"/>
      <c r="D61" s="215"/>
      <c r="E61" s="327"/>
      <c r="F61" s="215"/>
      <c r="G61" s="97"/>
      <c r="H61" s="97"/>
      <c r="I61" s="97"/>
      <c r="J61" s="97"/>
      <c r="K61" s="97"/>
      <c r="L61" s="97"/>
      <c r="M61" s="97"/>
      <c r="N61" s="97"/>
      <c r="O61" s="91"/>
      <c r="Q61" s="548">
        <f t="shared" si="1"/>
        <v>0</v>
      </c>
      <c r="R61" s="443">
        <f t="shared" si="2"/>
        <v>0</v>
      </c>
      <c r="S61" s="443">
        <f t="shared" si="3"/>
        <v>0</v>
      </c>
      <c r="T61" s="96"/>
      <c r="U61" s="97"/>
      <c r="V61" s="97"/>
      <c r="W61" s="97"/>
      <c r="X61" s="97"/>
      <c r="Y61" s="97"/>
      <c r="Z61" s="97"/>
      <c r="AA61" s="97"/>
      <c r="AB61" s="97"/>
      <c r="AC61" s="91"/>
    </row>
    <row r="62">
      <c r="A62" s="102" t="s">
        <v>103</v>
      </c>
      <c r="B62" s="93">
        <v>439.0</v>
      </c>
      <c r="C62" s="329"/>
      <c r="D62" s="200"/>
      <c r="E62" s="327"/>
      <c r="F62" s="215"/>
      <c r="G62" s="97"/>
      <c r="H62" s="97"/>
      <c r="I62" s="97"/>
      <c r="J62" s="97"/>
      <c r="K62" s="97"/>
      <c r="L62" s="97"/>
      <c r="M62" s="97"/>
      <c r="N62" s="97"/>
      <c r="O62" s="91"/>
      <c r="Q62" s="548">
        <f t="shared" si="1"/>
        <v>0</v>
      </c>
      <c r="R62" s="443">
        <f t="shared" si="2"/>
        <v>0</v>
      </c>
      <c r="S62" s="443">
        <f t="shared" si="3"/>
        <v>0</v>
      </c>
      <c r="T62" s="96"/>
      <c r="U62" s="97"/>
      <c r="V62" s="97"/>
      <c r="W62" s="97"/>
      <c r="X62" s="97"/>
      <c r="Y62" s="97"/>
      <c r="Z62" s="97"/>
      <c r="AA62" s="97"/>
      <c r="AB62" s="97"/>
      <c r="AC62" s="91"/>
    </row>
    <row r="63">
      <c r="A63" s="102" t="s">
        <v>104</v>
      </c>
      <c r="B63" s="93">
        <v>439.0</v>
      </c>
      <c r="C63" s="329"/>
      <c r="D63" s="215"/>
      <c r="E63" s="327"/>
      <c r="F63" s="215"/>
      <c r="G63" s="97"/>
      <c r="H63" s="97"/>
      <c r="I63" s="97"/>
      <c r="J63" s="97"/>
      <c r="K63" s="97"/>
      <c r="L63" s="97"/>
      <c r="M63" s="97"/>
      <c r="N63" s="97"/>
      <c r="O63" s="91"/>
      <c r="Q63" s="548">
        <f t="shared" si="1"/>
        <v>0</v>
      </c>
      <c r="R63" s="443">
        <f t="shared" si="2"/>
        <v>0</v>
      </c>
      <c r="S63" s="443">
        <f t="shared" si="3"/>
        <v>0</v>
      </c>
      <c r="T63" s="96"/>
      <c r="U63" s="97"/>
      <c r="V63" s="97"/>
      <c r="W63" s="97"/>
      <c r="X63" s="97"/>
      <c r="Y63" s="97"/>
      <c r="Z63" s="97"/>
      <c r="AA63" s="97"/>
      <c r="AB63" s="97"/>
      <c r="AC63" s="91"/>
    </row>
    <row r="64">
      <c r="A64" s="102" t="s">
        <v>105</v>
      </c>
      <c r="B64" s="93">
        <v>439.0</v>
      </c>
      <c r="C64" s="329"/>
      <c r="D64" s="215"/>
      <c r="E64" s="327"/>
      <c r="F64" s="215"/>
      <c r="G64" s="97"/>
      <c r="H64" s="97"/>
      <c r="I64" s="97"/>
      <c r="J64" s="97"/>
      <c r="K64" s="97"/>
      <c r="L64" s="97"/>
      <c r="M64" s="97"/>
      <c r="N64" s="97"/>
      <c r="O64" s="91"/>
      <c r="Q64" s="548">
        <f t="shared" si="1"/>
        <v>0</v>
      </c>
      <c r="R64" s="443">
        <f t="shared" si="2"/>
        <v>0</v>
      </c>
      <c r="S64" s="443">
        <f t="shared" si="3"/>
        <v>0</v>
      </c>
      <c r="T64" s="96"/>
      <c r="U64" s="97"/>
      <c r="V64" s="97"/>
      <c r="W64" s="97"/>
      <c r="X64" s="97"/>
      <c r="Y64" s="97"/>
      <c r="Z64" s="97"/>
      <c r="AA64" s="97"/>
      <c r="AB64" s="97"/>
      <c r="AC64" s="91"/>
    </row>
    <row r="65">
      <c r="A65" s="102" t="s">
        <v>106</v>
      </c>
      <c r="B65" s="93">
        <v>799.0</v>
      </c>
      <c r="C65" s="329"/>
      <c r="D65" s="215"/>
      <c r="E65" s="327"/>
      <c r="F65" s="215"/>
      <c r="G65" s="97"/>
      <c r="H65" s="97"/>
      <c r="I65" s="97"/>
      <c r="J65" s="97"/>
      <c r="K65" s="97"/>
      <c r="L65" s="97"/>
      <c r="M65" s="97"/>
      <c r="N65" s="97"/>
      <c r="O65" s="91"/>
      <c r="Q65" s="548">
        <f t="shared" si="1"/>
        <v>0</v>
      </c>
      <c r="R65" s="443">
        <f t="shared" si="2"/>
        <v>0</v>
      </c>
      <c r="S65" s="443">
        <f t="shared" si="3"/>
        <v>0</v>
      </c>
      <c r="T65" s="96"/>
      <c r="U65" s="97"/>
      <c r="V65" s="97"/>
      <c r="W65" s="97"/>
      <c r="X65" s="97"/>
      <c r="Y65" s="97"/>
      <c r="Z65" s="97"/>
      <c r="AA65" s="97"/>
      <c r="AB65" s="97"/>
      <c r="AC65" s="91"/>
    </row>
    <row r="66">
      <c r="A66" s="102" t="s">
        <v>107</v>
      </c>
      <c r="B66" s="93">
        <v>799.0</v>
      </c>
      <c r="C66" s="329"/>
      <c r="D66" s="215"/>
      <c r="E66" s="327"/>
      <c r="F66" s="215"/>
      <c r="G66" s="97"/>
      <c r="H66" s="97"/>
      <c r="I66" s="97"/>
      <c r="J66" s="97"/>
      <c r="K66" s="97"/>
      <c r="L66" s="97"/>
      <c r="M66" s="97"/>
      <c r="N66" s="97"/>
      <c r="O66" s="91"/>
      <c r="Q66" s="548">
        <f t="shared" si="1"/>
        <v>0</v>
      </c>
      <c r="R66" s="443">
        <f t="shared" si="2"/>
        <v>0</v>
      </c>
      <c r="S66" s="443">
        <f t="shared" si="3"/>
        <v>0</v>
      </c>
      <c r="T66" s="96"/>
      <c r="U66" s="97"/>
      <c r="V66" s="97"/>
      <c r="W66" s="97"/>
      <c r="X66" s="97"/>
      <c r="Y66" s="97"/>
      <c r="Z66" s="97"/>
      <c r="AA66" s="97"/>
      <c r="AB66" s="97"/>
      <c r="AC66" s="91"/>
    </row>
    <row r="67">
      <c r="A67" s="102" t="s">
        <v>108</v>
      </c>
      <c r="B67" s="93">
        <v>799.0</v>
      </c>
      <c r="C67" s="329"/>
      <c r="D67" s="215"/>
      <c r="E67" s="327"/>
      <c r="F67" s="215"/>
      <c r="G67" s="97"/>
      <c r="H67" s="97"/>
      <c r="I67" s="97"/>
      <c r="J67" s="97"/>
      <c r="K67" s="97"/>
      <c r="L67" s="97"/>
      <c r="M67" s="97"/>
      <c r="N67" s="97"/>
      <c r="O67" s="91"/>
      <c r="Q67" s="548">
        <f t="shared" si="1"/>
        <v>0</v>
      </c>
      <c r="R67" s="443">
        <f t="shared" si="2"/>
        <v>0</v>
      </c>
      <c r="S67" s="443">
        <f t="shared" si="3"/>
        <v>0</v>
      </c>
      <c r="T67" s="96"/>
      <c r="U67" s="97"/>
      <c r="V67" s="97"/>
      <c r="W67" s="97"/>
      <c r="X67" s="97"/>
      <c r="Y67" s="97"/>
      <c r="Z67" s="97"/>
      <c r="AA67" s="97"/>
      <c r="AB67" s="97"/>
      <c r="AC67" s="91"/>
    </row>
    <row r="68">
      <c r="A68" s="102" t="s">
        <v>109</v>
      </c>
      <c r="B68" s="96">
        <v>1299.0</v>
      </c>
      <c r="C68" s="329"/>
      <c r="D68" s="215"/>
      <c r="E68" s="327"/>
      <c r="F68" s="215"/>
      <c r="G68" s="97"/>
      <c r="H68" s="97"/>
      <c r="I68" s="97"/>
      <c r="J68" s="97"/>
      <c r="K68" s="97"/>
      <c r="L68" s="97"/>
      <c r="M68" s="97"/>
      <c r="N68" s="97"/>
      <c r="O68" s="91"/>
      <c r="Q68" s="548">
        <f t="shared" si="1"/>
        <v>0</v>
      </c>
      <c r="R68" s="443">
        <f t="shared" si="2"/>
        <v>0</v>
      </c>
      <c r="S68" s="443">
        <f t="shared" si="3"/>
        <v>0</v>
      </c>
      <c r="T68" s="96"/>
      <c r="U68" s="97"/>
      <c r="V68" s="97"/>
      <c r="W68" s="97"/>
      <c r="X68" s="97"/>
      <c r="Y68" s="97"/>
      <c r="Z68" s="97"/>
      <c r="AA68" s="97"/>
      <c r="AB68" s="97"/>
      <c r="AC68" s="91"/>
    </row>
    <row r="69">
      <c r="A69" s="102" t="s">
        <v>110</v>
      </c>
      <c r="B69" s="96">
        <v>1299.0</v>
      </c>
      <c r="C69" s="329"/>
      <c r="D69" s="215"/>
      <c r="E69" s="327"/>
      <c r="F69" s="215"/>
      <c r="G69" s="97"/>
      <c r="H69" s="97"/>
      <c r="I69" s="97"/>
      <c r="J69" s="97"/>
      <c r="K69" s="97"/>
      <c r="L69" s="97"/>
      <c r="M69" s="97"/>
      <c r="N69" s="97"/>
      <c r="O69" s="91"/>
      <c r="Q69" s="548">
        <f t="shared" si="1"/>
        <v>0</v>
      </c>
      <c r="R69" s="443">
        <f t="shared" si="2"/>
        <v>0</v>
      </c>
      <c r="S69" s="443">
        <f t="shared" si="3"/>
        <v>0</v>
      </c>
      <c r="T69" s="96"/>
      <c r="U69" s="97"/>
      <c r="V69" s="97"/>
      <c r="W69" s="97"/>
      <c r="X69" s="97"/>
      <c r="Y69" s="97"/>
      <c r="Z69" s="97"/>
      <c r="AA69" s="97"/>
      <c r="AB69" s="97"/>
      <c r="AC69" s="91"/>
    </row>
    <row r="70">
      <c r="A70" s="101" t="s">
        <v>111</v>
      </c>
      <c r="B70" s="96">
        <v>1299.0</v>
      </c>
      <c r="C70" s="329"/>
      <c r="D70" s="215"/>
      <c r="E70" s="327"/>
      <c r="F70" s="215"/>
      <c r="G70" s="97"/>
      <c r="H70" s="97"/>
      <c r="I70" s="97"/>
      <c r="J70" s="97"/>
      <c r="K70" s="97"/>
      <c r="L70" s="97"/>
      <c r="M70" s="97"/>
      <c r="N70" s="97"/>
      <c r="O70" s="91"/>
      <c r="Q70" s="548">
        <f t="shared" si="1"/>
        <v>0</v>
      </c>
      <c r="R70" s="443">
        <f t="shared" si="2"/>
        <v>0</v>
      </c>
      <c r="S70" s="443">
        <f t="shared" si="3"/>
        <v>0</v>
      </c>
      <c r="T70" s="96"/>
      <c r="U70" s="97"/>
      <c r="V70" s="97"/>
      <c r="W70" s="97"/>
      <c r="X70" s="97"/>
      <c r="Y70" s="97"/>
      <c r="Z70" s="97"/>
      <c r="AA70" s="97"/>
      <c r="AB70" s="97"/>
      <c r="AC70" s="91"/>
    </row>
    <row r="71">
      <c r="A71" s="101" t="s">
        <v>112</v>
      </c>
      <c r="B71" s="93">
        <v>609.0</v>
      </c>
      <c r="C71" s="329"/>
      <c r="D71" s="215"/>
      <c r="E71" s="327"/>
      <c r="F71" s="215"/>
      <c r="G71" s="97"/>
      <c r="H71" s="97"/>
      <c r="I71" s="97"/>
      <c r="J71" s="97"/>
      <c r="K71" s="97"/>
      <c r="L71" s="97"/>
      <c r="M71" s="97"/>
      <c r="N71" s="97"/>
      <c r="O71" s="91"/>
      <c r="Q71" s="548">
        <f t="shared" si="1"/>
        <v>0</v>
      </c>
      <c r="R71" s="443">
        <f t="shared" si="2"/>
        <v>0</v>
      </c>
      <c r="S71" s="443">
        <f t="shared" si="3"/>
        <v>0</v>
      </c>
      <c r="T71" s="96"/>
      <c r="U71" s="97"/>
      <c r="V71" s="97"/>
      <c r="W71" s="97"/>
      <c r="X71" s="97"/>
      <c r="Y71" s="97"/>
      <c r="Z71" s="97"/>
      <c r="AA71" s="97"/>
      <c r="AB71" s="97"/>
      <c r="AC71" s="91"/>
    </row>
    <row r="72">
      <c r="A72" s="101" t="s">
        <v>113</v>
      </c>
      <c r="B72" s="107">
        <v>999.0</v>
      </c>
      <c r="C72" s="329"/>
      <c r="D72" s="215"/>
      <c r="E72" s="327"/>
      <c r="F72" s="215"/>
      <c r="G72" s="97"/>
      <c r="H72" s="97"/>
      <c r="I72" s="97"/>
      <c r="J72" s="97"/>
      <c r="K72" s="97"/>
      <c r="L72" s="97"/>
      <c r="M72" s="97"/>
      <c r="N72" s="97"/>
      <c r="O72" s="91"/>
      <c r="Q72" s="548">
        <f t="shared" si="1"/>
        <v>0</v>
      </c>
      <c r="R72" s="443">
        <f t="shared" si="2"/>
        <v>0</v>
      </c>
      <c r="S72" s="443">
        <f t="shared" si="3"/>
        <v>0</v>
      </c>
      <c r="T72" s="96"/>
      <c r="U72" s="97"/>
      <c r="V72" s="97"/>
      <c r="W72" s="97"/>
      <c r="X72" s="97"/>
      <c r="Y72" s="97"/>
      <c r="Z72" s="97"/>
      <c r="AA72" s="97"/>
      <c r="AB72" s="97"/>
      <c r="AC72" s="91"/>
    </row>
    <row r="73">
      <c r="A73" s="101" t="s">
        <v>114</v>
      </c>
      <c r="B73" s="107">
        <v>999.0</v>
      </c>
      <c r="C73" s="329"/>
      <c r="D73" s="215"/>
      <c r="E73" s="327"/>
      <c r="F73" s="215"/>
      <c r="G73" s="97"/>
      <c r="H73" s="97"/>
      <c r="I73" s="97"/>
      <c r="J73" s="97"/>
      <c r="K73" s="97"/>
      <c r="L73" s="97"/>
      <c r="M73" s="97"/>
      <c r="N73" s="97"/>
      <c r="O73" s="91"/>
      <c r="Q73" s="548">
        <f t="shared" si="1"/>
        <v>0</v>
      </c>
      <c r="R73" s="443">
        <f t="shared" si="2"/>
        <v>0</v>
      </c>
      <c r="S73" s="443">
        <f t="shared" si="3"/>
        <v>0</v>
      </c>
      <c r="T73" s="96"/>
      <c r="U73" s="97"/>
      <c r="V73" s="97"/>
      <c r="W73" s="97"/>
      <c r="X73" s="97"/>
      <c r="Y73" s="97"/>
      <c r="Z73" s="97"/>
      <c r="AA73" s="97"/>
      <c r="AB73" s="97"/>
      <c r="AC73" s="91"/>
    </row>
    <row r="74">
      <c r="A74" s="101" t="s">
        <v>115</v>
      </c>
      <c r="B74" s="107">
        <v>999.0</v>
      </c>
      <c r="C74" s="329"/>
      <c r="D74" s="215"/>
      <c r="E74" s="327"/>
      <c r="F74" s="215"/>
      <c r="G74" s="97"/>
      <c r="H74" s="97"/>
      <c r="I74" s="97"/>
      <c r="J74" s="97"/>
      <c r="K74" s="97"/>
      <c r="L74" s="97"/>
      <c r="M74" s="97"/>
      <c r="N74" s="97"/>
      <c r="O74" s="91"/>
      <c r="Q74" s="548">
        <f t="shared" si="1"/>
        <v>0</v>
      </c>
      <c r="R74" s="443">
        <f t="shared" si="2"/>
        <v>0</v>
      </c>
      <c r="S74" s="443">
        <f t="shared" si="3"/>
        <v>0</v>
      </c>
      <c r="T74" s="96"/>
      <c r="U74" s="97"/>
      <c r="V74" s="97"/>
      <c r="W74" s="97"/>
      <c r="X74" s="97"/>
      <c r="Y74" s="97"/>
      <c r="Z74" s="97"/>
      <c r="AA74" s="97"/>
      <c r="AB74" s="97"/>
      <c r="AC74" s="91"/>
    </row>
    <row r="75">
      <c r="A75" s="101" t="s">
        <v>116</v>
      </c>
      <c r="B75" s="108"/>
      <c r="C75" s="329"/>
      <c r="D75" s="215"/>
      <c r="E75" s="327"/>
      <c r="F75" s="116"/>
      <c r="G75" s="97"/>
      <c r="H75" s="97"/>
      <c r="I75" s="97"/>
      <c r="J75" s="97"/>
      <c r="K75" s="97"/>
      <c r="L75" s="97"/>
      <c r="M75" s="97"/>
      <c r="N75" s="97"/>
      <c r="O75" s="91"/>
      <c r="Q75" s="548">
        <f t="shared" si="1"/>
        <v>0</v>
      </c>
      <c r="R75" s="443">
        <f t="shared" si="2"/>
        <v>0</v>
      </c>
      <c r="S75" s="443">
        <f t="shared" si="3"/>
        <v>0</v>
      </c>
      <c r="T75" s="96"/>
      <c r="U75" s="97"/>
      <c r="V75" s="97"/>
      <c r="W75" s="97"/>
      <c r="X75" s="97"/>
      <c r="Y75" s="97"/>
      <c r="Z75" s="97"/>
      <c r="AA75" s="97"/>
      <c r="AB75" s="97"/>
      <c r="AC75" s="91"/>
    </row>
    <row r="76">
      <c r="A76" s="109"/>
      <c r="B76" s="108"/>
      <c r="C76" s="329"/>
      <c r="D76" s="215"/>
      <c r="E76" s="327"/>
      <c r="F76" s="116"/>
      <c r="G76" s="97"/>
      <c r="H76" s="97"/>
      <c r="I76" s="97"/>
      <c r="J76" s="97"/>
      <c r="K76" s="97"/>
      <c r="L76" s="97"/>
      <c r="M76" s="97"/>
      <c r="N76" s="97"/>
      <c r="O76" s="91"/>
      <c r="Q76" s="548">
        <f t="shared" si="1"/>
        <v>0</v>
      </c>
      <c r="R76" s="443">
        <f t="shared" si="2"/>
        <v>0</v>
      </c>
      <c r="S76" s="443">
        <f t="shared" si="3"/>
        <v>0</v>
      </c>
      <c r="T76" s="96"/>
      <c r="U76" s="97"/>
      <c r="V76" s="97"/>
      <c r="W76" s="97"/>
      <c r="X76" s="97"/>
      <c r="Y76" s="97"/>
      <c r="Z76" s="97"/>
      <c r="AA76" s="97"/>
      <c r="AB76" s="97"/>
      <c r="AC76" s="91"/>
    </row>
    <row r="77">
      <c r="A77" s="110" t="s">
        <v>117</v>
      </c>
      <c r="B77" s="96">
        <v>379.0</v>
      </c>
      <c r="C77" s="329"/>
      <c r="D77" s="215"/>
      <c r="E77" s="327"/>
      <c r="F77" s="116"/>
      <c r="G77" s="97"/>
      <c r="H77" s="97"/>
      <c r="I77" s="97"/>
      <c r="J77" s="97"/>
      <c r="K77" s="97"/>
      <c r="L77" s="97"/>
      <c r="M77" s="97"/>
      <c r="N77" s="97"/>
      <c r="O77" s="91"/>
      <c r="Q77" s="548">
        <f t="shared" si="1"/>
        <v>0</v>
      </c>
      <c r="R77" s="443">
        <f t="shared" si="2"/>
        <v>0</v>
      </c>
      <c r="S77" s="443">
        <f t="shared" si="3"/>
        <v>0</v>
      </c>
      <c r="T77" s="96"/>
      <c r="U77" s="97"/>
      <c r="V77" s="97"/>
      <c r="W77" s="97"/>
      <c r="X77" s="97"/>
      <c r="Y77" s="97"/>
      <c r="Z77" s="97"/>
      <c r="AA77" s="97"/>
      <c r="AB77" s="97"/>
      <c r="AC77" s="91"/>
    </row>
    <row r="78">
      <c r="A78" s="110" t="s">
        <v>118</v>
      </c>
      <c r="B78" s="96">
        <v>799.0</v>
      </c>
      <c r="C78" s="329"/>
      <c r="D78" s="215"/>
      <c r="E78" s="327"/>
      <c r="F78" s="116"/>
      <c r="G78" s="97"/>
      <c r="H78" s="97"/>
      <c r="I78" s="97"/>
      <c r="J78" s="97"/>
      <c r="K78" s="97"/>
      <c r="L78" s="97"/>
      <c r="M78" s="97"/>
      <c r="N78" s="97"/>
      <c r="O78" s="91"/>
      <c r="Q78" s="548">
        <f t="shared" si="1"/>
        <v>0</v>
      </c>
      <c r="R78" s="443">
        <f t="shared" si="2"/>
        <v>0</v>
      </c>
      <c r="S78" s="443">
        <f t="shared" si="3"/>
        <v>0</v>
      </c>
      <c r="T78" s="96"/>
      <c r="U78" s="97"/>
      <c r="V78" s="97"/>
      <c r="W78" s="97"/>
      <c r="X78" s="97"/>
      <c r="Y78" s="97"/>
      <c r="Z78" s="97"/>
      <c r="AA78" s="97"/>
      <c r="AB78" s="97"/>
      <c r="AC78" s="91"/>
    </row>
    <row r="79">
      <c r="A79" s="110" t="s">
        <v>119</v>
      </c>
      <c r="B79" s="96">
        <v>439.0</v>
      </c>
      <c r="C79" s="329"/>
      <c r="D79" s="215"/>
      <c r="E79" s="327"/>
      <c r="F79" s="116"/>
      <c r="G79" s="97"/>
      <c r="H79" s="97"/>
      <c r="I79" s="97"/>
      <c r="J79" s="97"/>
      <c r="K79" s="97"/>
      <c r="L79" s="97"/>
      <c r="M79" s="97"/>
      <c r="N79" s="97"/>
      <c r="O79" s="91"/>
      <c r="Q79" s="548">
        <f t="shared" si="1"/>
        <v>0</v>
      </c>
      <c r="R79" s="443">
        <f t="shared" si="2"/>
        <v>0</v>
      </c>
      <c r="S79" s="443">
        <f t="shared" si="3"/>
        <v>0</v>
      </c>
      <c r="T79" s="96"/>
      <c r="U79" s="97"/>
      <c r="V79" s="97"/>
      <c r="W79" s="97"/>
      <c r="X79" s="97"/>
      <c r="Y79" s="97"/>
      <c r="Z79" s="97"/>
      <c r="AA79" s="97"/>
      <c r="AB79" s="97"/>
      <c r="AC79" s="91"/>
    </row>
    <row r="80">
      <c r="A80" s="110" t="s">
        <v>120</v>
      </c>
      <c r="B80" s="96">
        <v>599.0</v>
      </c>
      <c r="C80" s="329"/>
      <c r="D80" s="215"/>
      <c r="E80" s="327"/>
      <c r="F80" s="116"/>
      <c r="G80" s="97"/>
      <c r="H80" s="97"/>
      <c r="I80" s="97"/>
      <c r="J80" s="97"/>
      <c r="K80" s="97"/>
      <c r="L80" s="97"/>
      <c r="M80" s="97"/>
      <c r="N80" s="97"/>
      <c r="O80" s="91"/>
      <c r="Q80" s="548">
        <f t="shared" si="1"/>
        <v>0</v>
      </c>
      <c r="R80" s="443">
        <f t="shared" si="2"/>
        <v>0</v>
      </c>
      <c r="S80" s="443">
        <f t="shared" si="3"/>
        <v>0</v>
      </c>
      <c r="T80" s="96"/>
      <c r="U80" s="97"/>
      <c r="V80" s="97"/>
      <c r="W80" s="97"/>
      <c r="X80" s="97"/>
      <c r="Y80" s="97"/>
      <c r="Z80" s="97"/>
      <c r="AA80" s="97"/>
      <c r="AB80" s="97"/>
      <c r="AC80" s="91"/>
    </row>
    <row r="81">
      <c r="A81" s="110" t="s">
        <v>121</v>
      </c>
      <c r="B81" s="96">
        <v>229.0</v>
      </c>
      <c r="C81" s="212">
        <v>1.0</v>
      </c>
      <c r="D81" s="215"/>
      <c r="E81" s="327"/>
      <c r="F81" s="116"/>
      <c r="G81" s="97"/>
      <c r="H81" s="97"/>
      <c r="I81" s="97"/>
      <c r="J81" s="97"/>
      <c r="K81" s="97"/>
      <c r="L81" s="97"/>
      <c r="M81" s="97"/>
      <c r="N81" s="97"/>
      <c r="O81" s="91"/>
      <c r="Q81" s="548">
        <f t="shared" si="1"/>
        <v>229</v>
      </c>
      <c r="R81" s="443">
        <f t="shared" si="2"/>
        <v>0</v>
      </c>
      <c r="S81" s="443">
        <f t="shared" si="3"/>
        <v>0</v>
      </c>
      <c r="T81" s="96"/>
      <c r="U81" s="97"/>
      <c r="V81" s="97"/>
      <c r="W81" s="97"/>
      <c r="X81" s="97"/>
      <c r="Y81" s="97"/>
      <c r="Z81" s="97"/>
      <c r="AA81" s="97"/>
      <c r="AB81" s="97"/>
      <c r="AC81" s="91"/>
    </row>
    <row r="82">
      <c r="A82" s="110" t="s">
        <v>122</v>
      </c>
      <c r="B82" s="96">
        <v>219.0</v>
      </c>
      <c r="C82" s="329"/>
      <c r="D82" s="215"/>
      <c r="E82" s="327"/>
      <c r="F82" s="116"/>
      <c r="G82" s="97"/>
      <c r="H82" s="97"/>
      <c r="I82" s="97"/>
      <c r="J82" s="97"/>
      <c r="K82" s="97"/>
      <c r="L82" s="97"/>
      <c r="M82" s="97"/>
      <c r="N82" s="97"/>
      <c r="O82" s="91"/>
      <c r="Q82" s="548">
        <f t="shared" si="1"/>
        <v>0</v>
      </c>
      <c r="R82" s="443">
        <f t="shared" si="2"/>
        <v>0</v>
      </c>
      <c r="S82" s="443">
        <f t="shared" si="3"/>
        <v>0</v>
      </c>
      <c r="T82" s="96"/>
      <c r="U82" s="97"/>
      <c r="V82" s="97"/>
      <c r="W82" s="97"/>
      <c r="X82" s="97"/>
      <c r="Y82" s="97"/>
      <c r="Z82" s="97"/>
      <c r="AA82" s="97"/>
      <c r="AB82" s="97"/>
      <c r="AC82" s="91"/>
    </row>
    <row r="83">
      <c r="A83" s="110" t="s">
        <v>123</v>
      </c>
      <c r="B83" s="96">
        <v>1299.0</v>
      </c>
      <c r="C83" s="329"/>
      <c r="D83" s="215"/>
      <c r="E83" s="327"/>
      <c r="F83" s="116"/>
      <c r="G83" s="97"/>
      <c r="H83" s="97"/>
      <c r="I83" s="97"/>
      <c r="J83" s="97"/>
      <c r="K83" s="97"/>
      <c r="L83" s="97"/>
      <c r="M83" s="97"/>
      <c r="N83" s="97"/>
      <c r="O83" s="91"/>
      <c r="Q83" s="548">
        <f t="shared" si="1"/>
        <v>0</v>
      </c>
      <c r="R83" s="443">
        <f t="shared" si="2"/>
        <v>0</v>
      </c>
      <c r="S83" s="443">
        <f t="shared" si="3"/>
        <v>0</v>
      </c>
      <c r="T83" s="96"/>
      <c r="U83" s="97"/>
      <c r="V83" s="97"/>
      <c r="W83" s="97"/>
      <c r="X83" s="97"/>
      <c r="Y83" s="97"/>
      <c r="Z83" s="97"/>
      <c r="AA83" s="97"/>
      <c r="AB83" s="97"/>
      <c r="AC83" s="91"/>
    </row>
    <row r="84">
      <c r="A84" s="102" t="s">
        <v>124</v>
      </c>
      <c r="B84" s="96">
        <v>1299.0</v>
      </c>
      <c r="C84" s="329"/>
      <c r="D84" s="215"/>
      <c r="E84" s="327"/>
      <c r="F84" s="116"/>
      <c r="G84" s="97"/>
      <c r="H84" s="97"/>
      <c r="I84" s="97"/>
      <c r="J84" s="97"/>
      <c r="K84" s="97"/>
      <c r="L84" s="97"/>
      <c r="M84" s="97"/>
      <c r="N84" s="97"/>
      <c r="O84" s="91"/>
      <c r="Q84" s="548">
        <f t="shared" si="1"/>
        <v>0</v>
      </c>
      <c r="R84" s="443">
        <f t="shared" si="2"/>
        <v>0</v>
      </c>
      <c r="S84" s="443">
        <f t="shared" si="3"/>
        <v>0</v>
      </c>
      <c r="T84" s="96"/>
      <c r="U84" s="97"/>
      <c r="V84" s="97"/>
      <c r="W84" s="97"/>
      <c r="X84" s="97"/>
      <c r="Y84" s="97"/>
      <c r="Z84" s="97"/>
      <c r="AA84" s="97"/>
      <c r="AB84" s="97"/>
      <c r="AC84" s="91"/>
    </row>
    <row r="85">
      <c r="A85" s="111" t="s">
        <v>125</v>
      </c>
      <c r="B85" s="96">
        <v>1299.0</v>
      </c>
      <c r="C85" s="329"/>
      <c r="D85" s="215"/>
      <c r="E85" s="327"/>
      <c r="F85" s="116"/>
      <c r="G85" s="97"/>
      <c r="H85" s="97"/>
      <c r="I85" s="97"/>
      <c r="J85" s="97"/>
      <c r="K85" s="97"/>
      <c r="L85" s="97"/>
      <c r="M85" s="97"/>
      <c r="N85" s="97"/>
      <c r="O85" s="91"/>
      <c r="Q85" s="548">
        <f t="shared" si="1"/>
        <v>0</v>
      </c>
      <c r="R85" s="443">
        <f t="shared" si="2"/>
        <v>0</v>
      </c>
      <c r="S85" s="443">
        <f t="shared" si="3"/>
        <v>0</v>
      </c>
      <c r="T85" s="96"/>
      <c r="U85" s="97"/>
      <c r="V85" s="97"/>
      <c r="W85" s="97"/>
      <c r="X85" s="97"/>
      <c r="Y85" s="97"/>
      <c r="Z85" s="97"/>
      <c r="AA85" s="97"/>
      <c r="AB85" s="97"/>
      <c r="AC85" s="91"/>
    </row>
    <row r="86">
      <c r="A86" s="112" t="s">
        <v>126</v>
      </c>
      <c r="B86" s="96">
        <v>1299.0</v>
      </c>
      <c r="C86" s="334"/>
      <c r="D86" s="227"/>
      <c r="E86" s="333"/>
      <c r="F86" s="120"/>
      <c r="G86" s="97"/>
      <c r="H86" s="97"/>
      <c r="I86" s="97"/>
      <c r="J86" s="97"/>
      <c r="K86" s="97"/>
      <c r="L86" s="97"/>
      <c r="M86" s="97"/>
      <c r="N86" s="97"/>
      <c r="O86" s="91"/>
      <c r="Q86" s="548">
        <f t="shared" si="1"/>
        <v>0</v>
      </c>
      <c r="R86" s="443">
        <f t="shared" si="2"/>
        <v>0</v>
      </c>
      <c r="S86" s="443">
        <f t="shared" si="3"/>
        <v>0</v>
      </c>
      <c r="T86" s="96"/>
      <c r="U86" s="97"/>
      <c r="V86" s="97"/>
      <c r="W86" s="97"/>
      <c r="X86" s="97"/>
      <c r="Y86" s="97"/>
      <c r="Z86" s="97"/>
      <c r="AA86" s="97"/>
      <c r="AB86" s="97"/>
      <c r="AC86" s="91"/>
    </row>
    <row r="87">
      <c r="A87" s="113"/>
      <c r="B87" s="114"/>
      <c r="C87" s="329"/>
      <c r="D87" s="215"/>
      <c r="E87" s="327"/>
      <c r="F87" s="116"/>
      <c r="G87" s="97"/>
      <c r="H87" s="97"/>
      <c r="I87" s="97"/>
      <c r="J87" s="97"/>
      <c r="K87" s="97"/>
      <c r="L87" s="97"/>
      <c r="M87" s="97"/>
      <c r="N87" s="97"/>
      <c r="O87" s="91"/>
      <c r="Q87" s="548">
        <f t="shared" si="1"/>
        <v>0</v>
      </c>
      <c r="R87" s="443">
        <f t="shared" si="2"/>
        <v>0</v>
      </c>
      <c r="S87" s="443">
        <f t="shared" si="3"/>
        <v>0</v>
      </c>
      <c r="T87" s="96"/>
      <c r="U87" s="97"/>
      <c r="V87" s="97"/>
      <c r="W87" s="97"/>
      <c r="X87" s="97"/>
      <c r="Y87" s="97"/>
      <c r="Z87" s="97"/>
      <c r="AA87" s="97"/>
      <c r="AB87" s="97"/>
      <c r="AC87" s="91"/>
    </row>
    <row r="88">
      <c r="A88" s="94" t="s">
        <v>127</v>
      </c>
      <c r="B88" s="96">
        <v>679.0</v>
      </c>
      <c r="C88" s="329"/>
      <c r="D88" s="230"/>
      <c r="E88" s="335"/>
      <c r="F88" s="231"/>
      <c r="G88" s="97"/>
      <c r="H88" s="97"/>
      <c r="I88" s="97"/>
      <c r="J88" s="97"/>
      <c r="K88" s="97"/>
      <c r="L88" s="97"/>
      <c r="M88" s="97"/>
      <c r="N88" s="97"/>
      <c r="O88" s="91"/>
      <c r="Q88" s="548">
        <f t="shared" si="1"/>
        <v>0</v>
      </c>
      <c r="R88" s="443">
        <f t="shared" si="2"/>
        <v>0</v>
      </c>
      <c r="S88" s="443">
        <f t="shared" si="3"/>
        <v>0</v>
      </c>
      <c r="T88" s="96"/>
      <c r="U88" s="97"/>
      <c r="V88" s="97"/>
      <c r="W88" s="97"/>
      <c r="X88" s="97"/>
      <c r="Y88" s="97"/>
      <c r="Z88" s="97"/>
      <c r="AA88" s="97"/>
      <c r="AB88" s="97"/>
      <c r="AC88" s="91"/>
    </row>
    <row r="89">
      <c r="A89" s="94" t="s">
        <v>128</v>
      </c>
      <c r="B89" s="96">
        <v>679.0</v>
      </c>
      <c r="C89" s="208"/>
      <c r="D89" s="230"/>
      <c r="E89" s="335"/>
      <c r="F89" s="231"/>
      <c r="G89" s="97"/>
      <c r="H89" s="97"/>
      <c r="I89" s="97"/>
      <c r="J89" s="97"/>
      <c r="K89" s="97"/>
      <c r="L89" s="97"/>
      <c r="M89" s="97"/>
      <c r="N89" s="97"/>
      <c r="O89" s="91"/>
      <c r="Q89" s="548">
        <f t="shared" si="1"/>
        <v>0</v>
      </c>
      <c r="R89" s="443">
        <f t="shared" si="2"/>
        <v>0</v>
      </c>
      <c r="S89" s="443">
        <f t="shared" si="3"/>
        <v>0</v>
      </c>
      <c r="T89" s="96"/>
      <c r="U89" s="97"/>
      <c r="V89" s="97"/>
      <c r="W89" s="97"/>
      <c r="X89" s="97"/>
      <c r="Y89" s="97"/>
      <c r="Z89" s="97"/>
      <c r="AA89" s="97"/>
      <c r="AB89" s="97"/>
      <c r="AC89" s="91"/>
    </row>
    <row r="90">
      <c r="A90" s="94" t="s">
        <v>129</v>
      </c>
      <c r="B90" s="96">
        <v>679.0</v>
      </c>
      <c r="C90" s="208"/>
      <c r="D90" s="230"/>
      <c r="E90" s="335"/>
      <c r="F90" s="231"/>
      <c r="G90" s="97"/>
      <c r="H90" s="97"/>
      <c r="I90" s="97"/>
      <c r="J90" s="97"/>
      <c r="K90" s="97"/>
      <c r="L90" s="97"/>
      <c r="M90" s="97"/>
      <c r="N90" s="97"/>
      <c r="O90" s="91"/>
      <c r="Q90" s="548">
        <f t="shared" si="1"/>
        <v>0</v>
      </c>
      <c r="R90" s="443">
        <f t="shared" si="2"/>
        <v>0</v>
      </c>
      <c r="S90" s="443">
        <f t="shared" si="3"/>
        <v>0</v>
      </c>
      <c r="T90" s="96"/>
      <c r="U90" s="97"/>
      <c r="V90" s="97"/>
      <c r="W90" s="97"/>
      <c r="X90" s="97"/>
      <c r="Y90" s="97"/>
      <c r="Z90" s="97"/>
      <c r="AA90" s="97"/>
      <c r="AB90" s="97"/>
      <c r="AC90" s="91"/>
    </row>
    <row r="91">
      <c r="A91" s="115"/>
      <c r="B91" s="116"/>
      <c r="C91" s="208"/>
      <c r="D91" s="230"/>
      <c r="E91" s="335"/>
      <c r="F91" s="231"/>
      <c r="G91" s="97"/>
      <c r="H91" s="97"/>
      <c r="I91" s="97"/>
      <c r="J91" s="97"/>
      <c r="K91" s="97"/>
      <c r="L91" s="97"/>
      <c r="M91" s="97"/>
      <c r="N91" s="97"/>
      <c r="O91" s="91"/>
      <c r="Q91" s="548">
        <f t="shared" si="1"/>
        <v>0</v>
      </c>
      <c r="R91" s="443">
        <f t="shared" si="2"/>
        <v>0</v>
      </c>
      <c r="S91" s="443">
        <f t="shared" si="3"/>
        <v>0</v>
      </c>
      <c r="T91" s="96"/>
      <c r="U91" s="97"/>
      <c r="V91" s="97"/>
      <c r="W91" s="97"/>
      <c r="X91" s="97"/>
      <c r="Y91" s="97"/>
      <c r="Z91" s="97"/>
      <c r="AA91" s="97"/>
      <c r="AB91" s="97"/>
      <c r="AC91" s="91"/>
    </row>
    <row r="92">
      <c r="A92" s="94" t="s">
        <v>130</v>
      </c>
      <c r="B92" s="96">
        <v>490.0</v>
      </c>
      <c r="C92" s="208"/>
      <c r="D92" s="230"/>
      <c r="E92" s="335"/>
      <c r="F92" s="231"/>
      <c r="G92" s="97"/>
      <c r="H92" s="97"/>
      <c r="I92" s="97"/>
      <c r="J92" s="97"/>
      <c r="K92" s="97"/>
      <c r="L92" s="97"/>
      <c r="M92" s="97"/>
      <c r="N92" s="97"/>
      <c r="O92" s="91"/>
      <c r="Q92" s="548">
        <f t="shared" si="1"/>
        <v>0</v>
      </c>
      <c r="R92" s="443">
        <f t="shared" si="2"/>
        <v>0</v>
      </c>
      <c r="S92" s="443">
        <f t="shared" si="3"/>
        <v>0</v>
      </c>
      <c r="T92" s="96"/>
      <c r="U92" s="97"/>
      <c r="V92" s="97"/>
      <c r="W92" s="97"/>
      <c r="X92" s="97"/>
      <c r="Y92" s="97"/>
      <c r="Z92" s="97"/>
      <c r="AA92" s="97"/>
      <c r="AB92" s="97"/>
      <c r="AC92" s="91"/>
    </row>
    <row r="93">
      <c r="A93" s="94" t="s">
        <v>131</v>
      </c>
      <c r="B93" s="96">
        <v>490.0</v>
      </c>
      <c r="C93" s="208"/>
      <c r="D93" s="230"/>
      <c r="E93" s="335"/>
      <c r="F93" s="231"/>
      <c r="G93" s="97"/>
      <c r="H93" s="97"/>
      <c r="I93" s="97"/>
      <c r="J93" s="97"/>
      <c r="K93" s="97"/>
      <c r="L93" s="97"/>
      <c r="M93" s="97"/>
      <c r="N93" s="97"/>
      <c r="O93" s="91"/>
      <c r="Q93" s="548">
        <f t="shared" si="1"/>
        <v>0</v>
      </c>
      <c r="R93" s="443">
        <f t="shared" si="2"/>
        <v>0</v>
      </c>
      <c r="S93" s="443">
        <f t="shared" si="3"/>
        <v>0</v>
      </c>
      <c r="T93" s="96"/>
      <c r="U93" s="97"/>
      <c r="V93" s="97"/>
      <c r="W93" s="97"/>
      <c r="X93" s="97"/>
      <c r="Y93" s="97"/>
      <c r="Z93" s="97"/>
      <c r="AA93" s="97"/>
      <c r="AB93" s="97"/>
      <c r="AC93" s="91"/>
    </row>
    <row r="94">
      <c r="A94" s="94" t="s">
        <v>132</v>
      </c>
      <c r="B94" s="96">
        <v>450.0</v>
      </c>
      <c r="C94" s="208"/>
      <c r="D94" s="230"/>
      <c r="E94" s="335"/>
      <c r="F94" s="231"/>
      <c r="G94" s="97"/>
      <c r="H94" s="97"/>
      <c r="I94" s="97"/>
      <c r="J94" s="97"/>
      <c r="K94" s="97"/>
      <c r="L94" s="97"/>
      <c r="M94" s="97"/>
      <c r="N94" s="97"/>
      <c r="O94" s="91"/>
      <c r="Q94" s="548">
        <f t="shared" si="1"/>
        <v>0</v>
      </c>
      <c r="R94" s="443">
        <f t="shared" si="2"/>
        <v>0</v>
      </c>
      <c r="S94" s="443">
        <f t="shared" si="3"/>
        <v>0</v>
      </c>
      <c r="T94" s="96"/>
      <c r="U94" s="97"/>
      <c r="V94" s="97"/>
      <c r="W94" s="97"/>
      <c r="X94" s="97"/>
      <c r="Y94" s="97"/>
      <c r="Z94" s="97"/>
      <c r="AA94" s="97"/>
      <c r="AB94" s="97"/>
      <c r="AC94" s="91"/>
    </row>
    <row r="95">
      <c r="A95" s="117"/>
      <c r="B95" s="118"/>
      <c r="C95" s="208"/>
      <c r="D95" s="230"/>
      <c r="E95" s="335"/>
      <c r="F95" s="231"/>
      <c r="G95" s="97"/>
      <c r="H95" s="97"/>
      <c r="I95" s="97"/>
      <c r="J95" s="97"/>
      <c r="K95" s="97"/>
      <c r="L95" s="97"/>
      <c r="M95" s="97"/>
      <c r="N95" s="97"/>
      <c r="O95" s="91"/>
      <c r="Q95" s="548">
        <f t="shared" si="1"/>
        <v>0</v>
      </c>
      <c r="R95" s="443">
        <f t="shared" si="2"/>
        <v>0</v>
      </c>
      <c r="S95" s="443">
        <f t="shared" si="3"/>
        <v>0</v>
      </c>
      <c r="T95" s="96"/>
      <c r="U95" s="97"/>
      <c r="V95" s="97"/>
      <c r="W95" s="97"/>
      <c r="X95" s="97"/>
      <c r="Y95" s="97"/>
      <c r="Z95" s="97"/>
      <c r="AA95" s="97"/>
      <c r="AB95" s="97"/>
      <c r="AC95" s="91"/>
    </row>
    <row r="96">
      <c r="A96" s="117"/>
      <c r="B96" s="118"/>
      <c r="C96" s="208"/>
      <c r="D96" s="230"/>
      <c r="E96" s="335"/>
      <c r="F96" s="231"/>
      <c r="G96" s="97"/>
      <c r="H96" s="97"/>
      <c r="I96" s="97"/>
      <c r="J96" s="97"/>
      <c r="K96" s="97"/>
      <c r="L96" s="97"/>
      <c r="M96" s="97"/>
      <c r="N96" s="97"/>
      <c r="O96" s="91"/>
      <c r="Q96" s="548">
        <f t="shared" si="1"/>
        <v>0</v>
      </c>
      <c r="R96" s="443">
        <f t="shared" si="2"/>
        <v>0</v>
      </c>
      <c r="S96" s="443">
        <f t="shared" si="3"/>
        <v>0</v>
      </c>
      <c r="T96" s="96"/>
      <c r="U96" s="97"/>
      <c r="V96" s="97"/>
      <c r="W96" s="97"/>
      <c r="X96" s="97"/>
      <c r="Y96" s="97"/>
      <c r="Z96" s="97"/>
      <c r="AA96" s="97"/>
      <c r="AB96" s="97"/>
      <c r="AC96" s="91"/>
    </row>
    <row r="97">
      <c r="A97" s="117"/>
      <c r="B97" s="118"/>
      <c r="C97" s="208"/>
      <c r="D97" s="230"/>
      <c r="E97" s="335"/>
      <c r="F97" s="231"/>
      <c r="G97" s="97"/>
      <c r="H97" s="97"/>
      <c r="I97" s="97"/>
      <c r="J97" s="97"/>
      <c r="K97" s="97"/>
      <c r="L97" s="97"/>
      <c r="M97" s="97"/>
      <c r="N97" s="97"/>
      <c r="O97" s="91"/>
      <c r="Q97" s="548">
        <f t="shared" si="1"/>
        <v>0</v>
      </c>
      <c r="R97" s="443">
        <f t="shared" si="2"/>
        <v>0</v>
      </c>
      <c r="S97" s="443">
        <f t="shared" si="3"/>
        <v>0</v>
      </c>
      <c r="T97" s="96"/>
      <c r="U97" s="122"/>
      <c r="V97" s="97"/>
      <c r="W97" s="97"/>
      <c r="X97" s="97"/>
      <c r="Y97" s="97"/>
      <c r="Z97" s="97"/>
      <c r="AA97" s="97"/>
      <c r="AB97" s="97"/>
      <c r="AC97" s="91"/>
    </row>
    <row r="98">
      <c r="A98" s="117" t="s">
        <v>133</v>
      </c>
      <c r="B98" s="118">
        <v>450.0</v>
      </c>
      <c r="C98" s="208"/>
      <c r="D98" s="230"/>
      <c r="E98" s="335"/>
      <c r="F98" s="231"/>
      <c r="G98" s="97"/>
      <c r="H98" s="97"/>
      <c r="I98" s="97"/>
      <c r="J98" s="97"/>
      <c r="K98" s="97"/>
      <c r="L98" s="97"/>
      <c r="M98" s="97"/>
      <c r="N98" s="97"/>
      <c r="O98" s="91"/>
      <c r="Q98" s="548">
        <f t="shared" si="1"/>
        <v>0</v>
      </c>
      <c r="R98" s="443">
        <f t="shared" si="2"/>
        <v>0</v>
      </c>
      <c r="S98" s="443">
        <f t="shared" si="3"/>
        <v>0</v>
      </c>
      <c r="T98" s="550"/>
      <c r="U98" s="120"/>
      <c r="V98" s="450"/>
      <c r="W98" s="450"/>
      <c r="X98" s="449"/>
      <c r="Y98" s="449"/>
      <c r="Z98" s="449"/>
      <c r="AA98" s="449"/>
      <c r="AB98" s="449"/>
      <c r="AC98" s="83"/>
    </row>
    <row r="99">
      <c r="A99" s="119"/>
      <c r="B99" s="120"/>
      <c r="C99" s="94"/>
      <c r="D99" s="96"/>
      <c r="E99" s="96"/>
      <c r="F99" s="96"/>
      <c r="G99" s="97"/>
      <c r="H99" s="97"/>
      <c r="I99" s="97"/>
      <c r="J99" s="97"/>
      <c r="K99" s="97"/>
      <c r="L99" s="97"/>
      <c r="M99" s="97"/>
      <c r="N99" s="97"/>
      <c r="O99" s="91"/>
      <c r="Q99" s="548">
        <f t="shared" si="1"/>
        <v>0</v>
      </c>
      <c r="R99" s="443">
        <f t="shared" si="2"/>
        <v>0</v>
      </c>
      <c r="S99" s="443">
        <f t="shared" si="3"/>
        <v>0</v>
      </c>
      <c r="T99" s="550"/>
      <c r="U99" s="120"/>
      <c r="V99" s="450"/>
      <c r="W99" s="450"/>
      <c r="X99" s="449"/>
      <c r="Y99" s="449"/>
      <c r="Z99" s="449"/>
      <c r="AA99" s="449"/>
      <c r="AB99" s="449"/>
      <c r="AC99" s="83"/>
    </row>
    <row r="100">
      <c r="A100" s="121" t="s">
        <v>134</v>
      </c>
      <c r="B100" s="118">
        <v>1054.0</v>
      </c>
      <c r="C100" s="94"/>
      <c r="D100" s="96"/>
      <c r="E100" s="96"/>
      <c r="F100" s="96"/>
      <c r="G100" s="122"/>
      <c r="H100" s="97"/>
      <c r="I100" s="97"/>
      <c r="J100" s="97"/>
      <c r="K100" s="97"/>
      <c r="L100" s="97"/>
      <c r="M100" s="97"/>
      <c r="N100" s="97"/>
      <c r="O100" s="91"/>
      <c r="Q100" s="438"/>
      <c r="R100" s="449"/>
      <c r="S100" s="449"/>
      <c r="T100" s="550"/>
      <c r="U100" s="120"/>
      <c r="V100" s="450"/>
      <c r="W100" s="450"/>
      <c r="X100" s="449"/>
      <c r="Y100" s="449"/>
      <c r="Z100" s="449"/>
      <c r="AA100" s="449"/>
      <c r="AB100" s="449"/>
      <c r="AC100" s="83"/>
    </row>
    <row r="101">
      <c r="A101" s="123" t="s">
        <v>135</v>
      </c>
      <c r="B101" s="124"/>
      <c r="C101" s="125"/>
      <c r="D101" s="125"/>
      <c r="E101" s="125"/>
      <c r="F101" s="126"/>
      <c r="G101" s="124"/>
      <c r="H101" s="127"/>
      <c r="I101" s="127"/>
      <c r="J101" s="125"/>
      <c r="K101" s="125"/>
      <c r="L101" s="125"/>
      <c r="M101" s="125"/>
      <c r="N101" s="125"/>
      <c r="O101" s="128"/>
      <c r="Q101" s="125"/>
      <c r="R101" s="125"/>
      <c r="S101" s="125"/>
      <c r="T101" s="126"/>
      <c r="U101" s="124"/>
      <c r="V101" s="127"/>
      <c r="W101" s="127"/>
      <c r="X101" s="125"/>
      <c r="Y101" s="125"/>
      <c r="Z101" s="125"/>
      <c r="AA101" s="125"/>
      <c r="AB101" s="125"/>
      <c r="AC101" s="128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Q102" s="283">
        <f>TCC!C99</f>
        <v>5363</v>
      </c>
      <c r="R102" s="283">
        <f>TCC!D99</f>
        <v>2916</v>
      </c>
      <c r="S102" s="283">
        <f>TCC!E99</f>
        <v>3968</v>
      </c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</sheetData>
  <mergeCells count="30">
    <mergeCell ref="U3:U4"/>
    <mergeCell ref="V3:V4"/>
    <mergeCell ref="W3:W4"/>
    <mergeCell ref="X3:X4"/>
    <mergeCell ref="Y3:Y4"/>
    <mergeCell ref="Z3:Z4"/>
    <mergeCell ref="AA3:AA4"/>
    <mergeCell ref="AB3:AB4"/>
    <mergeCell ref="C1:O1"/>
    <mergeCell ref="Q1:AC1"/>
    <mergeCell ref="C2:O2"/>
    <mergeCell ref="Q2:AC2"/>
    <mergeCell ref="C3:C4"/>
    <mergeCell ref="D3:D4"/>
    <mergeCell ref="E3:E4"/>
    <mergeCell ref="AC3:A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S3:S4"/>
    <mergeCell ref="T3:T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3" max="14" width="6.75"/>
  </cols>
  <sheetData>
    <row r="1">
      <c r="C1" s="70"/>
      <c r="E1" s="70"/>
    </row>
    <row r="2">
      <c r="A2" s="130"/>
      <c r="B2" s="131"/>
      <c r="C2" s="132" t="s">
        <v>631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4"/>
      <c r="O2" s="135"/>
      <c r="P2" s="136"/>
    </row>
    <row r="3" ht="33.75" customHeight="1">
      <c r="A3" s="296" t="s">
        <v>47</v>
      </c>
      <c r="B3" s="297" t="s">
        <v>48</v>
      </c>
      <c r="C3" s="299" t="s">
        <v>0</v>
      </c>
      <c r="D3" s="299" t="s">
        <v>1</v>
      </c>
      <c r="E3" s="299" t="s">
        <v>2</v>
      </c>
      <c r="F3" s="299" t="s">
        <v>3</v>
      </c>
      <c r="G3" s="299" t="s">
        <v>4</v>
      </c>
      <c r="H3" s="299" t="s">
        <v>5</v>
      </c>
      <c r="I3" s="299" t="s">
        <v>6</v>
      </c>
      <c r="J3" s="299" t="s">
        <v>7</v>
      </c>
      <c r="K3" s="299" t="s">
        <v>8</v>
      </c>
      <c r="L3" s="299" t="s">
        <v>9</v>
      </c>
      <c r="M3" s="299" t="s">
        <v>10</v>
      </c>
      <c r="N3" s="299" t="s">
        <v>11</v>
      </c>
      <c r="O3" s="147"/>
      <c r="P3" s="148"/>
    </row>
    <row r="4">
      <c r="A4" s="160"/>
      <c r="B4" s="160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84"/>
      <c r="P4" s="86"/>
    </row>
    <row r="5" hidden="1">
      <c r="A5" s="167" t="s">
        <v>49</v>
      </c>
      <c r="B5" s="168">
        <v>329.0</v>
      </c>
      <c r="C5" s="314"/>
      <c r="D5" s="170"/>
      <c r="E5" s="541"/>
      <c r="F5" s="170"/>
      <c r="G5" s="171"/>
      <c r="H5" s="171"/>
      <c r="I5" s="171"/>
      <c r="J5" s="171"/>
      <c r="K5" s="171"/>
      <c r="L5" s="171"/>
      <c r="M5" s="171"/>
      <c r="N5" s="186"/>
      <c r="O5" s="178"/>
      <c r="P5" s="173"/>
    </row>
    <row r="6" hidden="1">
      <c r="A6" s="101" t="s">
        <v>50</v>
      </c>
      <c r="B6" s="187">
        <v>329.0</v>
      </c>
      <c r="C6" s="317"/>
      <c r="D6" s="188"/>
      <c r="E6" s="542"/>
      <c r="F6" s="188"/>
      <c r="G6" s="171"/>
      <c r="H6" s="171"/>
      <c r="I6" s="171"/>
      <c r="J6" s="171"/>
      <c r="K6" s="171"/>
      <c r="L6" s="171"/>
      <c r="M6" s="171"/>
      <c r="N6" s="186"/>
      <c r="O6" s="178"/>
      <c r="P6" s="173"/>
    </row>
    <row r="7" hidden="1">
      <c r="A7" s="101" t="s">
        <v>51</v>
      </c>
      <c r="B7" s="187">
        <v>329.0</v>
      </c>
      <c r="C7" s="317"/>
      <c r="D7" s="188"/>
      <c r="E7" s="542"/>
      <c r="F7" s="188"/>
      <c r="G7" s="171"/>
      <c r="H7" s="171"/>
      <c r="I7" s="171"/>
      <c r="J7" s="171"/>
      <c r="K7" s="171"/>
      <c r="L7" s="171"/>
      <c r="M7" s="171"/>
      <c r="N7" s="186"/>
      <c r="O7" s="178"/>
      <c r="P7" s="173"/>
    </row>
    <row r="8">
      <c r="A8" s="101" t="s">
        <v>52</v>
      </c>
      <c r="B8" s="93">
        <v>329.0</v>
      </c>
      <c r="C8" s="317"/>
      <c r="D8" s="194">
        <v>2.0</v>
      </c>
      <c r="E8" s="543">
        <v>2.0</v>
      </c>
      <c r="F8" s="188"/>
      <c r="G8" s="171"/>
      <c r="H8" s="171"/>
      <c r="I8" s="195"/>
      <c r="J8" s="171"/>
      <c r="K8" s="171"/>
      <c r="L8" s="171"/>
      <c r="M8" s="171"/>
      <c r="N8" s="186"/>
      <c r="O8" s="178"/>
      <c r="P8" s="173"/>
    </row>
    <row r="9" hidden="1">
      <c r="A9" s="101" t="s">
        <v>53</v>
      </c>
      <c r="B9" s="93">
        <v>329.0</v>
      </c>
      <c r="C9" s="317"/>
      <c r="D9" s="188"/>
      <c r="E9" s="542"/>
      <c r="F9" s="188"/>
      <c r="G9" s="171"/>
      <c r="H9" s="171"/>
      <c r="I9" s="171"/>
      <c r="J9" s="171"/>
      <c r="K9" s="171"/>
      <c r="L9" s="171"/>
      <c r="M9" s="171"/>
      <c r="N9" s="186"/>
      <c r="O9" s="178"/>
      <c r="P9" s="173"/>
    </row>
    <row r="10">
      <c r="A10" s="101" t="s">
        <v>54</v>
      </c>
      <c r="B10" s="93">
        <v>329.0</v>
      </c>
      <c r="C10" s="323"/>
      <c r="D10" s="188"/>
      <c r="E10" s="543">
        <v>2.0</v>
      </c>
      <c r="F10" s="188"/>
      <c r="G10" s="171"/>
      <c r="H10" s="171"/>
      <c r="I10" s="195"/>
      <c r="J10" s="171"/>
      <c r="K10" s="171"/>
      <c r="L10" s="195"/>
      <c r="M10" s="195"/>
      <c r="N10" s="186"/>
      <c r="O10" s="178"/>
      <c r="P10" s="173"/>
    </row>
    <row r="11">
      <c r="A11" s="101" t="s">
        <v>55</v>
      </c>
      <c r="B11" s="93">
        <v>329.0</v>
      </c>
      <c r="C11" s="317"/>
      <c r="D11" s="194">
        <v>2.0</v>
      </c>
      <c r="E11" s="543">
        <v>4.0</v>
      </c>
      <c r="F11" s="188"/>
      <c r="G11" s="171"/>
      <c r="H11" s="171"/>
      <c r="I11" s="195"/>
      <c r="J11" s="171"/>
      <c r="K11" s="171"/>
      <c r="L11" s="171"/>
      <c r="M11" s="171"/>
      <c r="N11" s="186"/>
      <c r="O11" s="178"/>
      <c r="P11" s="173"/>
    </row>
    <row r="12">
      <c r="A12" s="101" t="s">
        <v>56</v>
      </c>
      <c r="B12" s="93">
        <v>329.0</v>
      </c>
      <c r="C12" s="323"/>
      <c r="D12" s="188"/>
      <c r="E12" s="542"/>
      <c r="F12" s="188"/>
      <c r="G12" s="171"/>
      <c r="H12" s="171"/>
      <c r="I12" s="195"/>
      <c r="J12" s="171"/>
      <c r="K12" s="171"/>
      <c r="L12" s="171"/>
      <c r="M12" s="171"/>
      <c r="N12" s="186"/>
      <c r="O12" s="178"/>
      <c r="P12" s="173"/>
    </row>
    <row r="13">
      <c r="A13" s="101" t="s">
        <v>57</v>
      </c>
      <c r="B13" s="93">
        <v>329.0</v>
      </c>
      <c r="C13" s="317"/>
      <c r="D13" s="188"/>
      <c r="E13" s="542"/>
      <c r="F13" s="188"/>
      <c r="G13" s="171"/>
      <c r="H13" s="171"/>
      <c r="I13" s="195"/>
      <c r="J13" s="171"/>
      <c r="K13" s="195"/>
      <c r="L13" s="171"/>
      <c r="M13" s="171"/>
      <c r="N13" s="186"/>
      <c r="O13" s="178"/>
      <c r="P13" s="173"/>
    </row>
    <row r="14">
      <c r="A14" s="101" t="s">
        <v>58</v>
      </c>
      <c r="B14" s="93">
        <v>329.0</v>
      </c>
      <c r="C14" s="317"/>
      <c r="D14" s="188"/>
      <c r="E14" s="542"/>
      <c r="F14" s="188"/>
      <c r="G14" s="171"/>
      <c r="H14" s="171"/>
      <c r="I14" s="195"/>
      <c r="J14" s="171"/>
      <c r="K14" s="171"/>
      <c r="L14" s="171"/>
      <c r="M14" s="171"/>
      <c r="N14" s="186"/>
      <c r="O14" s="178"/>
      <c r="P14" s="173"/>
    </row>
    <row r="15">
      <c r="A15" s="101" t="s">
        <v>59</v>
      </c>
      <c r="B15" s="93">
        <v>219.0</v>
      </c>
      <c r="C15" s="323">
        <v>1.0</v>
      </c>
      <c r="D15" s="188"/>
      <c r="E15" s="543">
        <v>1.0</v>
      </c>
      <c r="F15" s="188"/>
      <c r="G15" s="171"/>
      <c r="H15" s="171"/>
      <c r="I15" s="171"/>
      <c r="J15" s="171"/>
      <c r="K15" s="171"/>
      <c r="L15" s="171"/>
      <c r="M15" s="171"/>
      <c r="N15" s="186"/>
      <c r="O15" s="178"/>
      <c r="P15" s="173"/>
    </row>
    <row r="16">
      <c r="A16" s="101" t="s">
        <v>60</v>
      </c>
      <c r="B16" s="99"/>
      <c r="C16" s="317"/>
      <c r="D16" s="188"/>
      <c r="E16" s="542"/>
      <c r="F16" s="188"/>
      <c r="G16" s="171"/>
      <c r="H16" s="171"/>
      <c r="I16" s="171"/>
      <c r="J16" s="171"/>
      <c r="K16" s="171"/>
      <c r="L16" s="171"/>
      <c r="M16" s="171"/>
      <c r="N16" s="186"/>
      <c r="O16" s="178"/>
      <c r="P16" s="173"/>
    </row>
    <row r="17">
      <c r="A17" s="101" t="s">
        <v>61</v>
      </c>
      <c r="B17" s="99"/>
      <c r="C17" s="317"/>
      <c r="D17" s="188"/>
      <c r="E17" s="542"/>
      <c r="F17" s="188"/>
      <c r="G17" s="171"/>
      <c r="H17" s="171"/>
      <c r="I17" s="171"/>
      <c r="J17" s="171"/>
      <c r="K17" s="171"/>
      <c r="L17" s="171"/>
      <c r="M17" s="171"/>
      <c r="N17" s="186"/>
      <c r="O17" s="178"/>
      <c r="P17" s="173"/>
    </row>
    <row r="18">
      <c r="A18" s="109"/>
      <c r="B18" s="99"/>
      <c r="C18" s="317"/>
      <c r="D18" s="188"/>
      <c r="E18" s="542"/>
      <c r="F18" s="188"/>
      <c r="G18" s="171"/>
      <c r="H18" s="171"/>
      <c r="I18" s="171"/>
      <c r="J18" s="171"/>
      <c r="K18" s="171"/>
      <c r="L18" s="171"/>
      <c r="M18" s="171"/>
      <c r="N18" s="186"/>
      <c r="O18" s="178"/>
      <c r="P18" s="173"/>
    </row>
    <row r="19">
      <c r="A19" s="101" t="s">
        <v>62</v>
      </c>
      <c r="B19" s="93">
        <v>239.0</v>
      </c>
      <c r="C19" s="323">
        <v>1.0</v>
      </c>
      <c r="D19" s="188"/>
      <c r="E19" s="542"/>
      <c r="F19" s="188"/>
      <c r="G19" s="171"/>
      <c r="H19" s="171"/>
      <c r="I19" s="171"/>
      <c r="J19" s="171"/>
      <c r="K19" s="171"/>
      <c r="L19" s="171"/>
      <c r="M19" s="171"/>
      <c r="N19" s="186"/>
      <c r="O19" s="178"/>
      <c r="P19" s="173"/>
    </row>
    <row r="20">
      <c r="A20" s="101" t="s">
        <v>63</v>
      </c>
      <c r="B20" s="93">
        <v>239.0</v>
      </c>
      <c r="C20" s="323">
        <v>3.0</v>
      </c>
      <c r="D20" s="194">
        <v>1.0</v>
      </c>
      <c r="E20" s="542"/>
      <c r="F20" s="188"/>
      <c r="G20" s="171"/>
      <c r="H20" s="171"/>
      <c r="I20" s="171"/>
      <c r="J20" s="171"/>
      <c r="K20" s="171"/>
      <c r="L20" s="171"/>
      <c r="M20" s="171"/>
      <c r="N20" s="186"/>
      <c r="O20" s="178"/>
      <c r="P20" s="173"/>
    </row>
    <row r="21">
      <c r="A21" s="101" t="s">
        <v>64</v>
      </c>
      <c r="B21" s="93">
        <v>239.0</v>
      </c>
      <c r="C21" s="317"/>
      <c r="D21" s="194">
        <v>1.0</v>
      </c>
      <c r="E21" s="542"/>
      <c r="F21" s="188"/>
      <c r="G21" s="171"/>
      <c r="H21" s="171"/>
      <c r="I21" s="171"/>
      <c r="J21" s="171"/>
      <c r="K21" s="171"/>
      <c r="L21" s="171"/>
      <c r="M21" s="171"/>
      <c r="N21" s="186"/>
      <c r="O21" s="178"/>
      <c r="P21" s="173"/>
    </row>
    <row r="22">
      <c r="A22" s="101" t="s">
        <v>65</v>
      </c>
      <c r="B22" s="93">
        <v>219.0</v>
      </c>
      <c r="C22" s="323"/>
      <c r="D22" s="188"/>
      <c r="E22" s="542"/>
      <c r="F22" s="188"/>
      <c r="G22" s="171"/>
      <c r="H22" s="171"/>
      <c r="I22" s="171"/>
      <c r="J22" s="171"/>
      <c r="K22" s="171"/>
      <c r="L22" s="171"/>
      <c r="M22" s="171"/>
      <c r="N22" s="186"/>
      <c r="O22" s="178"/>
      <c r="P22" s="173"/>
    </row>
    <row r="23">
      <c r="A23" s="101" t="s">
        <v>66</v>
      </c>
      <c r="B23" s="93">
        <v>219.0</v>
      </c>
      <c r="C23" s="317"/>
      <c r="D23" s="188"/>
      <c r="E23" s="543">
        <v>1.0</v>
      </c>
      <c r="F23" s="188"/>
      <c r="G23" s="171"/>
      <c r="H23" s="171"/>
      <c r="I23" s="171"/>
      <c r="J23" s="171"/>
      <c r="K23" s="171"/>
      <c r="L23" s="171"/>
      <c r="M23" s="171"/>
      <c r="N23" s="186"/>
      <c r="O23" s="178"/>
      <c r="P23" s="173"/>
    </row>
    <row r="24">
      <c r="A24" s="101" t="s">
        <v>67</v>
      </c>
      <c r="B24" s="93">
        <v>219.0</v>
      </c>
      <c r="C24" s="323"/>
      <c r="D24" s="188"/>
      <c r="E24" s="542"/>
      <c r="F24" s="188"/>
      <c r="G24" s="171"/>
      <c r="H24" s="171"/>
      <c r="I24" s="171"/>
      <c r="J24" s="171"/>
      <c r="K24" s="171"/>
      <c r="L24" s="171"/>
      <c r="M24" s="171"/>
      <c r="N24" s="186"/>
      <c r="O24" s="178"/>
      <c r="P24" s="173"/>
    </row>
    <row r="25">
      <c r="A25" s="101" t="s">
        <v>68</v>
      </c>
      <c r="B25" s="93">
        <v>219.0</v>
      </c>
      <c r="C25" s="317"/>
      <c r="D25" s="188"/>
      <c r="E25" s="542"/>
      <c r="F25" s="188"/>
      <c r="G25" s="171"/>
      <c r="H25" s="171"/>
      <c r="I25" s="171"/>
      <c r="J25" s="171"/>
      <c r="K25" s="171"/>
      <c r="L25" s="171"/>
      <c r="M25" s="171"/>
      <c r="N25" s="186"/>
      <c r="O25" s="178"/>
      <c r="P25" s="173"/>
    </row>
    <row r="26">
      <c r="A26" s="101" t="s">
        <v>69</v>
      </c>
      <c r="B26" s="93">
        <v>219.0</v>
      </c>
      <c r="C26" s="317"/>
      <c r="D26" s="188"/>
      <c r="E26" s="542"/>
      <c r="F26" s="188"/>
      <c r="G26" s="171"/>
      <c r="H26" s="171"/>
      <c r="I26" s="171"/>
      <c r="J26" s="171"/>
      <c r="K26" s="171"/>
      <c r="L26" s="171"/>
      <c r="M26" s="171"/>
      <c r="N26" s="186"/>
      <c r="O26" s="178"/>
      <c r="P26" s="173"/>
    </row>
    <row r="27">
      <c r="A27" s="101" t="s">
        <v>70</v>
      </c>
      <c r="B27" s="93">
        <v>799.0</v>
      </c>
      <c r="C27" s="317"/>
      <c r="D27" s="188"/>
      <c r="E27" s="542"/>
      <c r="F27" s="188"/>
      <c r="G27" s="171"/>
      <c r="H27" s="171"/>
      <c r="I27" s="195"/>
      <c r="J27" s="171"/>
      <c r="K27" s="171"/>
      <c r="L27" s="171"/>
      <c r="M27" s="171"/>
      <c r="N27" s="186"/>
      <c r="O27" s="178"/>
      <c r="P27" s="173"/>
    </row>
    <row r="28">
      <c r="A28" s="102" t="s">
        <v>71</v>
      </c>
      <c r="B28" s="93">
        <v>609.0</v>
      </c>
      <c r="C28" s="317"/>
      <c r="D28" s="188"/>
      <c r="E28" s="542"/>
      <c r="F28" s="188"/>
      <c r="G28" s="171"/>
      <c r="H28" s="171"/>
      <c r="I28" s="171"/>
      <c r="J28" s="171"/>
      <c r="K28" s="195"/>
      <c r="L28" s="171"/>
      <c r="M28" s="171"/>
      <c r="N28" s="213"/>
      <c r="O28" s="178"/>
      <c r="P28" s="173"/>
    </row>
    <row r="29">
      <c r="A29" s="101" t="s">
        <v>72</v>
      </c>
      <c r="B29" s="93">
        <v>329.0</v>
      </c>
      <c r="C29" s="317"/>
      <c r="D29" s="188"/>
      <c r="E29" s="542"/>
      <c r="F29" s="188"/>
      <c r="G29" s="171"/>
      <c r="H29" s="171"/>
      <c r="I29" s="195"/>
      <c r="J29" s="171"/>
      <c r="K29" s="171"/>
      <c r="L29" s="171"/>
      <c r="M29" s="171"/>
      <c r="N29" s="186"/>
      <c r="O29" s="178"/>
      <c r="P29" s="173"/>
    </row>
    <row r="30">
      <c r="A30" s="101" t="s">
        <v>73</v>
      </c>
      <c r="B30" s="93">
        <v>329.0</v>
      </c>
      <c r="C30" s="317"/>
      <c r="D30" s="188"/>
      <c r="E30" s="542"/>
      <c r="F30" s="188"/>
      <c r="G30" s="171"/>
      <c r="H30" s="171"/>
      <c r="I30" s="171"/>
      <c r="J30" s="171"/>
      <c r="K30" s="171"/>
      <c r="L30" s="171"/>
      <c r="M30" s="171"/>
      <c r="N30" s="186"/>
      <c r="O30" s="178"/>
      <c r="P30" s="173"/>
    </row>
    <row r="31">
      <c r="A31" s="101" t="s">
        <v>74</v>
      </c>
      <c r="B31" s="93">
        <v>219.0</v>
      </c>
      <c r="C31" s="323"/>
      <c r="D31" s="188"/>
      <c r="E31" s="542"/>
      <c r="F31" s="188"/>
      <c r="G31" s="171"/>
      <c r="H31" s="171"/>
      <c r="I31" s="171"/>
      <c r="J31" s="171"/>
      <c r="K31" s="171"/>
      <c r="L31" s="171"/>
      <c r="M31" s="171"/>
      <c r="N31" s="186"/>
      <c r="O31" s="178"/>
      <c r="P31" s="173"/>
    </row>
    <row r="32">
      <c r="A32" s="101" t="s">
        <v>75</v>
      </c>
      <c r="B32" s="93">
        <v>219.0</v>
      </c>
      <c r="C32" s="317"/>
      <c r="D32" s="188"/>
      <c r="E32" s="542"/>
      <c r="F32" s="188"/>
      <c r="G32" s="171"/>
      <c r="H32" s="171"/>
      <c r="I32" s="171"/>
      <c r="J32" s="171"/>
      <c r="K32" s="171"/>
      <c r="L32" s="171"/>
      <c r="M32" s="171"/>
      <c r="N32" s="186"/>
      <c r="O32" s="178"/>
      <c r="P32" s="173"/>
    </row>
    <row r="33">
      <c r="A33" s="101" t="s">
        <v>76</v>
      </c>
      <c r="B33" s="93">
        <v>439.0</v>
      </c>
      <c r="C33" s="317"/>
      <c r="D33" s="188"/>
      <c r="E33" s="542"/>
      <c r="F33" s="188"/>
      <c r="G33" s="171"/>
      <c r="H33" s="171"/>
      <c r="I33" s="171"/>
      <c r="J33" s="171"/>
      <c r="K33" s="171"/>
      <c r="L33" s="171"/>
      <c r="M33" s="171"/>
      <c r="N33" s="186"/>
      <c r="O33" s="178"/>
      <c r="P33" s="173"/>
    </row>
    <row r="34">
      <c r="A34" s="101" t="s">
        <v>77</v>
      </c>
      <c r="B34" s="93">
        <v>899.0</v>
      </c>
      <c r="C34" s="317"/>
      <c r="D34" s="188"/>
      <c r="E34" s="178"/>
      <c r="F34" s="188"/>
      <c r="G34" s="171"/>
      <c r="H34" s="171"/>
      <c r="I34" s="171"/>
      <c r="J34" s="171"/>
      <c r="K34" s="171"/>
      <c r="L34" s="171"/>
      <c r="M34" s="171"/>
      <c r="N34" s="186"/>
      <c r="O34" s="178"/>
      <c r="P34" s="173"/>
    </row>
    <row r="35">
      <c r="A35" s="101" t="s">
        <v>78</v>
      </c>
      <c r="B35" s="93">
        <v>549.0</v>
      </c>
      <c r="C35" s="317"/>
      <c r="D35" s="178"/>
      <c r="E35" s="542"/>
      <c r="F35" s="188"/>
      <c r="G35" s="171"/>
      <c r="H35" s="195"/>
      <c r="I35" s="171"/>
      <c r="J35" s="171"/>
      <c r="K35" s="171"/>
      <c r="L35" s="171"/>
      <c r="M35" s="171"/>
      <c r="N35" s="186"/>
      <c r="O35" s="178"/>
      <c r="P35" s="173"/>
    </row>
    <row r="36">
      <c r="A36" s="101" t="s">
        <v>79</v>
      </c>
      <c r="B36" s="93">
        <v>549.0</v>
      </c>
      <c r="C36" s="317"/>
      <c r="D36" s="178"/>
      <c r="E36" s="542"/>
      <c r="F36" s="188"/>
      <c r="G36" s="171"/>
      <c r="H36" s="171"/>
      <c r="I36" s="171"/>
      <c r="J36" s="171"/>
      <c r="K36" s="171"/>
      <c r="L36" s="171"/>
      <c r="M36" s="171"/>
      <c r="N36" s="186"/>
      <c r="O36" s="178"/>
      <c r="P36" s="173"/>
    </row>
    <row r="37">
      <c r="A37" s="101" t="s">
        <v>80</v>
      </c>
      <c r="B37" s="93">
        <v>549.0</v>
      </c>
      <c r="C37" s="317"/>
      <c r="D37" s="188"/>
      <c r="E37" s="542"/>
      <c r="F37" s="188"/>
      <c r="G37" s="171"/>
      <c r="H37" s="171"/>
      <c r="I37" s="171"/>
      <c r="J37" s="171"/>
      <c r="K37" s="171"/>
      <c r="L37" s="171"/>
      <c r="M37" s="171"/>
      <c r="N37" s="186"/>
      <c r="O37" s="178"/>
      <c r="P37" s="173"/>
    </row>
    <row r="38">
      <c r="A38" s="102" t="s">
        <v>81</v>
      </c>
      <c r="B38" s="93">
        <v>799.0</v>
      </c>
      <c r="C38" s="317"/>
      <c r="D38" s="188"/>
      <c r="E38" s="542"/>
      <c r="F38" s="188"/>
      <c r="G38" s="171"/>
      <c r="H38" s="171"/>
      <c r="I38" s="171"/>
      <c r="J38" s="171"/>
      <c r="K38" s="171"/>
      <c r="L38" s="171"/>
      <c r="M38" s="171"/>
      <c r="N38" s="186"/>
      <c r="O38" s="178"/>
      <c r="P38" s="173"/>
    </row>
    <row r="39">
      <c r="A39" s="102" t="s">
        <v>82</v>
      </c>
      <c r="B39" s="93">
        <v>799.0</v>
      </c>
      <c r="C39" s="317"/>
      <c r="D39" s="188"/>
      <c r="E39" s="542"/>
      <c r="F39" s="188"/>
      <c r="G39" s="171"/>
      <c r="H39" s="171"/>
      <c r="I39" s="195"/>
      <c r="J39" s="171"/>
      <c r="K39" s="171"/>
      <c r="L39" s="171"/>
      <c r="M39" s="171"/>
      <c r="N39" s="186"/>
      <c r="O39" s="178"/>
      <c r="P39" s="173"/>
    </row>
    <row r="40">
      <c r="A40" s="101" t="s">
        <v>83</v>
      </c>
      <c r="B40" s="93">
        <v>439.0</v>
      </c>
      <c r="C40" s="317"/>
      <c r="D40" s="188"/>
      <c r="E40" s="542"/>
      <c r="F40" s="188"/>
      <c r="G40" s="171"/>
      <c r="H40" s="171"/>
      <c r="I40" s="171"/>
      <c r="J40" s="171"/>
      <c r="K40" s="171"/>
      <c r="L40" s="171"/>
      <c r="M40" s="171"/>
      <c r="N40" s="186"/>
      <c r="O40" s="178"/>
      <c r="P40" s="173"/>
    </row>
    <row r="41">
      <c r="A41" s="101" t="s">
        <v>84</v>
      </c>
      <c r="B41" s="93">
        <v>439.0</v>
      </c>
      <c r="C41" s="317"/>
      <c r="D41" s="188"/>
      <c r="E41" s="542"/>
      <c r="F41" s="188"/>
      <c r="G41" s="171"/>
      <c r="H41" s="171"/>
      <c r="I41" s="171"/>
      <c r="J41" s="171"/>
      <c r="K41" s="171"/>
      <c r="L41" s="171"/>
      <c r="M41" s="171"/>
      <c r="N41" s="186"/>
      <c r="O41" s="178"/>
      <c r="P41" s="173"/>
    </row>
    <row r="42">
      <c r="A42" s="101" t="s">
        <v>85</v>
      </c>
      <c r="B42" s="93">
        <v>60.0</v>
      </c>
      <c r="C42" s="317"/>
      <c r="D42" s="188"/>
      <c r="E42" s="542"/>
      <c r="F42" s="188"/>
      <c r="G42" s="171"/>
      <c r="H42" s="171"/>
      <c r="I42" s="171"/>
      <c r="J42" s="171"/>
      <c r="K42" s="171"/>
      <c r="L42" s="171"/>
      <c r="M42" s="171"/>
      <c r="N42" s="186"/>
      <c r="O42" s="178"/>
      <c r="P42" s="173"/>
    </row>
    <row r="43">
      <c r="A43" s="101" t="s">
        <v>86</v>
      </c>
      <c r="B43" s="93">
        <v>609.0</v>
      </c>
      <c r="C43" s="212"/>
      <c r="D43" s="215"/>
      <c r="E43" s="327"/>
      <c r="F43" s="215"/>
      <c r="G43" s="171"/>
      <c r="H43" s="171"/>
      <c r="I43" s="171"/>
      <c r="J43" s="171"/>
      <c r="K43" s="171"/>
      <c r="L43" s="171"/>
      <c r="M43" s="171"/>
      <c r="N43" s="186"/>
      <c r="O43" s="200"/>
      <c r="P43" s="173"/>
    </row>
    <row r="44">
      <c r="A44" s="101" t="s">
        <v>87</v>
      </c>
      <c r="B44" s="93">
        <v>379.0</v>
      </c>
      <c r="C44" s="329"/>
      <c r="D44" s="215"/>
      <c r="E44" s="327"/>
      <c r="F44" s="215"/>
      <c r="G44" s="171"/>
      <c r="H44" s="171"/>
      <c r="I44" s="171"/>
      <c r="J44" s="171"/>
      <c r="K44" s="171"/>
      <c r="L44" s="171"/>
      <c r="M44" s="171"/>
      <c r="N44" s="186"/>
      <c r="O44" s="200"/>
      <c r="P44" s="173"/>
    </row>
    <row r="45">
      <c r="A45" s="101" t="s">
        <v>88</v>
      </c>
      <c r="B45" s="93">
        <v>379.0</v>
      </c>
      <c r="C45" s="329"/>
      <c r="D45" s="215"/>
      <c r="E45" s="327"/>
      <c r="F45" s="215"/>
      <c r="G45" s="171"/>
      <c r="H45" s="171"/>
      <c r="I45" s="171"/>
      <c r="J45" s="171"/>
      <c r="K45" s="171"/>
      <c r="L45" s="171"/>
      <c r="M45" s="171"/>
      <c r="N45" s="186"/>
      <c r="O45" s="200"/>
      <c r="P45" s="173"/>
    </row>
    <row r="46">
      <c r="A46" s="101" t="s">
        <v>89</v>
      </c>
      <c r="B46" s="93">
        <v>1299.0</v>
      </c>
      <c r="C46" s="329"/>
      <c r="D46" s="215"/>
      <c r="E46" s="327"/>
      <c r="F46" s="215"/>
      <c r="G46" s="171"/>
      <c r="H46" s="171"/>
      <c r="I46" s="171"/>
      <c r="J46" s="171"/>
      <c r="K46" s="171"/>
      <c r="L46" s="171"/>
      <c r="M46" s="171"/>
      <c r="N46" s="186"/>
      <c r="O46" s="200"/>
      <c r="P46" s="173"/>
    </row>
    <row r="47">
      <c r="A47" s="67" t="s">
        <v>90</v>
      </c>
      <c r="B47" s="93">
        <v>1299.0</v>
      </c>
      <c r="C47" s="329"/>
      <c r="D47" s="215"/>
      <c r="E47" s="327"/>
      <c r="F47" s="215"/>
      <c r="G47" s="171"/>
      <c r="H47" s="171"/>
      <c r="I47" s="171"/>
      <c r="J47" s="171"/>
      <c r="K47" s="171"/>
      <c r="L47" s="171"/>
      <c r="M47" s="171"/>
      <c r="N47" s="186"/>
      <c r="O47" s="200"/>
      <c r="P47" s="173"/>
    </row>
    <row r="48">
      <c r="A48" s="101" t="s">
        <v>91</v>
      </c>
      <c r="B48" s="103">
        <v>0.0</v>
      </c>
      <c r="C48" s="329"/>
      <c r="D48" s="215"/>
      <c r="E48" s="327"/>
      <c r="F48" s="215"/>
      <c r="G48" s="171"/>
      <c r="H48" s="171"/>
      <c r="I48" s="171"/>
      <c r="J48" s="171"/>
      <c r="K48" s="171"/>
      <c r="L48" s="171"/>
      <c r="M48" s="171"/>
      <c r="N48" s="186"/>
      <c r="O48" s="200"/>
      <c r="P48" s="173"/>
    </row>
    <row r="49">
      <c r="A49" s="104"/>
      <c r="B49" s="105"/>
      <c r="C49" s="329"/>
      <c r="D49" s="215"/>
      <c r="E49" s="327"/>
      <c r="F49" s="215"/>
      <c r="G49" s="171"/>
      <c r="H49" s="171"/>
      <c r="I49" s="171"/>
      <c r="J49" s="171"/>
      <c r="K49" s="171"/>
      <c r="L49" s="171"/>
      <c r="M49" s="171"/>
      <c r="N49" s="186"/>
      <c r="O49" s="200"/>
      <c r="P49" s="173"/>
    </row>
    <row r="50">
      <c r="A50" s="102" t="s">
        <v>92</v>
      </c>
      <c r="B50" s="106">
        <v>609.0</v>
      </c>
      <c r="C50" s="212"/>
      <c r="D50" s="215"/>
      <c r="E50" s="327"/>
      <c r="F50" s="215"/>
      <c r="G50" s="171"/>
      <c r="H50" s="171"/>
      <c r="I50" s="171"/>
      <c r="J50" s="171"/>
      <c r="K50" s="171"/>
      <c r="L50" s="171"/>
      <c r="M50" s="171"/>
      <c r="N50" s="213"/>
      <c r="O50" s="200"/>
      <c r="P50" s="173"/>
    </row>
    <row r="51">
      <c r="A51" s="102" t="s">
        <v>93</v>
      </c>
      <c r="B51" s="93">
        <v>609.0</v>
      </c>
      <c r="C51" s="329"/>
      <c r="D51" s="215"/>
      <c r="E51" s="327"/>
      <c r="F51" s="215"/>
      <c r="G51" s="171"/>
      <c r="H51" s="171"/>
      <c r="I51" s="171"/>
      <c r="J51" s="171"/>
      <c r="K51" s="171"/>
      <c r="L51" s="171"/>
      <c r="M51" s="171"/>
      <c r="N51" s="213"/>
      <c r="O51" s="200"/>
      <c r="P51" s="173"/>
    </row>
    <row r="52">
      <c r="A52" s="102" t="s">
        <v>94</v>
      </c>
      <c r="B52" s="93">
        <v>329.0</v>
      </c>
      <c r="C52" s="329"/>
      <c r="D52" s="215"/>
      <c r="E52" s="327"/>
      <c r="F52" s="215"/>
      <c r="G52" s="171"/>
      <c r="H52" s="171"/>
      <c r="I52" s="195"/>
      <c r="J52" s="171"/>
      <c r="K52" s="171"/>
      <c r="L52" s="171"/>
      <c r="M52" s="171"/>
      <c r="N52" s="186"/>
      <c r="O52" s="200"/>
      <c r="P52" s="173"/>
    </row>
    <row r="53">
      <c r="A53" s="102" t="s">
        <v>263</v>
      </c>
      <c r="B53" s="93">
        <v>199.0</v>
      </c>
      <c r="C53" s="329"/>
      <c r="D53" s="215"/>
      <c r="E53" s="327"/>
      <c r="F53" s="215"/>
      <c r="G53" s="171"/>
      <c r="H53" s="171"/>
      <c r="I53" s="171"/>
      <c r="J53" s="171"/>
      <c r="K53" s="171"/>
      <c r="L53" s="171"/>
      <c r="M53" s="171"/>
      <c r="N53" s="186"/>
      <c r="O53" s="200"/>
      <c r="P53" s="173"/>
    </row>
    <row r="54">
      <c r="A54" s="102" t="s">
        <v>264</v>
      </c>
      <c r="B54" s="93">
        <v>199.0</v>
      </c>
      <c r="C54" s="329"/>
      <c r="D54" s="215"/>
      <c r="E54" s="327"/>
      <c r="F54" s="215"/>
      <c r="G54" s="171"/>
      <c r="H54" s="171"/>
      <c r="I54" s="171"/>
      <c r="J54" s="171"/>
      <c r="K54" s="171"/>
      <c r="L54" s="171"/>
      <c r="M54" s="171"/>
      <c r="N54" s="186"/>
      <c r="O54" s="200"/>
      <c r="P54" s="173"/>
    </row>
    <row r="55">
      <c r="A55" s="67" t="s">
        <v>97</v>
      </c>
      <c r="B55" s="93">
        <v>599.0</v>
      </c>
      <c r="C55" s="329"/>
      <c r="D55" s="215"/>
      <c r="E55" s="327"/>
      <c r="F55" s="215"/>
      <c r="G55" s="171"/>
      <c r="H55" s="171"/>
      <c r="I55" s="171"/>
      <c r="J55" s="171"/>
      <c r="K55" s="171"/>
      <c r="L55" s="171"/>
      <c r="M55" s="171"/>
      <c r="N55" s="186"/>
      <c r="O55" s="200"/>
      <c r="P55" s="173"/>
    </row>
    <row r="56">
      <c r="A56" s="102" t="s">
        <v>98</v>
      </c>
      <c r="B56" s="93">
        <v>1499.0</v>
      </c>
      <c r="C56" s="329"/>
      <c r="D56" s="215"/>
      <c r="E56" s="327"/>
      <c r="F56" s="215"/>
      <c r="G56" s="171"/>
      <c r="H56" s="171"/>
      <c r="I56" s="171"/>
      <c r="J56" s="171"/>
      <c r="K56" s="171"/>
      <c r="L56" s="171"/>
      <c r="M56" s="171"/>
      <c r="N56" s="186"/>
      <c r="O56" s="200"/>
      <c r="P56" s="173"/>
    </row>
    <row r="57">
      <c r="A57" s="104"/>
      <c r="B57" s="99"/>
      <c r="C57" s="329"/>
      <c r="D57" s="215"/>
      <c r="E57" s="327"/>
      <c r="F57" s="215"/>
      <c r="G57" s="171"/>
      <c r="H57" s="171"/>
      <c r="I57" s="171"/>
      <c r="J57" s="171"/>
      <c r="K57" s="171"/>
      <c r="L57" s="171"/>
      <c r="M57" s="171"/>
      <c r="N57" s="186"/>
      <c r="O57" s="200"/>
      <c r="P57" s="173"/>
    </row>
    <row r="58">
      <c r="A58" s="102" t="s">
        <v>99</v>
      </c>
      <c r="B58" s="93">
        <v>329.0</v>
      </c>
      <c r="C58" s="212">
        <v>6.0</v>
      </c>
      <c r="D58" s="217">
        <v>3.0</v>
      </c>
      <c r="E58" s="327"/>
      <c r="F58" s="215"/>
      <c r="G58" s="171"/>
      <c r="H58" s="171"/>
      <c r="I58" s="195"/>
      <c r="J58" s="171"/>
      <c r="K58" s="171"/>
      <c r="L58" s="171"/>
      <c r="M58" s="171"/>
      <c r="N58" s="186"/>
      <c r="O58" s="200"/>
      <c r="P58" s="173"/>
    </row>
    <row r="59">
      <c r="A59" s="102" t="s">
        <v>100</v>
      </c>
      <c r="B59" s="93">
        <v>329.0</v>
      </c>
      <c r="C59" s="212">
        <v>5.0</v>
      </c>
      <c r="D59" s="215"/>
      <c r="E59" s="327"/>
      <c r="F59" s="215"/>
      <c r="G59" s="171"/>
      <c r="H59" s="171"/>
      <c r="I59" s="195"/>
      <c r="J59" s="171"/>
      <c r="K59" s="171"/>
      <c r="L59" s="171"/>
      <c r="M59" s="171"/>
      <c r="N59" s="186"/>
      <c r="O59" s="200"/>
      <c r="P59" s="173"/>
    </row>
    <row r="60">
      <c r="A60" s="102" t="s">
        <v>101</v>
      </c>
      <c r="B60" s="93">
        <v>329.0</v>
      </c>
      <c r="C60" s="329"/>
      <c r="D60" s="215"/>
      <c r="E60" s="321">
        <v>2.0</v>
      </c>
      <c r="F60" s="215"/>
      <c r="G60" s="171"/>
      <c r="H60" s="171"/>
      <c r="I60" s="195"/>
      <c r="J60" s="171"/>
      <c r="K60" s="171"/>
      <c r="L60" s="171"/>
      <c r="M60" s="171"/>
      <c r="N60" s="186"/>
      <c r="O60" s="200"/>
      <c r="P60" s="173"/>
    </row>
    <row r="61">
      <c r="A61" s="102" t="s">
        <v>102</v>
      </c>
      <c r="B61" s="93">
        <v>249.0</v>
      </c>
      <c r="C61" s="329"/>
      <c r="D61" s="215"/>
      <c r="E61" s="327"/>
      <c r="F61" s="215"/>
      <c r="G61" s="171"/>
      <c r="H61" s="171"/>
      <c r="I61" s="171"/>
      <c r="J61" s="171"/>
      <c r="K61" s="171"/>
      <c r="L61" s="171"/>
      <c r="M61" s="171"/>
      <c r="N61" s="186"/>
      <c r="O61" s="200"/>
      <c r="P61" s="173"/>
    </row>
    <row r="62">
      <c r="A62" s="102" t="s">
        <v>103</v>
      </c>
      <c r="B62" s="93">
        <v>439.0</v>
      </c>
      <c r="C62" s="329"/>
      <c r="D62" s="200"/>
      <c r="E62" s="327"/>
      <c r="F62" s="215"/>
      <c r="G62" s="171"/>
      <c r="H62" s="171"/>
      <c r="I62" s="171"/>
      <c r="J62" s="171"/>
      <c r="K62" s="171"/>
      <c r="L62" s="171"/>
      <c r="M62" s="171"/>
      <c r="N62" s="186"/>
      <c r="O62" s="200"/>
      <c r="P62" s="173"/>
    </row>
    <row r="63">
      <c r="A63" s="102" t="s">
        <v>104</v>
      </c>
      <c r="B63" s="93">
        <v>439.0</v>
      </c>
      <c r="C63" s="329"/>
      <c r="D63" s="215"/>
      <c r="E63" s="327"/>
      <c r="F63" s="215"/>
      <c r="G63" s="171"/>
      <c r="H63" s="171"/>
      <c r="I63" s="171"/>
      <c r="J63" s="171"/>
      <c r="K63" s="171"/>
      <c r="L63" s="171"/>
      <c r="M63" s="171"/>
      <c r="N63" s="186"/>
      <c r="O63" s="200"/>
      <c r="P63" s="173"/>
    </row>
    <row r="64">
      <c r="A64" s="102" t="s">
        <v>105</v>
      </c>
      <c r="B64" s="93">
        <v>439.0</v>
      </c>
      <c r="C64" s="329"/>
      <c r="D64" s="215"/>
      <c r="E64" s="327"/>
      <c r="F64" s="215"/>
      <c r="G64" s="171"/>
      <c r="H64" s="171"/>
      <c r="I64" s="171"/>
      <c r="J64" s="171"/>
      <c r="K64" s="171"/>
      <c r="L64" s="171"/>
      <c r="M64" s="171"/>
      <c r="N64" s="186"/>
      <c r="O64" s="200"/>
      <c r="P64" s="173"/>
    </row>
    <row r="65">
      <c r="A65" s="102" t="s">
        <v>106</v>
      </c>
      <c r="B65" s="93">
        <v>799.0</v>
      </c>
      <c r="C65" s="329"/>
      <c r="D65" s="215"/>
      <c r="E65" s="327"/>
      <c r="F65" s="215"/>
      <c r="G65" s="171"/>
      <c r="H65" s="171"/>
      <c r="I65" s="171"/>
      <c r="J65" s="171"/>
      <c r="K65" s="171"/>
      <c r="L65" s="171"/>
      <c r="M65" s="171"/>
      <c r="N65" s="186"/>
      <c r="O65" s="200"/>
      <c r="P65" s="173"/>
    </row>
    <row r="66">
      <c r="A66" s="102" t="s">
        <v>107</v>
      </c>
      <c r="B66" s="93">
        <v>799.0</v>
      </c>
      <c r="C66" s="329"/>
      <c r="D66" s="215"/>
      <c r="E66" s="327"/>
      <c r="F66" s="215"/>
      <c r="G66" s="171"/>
      <c r="H66" s="171"/>
      <c r="I66" s="195"/>
      <c r="J66" s="171"/>
      <c r="K66" s="171"/>
      <c r="L66" s="171"/>
      <c r="M66" s="171"/>
      <c r="N66" s="186"/>
      <c r="O66" s="200"/>
      <c r="P66" s="173"/>
    </row>
    <row r="67">
      <c r="A67" s="102" t="s">
        <v>108</v>
      </c>
      <c r="B67" s="93">
        <v>799.0</v>
      </c>
      <c r="C67" s="329"/>
      <c r="D67" s="215"/>
      <c r="E67" s="327"/>
      <c r="F67" s="215"/>
      <c r="G67" s="171"/>
      <c r="H67" s="171"/>
      <c r="I67" s="171"/>
      <c r="J67" s="171"/>
      <c r="K67" s="171"/>
      <c r="L67" s="171"/>
      <c r="M67" s="171"/>
      <c r="N67" s="186"/>
      <c r="O67" s="200"/>
      <c r="P67" s="173"/>
    </row>
    <row r="68">
      <c r="A68" s="102" t="s">
        <v>109</v>
      </c>
      <c r="B68" s="96">
        <v>1299.0</v>
      </c>
      <c r="C68" s="329"/>
      <c r="D68" s="215"/>
      <c r="E68" s="327"/>
      <c r="F68" s="215"/>
      <c r="G68" s="171"/>
      <c r="H68" s="171"/>
      <c r="I68" s="171"/>
      <c r="J68" s="171"/>
      <c r="K68" s="171"/>
      <c r="L68" s="171"/>
      <c r="M68" s="171"/>
      <c r="N68" s="186"/>
      <c r="O68" s="200"/>
      <c r="P68" s="173"/>
    </row>
    <row r="69">
      <c r="A69" s="102" t="s">
        <v>110</v>
      </c>
      <c r="B69" s="96">
        <v>1299.0</v>
      </c>
      <c r="C69" s="329"/>
      <c r="D69" s="215"/>
      <c r="E69" s="327"/>
      <c r="F69" s="215"/>
      <c r="G69" s="171"/>
      <c r="H69" s="171"/>
      <c r="I69" s="171"/>
      <c r="J69" s="171"/>
      <c r="K69" s="171"/>
      <c r="L69" s="171"/>
      <c r="M69" s="171"/>
      <c r="N69" s="186"/>
      <c r="O69" s="200"/>
      <c r="P69" s="173"/>
    </row>
    <row r="70">
      <c r="A70" s="101" t="s">
        <v>111</v>
      </c>
      <c r="B70" s="96">
        <v>1299.0</v>
      </c>
      <c r="C70" s="329"/>
      <c r="D70" s="215"/>
      <c r="E70" s="327"/>
      <c r="F70" s="215"/>
      <c r="G70" s="171"/>
      <c r="H70" s="171"/>
      <c r="I70" s="171"/>
      <c r="J70" s="171"/>
      <c r="K70" s="171"/>
      <c r="L70" s="171"/>
      <c r="M70" s="171"/>
      <c r="N70" s="186"/>
      <c r="O70" s="200"/>
      <c r="P70" s="173"/>
    </row>
    <row r="71">
      <c r="A71" s="101" t="s">
        <v>112</v>
      </c>
      <c r="B71" s="93">
        <v>609.0</v>
      </c>
      <c r="C71" s="329"/>
      <c r="D71" s="215"/>
      <c r="E71" s="327"/>
      <c r="F71" s="215"/>
      <c r="G71" s="171"/>
      <c r="H71" s="171"/>
      <c r="I71" s="171"/>
      <c r="J71" s="171"/>
      <c r="K71" s="171"/>
      <c r="L71" s="171"/>
      <c r="M71" s="171"/>
      <c r="N71" s="186"/>
      <c r="O71" s="200"/>
      <c r="P71" s="173"/>
    </row>
    <row r="72">
      <c r="A72" s="101" t="s">
        <v>113</v>
      </c>
      <c r="B72" s="187">
        <v>1599.0</v>
      </c>
      <c r="C72" s="329"/>
      <c r="D72" s="215"/>
      <c r="E72" s="327"/>
      <c r="F72" s="215"/>
      <c r="G72" s="171"/>
      <c r="H72" s="171"/>
      <c r="I72" s="171"/>
      <c r="J72" s="171"/>
      <c r="K72" s="171"/>
      <c r="L72" s="171"/>
      <c r="M72" s="171"/>
      <c r="N72" s="186"/>
      <c r="O72" s="200"/>
      <c r="P72" s="173"/>
    </row>
    <row r="73">
      <c r="A73" s="101" t="s">
        <v>114</v>
      </c>
      <c r="B73" s="224">
        <v>1599.0</v>
      </c>
      <c r="C73" s="329"/>
      <c r="D73" s="215"/>
      <c r="E73" s="327"/>
      <c r="F73" s="215"/>
      <c r="G73" s="171"/>
      <c r="H73" s="171"/>
      <c r="I73" s="171"/>
      <c r="J73" s="171"/>
      <c r="K73" s="171"/>
      <c r="L73" s="171"/>
      <c r="M73" s="171"/>
      <c r="N73" s="186"/>
      <c r="O73" s="200"/>
      <c r="P73" s="173"/>
    </row>
    <row r="74">
      <c r="A74" s="101" t="s">
        <v>115</v>
      </c>
      <c r="B74" s="225">
        <v>1599.0</v>
      </c>
      <c r="C74" s="329"/>
      <c r="D74" s="215"/>
      <c r="E74" s="327"/>
      <c r="F74" s="215"/>
      <c r="G74" s="171"/>
      <c r="H74" s="171"/>
      <c r="I74" s="171"/>
      <c r="J74" s="171"/>
      <c r="K74" s="171"/>
      <c r="L74" s="171"/>
      <c r="M74" s="171"/>
      <c r="N74" s="186"/>
      <c r="O74" s="200"/>
      <c r="P74" s="173"/>
    </row>
    <row r="75">
      <c r="A75" s="101" t="s">
        <v>116</v>
      </c>
      <c r="B75" s="108"/>
      <c r="C75" s="329"/>
      <c r="D75" s="215"/>
      <c r="E75" s="327"/>
      <c r="F75" s="116"/>
      <c r="G75" s="171"/>
      <c r="H75" s="171"/>
      <c r="I75" s="171"/>
      <c r="J75" s="171"/>
      <c r="K75" s="171"/>
      <c r="L75" s="171"/>
      <c r="M75" s="171"/>
      <c r="N75" s="186"/>
      <c r="O75" s="200"/>
      <c r="P75" s="173"/>
    </row>
    <row r="76">
      <c r="A76" s="109"/>
      <c r="B76" s="108"/>
      <c r="C76" s="329"/>
      <c r="D76" s="215"/>
      <c r="E76" s="327"/>
      <c r="F76" s="116"/>
      <c r="G76" s="171"/>
      <c r="H76" s="171"/>
      <c r="I76" s="171"/>
      <c r="J76" s="171"/>
      <c r="K76" s="171"/>
      <c r="L76" s="171"/>
      <c r="M76" s="171"/>
      <c r="N76" s="186"/>
      <c r="O76" s="200"/>
      <c r="P76" s="173"/>
    </row>
    <row r="77">
      <c r="A77" s="110" t="s">
        <v>117</v>
      </c>
      <c r="B77" s="96">
        <v>379.0</v>
      </c>
      <c r="C77" s="329"/>
      <c r="D77" s="215"/>
      <c r="E77" s="327"/>
      <c r="F77" s="116"/>
      <c r="G77" s="171"/>
      <c r="H77" s="171"/>
      <c r="I77" s="171"/>
      <c r="J77" s="171"/>
      <c r="K77" s="171"/>
      <c r="L77" s="171"/>
      <c r="M77" s="171"/>
      <c r="N77" s="186"/>
      <c r="O77" s="200"/>
      <c r="P77" s="173"/>
    </row>
    <row r="78">
      <c r="A78" s="110" t="s">
        <v>118</v>
      </c>
      <c r="B78" s="96">
        <v>799.0</v>
      </c>
      <c r="C78" s="329"/>
      <c r="D78" s="215"/>
      <c r="E78" s="327"/>
      <c r="F78" s="116"/>
      <c r="G78" s="171"/>
      <c r="H78" s="171"/>
      <c r="I78" s="171"/>
      <c r="J78" s="171"/>
      <c r="K78" s="171"/>
      <c r="L78" s="171"/>
      <c r="M78" s="171"/>
      <c r="N78" s="186"/>
      <c r="O78" s="200"/>
      <c r="P78" s="173"/>
    </row>
    <row r="79">
      <c r="A79" s="110" t="s">
        <v>119</v>
      </c>
      <c r="B79" s="96">
        <v>439.0</v>
      </c>
      <c r="C79" s="329"/>
      <c r="D79" s="215"/>
      <c r="E79" s="327"/>
      <c r="F79" s="116"/>
      <c r="G79" s="171"/>
      <c r="H79" s="171"/>
      <c r="I79" s="171"/>
      <c r="J79" s="171"/>
      <c r="K79" s="171"/>
      <c r="L79" s="171"/>
      <c r="M79" s="171"/>
      <c r="N79" s="186"/>
      <c r="O79" s="200"/>
      <c r="P79" s="173"/>
    </row>
    <row r="80">
      <c r="A80" s="110" t="s">
        <v>120</v>
      </c>
      <c r="B80" s="96">
        <v>599.0</v>
      </c>
      <c r="C80" s="329"/>
      <c r="D80" s="215"/>
      <c r="E80" s="327"/>
      <c r="F80" s="116"/>
      <c r="G80" s="171"/>
      <c r="H80" s="171"/>
      <c r="I80" s="171"/>
      <c r="J80" s="171"/>
      <c r="K80" s="171"/>
      <c r="L80" s="171"/>
      <c r="M80" s="171"/>
      <c r="N80" s="186"/>
      <c r="O80" s="200"/>
      <c r="P80" s="173"/>
    </row>
    <row r="81">
      <c r="A81" s="110" t="s">
        <v>121</v>
      </c>
      <c r="B81" s="96">
        <v>229.0</v>
      </c>
      <c r="C81" s="212">
        <v>1.0</v>
      </c>
      <c r="D81" s="215"/>
      <c r="E81" s="327"/>
      <c r="F81" s="116"/>
      <c r="G81" s="171"/>
      <c r="H81" s="171"/>
      <c r="I81" s="171"/>
      <c r="J81" s="195"/>
      <c r="K81" s="171"/>
      <c r="L81" s="195"/>
      <c r="M81" s="195"/>
      <c r="N81" s="186"/>
      <c r="O81" s="200"/>
      <c r="P81" s="173"/>
    </row>
    <row r="82">
      <c r="A82" s="110" t="s">
        <v>122</v>
      </c>
      <c r="B82" s="96">
        <v>219.0</v>
      </c>
      <c r="C82" s="329"/>
      <c r="D82" s="215"/>
      <c r="E82" s="327"/>
      <c r="F82" s="116"/>
      <c r="G82" s="171"/>
      <c r="H82" s="171"/>
      <c r="I82" s="171"/>
      <c r="J82" s="171"/>
      <c r="K82" s="171"/>
      <c r="L82" s="171"/>
      <c r="M82" s="171"/>
      <c r="N82" s="186"/>
      <c r="O82" s="200"/>
      <c r="P82" s="173"/>
    </row>
    <row r="83">
      <c r="A83" s="110" t="s">
        <v>123</v>
      </c>
      <c r="B83" s="96">
        <v>1299.0</v>
      </c>
      <c r="C83" s="329"/>
      <c r="D83" s="215"/>
      <c r="E83" s="327"/>
      <c r="F83" s="116"/>
      <c r="G83" s="171"/>
      <c r="H83" s="171"/>
      <c r="I83" s="171"/>
      <c r="J83" s="171"/>
      <c r="K83" s="171"/>
      <c r="L83" s="171"/>
      <c r="M83" s="171"/>
      <c r="N83" s="186"/>
      <c r="O83" s="200"/>
      <c r="P83" s="173"/>
    </row>
    <row r="84">
      <c r="A84" s="102" t="s">
        <v>124</v>
      </c>
      <c r="B84" s="96">
        <v>1299.0</v>
      </c>
      <c r="C84" s="329"/>
      <c r="D84" s="215"/>
      <c r="E84" s="327"/>
      <c r="F84" s="116"/>
      <c r="G84" s="171"/>
      <c r="H84" s="171"/>
      <c r="I84" s="171"/>
      <c r="J84" s="171"/>
      <c r="K84" s="171"/>
      <c r="L84" s="171"/>
      <c r="M84" s="171"/>
      <c r="N84" s="186"/>
      <c r="O84" s="200"/>
      <c r="P84" s="173"/>
    </row>
    <row r="85">
      <c r="A85" s="111" t="s">
        <v>125</v>
      </c>
      <c r="B85" s="96">
        <v>1299.0</v>
      </c>
      <c r="C85" s="329"/>
      <c r="D85" s="215"/>
      <c r="E85" s="327"/>
      <c r="F85" s="116"/>
      <c r="G85" s="171"/>
      <c r="H85" s="171"/>
      <c r="I85" s="171"/>
      <c r="J85" s="171"/>
      <c r="K85" s="171"/>
      <c r="L85" s="171"/>
      <c r="M85" s="171"/>
      <c r="N85" s="186"/>
      <c r="O85" s="200"/>
      <c r="P85" s="173"/>
    </row>
    <row r="86">
      <c r="A86" s="112" t="s">
        <v>126</v>
      </c>
      <c r="B86" s="96">
        <v>1299.0</v>
      </c>
      <c r="C86" s="334"/>
      <c r="D86" s="227"/>
      <c r="E86" s="333"/>
      <c r="F86" s="120"/>
      <c r="G86" s="228"/>
      <c r="H86" s="228"/>
      <c r="I86" s="228"/>
      <c r="J86" s="228"/>
      <c r="K86" s="228"/>
      <c r="L86" s="228"/>
      <c r="M86" s="228"/>
      <c r="N86" s="186"/>
      <c r="O86" s="200"/>
      <c r="P86" s="173"/>
    </row>
    <row r="87">
      <c r="A87" s="113"/>
      <c r="B87" s="114"/>
      <c r="C87" s="329"/>
      <c r="D87" s="215"/>
      <c r="E87" s="327"/>
      <c r="F87" s="116"/>
      <c r="G87" s="171"/>
      <c r="H87" s="171"/>
      <c r="I87" s="171"/>
      <c r="J87" s="171"/>
      <c r="K87" s="171"/>
      <c r="L87" s="171"/>
      <c r="M87" s="171"/>
      <c r="N87" s="186"/>
      <c r="O87" s="200"/>
      <c r="P87" s="173"/>
    </row>
    <row r="88">
      <c r="A88" s="94" t="s">
        <v>127</v>
      </c>
      <c r="B88" s="96">
        <v>679.0</v>
      </c>
      <c r="C88" s="329"/>
      <c r="D88" s="230"/>
      <c r="E88" s="335"/>
      <c r="F88" s="231"/>
      <c r="G88" s="232"/>
      <c r="H88" s="232"/>
      <c r="I88" s="232"/>
      <c r="J88" s="232"/>
      <c r="K88" s="232"/>
      <c r="L88" s="232"/>
      <c r="M88" s="232"/>
      <c r="N88" s="186"/>
      <c r="O88" s="200"/>
      <c r="P88" s="173"/>
    </row>
    <row r="89">
      <c r="A89" s="94" t="s">
        <v>128</v>
      </c>
      <c r="B89" s="96">
        <v>679.0</v>
      </c>
      <c r="C89" s="208"/>
      <c r="D89" s="230"/>
      <c r="E89" s="335"/>
      <c r="F89" s="231"/>
      <c r="G89" s="232"/>
      <c r="H89" s="232"/>
      <c r="I89" s="232"/>
      <c r="J89" s="232"/>
      <c r="K89" s="232"/>
      <c r="L89" s="232"/>
      <c r="M89" s="232"/>
      <c r="N89" s="186"/>
      <c r="O89" s="200"/>
      <c r="P89" s="173"/>
    </row>
    <row r="90">
      <c r="A90" s="94" t="s">
        <v>129</v>
      </c>
      <c r="B90" s="96">
        <v>679.0</v>
      </c>
      <c r="C90" s="208"/>
      <c r="D90" s="230"/>
      <c r="E90" s="335"/>
      <c r="F90" s="231"/>
      <c r="G90" s="232"/>
      <c r="H90" s="232"/>
      <c r="I90" s="232"/>
      <c r="J90" s="232"/>
      <c r="K90" s="232"/>
      <c r="L90" s="232"/>
      <c r="M90" s="232"/>
      <c r="N90" s="186"/>
      <c r="O90" s="200"/>
      <c r="P90" s="173"/>
    </row>
    <row r="91">
      <c r="A91" s="115"/>
      <c r="B91" s="116"/>
      <c r="C91" s="208"/>
      <c r="D91" s="230"/>
      <c r="E91" s="335"/>
      <c r="F91" s="231"/>
      <c r="G91" s="232"/>
      <c r="H91" s="232"/>
      <c r="I91" s="232"/>
      <c r="J91" s="232"/>
      <c r="K91" s="232"/>
      <c r="L91" s="232"/>
      <c r="M91" s="232"/>
      <c r="N91" s="186"/>
      <c r="O91" s="200"/>
      <c r="P91" s="173"/>
    </row>
    <row r="92">
      <c r="A92" s="94" t="s">
        <v>130</v>
      </c>
      <c r="B92" s="96">
        <v>490.0</v>
      </c>
      <c r="C92" s="208"/>
      <c r="D92" s="230"/>
      <c r="E92" s="335"/>
      <c r="F92" s="231"/>
      <c r="G92" s="232"/>
      <c r="H92" s="232"/>
      <c r="I92" s="232"/>
      <c r="J92" s="232"/>
      <c r="K92" s="232"/>
      <c r="L92" s="232"/>
      <c r="M92" s="232"/>
      <c r="N92" s="186"/>
      <c r="O92" s="200"/>
      <c r="P92" s="173"/>
    </row>
    <row r="93">
      <c r="A93" s="94" t="s">
        <v>131</v>
      </c>
      <c r="B93" s="96">
        <v>490.0</v>
      </c>
      <c r="C93" s="208"/>
      <c r="D93" s="230"/>
      <c r="E93" s="335"/>
      <c r="F93" s="231"/>
      <c r="G93" s="232"/>
      <c r="H93" s="232"/>
      <c r="I93" s="232"/>
      <c r="J93" s="232"/>
      <c r="K93" s="232"/>
      <c r="L93" s="232"/>
      <c r="M93" s="232"/>
      <c r="N93" s="186"/>
      <c r="O93" s="200"/>
      <c r="P93" s="173"/>
    </row>
    <row r="94">
      <c r="A94" s="94" t="s">
        <v>132</v>
      </c>
      <c r="B94" s="96">
        <v>450.0</v>
      </c>
      <c r="C94" s="208"/>
      <c r="D94" s="230"/>
      <c r="E94" s="335"/>
      <c r="F94" s="231"/>
      <c r="G94" s="232"/>
      <c r="H94" s="232"/>
      <c r="I94" s="232"/>
      <c r="J94" s="232"/>
      <c r="K94" s="232"/>
      <c r="L94" s="232"/>
      <c r="M94" s="232"/>
      <c r="N94" s="186"/>
      <c r="O94" s="200"/>
      <c r="P94" s="173"/>
    </row>
    <row r="95">
      <c r="A95" s="117" t="s">
        <v>265</v>
      </c>
      <c r="B95" s="118">
        <v>450.0</v>
      </c>
      <c r="C95" s="208"/>
      <c r="D95" s="230"/>
      <c r="E95" s="335"/>
      <c r="F95" s="231"/>
      <c r="G95" s="232"/>
      <c r="H95" s="232"/>
      <c r="I95" s="232"/>
      <c r="J95" s="232"/>
      <c r="K95" s="232"/>
      <c r="L95" s="232"/>
      <c r="M95" s="232"/>
      <c r="N95" s="186"/>
      <c r="O95" s="200"/>
      <c r="P95" s="173"/>
    </row>
    <row r="96">
      <c r="A96" s="234"/>
      <c r="B96" s="120"/>
      <c r="C96" s="208"/>
      <c r="D96" s="235"/>
      <c r="E96" s="337"/>
      <c r="F96" s="236"/>
      <c r="G96" s="237"/>
      <c r="H96" s="237"/>
      <c r="I96" s="237"/>
      <c r="J96" s="237"/>
      <c r="K96" s="237"/>
      <c r="L96" s="237"/>
      <c r="M96" s="237"/>
      <c r="N96" s="418"/>
      <c r="O96" s="438"/>
      <c r="P96" s="173"/>
    </row>
    <row r="97">
      <c r="A97" s="372" t="s">
        <v>134</v>
      </c>
      <c r="B97" s="118">
        <v>1054.0</v>
      </c>
      <c r="C97" s="373"/>
      <c r="D97" s="113"/>
      <c r="E97" s="374"/>
      <c r="F97" s="113"/>
      <c r="G97" s="113"/>
      <c r="H97" s="113"/>
      <c r="I97" s="113"/>
      <c r="J97" s="113"/>
      <c r="K97" s="113"/>
      <c r="L97" s="113"/>
      <c r="M97" s="440"/>
      <c r="N97" s="440"/>
      <c r="O97" s="440"/>
      <c r="P97" s="173"/>
    </row>
    <row r="98">
      <c r="A98" s="351" t="s">
        <v>135</v>
      </c>
      <c r="B98" s="124"/>
      <c r="C98" s="352"/>
      <c r="D98" s="353"/>
      <c r="E98" s="358"/>
      <c r="F98" s="358"/>
      <c r="G98" s="358"/>
      <c r="H98" s="358"/>
      <c r="I98" s="353"/>
      <c r="J98" s="353"/>
      <c r="K98" s="353"/>
      <c r="L98" s="353"/>
      <c r="M98" s="353"/>
      <c r="N98" s="353"/>
      <c r="O98" s="353"/>
      <c r="P98" s="173"/>
    </row>
    <row r="99">
      <c r="A99" s="283"/>
      <c r="B99" s="280"/>
      <c r="C99" s="277">
        <f>349*11+239+259*4+249</f>
        <v>5363</v>
      </c>
      <c r="D99" s="391">
        <v>2916.0</v>
      </c>
      <c r="E99" s="391">
        <v>3968.0</v>
      </c>
      <c r="F99" s="277"/>
      <c r="G99" s="277"/>
      <c r="H99" s="277"/>
      <c r="I99" s="277"/>
      <c r="J99" s="277"/>
      <c r="K99" s="277"/>
      <c r="L99" s="277"/>
      <c r="M99" s="277"/>
      <c r="N99" s="277"/>
      <c r="O99" s="279"/>
      <c r="P99" s="277"/>
    </row>
    <row r="100">
      <c r="A100" s="72"/>
      <c r="B100" s="280"/>
      <c r="C100" s="70"/>
      <c r="E100" s="70"/>
    </row>
    <row r="101">
      <c r="A101" s="284" t="s">
        <v>270</v>
      </c>
      <c r="C101" s="70"/>
      <c r="E101" s="70"/>
    </row>
    <row r="102">
      <c r="A102" s="283"/>
      <c r="B102" s="284" t="s">
        <v>271</v>
      </c>
      <c r="C102" s="70"/>
      <c r="E102" s="70"/>
    </row>
    <row r="103">
      <c r="A103" s="286" t="s">
        <v>272</v>
      </c>
      <c r="C103" s="70"/>
      <c r="E103" s="70"/>
    </row>
    <row r="104">
      <c r="A104" s="286" t="s">
        <v>273</v>
      </c>
      <c r="C104" s="70"/>
      <c r="E104" s="70"/>
    </row>
    <row r="105">
      <c r="A105" s="287" t="s">
        <v>274</v>
      </c>
      <c r="B105" s="288"/>
      <c r="C105" s="70"/>
      <c r="E105" s="70"/>
    </row>
    <row r="106">
      <c r="A106" s="291" t="s">
        <v>275</v>
      </c>
      <c r="C106" s="70"/>
      <c r="E106" s="70"/>
    </row>
    <row r="107">
      <c r="A107" s="72"/>
      <c r="B107" s="280"/>
      <c r="C107" s="70"/>
      <c r="E107" s="70"/>
    </row>
    <row r="108">
      <c r="A108" s="291">
        <f>C99</f>
        <v>5363</v>
      </c>
      <c r="B108" s="243" t="s">
        <v>136</v>
      </c>
      <c r="C108" s="70"/>
      <c r="E108" s="70"/>
    </row>
    <row r="109">
      <c r="A109" s="291">
        <f>D99</f>
        <v>2916</v>
      </c>
      <c r="B109" s="243" t="s">
        <v>276</v>
      </c>
      <c r="C109" s="70"/>
      <c r="E109" s="70"/>
    </row>
    <row r="110">
      <c r="A110" s="291">
        <f>E99</f>
        <v>3968</v>
      </c>
      <c r="B110" s="243" t="s">
        <v>277</v>
      </c>
      <c r="C110" s="70"/>
      <c r="E110" s="70"/>
    </row>
    <row r="111">
      <c r="A111" s="291" t="str">
        <f>ES99</f>
        <v/>
      </c>
      <c r="B111" s="243" t="s">
        <v>278</v>
      </c>
      <c r="C111" s="70"/>
      <c r="E111" s="70"/>
    </row>
    <row r="112">
      <c r="A112" s="291" t="str">
        <f>GH99</f>
        <v/>
      </c>
      <c r="B112" s="243" t="s">
        <v>4</v>
      </c>
      <c r="C112" s="70"/>
      <c r="E112" s="70"/>
    </row>
    <row r="113">
      <c r="A113" s="291" t="str">
        <f>HR99</f>
        <v/>
      </c>
      <c r="B113" s="243" t="s">
        <v>279</v>
      </c>
      <c r="C113" s="70"/>
      <c r="E113" s="70"/>
    </row>
    <row r="114">
      <c r="A114" s="291" t="str">
        <f>JH99</f>
        <v/>
      </c>
      <c r="B114" s="243" t="s">
        <v>280</v>
      </c>
      <c r="C114" s="70"/>
      <c r="E114" s="70"/>
    </row>
    <row r="115">
      <c r="A115" s="291" t="str">
        <f>LC99</f>
        <v/>
      </c>
      <c r="B115" s="243" t="s">
        <v>281</v>
      </c>
      <c r="C115" s="70"/>
      <c r="E115" s="70"/>
    </row>
    <row r="116">
      <c r="A116" s="291" t="str">
        <f>MZ99</f>
        <v/>
      </c>
      <c r="B116" s="243" t="s">
        <v>282</v>
      </c>
      <c r="C116" s="70"/>
      <c r="E116" s="70"/>
    </row>
    <row r="117">
      <c r="A117" s="291" t="str">
        <f>OK99</f>
        <v/>
      </c>
      <c r="B117" s="243" t="s">
        <v>283</v>
      </c>
      <c r="C117" s="70"/>
      <c r="E117" s="70"/>
    </row>
    <row r="118">
      <c r="A118" s="291" t="str">
        <f>QE99</f>
        <v/>
      </c>
      <c r="B118" s="243" t="s">
        <v>284</v>
      </c>
      <c r="C118" s="70"/>
      <c r="E118" s="70"/>
    </row>
    <row r="119">
      <c r="A119" s="290" t="str">
        <f>ARD100</f>
        <v/>
      </c>
      <c r="B119" s="292" t="s">
        <v>285</v>
      </c>
      <c r="C119" s="70"/>
      <c r="E119" s="70"/>
    </row>
    <row r="120">
      <c r="A120" s="291">
        <f>sum(A108:A116)</f>
        <v>12247</v>
      </c>
      <c r="B120" s="280"/>
      <c r="C120" s="70"/>
      <c r="E120" s="70"/>
    </row>
    <row r="121">
      <c r="A121" s="72"/>
      <c r="B121" s="280"/>
      <c r="C121" s="70"/>
      <c r="E121" s="70"/>
    </row>
    <row r="122">
      <c r="A122" s="72"/>
      <c r="B122" s="280"/>
      <c r="C122" s="70"/>
      <c r="E122" s="70"/>
    </row>
    <row r="123">
      <c r="C123" s="70"/>
      <c r="E123" s="70"/>
    </row>
    <row r="124">
      <c r="C124" s="70"/>
      <c r="E124" s="70"/>
    </row>
    <row r="125">
      <c r="C125" s="70"/>
      <c r="E125" s="70"/>
    </row>
    <row r="126">
      <c r="C126" s="70"/>
      <c r="E126" s="70"/>
    </row>
    <row r="127">
      <c r="C127" s="70"/>
      <c r="E127" s="70"/>
    </row>
    <row r="128">
      <c r="C128" s="70"/>
      <c r="E128" s="70"/>
    </row>
    <row r="129">
      <c r="C129" s="70"/>
      <c r="E129" s="70"/>
    </row>
    <row r="130">
      <c r="C130" s="70"/>
      <c r="E130" s="70"/>
    </row>
    <row r="131">
      <c r="C131" s="70"/>
      <c r="E131" s="70"/>
    </row>
    <row r="132">
      <c r="C132" s="70"/>
      <c r="E132" s="70"/>
    </row>
    <row r="133">
      <c r="C133" s="70"/>
      <c r="E133" s="70"/>
    </row>
    <row r="134">
      <c r="C134" s="70"/>
      <c r="E134" s="70"/>
    </row>
    <row r="135">
      <c r="C135" s="70"/>
      <c r="E135" s="70"/>
    </row>
    <row r="136">
      <c r="C136" s="70"/>
      <c r="E136" s="70"/>
    </row>
    <row r="137">
      <c r="C137" s="70"/>
      <c r="E137" s="70"/>
    </row>
    <row r="138">
      <c r="C138" s="70"/>
      <c r="E138" s="70"/>
    </row>
    <row r="139">
      <c r="C139" s="70"/>
      <c r="E139" s="70"/>
    </row>
    <row r="140">
      <c r="C140" s="70"/>
      <c r="E140" s="70"/>
    </row>
    <row r="141">
      <c r="C141" s="70"/>
      <c r="E141" s="70"/>
    </row>
    <row r="142">
      <c r="C142" s="70"/>
      <c r="E142" s="70"/>
    </row>
    <row r="143">
      <c r="C143" s="70"/>
      <c r="E143" s="70"/>
    </row>
    <row r="144">
      <c r="C144" s="70"/>
      <c r="E144" s="70"/>
    </row>
    <row r="145">
      <c r="C145" s="70"/>
      <c r="E145" s="70"/>
    </row>
    <row r="146">
      <c r="C146" s="70"/>
      <c r="E146" s="70"/>
    </row>
    <row r="147">
      <c r="C147" s="70"/>
      <c r="E147" s="70"/>
    </row>
    <row r="148">
      <c r="C148" s="70"/>
      <c r="E148" s="70"/>
    </row>
    <row r="149">
      <c r="C149" s="70"/>
      <c r="E149" s="70"/>
    </row>
    <row r="150">
      <c r="C150" s="70"/>
      <c r="E150" s="70"/>
    </row>
    <row r="151">
      <c r="C151" s="70"/>
      <c r="E151" s="70"/>
    </row>
    <row r="152">
      <c r="C152" s="70"/>
      <c r="E152" s="70"/>
    </row>
    <row r="153">
      <c r="C153" s="70"/>
      <c r="E153" s="70"/>
    </row>
    <row r="154">
      <c r="C154" s="70"/>
      <c r="E154" s="70"/>
    </row>
    <row r="155">
      <c r="C155" s="70"/>
      <c r="E155" s="70"/>
    </row>
    <row r="156">
      <c r="C156" s="70"/>
      <c r="E156" s="70"/>
    </row>
    <row r="157">
      <c r="C157" s="70"/>
      <c r="E157" s="70"/>
    </row>
    <row r="158">
      <c r="C158" s="70"/>
      <c r="E158" s="70"/>
    </row>
    <row r="159">
      <c r="C159" s="70"/>
      <c r="E159" s="70"/>
    </row>
    <row r="160">
      <c r="C160" s="70"/>
      <c r="E160" s="70"/>
    </row>
    <row r="161">
      <c r="C161" s="70"/>
      <c r="E161" s="70"/>
    </row>
    <row r="162">
      <c r="C162" s="70"/>
      <c r="E162" s="70"/>
    </row>
    <row r="163">
      <c r="C163" s="70"/>
      <c r="E163" s="70"/>
    </row>
    <row r="164">
      <c r="C164" s="70"/>
      <c r="E164" s="70"/>
    </row>
    <row r="165">
      <c r="C165" s="70"/>
      <c r="E165" s="70"/>
    </row>
    <row r="166">
      <c r="C166" s="70"/>
      <c r="E166" s="70"/>
    </row>
    <row r="167">
      <c r="C167" s="70"/>
      <c r="E167" s="70"/>
    </row>
    <row r="168">
      <c r="C168" s="70"/>
      <c r="E168" s="70"/>
    </row>
    <row r="169">
      <c r="C169" s="70"/>
      <c r="E169" s="70"/>
    </row>
    <row r="170">
      <c r="C170" s="70"/>
      <c r="E170" s="70"/>
    </row>
    <row r="171">
      <c r="C171" s="70"/>
      <c r="E171" s="70"/>
    </row>
    <row r="172">
      <c r="C172" s="70"/>
      <c r="E172" s="70"/>
    </row>
    <row r="173">
      <c r="C173" s="70"/>
      <c r="E173" s="70"/>
    </row>
    <row r="174">
      <c r="C174" s="70"/>
      <c r="E174" s="70"/>
    </row>
    <row r="175">
      <c r="C175" s="70"/>
      <c r="E175" s="70"/>
    </row>
    <row r="176">
      <c r="C176" s="70"/>
      <c r="E176" s="70"/>
    </row>
    <row r="177">
      <c r="C177" s="70"/>
      <c r="E177" s="70"/>
    </row>
    <row r="178">
      <c r="C178" s="70"/>
      <c r="E178" s="70"/>
    </row>
    <row r="179">
      <c r="C179" s="70"/>
      <c r="E179" s="70"/>
    </row>
    <row r="180">
      <c r="C180" s="70"/>
      <c r="E180" s="70"/>
    </row>
    <row r="181">
      <c r="C181" s="70"/>
      <c r="E181" s="70"/>
    </row>
    <row r="182">
      <c r="C182" s="70"/>
      <c r="E182" s="70"/>
    </row>
    <row r="183">
      <c r="C183" s="70"/>
      <c r="E183" s="70"/>
    </row>
    <row r="184">
      <c r="C184" s="70"/>
      <c r="E184" s="70"/>
    </row>
    <row r="185">
      <c r="C185" s="70"/>
      <c r="E185" s="70"/>
    </row>
    <row r="186">
      <c r="C186" s="70"/>
      <c r="E186" s="70"/>
    </row>
    <row r="187">
      <c r="C187" s="70"/>
      <c r="E187" s="70"/>
    </row>
    <row r="188">
      <c r="C188" s="70"/>
      <c r="E188" s="70"/>
    </row>
    <row r="189">
      <c r="C189" s="70"/>
      <c r="E189" s="70"/>
    </row>
    <row r="190">
      <c r="C190" s="70"/>
      <c r="E190" s="70"/>
    </row>
    <row r="191">
      <c r="C191" s="70"/>
      <c r="E191" s="70"/>
    </row>
    <row r="192">
      <c r="C192" s="70"/>
      <c r="E192" s="70"/>
    </row>
    <row r="193">
      <c r="C193" s="70"/>
      <c r="E193" s="70"/>
    </row>
    <row r="194">
      <c r="C194" s="70"/>
      <c r="E194" s="70"/>
    </row>
    <row r="195">
      <c r="C195" s="70"/>
      <c r="E195" s="70"/>
    </row>
    <row r="196">
      <c r="C196" s="70"/>
      <c r="E196" s="70"/>
    </row>
    <row r="197">
      <c r="C197" s="70"/>
      <c r="E197" s="70"/>
    </row>
    <row r="198">
      <c r="C198" s="70"/>
      <c r="E198" s="70"/>
    </row>
    <row r="199">
      <c r="C199" s="70"/>
      <c r="E199" s="70"/>
    </row>
    <row r="200">
      <c r="C200" s="70"/>
      <c r="E200" s="70"/>
    </row>
    <row r="201">
      <c r="C201" s="70"/>
      <c r="E201" s="70"/>
    </row>
    <row r="202">
      <c r="C202" s="70"/>
      <c r="E202" s="70"/>
    </row>
    <row r="203">
      <c r="C203" s="70"/>
      <c r="E203" s="70"/>
    </row>
    <row r="204">
      <c r="C204" s="70"/>
      <c r="E204" s="70"/>
    </row>
    <row r="205">
      <c r="C205" s="70"/>
      <c r="E205" s="70"/>
    </row>
    <row r="206">
      <c r="C206" s="70"/>
      <c r="E206" s="70"/>
    </row>
    <row r="207">
      <c r="C207" s="70"/>
      <c r="E207" s="70"/>
    </row>
    <row r="208">
      <c r="C208" s="70"/>
      <c r="E208" s="70"/>
    </row>
    <row r="209">
      <c r="C209" s="70"/>
      <c r="E209" s="70"/>
    </row>
    <row r="210">
      <c r="C210" s="70"/>
      <c r="E210" s="70"/>
    </row>
    <row r="211">
      <c r="C211" s="70"/>
      <c r="E211" s="70"/>
    </row>
    <row r="212">
      <c r="C212" s="70"/>
      <c r="E212" s="70"/>
    </row>
    <row r="213">
      <c r="C213" s="70"/>
      <c r="E213" s="70"/>
    </row>
    <row r="214">
      <c r="C214" s="70"/>
      <c r="E214" s="70"/>
    </row>
    <row r="215">
      <c r="C215" s="70"/>
      <c r="E215" s="70"/>
    </row>
    <row r="216">
      <c r="C216" s="70"/>
      <c r="E216" s="70"/>
    </row>
    <row r="217">
      <c r="C217" s="70"/>
      <c r="E217" s="70"/>
    </row>
    <row r="218">
      <c r="C218" s="70"/>
      <c r="E218" s="70"/>
    </row>
    <row r="219">
      <c r="C219" s="70"/>
      <c r="E219" s="70"/>
    </row>
    <row r="220">
      <c r="C220" s="70"/>
      <c r="E220" s="70"/>
    </row>
    <row r="221">
      <c r="C221" s="70"/>
      <c r="E221" s="70"/>
    </row>
    <row r="222">
      <c r="C222" s="70"/>
      <c r="E222" s="70"/>
    </row>
    <row r="223">
      <c r="C223" s="70"/>
      <c r="E223" s="70"/>
    </row>
    <row r="224">
      <c r="C224" s="70"/>
      <c r="E224" s="70"/>
    </row>
    <row r="225">
      <c r="C225" s="70"/>
      <c r="E225" s="70"/>
    </row>
    <row r="226">
      <c r="C226" s="70"/>
      <c r="E226" s="70"/>
    </row>
    <row r="227">
      <c r="C227" s="70"/>
      <c r="E227" s="70"/>
    </row>
    <row r="228">
      <c r="C228" s="70"/>
      <c r="E228" s="70"/>
    </row>
    <row r="229">
      <c r="C229" s="70"/>
      <c r="E229" s="70"/>
    </row>
    <row r="230">
      <c r="C230" s="70"/>
      <c r="E230" s="70"/>
    </row>
    <row r="231">
      <c r="C231" s="70"/>
      <c r="E231" s="70"/>
    </row>
    <row r="232">
      <c r="C232" s="70"/>
      <c r="E232" s="70"/>
    </row>
    <row r="233">
      <c r="C233" s="70"/>
      <c r="E233" s="70"/>
    </row>
    <row r="234">
      <c r="C234" s="70"/>
      <c r="E234" s="70"/>
    </row>
    <row r="235">
      <c r="C235" s="70"/>
      <c r="E235" s="70"/>
    </row>
    <row r="236">
      <c r="C236" s="70"/>
      <c r="E236" s="70"/>
    </row>
    <row r="237">
      <c r="C237" s="70"/>
      <c r="E237" s="70"/>
    </row>
    <row r="238">
      <c r="C238" s="70"/>
      <c r="E238" s="70"/>
    </row>
    <row r="239">
      <c r="C239" s="70"/>
      <c r="E239" s="70"/>
    </row>
    <row r="240">
      <c r="C240" s="70"/>
      <c r="E240" s="70"/>
    </row>
    <row r="241">
      <c r="C241" s="70"/>
      <c r="E241" s="70"/>
    </row>
    <row r="242">
      <c r="C242" s="70"/>
      <c r="E242" s="70"/>
    </row>
    <row r="243">
      <c r="C243" s="70"/>
      <c r="E243" s="70"/>
    </row>
    <row r="244">
      <c r="C244" s="70"/>
      <c r="E244" s="70"/>
    </row>
    <row r="245">
      <c r="C245" s="70"/>
      <c r="E245" s="70"/>
    </row>
    <row r="246">
      <c r="C246" s="70"/>
      <c r="E246" s="70"/>
    </row>
    <row r="247">
      <c r="C247" s="70"/>
      <c r="E247" s="70"/>
    </row>
    <row r="248">
      <c r="C248" s="70"/>
      <c r="E248" s="70"/>
    </row>
    <row r="249">
      <c r="C249" s="70"/>
      <c r="E249" s="70"/>
    </row>
    <row r="250">
      <c r="C250" s="70"/>
      <c r="E250" s="70"/>
    </row>
    <row r="251">
      <c r="C251" s="70"/>
      <c r="E251" s="70"/>
    </row>
    <row r="252">
      <c r="C252" s="70"/>
      <c r="E252" s="70"/>
    </row>
    <row r="253">
      <c r="C253" s="70"/>
      <c r="E253" s="70"/>
    </row>
    <row r="254">
      <c r="C254" s="70"/>
      <c r="E254" s="70"/>
    </row>
    <row r="255">
      <c r="C255" s="70"/>
      <c r="E255" s="70"/>
    </row>
    <row r="256">
      <c r="C256" s="70"/>
      <c r="E256" s="70"/>
    </row>
    <row r="257">
      <c r="C257" s="70"/>
      <c r="E257" s="70"/>
    </row>
    <row r="258">
      <c r="C258" s="70"/>
      <c r="E258" s="70"/>
    </row>
    <row r="259">
      <c r="C259" s="70"/>
      <c r="E259" s="70"/>
    </row>
    <row r="260">
      <c r="C260" s="70"/>
      <c r="E260" s="70"/>
    </row>
    <row r="261">
      <c r="C261" s="70"/>
      <c r="E261" s="70"/>
    </row>
    <row r="262">
      <c r="C262" s="70"/>
      <c r="E262" s="70"/>
    </row>
    <row r="263">
      <c r="C263" s="70"/>
      <c r="E263" s="70"/>
    </row>
    <row r="264">
      <c r="C264" s="70"/>
      <c r="E264" s="70"/>
    </row>
    <row r="265">
      <c r="C265" s="70"/>
      <c r="E265" s="70"/>
    </row>
    <row r="266">
      <c r="C266" s="70"/>
      <c r="E266" s="70"/>
    </row>
    <row r="267">
      <c r="C267" s="70"/>
      <c r="E267" s="70"/>
    </row>
    <row r="268">
      <c r="C268" s="70"/>
      <c r="E268" s="70"/>
    </row>
    <row r="269">
      <c r="C269" s="70"/>
      <c r="E269" s="70"/>
    </row>
    <row r="270">
      <c r="C270" s="70"/>
      <c r="E270" s="70"/>
    </row>
    <row r="271">
      <c r="C271" s="70"/>
      <c r="E271" s="70"/>
    </row>
    <row r="272">
      <c r="C272" s="70"/>
      <c r="E272" s="70"/>
    </row>
    <row r="273">
      <c r="C273" s="70"/>
      <c r="E273" s="70"/>
    </row>
    <row r="274">
      <c r="C274" s="70"/>
      <c r="E274" s="70"/>
    </row>
    <row r="275">
      <c r="C275" s="70"/>
      <c r="E275" s="70"/>
    </row>
    <row r="276">
      <c r="C276" s="70"/>
      <c r="E276" s="70"/>
    </row>
    <row r="277">
      <c r="C277" s="70"/>
      <c r="E277" s="70"/>
    </row>
    <row r="278">
      <c r="C278" s="70"/>
      <c r="E278" s="70"/>
    </row>
    <row r="279">
      <c r="C279" s="70"/>
      <c r="E279" s="70"/>
    </row>
    <row r="280">
      <c r="C280" s="70"/>
      <c r="E280" s="70"/>
    </row>
    <row r="281">
      <c r="C281" s="70"/>
      <c r="E281" s="70"/>
    </row>
    <row r="282">
      <c r="C282" s="70"/>
      <c r="E282" s="70"/>
    </row>
    <row r="283">
      <c r="C283" s="70"/>
      <c r="E283" s="70"/>
    </row>
    <row r="284">
      <c r="C284" s="70"/>
      <c r="E284" s="70"/>
    </row>
    <row r="285">
      <c r="C285" s="70"/>
      <c r="E285" s="70"/>
    </row>
    <row r="286">
      <c r="C286" s="70"/>
      <c r="E286" s="70"/>
    </row>
    <row r="287">
      <c r="C287" s="70"/>
      <c r="E287" s="70"/>
    </row>
    <row r="288">
      <c r="C288" s="70"/>
      <c r="E288" s="70"/>
    </row>
    <row r="289">
      <c r="C289" s="70"/>
      <c r="E289" s="70"/>
    </row>
    <row r="290">
      <c r="C290" s="70"/>
      <c r="E290" s="70"/>
    </row>
    <row r="291">
      <c r="C291" s="70"/>
      <c r="E291" s="70"/>
    </row>
    <row r="292">
      <c r="C292" s="70"/>
      <c r="E292" s="70"/>
    </row>
    <row r="293">
      <c r="C293" s="70"/>
      <c r="E293" s="70"/>
    </row>
    <row r="294">
      <c r="C294" s="70"/>
      <c r="E294" s="70"/>
    </row>
    <row r="295">
      <c r="C295" s="70"/>
      <c r="E295" s="70"/>
    </row>
    <row r="296">
      <c r="C296" s="70"/>
      <c r="E296" s="70"/>
    </row>
    <row r="297">
      <c r="C297" s="70"/>
      <c r="E297" s="70"/>
    </row>
    <row r="298">
      <c r="C298" s="70"/>
      <c r="E298" s="70"/>
    </row>
    <row r="299">
      <c r="C299" s="70"/>
      <c r="E299" s="70"/>
    </row>
    <row r="300">
      <c r="C300" s="70"/>
      <c r="E300" s="70"/>
    </row>
    <row r="301">
      <c r="C301" s="70"/>
      <c r="E301" s="70"/>
    </row>
    <row r="302">
      <c r="C302" s="70"/>
      <c r="E302" s="70"/>
    </row>
    <row r="303">
      <c r="C303" s="70"/>
      <c r="E303" s="70"/>
    </row>
    <row r="304">
      <c r="C304" s="70"/>
      <c r="E304" s="70"/>
    </row>
    <row r="305">
      <c r="C305" s="70"/>
      <c r="E305" s="70"/>
    </row>
    <row r="306">
      <c r="C306" s="70"/>
      <c r="E306" s="70"/>
    </row>
    <row r="307">
      <c r="C307" s="70"/>
      <c r="E307" s="70"/>
    </row>
    <row r="308">
      <c r="C308" s="70"/>
      <c r="E308" s="70"/>
    </row>
    <row r="309">
      <c r="C309" s="70"/>
      <c r="E309" s="70"/>
    </row>
    <row r="310">
      <c r="C310" s="70"/>
      <c r="E310" s="70"/>
    </row>
    <row r="311">
      <c r="C311" s="70"/>
      <c r="E311" s="70"/>
    </row>
    <row r="312">
      <c r="C312" s="70"/>
      <c r="E312" s="70"/>
    </row>
    <row r="313">
      <c r="C313" s="70"/>
      <c r="E313" s="70"/>
    </row>
    <row r="314">
      <c r="C314" s="70"/>
      <c r="E314" s="70"/>
    </row>
    <row r="315">
      <c r="C315" s="70"/>
      <c r="E315" s="70"/>
    </row>
    <row r="316">
      <c r="C316" s="70"/>
      <c r="E316" s="70"/>
    </row>
    <row r="317">
      <c r="C317" s="70"/>
      <c r="E317" s="70"/>
    </row>
    <row r="318">
      <c r="C318" s="70"/>
      <c r="E318" s="70"/>
    </row>
    <row r="319">
      <c r="C319" s="70"/>
      <c r="E319" s="70"/>
    </row>
    <row r="320">
      <c r="C320" s="70"/>
      <c r="E320" s="70"/>
    </row>
    <row r="321">
      <c r="C321" s="70"/>
      <c r="E321" s="70"/>
    </row>
    <row r="322">
      <c r="C322" s="70"/>
      <c r="E322" s="70"/>
    </row>
    <row r="323">
      <c r="C323" s="70"/>
      <c r="E323" s="70"/>
    </row>
    <row r="324">
      <c r="C324" s="70"/>
      <c r="E324" s="70"/>
    </row>
    <row r="325">
      <c r="C325" s="70"/>
      <c r="E325" s="70"/>
    </row>
    <row r="326">
      <c r="C326" s="70"/>
      <c r="E326" s="70"/>
    </row>
    <row r="327">
      <c r="C327" s="70"/>
      <c r="E327" s="70"/>
    </row>
    <row r="328">
      <c r="C328" s="70"/>
      <c r="E328" s="70"/>
    </row>
    <row r="329">
      <c r="C329" s="70"/>
      <c r="E329" s="70"/>
    </row>
    <row r="330">
      <c r="C330" s="70"/>
      <c r="E330" s="70"/>
    </row>
    <row r="331">
      <c r="C331" s="70"/>
      <c r="E331" s="70"/>
    </row>
    <row r="332">
      <c r="C332" s="70"/>
      <c r="E332" s="70"/>
    </row>
    <row r="333">
      <c r="C333" s="70"/>
      <c r="E333" s="70"/>
    </row>
    <row r="334">
      <c r="C334" s="70"/>
      <c r="E334" s="70"/>
    </row>
    <row r="335">
      <c r="C335" s="70"/>
      <c r="E335" s="70"/>
    </row>
    <row r="336">
      <c r="C336" s="70"/>
      <c r="E336" s="70"/>
    </row>
    <row r="337">
      <c r="C337" s="70"/>
      <c r="E337" s="70"/>
    </row>
    <row r="338">
      <c r="C338" s="70"/>
      <c r="E338" s="70"/>
    </row>
    <row r="339">
      <c r="C339" s="70"/>
      <c r="E339" s="70"/>
    </row>
    <row r="340">
      <c r="C340" s="70"/>
      <c r="E340" s="70"/>
    </row>
    <row r="341">
      <c r="C341" s="70"/>
      <c r="E341" s="70"/>
    </row>
    <row r="342">
      <c r="C342" s="70"/>
      <c r="E342" s="70"/>
    </row>
    <row r="343">
      <c r="C343" s="70"/>
      <c r="E343" s="70"/>
    </row>
    <row r="344">
      <c r="C344" s="70"/>
      <c r="E344" s="70"/>
    </row>
    <row r="345">
      <c r="C345" s="70"/>
      <c r="E345" s="70"/>
    </row>
    <row r="346">
      <c r="C346" s="70"/>
      <c r="E346" s="70"/>
    </row>
    <row r="347">
      <c r="C347" s="70"/>
      <c r="E347" s="70"/>
    </row>
    <row r="348">
      <c r="C348" s="70"/>
      <c r="E348" s="70"/>
    </row>
    <row r="349">
      <c r="C349" s="70"/>
      <c r="E349" s="70"/>
    </row>
    <row r="350">
      <c r="C350" s="70"/>
      <c r="E350" s="70"/>
    </row>
    <row r="351">
      <c r="C351" s="70"/>
      <c r="E351" s="70"/>
    </row>
    <row r="352">
      <c r="C352" s="70"/>
      <c r="E352" s="70"/>
    </row>
    <row r="353">
      <c r="C353" s="70"/>
      <c r="E353" s="70"/>
    </row>
    <row r="354">
      <c r="C354" s="70"/>
      <c r="E354" s="70"/>
    </row>
    <row r="355">
      <c r="C355" s="70"/>
      <c r="E355" s="70"/>
    </row>
    <row r="356">
      <c r="C356" s="70"/>
      <c r="E356" s="70"/>
    </row>
    <row r="357">
      <c r="C357" s="70"/>
      <c r="E357" s="70"/>
    </row>
    <row r="358">
      <c r="C358" s="70"/>
      <c r="E358" s="70"/>
    </row>
    <row r="359">
      <c r="C359" s="70"/>
      <c r="E359" s="70"/>
    </row>
    <row r="360">
      <c r="C360" s="70"/>
      <c r="E360" s="70"/>
    </row>
    <row r="361">
      <c r="C361" s="70"/>
      <c r="E361" s="70"/>
    </row>
    <row r="362">
      <c r="C362" s="70"/>
      <c r="E362" s="70"/>
    </row>
    <row r="363">
      <c r="C363" s="70"/>
      <c r="E363" s="70"/>
    </row>
    <row r="364">
      <c r="C364" s="70"/>
      <c r="E364" s="70"/>
    </row>
    <row r="365">
      <c r="C365" s="70"/>
      <c r="E365" s="70"/>
    </row>
    <row r="366">
      <c r="C366" s="70"/>
      <c r="E366" s="70"/>
    </row>
    <row r="367">
      <c r="C367" s="70"/>
      <c r="E367" s="70"/>
    </row>
    <row r="368">
      <c r="C368" s="70"/>
      <c r="E368" s="70"/>
    </row>
    <row r="369">
      <c r="C369" s="70"/>
      <c r="E369" s="70"/>
    </row>
    <row r="370">
      <c r="C370" s="70"/>
      <c r="E370" s="70"/>
    </row>
    <row r="371">
      <c r="C371" s="70"/>
      <c r="E371" s="70"/>
    </row>
    <row r="372">
      <c r="C372" s="70"/>
      <c r="E372" s="70"/>
    </row>
    <row r="373">
      <c r="C373" s="70"/>
      <c r="E373" s="70"/>
    </row>
    <row r="374">
      <c r="C374" s="70"/>
      <c r="E374" s="70"/>
    </row>
    <row r="375">
      <c r="C375" s="70"/>
      <c r="E375" s="70"/>
    </row>
    <row r="376">
      <c r="C376" s="70"/>
      <c r="E376" s="70"/>
    </row>
    <row r="377">
      <c r="C377" s="70"/>
      <c r="E377" s="70"/>
    </row>
    <row r="378">
      <c r="C378" s="70"/>
      <c r="E378" s="70"/>
    </row>
    <row r="379">
      <c r="C379" s="70"/>
      <c r="E379" s="70"/>
    </row>
    <row r="380">
      <c r="C380" s="70"/>
      <c r="E380" s="70"/>
    </row>
    <row r="381">
      <c r="C381" s="70"/>
      <c r="E381" s="70"/>
    </row>
    <row r="382">
      <c r="C382" s="70"/>
      <c r="E382" s="70"/>
    </row>
    <row r="383">
      <c r="C383" s="70"/>
      <c r="E383" s="70"/>
    </row>
    <row r="384">
      <c r="C384" s="70"/>
      <c r="E384" s="70"/>
    </row>
    <row r="385">
      <c r="C385" s="70"/>
      <c r="E385" s="70"/>
    </row>
    <row r="386">
      <c r="C386" s="70"/>
      <c r="E386" s="70"/>
    </row>
    <row r="387">
      <c r="C387" s="70"/>
      <c r="E387" s="70"/>
    </row>
    <row r="388">
      <c r="C388" s="70"/>
      <c r="E388" s="70"/>
    </row>
    <row r="389">
      <c r="C389" s="70"/>
      <c r="E389" s="70"/>
    </row>
    <row r="390">
      <c r="C390" s="70"/>
      <c r="E390" s="70"/>
    </row>
    <row r="391">
      <c r="C391" s="70"/>
      <c r="E391" s="70"/>
    </row>
    <row r="392">
      <c r="C392" s="70"/>
      <c r="E392" s="70"/>
    </row>
    <row r="393">
      <c r="C393" s="70"/>
      <c r="E393" s="70"/>
    </row>
    <row r="394">
      <c r="C394" s="70"/>
      <c r="E394" s="70"/>
    </row>
    <row r="395">
      <c r="C395" s="70"/>
      <c r="E395" s="70"/>
    </row>
    <row r="396">
      <c r="C396" s="70"/>
      <c r="E396" s="70"/>
    </row>
    <row r="397">
      <c r="C397" s="70"/>
      <c r="E397" s="70"/>
    </row>
    <row r="398">
      <c r="C398" s="70"/>
      <c r="E398" s="70"/>
    </row>
    <row r="399">
      <c r="C399" s="70"/>
      <c r="E399" s="70"/>
    </row>
    <row r="400">
      <c r="C400" s="70"/>
      <c r="E400" s="70"/>
    </row>
    <row r="401">
      <c r="C401" s="70"/>
      <c r="E401" s="70"/>
    </row>
    <row r="402">
      <c r="C402" s="70"/>
      <c r="E402" s="70"/>
    </row>
    <row r="403">
      <c r="C403" s="70"/>
      <c r="E403" s="70"/>
    </row>
    <row r="404">
      <c r="C404" s="70"/>
      <c r="E404" s="70"/>
    </row>
    <row r="405">
      <c r="C405" s="70"/>
      <c r="E405" s="70"/>
    </row>
    <row r="406">
      <c r="C406" s="70"/>
      <c r="E406" s="70"/>
    </row>
    <row r="407">
      <c r="C407" s="70"/>
      <c r="E407" s="70"/>
    </row>
    <row r="408">
      <c r="C408" s="70"/>
      <c r="E408" s="70"/>
    </row>
    <row r="409">
      <c r="C409" s="70"/>
      <c r="E409" s="70"/>
    </row>
    <row r="410">
      <c r="C410" s="70"/>
      <c r="E410" s="70"/>
    </row>
    <row r="411">
      <c r="C411" s="70"/>
      <c r="E411" s="70"/>
    </row>
    <row r="412">
      <c r="C412" s="70"/>
      <c r="E412" s="70"/>
    </row>
    <row r="413">
      <c r="C413" s="70"/>
      <c r="E413" s="70"/>
    </row>
    <row r="414">
      <c r="C414" s="70"/>
      <c r="E414" s="70"/>
    </row>
    <row r="415">
      <c r="C415" s="70"/>
      <c r="E415" s="70"/>
    </row>
    <row r="416">
      <c r="C416" s="70"/>
      <c r="E416" s="70"/>
    </row>
    <row r="417">
      <c r="C417" s="70"/>
      <c r="E417" s="70"/>
    </row>
    <row r="418">
      <c r="C418" s="70"/>
      <c r="E418" s="70"/>
    </row>
    <row r="419">
      <c r="C419" s="70"/>
      <c r="E419" s="70"/>
    </row>
    <row r="420">
      <c r="C420" s="70"/>
      <c r="E420" s="70"/>
    </row>
    <row r="421">
      <c r="C421" s="70"/>
      <c r="E421" s="70"/>
    </row>
    <row r="422">
      <c r="C422" s="70"/>
      <c r="E422" s="70"/>
    </row>
    <row r="423">
      <c r="C423" s="70"/>
      <c r="E423" s="70"/>
    </row>
    <row r="424">
      <c r="C424" s="70"/>
      <c r="E424" s="70"/>
    </row>
    <row r="425">
      <c r="C425" s="70"/>
      <c r="E425" s="70"/>
    </row>
    <row r="426">
      <c r="C426" s="70"/>
      <c r="E426" s="70"/>
    </row>
    <row r="427">
      <c r="C427" s="70"/>
      <c r="E427" s="70"/>
    </row>
    <row r="428">
      <c r="C428" s="70"/>
      <c r="E428" s="70"/>
    </row>
    <row r="429">
      <c r="C429" s="70"/>
      <c r="E429" s="70"/>
    </row>
    <row r="430">
      <c r="C430" s="70"/>
      <c r="E430" s="70"/>
    </row>
    <row r="431">
      <c r="C431" s="70"/>
      <c r="E431" s="70"/>
    </row>
    <row r="432">
      <c r="C432" s="70"/>
      <c r="E432" s="70"/>
    </row>
    <row r="433">
      <c r="C433" s="70"/>
      <c r="E433" s="70"/>
    </row>
    <row r="434">
      <c r="C434" s="70"/>
      <c r="E434" s="70"/>
    </row>
    <row r="435">
      <c r="C435" s="70"/>
      <c r="E435" s="70"/>
    </row>
    <row r="436">
      <c r="C436" s="70"/>
      <c r="E436" s="70"/>
    </row>
    <row r="437">
      <c r="C437" s="70"/>
      <c r="E437" s="70"/>
    </row>
    <row r="438">
      <c r="C438" s="70"/>
      <c r="E438" s="70"/>
    </row>
    <row r="439">
      <c r="C439" s="70"/>
      <c r="E439" s="70"/>
    </row>
    <row r="440">
      <c r="C440" s="70"/>
      <c r="E440" s="70"/>
    </row>
    <row r="441">
      <c r="C441" s="70"/>
      <c r="E441" s="70"/>
    </row>
    <row r="442">
      <c r="C442" s="70"/>
      <c r="E442" s="70"/>
    </row>
    <row r="443">
      <c r="C443" s="70"/>
      <c r="E443" s="70"/>
    </row>
    <row r="444">
      <c r="C444" s="70"/>
      <c r="E444" s="70"/>
    </row>
    <row r="445">
      <c r="C445" s="70"/>
      <c r="E445" s="70"/>
    </row>
    <row r="446">
      <c r="C446" s="70"/>
      <c r="E446" s="70"/>
    </row>
    <row r="447">
      <c r="C447" s="70"/>
      <c r="E447" s="70"/>
    </row>
    <row r="448">
      <c r="C448" s="70"/>
      <c r="E448" s="70"/>
    </row>
    <row r="449">
      <c r="C449" s="70"/>
      <c r="E449" s="70"/>
    </row>
    <row r="450">
      <c r="C450" s="70"/>
      <c r="E450" s="70"/>
    </row>
    <row r="451">
      <c r="C451" s="70"/>
      <c r="E451" s="70"/>
    </row>
    <row r="452">
      <c r="C452" s="70"/>
      <c r="E452" s="70"/>
    </row>
    <row r="453">
      <c r="C453" s="70"/>
      <c r="E453" s="70"/>
    </row>
    <row r="454">
      <c r="C454" s="70"/>
      <c r="E454" s="70"/>
    </row>
    <row r="455">
      <c r="C455" s="70"/>
      <c r="E455" s="70"/>
    </row>
    <row r="456">
      <c r="C456" s="70"/>
      <c r="E456" s="70"/>
    </row>
    <row r="457">
      <c r="C457" s="70"/>
      <c r="E457" s="70"/>
    </row>
    <row r="458">
      <c r="C458" s="70"/>
      <c r="E458" s="70"/>
    </row>
    <row r="459">
      <c r="C459" s="70"/>
      <c r="E459" s="70"/>
    </row>
    <row r="460">
      <c r="C460" s="70"/>
      <c r="E460" s="70"/>
    </row>
    <row r="461">
      <c r="C461" s="70"/>
      <c r="E461" s="70"/>
    </row>
    <row r="462">
      <c r="C462" s="70"/>
      <c r="E462" s="70"/>
    </row>
    <row r="463">
      <c r="C463" s="70"/>
      <c r="E463" s="70"/>
    </row>
    <row r="464">
      <c r="C464" s="70"/>
      <c r="E464" s="70"/>
    </row>
    <row r="465">
      <c r="C465" s="70"/>
      <c r="E465" s="70"/>
    </row>
    <row r="466">
      <c r="C466" s="70"/>
      <c r="E466" s="70"/>
    </row>
    <row r="467">
      <c r="C467" s="70"/>
      <c r="E467" s="70"/>
    </row>
    <row r="468">
      <c r="C468" s="70"/>
      <c r="E468" s="70"/>
    </row>
    <row r="469">
      <c r="C469" s="70"/>
      <c r="E469" s="70"/>
    </row>
    <row r="470">
      <c r="C470" s="70"/>
      <c r="E470" s="70"/>
    </row>
    <row r="471">
      <c r="C471" s="70"/>
      <c r="E471" s="70"/>
    </row>
    <row r="472">
      <c r="C472" s="70"/>
      <c r="E472" s="70"/>
    </row>
    <row r="473">
      <c r="C473" s="70"/>
      <c r="E473" s="70"/>
    </row>
    <row r="474">
      <c r="C474" s="70"/>
      <c r="E474" s="70"/>
    </row>
    <row r="475">
      <c r="C475" s="70"/>
      <c r="E475" s="70"/>
    </row>
    <row r="476">
      <c r="C476" s="70"/>
      <c r="E476" s="70"/>
    </row>
    <row r="477">
      <c r="C477" s="70"/>
      <c r="E477" s="70"/>
    </row>
    <row r="478">
      <c r="C478" s="70"/>
      <c r="E478" s="70"/>
    </row>
    <row r="479">
      <c r="C479" s="70"/>
      <c r="E479" s="70"/>
    </row>
    <row r="480">
      <c r="C480" s="70"/>
      <c r="E480" s="70"/>
    </row>
    <row r="481">
      <c r="C481" s="70"/>
      <c r="E481" s="70"/>
    </row>
    <row r="482">
      <c r="C482" s="70"/>
      <c r="E482" s="70"/>
    </row>
    <row r="483">
      <c r="C483" s="70"/>
      <c r="E483" s="70"/>
    </row>
    <row r="484">
      <c r="C484" s="70"/>
      <c r="E484" s="70"/>
    </row>
    <row r="485">
      <c r="C485" s="70"/>
      <c r="E485" s="70"/>
    </row>
    <row r="486">
      <c r="C486" s="70"/>
      <c r="E486" s="70"/>
    </row>
    <row r="487">
      <c r="C487" s="70"/>
      <c r="E487" s="70"/>
    </row>
    <row r="488">
      <c r="C488" s="70"/>
      <c r="E488" s="70"/>
    </row>
    <row r="489">
      <c r="C489" s="70"/>
      <c r="E489" s="70"/>
    </row>
    <row r="490">
      <c r="C490" s="70"/>
      <c r="E490" s="70"/>
    </row>
    <row r="491">
      <c r="C491" s="70"/>
      <c r="E491" s="70"/>
    </row>
    <row r="492">
      <c r="C492" s="70"/>
      <c r="E492" s="70"/>
    </row>
    <row r="493">
      <c r="C493" s="70"/>
      <c r="E493" s="70"/>
    </row>
    <row r="494">
      <c r="C494" s="70"/>
      <c r="E494" s="70"/>
    </row>
    <row r="495">
      <c r="C495" s="70"/>
      <c r="E495" s="70"/>
    </row>
    <row r="496">
      <c r="C496" s="70"/>
      <c r="E496" s="70"/>
    </row>
    <row r="497">
      <c r="C497" s="70"/>
      <c r="E497" s="70"/>
    </row>
    <row r="498">
      <c r="C498" s="70"/>
      <c r="E498" s="70"/>
    </row>
    <row r="499">
      <c r="C499" s="70"/>
      <c r="E499" s="70"/>
    </row>
    <row r="500">
      <c r="C500" s="70"/>
      <c r="E500" s="70"/>
    </row>
    <row r="501">
      <c r="C501" s="70"/>
      <c r="E501" s="70"/>
    </row>
    <row r="502">
      <c r="C502" s="70"/>
      <c r="E502" s="70"/>
    </row>
    <row r="503">
      <c r="C503" s="70"/>
      <c r="E503" s="70"/>
    </row>
    <row r="504">
      <c r="C504" s="70"/>
      <c r="E504" s="70"/>
    </row>
    <row r="505">
      <c r="C505" s="70"/>
      <c r="E505" s="70"/>
    </row>
    <row r="506">
      <c r="C506" s="70"/>
      <c r="E506" s="70"/>
    </row>
    <row r="507">
      <c r="C507" s="70"/>
      <c r="E507" s="70"/>
    </row>
    <row r="508">
      <c r="C508" s="70"/>
      <c r="E508" s="70"/>
    </row>
    <row r="509">
      <c r="C509" s="70"/>
      <c r="E509" s="70"/>
    </row>
    <row r="510">
      <c r="C510" s="70"/>
      <c r="E510" s="70"/>
    </row>
    <row r="511">
      <c r="C511" s="70"/>
      <c r="E511" s="70"/>
    </row>
    <row r="512">
      <c r="C512" s="70"/>
      <c r="E512" s="70"/>
    </row>
    <row r="513">
      <c r="C513" s="70"/>
      <c r="E513" s="70"/>
    </row>
    <row r="514">
      <c r="C514" s="70"/>
      <c r="E514" s="70"/>
    </row>
    <row r="515">
      <c r="C515" s="70"/>
      <c r="E515" s="70"/>
    </row>
    <row r="516">
      <c r="C516" s="70"/>
      <c r="E516" s="70"/>
    </row>
    <row r="517">
      <c r="C517" s="70"/>
      <c r="E517" s="70"/>
    </row>
    <row r="518">
      <c r="C518" s="70"/>
      <c r="E518" s="70"/>
    </row>
    <row r="519">
      <c r="C519" s="70"/>
      <c r="E519" s="70"/>
    </row>
    <row r="520">
      <c r="C520" s="70"/>
      <c r="E520" s="70"/>
    </row>
    <row r="521">
      <c r="C521" s="70"/>
      <c r="E521" s="70"/>
    </row>
    <row r="522">
      <c r="C522" s="70"/>
      <c r="E522" s="70"/>
    </row>
    <row r="523">
      <c r="C523" s="70"/>
      <c r="E523" s="70"/>
    </row>
    <row r="524">
      <c r="C524" s="70"/>
      <c r="E524" s="70"/>
    </row>
    <row r="525">
      <c r="C525" s="70"/>
      <c r="E525" s="70"/>
    </row>
    <row r="526">
      <c r="C526" s="70"/>
      <c r="E526" s="70"/>
    </row>
    <row r="527">
      <c r="C527" s="70"/>
      <c r="E527" s="70"/>
    </row>
    <row r="528">
      <c r="C528" s="70"/>
      <c r="E528" s="70"/>
    </row>
    <row r="529">
      <c r="C529" s="70"/>
      <c r="E529" s="70"/>
    </row>
    <row r="530">
      <c r="C530" s="70"/>
      <c r="E530" s="70"/>
    </row>
    <row r="531">
      <c r="C531" s="70"/>
      <c r="E531" s="70"/>
    </row>
    <row r="532">
      <c r="C532" s="70"/>
      <c r="E532" s="70"/>
    </row>
    <row r="533">
      <c r="C533" s="70"/>
      <c r="E533" s="70"/>
    </row>
    <row r="534">
      <c r="C534" s="70"/>
      <c r="E534" s="70"/>
    </row>
    <row r="535">
      <c r="C535" s="70"/>
      <c r="E535" s="70"/>
    </row>
    <row r="536">
      <c r="C536" s="70"/>
      <c r="E536" s="70"/>
    </row>
    <row r="537">
      <c r="C537" s="70"/>
      <c r="E537" s="70"/>
    </row>
    <row r="538">
      <c r="C538" s="70"/>
      <c r="E538" s="70"/>
    </row>
    <row r="539">
      <c r="C539" s="70"/>
      <c r="E539" s="70"/>
    </row>
    <row r="540">
      <c r="C540" s="70"/>
      <c r="E540" s="70"/>
    </row>
    <row r="541">
      <c r="C541" s="70"/>
      <c r="E541" s="70"/>
    </row>
    <row r="542">
      <c r="C542" s="70"/>
      <c r="E542" s="70"/>
    </row>
    <row r="543">
      <c r="C543" s="70"/>
      <c r="E543" s="70"/>
    </row>
    <row r="544">
      <c r="C544" s="70"/>
      <c r="E544" s="70"/>
    </row>
    <row r="545">
      <c r="C545" s="70"/>
      <c r="E545" s="70"/>
    </row>
    <row r="546">
      <c r="C546" s="70"/>
      <c r="E546" s="70"/>
    </row>
    <row r="547">
      <c r="C547" s="70"/>
      <c r="E547" s="70"/>
    </row>
    <row r="548">
      <c r="C548" s="70"/>
      <c r="E548" s="70"/>
    </row>
    <row r="549">
      <c r="C549" s="70"/>
      <c r="E549" s="70"/>
    </row>
    <row r="550">
      <c r="C550" s="70"/>
      <c r="E550" s="70"/>
    </row>
    <row r="551">
      <c r="C551" s="70"/>
      <c r="E551" s="70"/>
    </row>
    <row r="552">
      <c r="C552" s="70"/>
      <c r="E552" s="70"/>
    </row>
    <row r="553">
      <c r="C553" s="70"/>
      <c r="E553" s="70"/>
    </row>
    <row r="554">
      <c r="C554" s="70"/>
      <c r="E554" s="70"/>
    </row>
    <row r="555">
      <c r="C555" s="70"/>
      <c r="E555" s="70"/>
    </row>
    <row r="556">
      <c r="C556" s="70"/>
      <c r="E556" s="70"/>
    </row>
    <row r="557">
      <c r="C557" s="70"/>
      <c r="E557" s="70"/>
    </row>
    <row r="558">
      <c r="C558" s="70"/>
      <c r="E558" s="70"/>
    </row>
    <row r="559">
      <c r="C559" s="70"/>
      <c r="E559" s="70"/>
    </row>
    <row r="560">
      <c r="C560" s="70"/>
      <c r="E560" s="70"/>
    </row>
    <row r="561">
      <c r="C561" s="70"/>
      <c r="E561" s="70"/>
    </row>
    <row r="562">
      <c r="C562" s="70"/>
      <c r="E562" s="70"/>
    </row>
    <row r="563">
      <c r="C563" s="70"/>
      <c r="E563" s="70"/>
    </row>
    <row r="564">
      <c r="C564" s="70"/>
      <c r="E564" s="70"/>
    </row>
    <row r="565">
      <c r="C565" s="70"/>
      <c r="E565" s="70"/>
    </row>
    <row r="566">
      <c r="C566" s="70"/>
      <c r="E566" s="70"/>
    </row>
    <row r="567">
      <c r="C567" s="70"/>
      <c r="E567" s="70"/>
    </row>
    <row r="568">
      <c r="C568" s="70"/>
      <c r="E568" s="70"/>
    </row>
    <row r="569">
      <c r="C569" s="70"/>
      <c r="E569" s="70"/>
    </row>
    <row r="570">
      <c r="C570" s="70"/>
      <c r="E570" s="70"/>
    </row>
    <row r="571">
      <c r="C571" s="70"/>
      <c r="E571" s="70"/>
    </row>
    <row r="572">
      <c r="C572" s="70"/>
      <c r="E572" s="70"/>
    </row>
    <row r="573">
      <c r="C573" s="70"/>
      <c r="E573" s="70"/>
    </row>
    <row r="574">
      <c r="C574" s="70"/>
      <c r="E574" s="70"/>
    </row>
    <row r="575">
      <c r="C575" s="70"/>
      <c r="E575" s="70"/>
    </row>
    <row r="576">
      <c r="C576" s="70"/>
      <c r="E576" s="70"/>
    </row>
    <row r="577">
      <c r="C577" s="70"/>
      <c r="E577" s="70"/>
    </row>
    <row r="578">
      <c r="C578" s="70"/>
      <c r="E578" s="70"/>
    </row>
    <row r="579">
      <c r="C579" s="70"/>
      <c r="E579" s="70"/>
    </row>
    <row r="580">
      <c r="C580" s="70"/>
      <c r="E580" s="70"/>
    </row>
    <row r="581">
      <c r="C581" s="70"/>
      <c r="E581" s="70"/>
    </row>
    <row r="582">
      <c r="C582" s="70"/>
      <c r="E582" s="70"/>
    </row>
    <row r="583">
      <c r="C583" s="70"/>
      <c r="E583" s="70"/>
    </row>
    <row r="584">
      <c r="C584" s="70"/>
      <c r="E584" s="70"/>
    </row>
    <row r="585">
      <c r="C585" s="70"/>
      <c r="E585" s="70"/>
    </row>
    <row r="586">
      <c r="C586" s="70"/>
      <c r="E586" s="70"/>
    </row>
    <row r="587">
      <c r="C587" s="70"/>
      <c r="E587" s="70"/>
    </row>
    <row r="588">
      <c r="C588" s="70"/>
      <c r="E588" s="70"/>
    </row>
    <row r="589">
      <c r="C589" s="70"/>
      <c r="E589" s="70"/>
    </row>
    <row r="590">
      <c r="C590" s="70"/>
      <c r="E590" s="70"/>
    </row>
    <row r="591">
      <c r="C591" s="70"/>
      <c r="E591" s="70"/>
    </row>
    <row r="592">
      <c r="C592" s="70"/>
      <c r="E592" s="70"/>
    </row>
    <row r="593">
      <c r="C593" s="70"/>
      <c r="E593" s="70"/>
    </row>
    <row r="594">
      <c r="C594" s="70"/>
      <c r="E594" s="70"/>
    </row>
    <row r="595">
      <c r="C595" s="70"/>
      <c r="E595" s="70"/>
    </row>
    <row r="596">
      <c r="C596" s="70"/>
      <c r="E596" s="70"/>
    </row>
    <row r="597">
      <c r="C597" s="70"/>
      <c r="E597" s="70"/>
    </row>
    <row r="598">
      <c r="C598" s="70"/>
      <c r="E598" s="70"/>
    </row>
    <row r="599">
      <c r="C599" s="70"/>
      <c r="E599" s="70"/>
    </row>
    <row r="600">
      <c r="C600" s="70"/>
      <c r="E600" s="70"/>
    </row>
    <row r="601">
      <c r="C601" s="70"/>
      <c r="E601" s="70"/>
    </row>
    <row r="602">
      <c r="C602" s="70"/>
      <c r="E602" s="70"/>
    </row>
    <row r="603">
      <c r="C603" s="70"/>
      <c r="E603" s="70"/>
    </row>
    <row r="604">
      <c r="C604" s="70"/>
      <c r="E604" s="70"/>
    </row>
    <row r="605">
      <c r="C605" s="70"/>
      <c r="E605" s="70"/>
    </row>
    <row r="606">
      <c r="C606" s="70"/>
      <c r="E606" s="70"/>
    </row>
    <row r="607">
      <c r="C607" s="70"/>
      <c r="E607" s="70"/>
    </row>
    <row r="608">
      <c r="C608" s="70"/>
      <c r="E608" s="70"/>
    </row>
    <row r="609">
      <c r="C609" s="70"/>
      <c r="E609" s="70"/>
    </row>
    <row r="610">
      <c r="C610" s="70"/>
      <c r="E610" s="70"/>
    </row>
    <row r="611">
      <c r="C611" s="70"/>
      <c r="E611" s="70"/>
    </row>
    <row r="612">
      <c r="C612" s="70"/>
      <c r="E612" s="70"/>
    </row>
    <row r="613">
      <c r="C613" s="70"/>
      <c r="E613" s="70"/>
    </row>
    <row r="614">
      <c r="C614" s="70"/>
      <c r="E614" s="70"/>
    </row>
    <row r="615">
      <c r="C615" s="70"/>
      <c r="E615" s="70"/>
    </row>
    <row r="616">
      <c r="C616" s="70"/>
      <c r="E616" s="70"/>
    </row>
    <row r="617">
      <c r="C617" s="70"/>
      <c r="E617" s="70"/>
    </row>
    <row r="618">
      <c r="C618" s="70"/>
      <c r="E618" s="70"/>
    </row>
    <row r="619">
      <c r="C619" s="70"/>
      <c r="E619" s="70"/>
    </row>
    <row r="620">
      <c r="C620" s="70"/>
      <c r="E620" s="70"/>
    </row>
    <row r="621">
      <c r="C621" s="70"/>
      <c r="E621" s="70"/>
    </row>
    <row r="622">
      <c r="C622" s="70"/>
      <c r="E622" s="70"/>
    </row>
    <row r="623">
      <c r="C623" s="70"/>
      <c r="E623" s="70"/>
    </row>
    <row r="624">
      <c r="C624" s="70"/>
      <c r="E624" s="70"/>
    </row>
    <row r="625">
      <c r="C625" s="70"/>
      <c r="E625" s="70"/>
    </row>
    <row r="626">
      <c r="C626" s="70"/>
      <c r="E626" s="70"/>
    </row>
    <row r="627">
      <c r="C627" s="70"/>
      <c r="E627" s="70"/>
    </row>
    <row r="628">
      <c r="C628" s="70"/>
      <c r="E628" s="70"/>
    </row>
    <row r="629">
      <c r="C629" s="70"/>
      <c r="E629" s="70"/>
    </row>
    <row r="630">
      <c r="C630" s="70"/>
      <c r="E630" s="70"/>
    </row>
    <row r="631">
      <c r="C631" s="70"/>
      <c r="E631" s="70"/>
    </row>
    <row r="632">
      <c r="C632" s="70"/>
      <c r="E632" s="70"/>
    </row>
    <row r="633">
      <c r="C633" s="70"/>
      <c r="E633" s="70"/>
    </row>
    <row r="634">
      <c r="C634" s="70"/>
      <c r="E634" s="70"/>
    </row>
    <row r="635">
      <c r="C635" s="70"/>
      <c r="E635" s="70"/>
    </row>
    <row r="636">
      <c r="C636" s="70"/>
      <c r="E636" s="70"/>
    </row>
    <row r="637">
      <c r="C637" s="70"/>
      <c r="E637" s="70"/>
    </row>
    <row r="638">
      <c r="C638" s="70"/>
      <c r="E638" s="70"/>
    </row>
    <row r="639">
      <c r="C639" s="70"/>
      <c r="E639" s="70"/>
    </row>
    <row r="640">
      <c r="C640" s="70"/>
      <c r="E640" s="70"/>
    </row>
    <row r="641">
      <c r="C641" s="70"/>
      <c r="E641" s="70"/>
    </row>
    <row r="642">
      <c r="C642" s="70"/>
      <c r="E642" s="70"/>
    </row>
    <row r="643">
      <c r="C643" s="70"/>
      <c r="E643" s="70"/>
    </row>
    <row r="644">
      <c r="C644" s="70"/>
      <c r="E644" s="70"/>
    </row>
    <row r="645">
      <c r="C645" s="70"/>
      <c r="E645" s="70"/>
    </row>
    <row r="646">
      <c r="C646" s="70"/>
      <c r="E646" s="70"/>
    </row>
    <row r="647">
      <c r="C647" s="70"/>
      <c r="E647" s="70"/>
    </row>
    <row r="648">
      <c r="C648" s="70"/>
      <c r="E648" s="70"/>
    </row>
    <row r="649">
      <c r="C649" s="70"/>
      <c r="E649" s="70"/>
    </row>
    <row r="650">
      <c r="C650" s="70"/>
      <c r="E650" s="70"/>
    </row>
    <row r="651">
      <c r="C651" s="70"/>
      <c r="E651" s="70"/>
    </row>
    <row r="652">
      <c r="C652" s="70"/>
      <c r="E652" s="70"/>
    </row>
    <row r="653">
      <c r="C653" s="70"/>
      <c r="E653" s="70"/>
    </row>
    <row r="654">
      <c r="C654" s="70"/>
      <c r="E654" s="70"/>
    </row>
    <row r="655">
      <c r="C655" s="70"/>
      <c r="E655" s="70"/>
    </row>
    <row r="656">
      <c r="C656" s="70"/>
      <c r="E656" s="70"/>
    </row>
    <row r="657">
      <c r="C657" s="70"/>
      <c r="E657" s="70"/>
    </row>
    <row r="658">
      <c r="C658" s="70"/>
      <c r="E658" s="70"/>
    </row>
    <row r="659">
      <c r="C659" s="70"/>
      <c r="E659" s="70"/>
    </row>
    <row r="660">
      <c r="C660" s="70"/>
      <c r="E660" s="70"/>
    </row>
    <row r="661">
      <c r="C661" s="70"/>
      <c r="E661" s="70"/>
    </row>
    <row r="662">
      <c r="C662" s="70"/>
      <c r="E662" s="70"/>
    </row>
    <row r="663">
      <c r="C663" s="70"/>
      <c r="E663" s="70"/>
    </row>
    <row r="664">
      <c r="C664" s="70"/>
      <c r="E664" s="70"/>
    </row>
    <row r="665">
      <c r="C665" s="70"/>
      <c r="E665" s="70"/>
    </row>
    <row r="666">
      <c r="C666" s="70"/>
      <c r="E666" s="70"/>
    </row>
    <row r="667">
      <c r="C667" s="70"/>
      <c r="E667" s="70"/>
    </row>
    <row r="668">
      <c r="C668" s="70"/>
      <c r="E668" s="70"/>
    </row>
    <row r="669">
      <c r="C669" s="70"/>
      <c r="E669" s="70"/>
    </row>
    <row r="670">
      <c r="C670" s="70"/>
      <c r="E670" s="70"/>
    </row>
    <row r="671">
      <c r="C671" s="70"/>
      <c r="E671" s="70"/>
    </row>
    <row r="672">
      <c r="C672" s="70"/>
      <c r="E672" s="70"/>
    </row>
    <row r="673">
      <c r="C673" s="70"/>
      <c r="E673" s="70"/>
    </row>
    <row r="674">
      <c r="C674" s="70"/>
      <c r="E674" s="70"/>
    </row>
    <row r="675">
      <c r="C675" s="70"/>
      <c r="E675" s="70"/>
    </row>
    <row r="676">
      <c r="C676" s="70"/>
      <c r="E676" s="70"/>
    </row>
    <row r="677">
      <c r="C677" s="70"/>
      <c r="E677" s="70"/>
    </row>
    <row r="678">
      <c r="C678" s="70"/>
      <c r="E678" s="70"/>
    </row>
    <row r="679">
      <c r="C679" s="70"/>
      <c r="E679" s="70"/>
    </row>
    <row r="680">
      <c r="C680" s="70"/>
      <c r="E680" s="70"/>
    </row>
    <row r="681">
      <c r="C681" s="70"/>
      <c r="E681" s="70"/>
    </row>
    <row r="682">
      <c r="C682" s="70"/>
      <c r="E682" s="70"/>
    </row>
    <row r="683">
      <c r="C683" s="70"/>
      <c r="E683" s="70"/>
    </row>
    <row r="684">
      <c r="C684" s="70"/>
      <c r="E684" s="70"/>
    </row>
    <row r="685">
      <c r="C685" s="70"/>
      <c r="E685" s="70"/>
    </row>
    <row r="686">
      <c r="C686" s="70"/>
      <c r="E686" s="70"/>
    </row>
    <row r="687">
      <c r="C687" s="70"/>
      <c r="E687" s="70"/>
    </row>
    <row r="688">
      <c r="C688" s="70"/>
      <c r="E688" s="70"/>
    </row>
    <row r="689">
      <c r="C689" s="70"/>
      <c r="E689" s="70"/>
    </row>
    <row r="690">
      <c r="C690" s="70"/>
      <c r="E690" s="70"/>
    </row>
    <row r="691">
      <c r="C691" s="70"/>
      <c r="E691" s="70"/>
    </row>
    <row r="692">
      <c r="C692" s="70"/>
      <c r="E692" s="70"/>
    </row>
    <row r="693">
      <c r="C693" s="70"/>
      <c r="E693" s="70"/>
    </row>
    <row r="694">
      <c r="C694" s="70"/>
      <c r="E694" s="70"/>
    </row>
    <row r="695">
      <c r="C695" s="70"/>
      <c r="E695" s="70"/>
    </row>
    <row r="696">
      <c r="C696" s="70"/>
      <c r="E696" s="70"/>
    </row>
    <row r="697">
      <c r="C697" s="70"/>
      <c r="E697" s="70"/>
    </row>
    <row r="698">
      <c r="C698" s="70"/>
      <c r="E698" s="70"/>
    </row>
    <row r="699">
      <c r="C699" s="70"/>
      <c r="E699" s="70"/>
    </row>
    <row r="700">
      <c r="C700" s="70"/>
      <c r="E700" s="70"/>
    </row>
    <row r="701">
      <c r="C701" s="70"/>
      <c r="E701" s="70"/>
    </row>
    <row r="702">
      <c r="C702" s="70"/>
      <c r="E702" s="70"/>
    </row>
    <row r="703">
      <c r="C703" s="70"/>
      <c r="E703" s="70"/>
    </row>
    <row r="704">
      <c r="C704" s="70"/>
      <c r="E704" s="70"/>
    </row>
    <row r="705">
      <c r="C705" s="70"/>
      <c r="E705" s="70"/>
    </row>
    <row r="706">
      <c r="C706" s="70"/>
      <c r="E706" s="70"/>
    </row>
    <row r="707">
      <c r="C707" s="70"/>
      <c r="E707" s="70"/>
    </row>
    <row r="708">
      <c r="C708" s="70"/>
      <c r="E708" s="70"/>
    </row>
    <row r="709">
      <c r="C709" s="70"/>
      <c r="E709" s="70"/>
    </row>
    <row r="710">
      <c r="C710" s="70"/>
      <c r="E710" s="70"/>
    </row>
    <row r="711">
      <c r="C711" s="70"/>
      <c r="E711" s="70"/>
    </row>
    <row r="712">
      <c r="C712" s="70"/>
      <c r="E712" s="70"/>
    </row>
    <row r="713">
      <c r="C713" s="70"/>
      <c r="E713" s="70"/>
    </row>
    <row r="714">
      <c r="C714" s="70"/>
      <c r="E714" s="70"/>
    </row>
    <row r="715">
      <c r="C715" s="70"/>
      <c r="E715" s="70"/>
    </row>
    <row r="716">
      <c r="C716" s="70"/>
      <c r="E716" s="70"/>
    </row>
    <row r="717">
      <c r="C717" s="70"/>
      <c r="E717" s="70"/>
    </row>
    <row r="718">
      <c r="C718" s="70"/>
      <c r="E718" s="70"/>
    </row>
    <row r="719">
      <c r="C719" s="70"/>
      <c r="E719" s="70"/>
    </row>
    <row r="720">
      <c r="C720" s="70"/>
      <c r="E720" s="70"/>
    </row>
    <row r="721">
      <c r="C721" s="70"/>
      <c r="E721" s="70"/>
    </row>
    <row r="722">
      <c r="C722" s="70"/>
      <c r="E722" s="70"/>
    </row>
    <row r="723">
      <c r="C723" s="70"/>
      <c r="E723" s="70"/>
    </row>
    <row r="724">
      <c r="C724" s="70"/>
      <c r="E724" s="70"/>
    </row>
    <row r="725">
      <c r="C725" s="70"/>
      <c r="E725" s="70"/>
    </row>
    <row r="726">
      <c r="C726" s="70"/>
      <c r="E726" s="70"/>
    </row>
    <row r="727">
      <c r="C727" s="70"/>
      <c r="E727" s="70"/>
    </row>
    <row r="728">
      <c r="C728" s="70"/>
      <c r="E728" s="70"/>
    </row>
    <row r="729">
      <c r="C729" s="70"/>
      <c r="E729" s="70"/>
    </row>
    <row r="730">
      <c r="C730" s="70"/>
      <c r="E730" s="70"/>
    </row>
    <row r="731">
      <c r="C731" s="70"/>
      <c r="E731" s="70"/>
    </row>
    <row r="732">
      <c r="C732" s="70"/>
      <c r="E732" s="70"/>
    </row>
    <row r="733">
      <c r="C733" s="70"/>
      <c r="E733" s="70"/>
    </row>
    <row r="734">
      <c r="C734" s="70"/>
      <c r="E734" s="70"/>
    </row>
    <row r="735">
      <c r="C735" s="70"/>
      <c r="E735" s="70"/>
    </row>
    <row r="736">
      <c r="C736" s="70"/>
      <c r="E736" s="70"/>
    </row>
    <row r="737">
      <c r="C737" s="70"/>
      <c r="E737" s="70"/>
    </row>
    <row r="738">
      <c r="C738" s="70"/>
      <c r="E738" s="70"/>
    </row>
    <row r="739">
      <c r="C739" s="70"/>
      <c r="E739" s="70"/>
    </row>
    <row r="740">
      <c r="C740" s="70"/>
      <c r="E740" s="70"/>
    </row>
    <row r="741">
      <c r="C741" s="70"/>
      <c r="E741" s="70"/>
    </row>
    <row r="742">
      <c r="C742" s="70"/>
      <c r="E742" s="70"/>
    </row>
    <row r="743">
      <c r="C743" s="70"/>
      <c r="E743" s="70"/>
    </row>
    <row r="744">
      <c r="C744" s="70"/>
      <c r="E744" s="70"/>
    </row>
    <row r="745">
      <c r="C745" s="70"/>
      <c r="E745" s="70"/>
    </row>
    <row r="746">
      <c r="C746" s="70"/>
      <c r="E746" s="70"/>
    </row>
    <row r="747">
      <c r="C747" s="70"/>
      <c r="E747" s="70"/>
    </row>
    <row r="748">
      <c r="C748" s="70"/>
      <c r="E748" s="70"/>
    </row>
    <row r="749">
      <c r="C749" s="70"/>
      <c r="E749" s="70"/>
    </row>
    <row r="750">
      <c r="C750" s="70"/>
      <c r="E750" s="70"/>
    </row>
    <row r="751">
      <c r="C751" s="70"/>
      <c r="E751" s="70"/>
    </row>
    <row r="752">
      <c r="C752" s="70"/>
      <c r="E752" s="70"/>
    </row>
    <row r="753">
      <c r="C753" s="70"/>
      <c r="E753" s="70"/>
    </row>
    <row r="754">
      <c r="C754" s="70"/>
      <c r="E754" s="70"/>
    </row>
    <row r="755">
      <c r="C755" s="70"/>
      <c r="E755" s="70"/>
    </row>
    <row r="756">
      <c r="C756" s="70"/>
      <c r="E756" s="70"/>
    </row>
    <row r="757">
      <c r="C757" s="70"/>
      <c r="E757" s="70"/>
    </row>
    <row r="758">
      <c r="C758" s="70"/>
      <c r="E758" s="70"/>
    </row>
    <row r="759">
      <c r="C759" s="70"/>
      <c r="E759" s="70"/>
    </row>
    <row r="760">
      <c r="C760" s="70"/>
      <c r="E760" s="70"/>
    </row>
    <row r="761">
      <c r="C761" s="70"/>
      <c r="E761" s="70"/>
    </row>
    <row r="762">
      <c r="C762" s="70"/>
      <c r="E762" s="70"/>
    </row>
    <row r="763">
      <c r="C763" s="70"/>
      <c r="E763" s="70"/>
    </row>
    <row r="764">
      <c r="C764" s="70"/>
      <c r="E764" s="70"/>
    </row>
    <row r="765">
      <c r="C765" s="70"/>
      <c r="E765" s="70"/>
    </row>
    <row r="766">
      <c r="C766" s="70"/>
      <c r="E766" s="70"/>
    </row>
    <row r="767">
      <c r="C767" s="70"/>
      <c r="E767" s="70"/>
    </row>
    <row r="768">
      <c r="C768" s="70"/>
      <c r="E768" s="70"/>
    </row>
    <row r="769">
      <c r="C769" s="70"/>
      <c r="E769" s="70"/>
    </row>
    <row r="770">
      <c r="C770" s="70"/>
      <c r="E770" s="70"/>
    </row>
    <row r="771">
      <c r="C771" s="70"/>
      <c r="E771" s="70"/>
    </row>
    <row r="772">
      <c r="C772" s="70"/>
      <c r="E772" s="70"/>
    </row>
    <row r="773">
      <c r="C773" s="70"/>
      <c r="E773" s="70"/>
    </row>
    <row r="774">
      <c r="C774" s="70"/>
      <c r="E774" s="70"/>
    </row>
    <row r="775">
      <c r="C775" s="70"/>
      <c r="E775" s="70"/>
    </row>
    <row r="776">
      <c r="C776" s="70"/>
      <c r="E776" s="70"/>
    </row>
    <row r="777">
      <c r="C777" s="70"/>
      <c r="E777" s="70"/>
    </row>
    <row r="778">
      <c r="C778" s="70"/>
      <c r="E778" s="70"/>
    </row>
    <row r="779">
      <c r="C779" s="70"/>
      <c r="E779" s="70"/>
    </row>
    <row r="780">
      <c r="C780" s="70"/>
      <c r="E780" s="70"/>
    </row>
    <row r="781">
      <c r="C781" s="70"/>
      <c r="E781" s="70"/>
    </row>
    <row r="782">
      <c r="C782" s="70"/>
      <c r="E782" s="70"/>
    </row>
    <row r="783">
      <c r="C783" s="70"/>
      <c r="E783" s="70"/>
    </row>
    <row r="784">
      <c r="C784" s="70"/>
      <c r="E784" s="70"/>
    </row>
    <row r="785">
      <c r="C785" s="70"/>
      <c r="E785" s="70"/>
    </row>
    <row r="786">
      <c r="C786" s="70"/>
      <c r="E786" s="70"/>
    </row>
    <row r="787">
      <c r="C787" s="70"/>
      <c r="E787" s="70"/>
    </row>
    <row r="788">
      <c r="C788" s="70"/>
      <c r="E788" s="70"/>
    </row>
    <row r="789">
      <c r="C789" s="70"/>
      <c r="E789" s="70"/>
    </row>
    <row r="790">
      <c r="C790" s="70"/>
      <c r="E790" s="70"/>
    </row>
    <row r="791">
      <c r="C791" s="70"/>
      <c r="E791" s="70"/>
    </row>
    <row r="792">
      <c r="C792" s="70"/>
      <c r="E792" s="70"/>
    </row>
    <row r="793">
      <c r="C793" s="70"/>
      <c r="E793" s="70"/>
    </row>
    <row r="794">
      <c r="C794" s="70"/>
      <c r="E794" s="70"/>
    </row>
    <row r="795">
      <c r="C795" s="70"/>
      <c r="E795" s="70"/>
    </row>
    <row r="796">
      <c r="C796" s="70"/>
      <c r="E796" s="70"/>
    </row>
    <row r="797">
      <c r="C797" s="70"/>
      <c r="E797" s="70"/>
    </row>
    <row r="798">
      <c r="C798" s="70"/>
      <c r="E798" s="70"/>
    </row>
    <row r="799">
      <c r="C799" s="70"/>
      <c r="E799" s="70"/>
    </row>
    <row r="800">
      <c r="C800" s="70"/>
      <c r="E800" s="70"/>
    </row>
    <row r="801">
      <c r="C801" s="70"/>
      <c r="E801" s="70"/>
    </row>
    <row r="802">
      <c r="C802" s="70"/>
      <c r="E802" s="70"/>
    </row>
    <row r="803">
      <c r="C803" s="70"/>
      <c r="E803" s="70"/>
    </row>
    <row r="804">
      <c r="C804" s="70"/>
      <c r="E804" s="70"/>
    </row>
    <row r="805">
      <c r="C805" s="70"/>
      <c r="E805" s="70"/>
    </row>
    <row r="806">
      <c r="C806" s="70"/>
      <c r="E806" s="70"/>
    </row>
    <row r="807">
      <c r="C807" s="70"/>
      <c r="E807" s="70"/>
    </row>
    <row r="808">
      <c r="C808" s="70"/>
      <c r="E808" s="70"/>
    </row>
    <row r="809">
      <c r="C809" s="70"/>
      <c r="E809" s="70"/>
    </row>
    <row r="810">
      <c r="C810" s="70"/>
      <c r="E810" s="70"/>
    </row>
    <row r="811">
      <c r="C811" s="70"/>
      <c r="E811" s="70"/>
    </row>
    <row r="812">
      <c r="C812" s="70"/>
      <c r="E812" s="70"/>
    </row>
    <row r="813">
      <c r="C813" s="70"/>
      <c r="E813" s="70"/>
    </row>
    <row r="814">
      <c r="C814" s="70"/>
      <c r="E814" s="70"/>
    </row>
    <row r="815">
      <c r="C815" s="70"/>
      <c r="E815" s="70"/>
    </row>
    <row r="816">
      <c r="C816" s="70"/>
      <c r="E816" s="70"/>
    </row>
    <row r="817">
      <c r="C817" s="70"/>
      <c r="E817" s="70"/>
    </row>
    <row r="818">
      <c r="C818" s="70"/>
      <c r="E818" s="70"/>
    </row>
    <row r="819">
      <c r="C819" s="70"/>
      <c r="E819" s="70"/>
    </row>
    <row r="820">
      <c r="C820" s="70"/>
      <c r="E820" s="70"/>
    </row>
    <row r="821">
      <c r="C821" s="70"/>
      <c r="E821" s="70"/>
    </row>
    <row r="822">
      <c r="C822" s="70"/>
      <c r="E822" s="70"/>
    </row>
    <row r="823">
      <c r="C823" s="70"/>
      <c r="E823" s="70"/>
    </row>
    <row r="824">
      <c r="C824" s="70"/>
      <c r="E824" s="70"/>
    </row>
    <row r="825">
      <c r="C825" s="70"/>
      <c r="E825" s="70"/>
    </row>
    <row r="826">
      <c r="C826" s="70"/>
      <c r="E826" s="70"/>
    </row>
    <row r="827">
      <c r="C827" s="70"/>
      <c r="E827" s="70"/>
    </row>
    <row r="828">
      <c r="C828" s="70"/>
      <c r="E828" s="70"/>
    </row>
    <row r="829">
      <c r="C829" s="70"/>
      <c r="E829" s="70"/>
    </row>
    <row r="830">
      <c r="C830" s="70"/>
      <c r="E830" s="70"/>
    </row>
    <row r="831">
      <c r="C831" s="70"/>
      <c r="E831" s="70"/>
    </row>
    <row r="832">
      <c r="C832" s="70"/>
      <c r="E832" s="70"/>
    </row>
    <row r="833">
      <c r="C833" s="70"/>
      <c r="E833" s="70"/>
    </row>
    <row r="834">
      <c r="C834" s="70"/>
      <c r="E834" s="70"/>
    </row>
    <row r="835">
      <c r="C835" s="70"/>
      <c r="E835" s="70"/>
    </row>
    <row r="836">
      <c r="C836" s="70"/>
      <c r="E836" s="70"/>
    </row>
    <row r="837">
      <c r="C837" s="70"/>
      <c r="E837" s="70"/>
    </row>
    <row r="838">
      <c r="C838" s="70"/>
      <c r="E838" s="70"/>
    </row>
    <row r="839">
      <c r="C839" s="70"/>
      <c r="E839" s="70"/>
    </row>
    <row r="840">
      <c r="C840" s="70"/>
      <c r="E840" s="70"/>
    </row>
    <row r="841">
      <c r="C841" s="70"/>
      <c r="E841" s="70"/>
    </row>
    <row r="842">
      <c r="C842" s="70"/>
      <c r="E842" s="70"/>
    </row>
    <row r="843">
      <c r="C843" s="70"/>
      <c r="E843" s="70"/>
    </row>
    <row r="844">
      <c r="C844" s="70"/>
      <c r="E844" s="70"/>
    </row>
    <row r="845">
      <c r="C845" s="70"/>
      <c r="E845" s="70"/>
    </row>
    <row r="846">
      <c r="C846" s="70"/>
      <c r="E846" s="70"/>
    </row>
    <row r="847">
      <c r="C847" s="70"/>
      <c r="E847" s="70"/>
    </row>
    <row r="848">
      <c r="C848" s="70"/>
      <c r="E848" s="70"/>
    </row>
    <row r="849">
      <c r="C849" s="70"/>
      <c r="E849" s="70"/>
    </row>
    <row r="850">
      <c r="C850" s="70"/>
      <c r="E850" s="70"/>
    </row>
    <row r="851">
      <c r="C851" s="70"/>
      <c r="E851" s="70"/>
    </row>
    <row r="852">
      <c r="C852" s="70"/>
      <c r="E852" s="70"/>
    </row>
    <row r="853">
      <c r="C853" s="70"/>
      <c r="E853" s="70"/>
    </row>
    <row r="854">
      <c r="C854" s="70"/>
      <c r="E854" s="70"/>
    </row>
    <row r="855">
      <c r="C855" s="70"/>
      <c r="E855" s="70"/>
    </row>
    <row r="856">
      <c r="C856" s="70"/>
      <c r="E856" s="70"/>
    </row>
    <row r="857">
      <c r="C857" s="70"/>
      <c r="E857" s="70"/>
    </row>
    <row r="858">
      <c r="C858" s="70"/>
      <c r="E858" s="70"/>
    </row>
    <row r="859">
      <c r="C859" s="70"/>
      <c r="E859" s="70"/>
    </row>
    <row r="860">
      <c r="C860" s="70"/>
      <c r="E860" s="70"/>
    </row>
    <row r="861">
      <c r="C861" s="70"/>
      <c r="E861" s="70"/>
    </row>
    <row r="862">
      <c r="C862" s="70"/>
      <c r="E862" s="70"/>
    </row>
    <row r="863">
      <c r="C863" s="70"/>
      <c r="E863" s="70"/>
    </row>
    <row r="864">
      <c r="C864" s="70"/>
      <c r="E864" s="70"/>
    </row>
    <row r="865">
      <c r="C865" s="70"/>
      <c r="E865" s="70"/>
    </row>
    <row r="866">
      <c r="C866" s="70"/>
      <c r="E866" s="70"/>
    </row>
    <row r="867">
      <c r="C867" s="70"/>
      <c r="E867" s="70"/>
    </row>
    <row r="868">
      <c r="C868" s="70"/>
      <c r="E868" s="70"/>
    </row>
    <row r="869">
      <c r="C869" s="70"/>
      <c r="E869" s="70"/>
    </row>
    <row r="870">
      <c r="C870" s="70"/>
      <c r="E870" s="70"/>
    </row>
    <row r="871">
      <c r="C871" s="70"/>
      <c r="E871" s="70"/>
    </row>
    <row r="872">
      <c r="C872" s="70"/>
      <c r="E872" s="70"/>
    </row>
    <row r="873">
      <c r="C873" s="70"/>
      <c r="E873" s="70"/>
    </row>
    <row r="874">
      <c r="C874" s="70"/>
      <c r="E874" s="70"/>
    </row>
    <row r="875">
      <c r="C875" s="70"/>
      <c r="E875" s="70"/>
    </row>
    <row r="876">
      <c r="C876" s="70"/>
      <c r="E876" s="70"/>
    </row>
    <row r="877">
      <c r="C877" s="70"/>
      <c r="E877" s="70"/>
    </row>
    <row r="878">
      <c r="C878" s="70"/>
      <c r="E878" s="70"/>
    </row>
    <row r="879">
      <c r="C879" s="70"/>
      <c r="E879" s="70"/>
    </row>
    <row r="880">
      <c r="C880" s="70"/>
      <c r="E880" s="70"/>
    </row>
    <row r="881">
      <c r="C881" s="70"/>
      <c r="E881" s="70"/>
    </row>
    <row r="882">
      <c r="C882" s="70"/>
      <c r="E882" s="70"/>
    </row>
    <row r="883">
      <c r="C883" s="70"/>
      <c r="E883" s="70"/>
    </row>
    <row r="884">
      <c r="C884" s="70"/>
      <c r="E884" s="70"/>
    </row>
    <row r="885">
      <c r="C885" s="70"/>
      <c r="E885" s="70"/>
    </row>
    <row r="886">
      <c r="C886" s="70"/>
      <c r="E886" s="70"/>
    </row>
    <row r="887">
      <c r="C887" s="70"/>
      <c r="E887" s="70"/>
    </row>
    <row r="888">
      <c r="C888" s="70"/>
      <c r="E888" s="70"/>
    </row>
    <row r="889">
      <c r="C889" s="70"/>
      <c r="E889" s="70"/>
    </row>
    <row r="890">
      <c r="C890" s="70"/>
      <c r="E890" s="70"/>
    </row>
    <row r="891">
      <c r="C891" s="70"/>
      <c r="E891" s="70"/>
    </row>
    <row r="892">
      <c r="C892" s="70"/>
      <c r="E892" s="70"/>
    </row>
    <row r="893">
      <c r="C893" s="70"/>
      <c r="E893" s="70"/>
    </row>
    <row r="894">
      <c r="C894" s="70"/>
      <c r="E894" s="70"/>
    </row>
    <row r="895">
      <c r="C895" s="70"/>
      <c r="E895" s="70"/>
    </row>
    <row r="896">
      <c r="C896" s="70"/>
      <c r="E896" s="70"/>
    </row>
    <row r="897">
      <c r="C897" s="70"/>
      <c r="E897" s="70"/>
    </row>
    <row r="898">
      <c r="C898" s="70"/>
      <c r="E898" s="70"/>
    </row>
    <row r="899">
      <c r="C899" s="70"/>
      <c r="E899" s="70"/>
    </row>
    <row r="900">
      <c r="C900" s="70"/>
      <c r="E900" s="70"/>
    </row>
    <row r="901">
      <c r="C901" s="70"/>
      <c r="E901" s="70"/>
    </row>
    <row r="902">
      <c r="C902" s="70"/>
      <c r="E902" s="70"/>
    </row>
    <row r="903">
      <c r="C903" s="70"/>
      <c r="E903" s="70"/>
    </row>
    <row r="904">
      <c r="C904" s="70"/>
      <c r="E904" s="70"/>
    </row>
    <row r="905">
      <c r="C905" s="70"/>
      <c r="E905" s="70"/>
    </row>
    <row r="906">
      <c r="C906" s="70"/>
      <c r="E906" s="70"/>
    </row>
    <row r="907">
      <c r="C907" s="70"/>
      <c r="E907" s="70"/>
    </row>
    <row r="908">
      <c r="C908" s="70"/>
      <c r="E908" s="70"/>
    </row>
    <row r="909">
      <c r="C909" s="70"/>
      <c r="E909" s="70"/>
    </row>
    <row r="910">
      <c r="C910" s="70"/>
      <c r="E910" s="70"/>
    </row>
    <row r="911">
      <c r="C911" s="70"/>
      <c r="E911" s="70"/>
    </row>
    <row r="912">
      <c r="C912" s="70"/>
      <c r="E912" s="70"/>
    </row>
    <row r="913">
      <c r="C913" s="70"/>
      <c r="E913" s="70"/>
    </row>
    <row r="914">
      <c r="C914" s="70"/>
      <c r="E914" s="70"/>
    </row>
    <row r="915">
      <c r="C915" s="70"/>
      <c r="E915" s="70"/>
    </row>
    <row r="916">
      <c r="C916" s="70"/>
      <c r="E916" s="70"/>
    </row>
    <row r="917">
      <c r="C917" s="70"/>
      <c r="E917" s="70"/>
    </row>
    <row r="918">
      <c r="C918" s="70"/>
      <c r="E918" s="70"/>
    </row>
    <row r="919">
      <c r="C919" s="70"/>
      <c r="E919" s="70"/>
    </row>
    <row r="920">
      <c r="C920" s="70"/>
      <c r="E920" s="70"/>
    </row>
    <row r="921">
      <c r="C921" s="70"/>
      <c r="E921" s="70"/>
    </row>
    <row r="922">
      <c r="C922" s="70"/>
      <c r="E922" s="70"/>
    </row>
    <row r="923">
      <c r="C923" s="70"/>
      <c r="E923" s="70"/>
    </row>
    <row r="924">
      <c r="C924" s="70"/>
      <c r="E924" s="70"/>
    </row>
    <row r="925">
      <c r="C925" s="70"/>
      <c r="E925" s="70"/>
    </row>
    <row r="926">
      <c r="C926" s="70"/>
      <c r="E926" s="70"/>
    </row>
    <row r="927">
      <c r="C927" s="70"/>
      <c r="E927" s="70"/>
    </row>
    <row r="928">
      <c r="C928" s="70"/>
      <c r="E928" s="70"/>
    </row>
    <row r="929">
      <c r="C929" s="70"/>
      <c r="E929" s="70"/>
    </row>
    <row r="930">
      <c r="C930" s="70"/>
      <c r="E930" s="70"/>
    </row>
    <row r="931">
      <c r="C931" s="70"/>
      <c r="E931" s="70"/>
    </row>
    <row r="932">
      <c r="C932" s="70"/>
      <c r="E932" s="70"/>
    </row>
    <row r="933">
      <c r="C933" s="70"/>
      <c r="E933" s="70"/>
    </row>
    <row r="934">
      <c r="C934" s="70"/>
      <c r="E934" s="70"/>
    </row>
    <row r="935">
      <c r="C935" s="70"/>
      <c r="E935" s="70"/>
    </row>
    <row r="936">
      <c r="C936" s="70"/>
      <c r="E936" s="70"/>
    </row>
    <row r="937">
      <c r="C937" s="70"/>
      <c r="E937" s="70"/>
    </row>
    <row r="938">
      <c r="C938" s="70"/>
      <c r="E938" s="70"/>
    </row>
    <row r="939">
      <c r="C939" s="70"/>
      <c r="E939" s="70"/>
    </row>
    <row r="940">
      <c r="C940" s="70"/>
      <c r="E940" s="70"/>
    </row>
    <row r="941">
      <c r="C941" s="70"/>
      <c r="E941" s="70"/>
    </row>
    <row r="942">
      <c r="C942" s="70"/>
      <c r="E942" s="70"/>
    </row>
    <row r="943">
      <c r="C943" s="70"/>
      <c r="E943" s="70"/>
    </row>
    <row r="944">
      <c r="C944" s="70"/>
      <c r="E944" s="70"/>
    </row>
    <row r="945">
      <c r="C945" s="70"/>
      <c r="E945" s="70"/>
    </row>
    <row r="946">
      <c r="C946" s="70"/>
      <c r="E946" s="70"/>
    </row>
    <row r="947">
      <c r="C947" s="70"/>
      <c r="E947" s="70"/>
    </row>
    <row r="948">
      <c r="C948" s="70"/>
      <c r="E948" s="70"/>
    </row>
    <row r="949">
      <c r="C949" s="70"/>
      <c r="E949" s="70"/>
    </row>
    <row r="950">
      <c r="C950" s="70"/>
      <c r="E950" s="70"/>
    </row>
    <row r="951">
      <c r="C951" s="70"/>
      <c r="E951" s="70"/>
    </row>
    <row r="952">
      <c r="C952" s="70"/>
      <c r="E952" s="70"/>
    </row>
    <row r="953">
      <c r="C953" s="70"/>
      <c r="E953" s="70"/>
    </row>
    <row r="954">
      <c r="C954" s="70"/>
      <c r="E954" s="70"/>
    </row>
    <row r="955">
      <c r="C955" s="70"/>
      <c r="E955" s="70"/>
    </row>
    <row r="956">
      <c r="C956" s="70"/>
      <c r="E956" s="70"/>
    </row>
    <row r="957">
      <c r="C957" s="70"/>
      <c r="E957" s="70"/>
    </row>
    <row r="958">
      <c r="C958" s="70"/>
      <c r="E958" s="70"/>
    </row>
    <row r="959">
      <c r="C959" s="70"/>
      <c r="E959" s="70"/>
    </row>
    <row r="960">
      <c r="C960" s="70"/>
      <c r="E960" s="70"/>
    </row>
    <row r="961">
      <c r="C961" s="70"/>
      <c r="E961" s="70"/>
    </row>
    <row r="962">
      <c r="C962" s="70"/>
      <c r="E962" s="70"/>
    </row>
    <row r="963">
      <c r="C963" s="70"/>
      <c r="E963" s="70"/>
    </row>
    <row r="964">
      <c r="C964" s="70"/>
      <c r="E964" s="70"/>
    </row>
    <row r="965">
      <c r="C965" s="70"/>
      <c r="E965" s="70"/>
    </row>
    <row r="966">
      <c r="C966" s="70"/>
      <c r="E966" s="70"/>
    </row>
    <row r="967">
      <c r="C967" s="70"/>
      <c r="E967" s="70"/>
    </row>
    <row r="968">
      <c r="C968" s="70"/>
      <c r="E968" s="70"/>
    </row>
    <row r="969">
      <c r="C969" s="70"/>
      <c r="E969" s="70"/>
    </row>
    <row r="970">
      <c r="C970" s="70"/>
      <c r="E970" s="70"/>
    </row>
    <row r="971">
      <c r="C971" s="70"/>
      <c r="E971" s="70"/>
    </row>
    <row r="972">
      <c r="C972" s="70"/>
      <c r="E972" s="70"/>
    </row>
    <row r="973">
      <c r="C973" s="70"/>
      <c r="E973" s="70"/>
    </row>
    <row r="974">
      <c r="C974" s="70"/>
      <c r="E974" s="70"/>
    </row>
    <row r="975">
      <c r="C975" s="70"/>
      <c r="E975" s="70"/>
    </row>
    <row r="976">
      <c r="C976" s="70"/>
      <c r="E976" s="70"/>
    </row>
    <row r="977">
      <c r="C977" s="70"/>
      <c r="E977" s="70"/>
    </row>
    <row r="978">
      <c r="C978" s="70"/>
      <c r="E978" s="70"/>
    </row>
    <row r="979">
      <c r="C979" s="70"/>
      <c r="E979" s="70"/>
    </row>
    <row r="980">
      <c r="C980" s="70"/>
      <c r="E980" s="70"/>
    </row>
    <row r="981">
      <c r="C981" s="70"/>
      <c r="E981" s="70"/>
    </row>
    <row r="982">
      <c r="C982" s="70"/>
      <c r="E982" s="70"/>
    </row>
    <row r="983">
      <c r="C983" s="70"/>
      <c r="E983" s="70"/>
    </row>
    <row r="984">
      <c r="C984" s="70"/>
      <c r="E984" s="70"/>
    </row>
    <row r="985">
      <c r="C985" s="70"/>
      <c r="E985" s="70"/>
    </row>
    <row r="986">
      <c r="C986" s="70"/>
      <c r="E986" s="70"/>
    </row>
    <row r="987">
      <c r="C987" s="70"/>
      <c r="E987" s="70"/>
    </row>
    <row r="988">
      <c r="C988" s="70"/>
      <c r="E988" s="70"/>
    </row>
    <row r="989">
      <c r="C989" s="70"/>
      <c r="E989" s="70"/>
    </row>
    <row r="990">
      <c r="C990" s="70"/>
      <c r="E990" s="70"/>
    </row>
    <row r="991">
      <c r="C991" s="70"/>
      <c r="E991" s="70"/>
    </row>
    <row r="992">
      <c r="C992" s="70"/>
      <c r="E992" s="70"/>
    </row>
    <row r="993">
      <c r="C993" s="70"/>
      <c r="E993" s="70"/>
    </row>
    <row r="994">
      <c r="C994" s="70"/>
      <c r="E994" s="70"/>
    </row>
    <row r="995">
      <c r="C995" s="70"/>
      <c r="E995" s="70"/>
    </row>
    <row r="996">
      <c r="C996" s="70"/>
      <c r="E996" s="70"/>
    </row>
    <row r="997">
      <c r="C997" s="70"/>
      <c r="E997" s="70"/>
    </row>
    <row r="998">
      <c r="C998" s="70"/>
      <c r="E998" s="70"/>
    </row>
    <row r="999">
      <c r="C999" s="70"/>
      <c r="E999" s="70"/>
    </row>
    <row r="1000">
      <c r="C1000" s="70"/>
      <c r="E1000" s="70"/>
    </row>
  </sheetData>
  <mergeCells count="10">
    <mergeCell ref="A104:B104"/>
    <mergeCell ref="A105:B105"/>
    <mergeCell ref="A106:B106"/>
    <mergeCell ref="C2:N2"/>
    <mergeCell ref="O2:O4"/>
    <mergeCell ref="P2:P4"/>
    <mergeCell ref="A3:A4"/>
    <mergeCell ref="B3:B4"/>
    <mergeCell ref="A101:B101"/>
    <mergeCell ref="A103:B103"/>
  </mergeCells>
  <drawing r:id="rId2"/>
  <legacyDrawing r:id="rId3"/>
</worksheet>
</file>