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<sst xmlns="http://schemas.openxmlformats.org/spreadsheetml/2006/main" count="234" uniqueCount="129">
  <si>
    <t>SUMMARY</t>
  </si>
  <si>
    <t>Date</t>
  </si>
  <si>
    <t>Qty Sold</t>
  </si>
  <si>
    <t>Product</t>
  </si>
  <si>
    <t>Payable to PARTNER</t>
  </si>
  <si>
    <t>Remarks</t>
  </si>
  <si>
    <t>2026-01-30 17:15:05 +0800</t>
  </si>
  <si>
    <t>White Lavender Room &amp; Linen Spray</t>
  </si>
  <si>
    <t>#16428</t>
  </si>
  <si>
    <t>Flushie Toilet Spray 50ml</t>
  </si>
  <si>
    <t>2026-01-30 14:16:38 +0800</t>
  </si>
  <si>
    <t>Clean Air Disinfecting Room Spray - 500ml Spray</t>
  </si>
  <si>
    <t>#16425</t>
  </si>
  <si>
    <t>Relaxing Naturals Room &amp; Linen Spray</t>
  </si>
  <si>
    <t>2026-01-29 13:21:59 +0800</t>
  </si>
  <si>
    <t>Eucalyptus Essential Oil</t>
  </si>
  <si>
    <t>#16420</t>
  </si>
  <si>
    <t>Lavender Essential Oil</t>
  </si>
  <si>
    <t>Peppermint Essential Oil</t>
  </si>
  <si>
    <t>2026-01-24 13:45:24 +0800</t>
  </si>
  <si>
    <t>#16412</t>
  </si>
  <si>
    <t>2026-01-20 16:57:22 +0800</t>
  </si>
  <si>
    <t>Fresh Bamboo Reed Diffuser Refill</t>
  </si>
  <si>
    <t>#16399</t>
  </si>
  <si>
    <t>2026-01-17 17:46:50 +0800</t>
  </si>
  <si>
    <t>#16395</t>
  </si>
  <si>
    <t>2026-01-16 16:29:40 +0800</t>
  </si>
  <si>
    <t>#16392</t>
  </si>
  <si>
    <t>2026-01-14 17:51:10 +0800</t>
  </si>
  <si>
    <t>Cotton Clean Room &amp; Linen Spray 500ml</t>
  </si>
  <si>
    <t>#16389</t>
  </si>
  <si>
    <t>2026-01-14 17:48:38 +0800</t>
  </si>
  <si>
    <t>Fresh Bamboo Room &amp; Linen Spray 500ml</t>
  </si>
  <si>
    <t>#16388</t>
  </si>
  <si>
    <t>2026-01-11 16:18:21 +0800</t>
  </si>
  <si>
    <t>#16381</t>
  </si>
  <si>
    <t>2026-01-10 20:43:17 +0800</t>
  </si>
  <si>
    <t>#16378</t>
  </si>
  <si>
    <t>2026-01-06 19:27:07 +0800</t>
  </si>
  <si>
    <t>#16366</t>
  </si>
  <si>
    <t>2026-01-04 15:12:16 +0800</t>
  </si>
  <si>
    <t>Green Tea Room &amp; Linen Spray</t>
  </si>
  <si>
    <t>#16348</t>
  </si>
  <si>
    <t>2026-01-04 14:45:45 +0800</t>
  </si>
  <si>
    <t>Clean Air Disinfecting Room Spray - 100ml travel size</t>
  </si>
  <si>
    <t>#16347</t>
  </si>
  <si>
    <t>2026-01-03 18:18:19 +0800</t>
  </si>
  <si>
    <t>Beach Escape Room &amp; Linen Spray</t>
  </si>
  <si>
    <t>#16340</t>
  </si>
  <si>
    <t>2026-02-24 06:36:41 +0800</t>
  </si>
  <si>
    <t>#16497</t>
  </si>
  <si>
    <t>2026-02-22 18:16:39 +0800</t>
  </si>
  <si>
    <t>#16493</t>
  </si>
  <si>
    <t>2026-02-22 13:30:24 +0800</t>
  </si>
  <si>
    <t>#16491</t>
  </si>
  <si>
    <t>2026-02-21 13:55:57 +0800</t>
  </si>
  <si>
    <t>#16484</t>
  </si>
  <si>
    <t>2026-02-19 17:34:32 +0800</t>
  </si>
  <si>
    <t>#16479</t>
  </si>
  <si>
    <t>2026-02-18 13:44:21 +0800</t>
  </si>
  <si>
    <t>#16477</t>
  </si>
  <si>
    <t>2026-02-11 17:08:02 +0800</t>
  </si>
  <si>
    <t>#16455</t>
  </si>
  <si>
    <t>2026-02-07 17:12:09 +0800</t>
  </si>
  <si>
    <t>#16447</t>
  </si>
  <si>
    <t>2026-02-06 19:17:12 +0800</t>
  </si>
  <si>
    <t>#16444</t>
  </si>
  <si>
    <t>2026-02-04 17:39:11 +0800</t>
  </si>
  <si>
    <t>#7-9150</t>
  </si>
  <si>
    <t>2026-02-04 17:28:34 +0800</t>
  </si>
  <si>
    <t>#7-9149</t>
  </si>
  <si>
    <t>2026-03-29 18:11:00 +0800</t>
  </si>
  <si>
    <t>#16613</t>
  </si>
  <si>
    <t>2026-03-27 16:47:56 +0800</t>
  </si>
  <si>
    <t>Quiet Olive Reed Diffuser Oil Refill 100mL</t>
  </si>
  <si>
    <t>#16606</t>
  </si>
  <si>
    <t>UB 5/8</t>
  </si>
  <si>
    <t>Quiet Olive Room &amp; Linen Spray</t>
  </si>
  <si>
    <t>Fresh Bamboo Room &amp; Linen Spray</t>
  </si>
  <si>
    <t>2026-03-25 11:54:58 +0800</t>
  </si>
  <si>
    <t>#16600</t>
  </si>
  <si>
    <t>2026-03-21 15:39:19 +0800</t>
  </si>
  <si>
    <t>Fresh Bamboo Fragrance Oil</t>
  </si>
  <si>
    <t>#16589</t>
  </si>
  <si>
    <t>2026-03-18 17:54:13 +0800</t>
  </si>
  <si>
    <t>Fresh Bamboo Waterbased Oil</t>
  </si>
  <si>
    <t>#16575</t>
  </si>
  <si>
    <t>2026-03-18 17:51:59 +0800</t>
  </si>
  <si>
    <t>#16574</t>
  </si>
  <si>
    <t>2026-03-14 19:06:48 +0800</t>
  </si>
  <si>
    <t>#16564</t>
  </si>
  <si>
    <t>2026-03-12 17:00:50 +0800</t>
  </si>
  <si>
    <t>#16554</t>
  </si>
  <si>
    <t>2026-03-08 19:13:31 +0800</t>
  </si>
  <si>
    <t>#16539</t>
  </si>
  <si>
    <t>2026-03-08 12:10:11 +0800</t>
  </si>
  <si>
    <t>#16536</t>
  </si>
  <si>
    <t>2026-03-04 17:28:11 +0800</t>
  </si>
  <si>
    <t>#16522</t>
  </si>
  <si>
    <t>2026-03-04 14:43:38 +0800</t>
  </si>
  <si>
    <t>#16520</t>
  </si>
  <si>
    <t>2026-04-30 15:27:11 +0800</t>
  </si>
  <si>
    <t>#16697</t>
  </si>
  <si>
    <t>2026-04-28 12:55:38 +0800</t>
  </si>
  <si>
    <t>Cotton Clean Reed Diffuser Refill</t>
  </si>
  <si>
    <t>#16690</t>
  </si>
  <si>
    <t>2026-04-25 14:12:31 +0800</t>
  </si>
  <si>
    <t>Cotton Clean Room &amp; Linen Spray</t>
  </si>
  <si>
    <t>#16683</t>
  </si>
  <si>
    <t>2026-04-23 17:57:58 +0800</t>
  </si>
  <si>
    <t>#16680</t>
  </si>
  <si>
    <t>2026-04-21 17:41:20 +0800</t>
  </si>
  <si>
    <t>#16676</t>
  </si>
  <si>
    <t>2026-04-19 16:24:37 +0800</t>
  </si>
  <si>
    <t>#16674</t>
  </si>
  <si>
    <t>2026-04-17 16:33:56 +0800</t>
  </si>
  <si>
    <t>#16668</t>
  </si>
  <si>
    <t>2026-04-16 17:55:17 +0800</t>
  </si>
  <si>
    <t>#16664</t>
  </si>
  <si>
    <t>2026-04-12 15:22:39 +0800</t>
  </si>
  <si>
    <t>#16651</t>
  </si>
  <si>
    <t>2026-04-11 13:09:34 +0800</t>
  </si>
  <si>
    <t>#16644</t>
  </si>
  <si>
    <t>2026-04-08 14:24:45 +0800</t>
  </si>
  <si>
    <t>#16635</t>
  </si>
  <si>
    <t>2026-04-07 16:56:21 +0800</t>
  </si>
  <si>
    <t>#16630</t>
  </si>
  <si>
    <t>2026-04-05 13:25:05 +0800</t>
  </si>
  <si>
    <t>#16627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</si>
</sst>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[$₱]#,##0.00"/>
    <numFmt numFmtId="166" formatCode="&quot;$&quot;#,##0.00"/>
    <numFmt numFmtId="167" formatCode="m/d"/>
    <numFmt numFmtId="168" formatCode="mm/dd/yyyy h:mm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/>
    <font>
      <color theme="1"/>
      <name val="Arial"/>
    </font>
    <font>
      <b/>
      <color theme="1"/>
      <name val="Calibri"/>
    </font>
    <font>
      <color theme="1"/>
      <name val="Calibri"/>
    </font>
    <font>
      <sz val="11.0"/>
      <color theme="1"/>
      <name val="Roboto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5" fillId="0" fontId="4" numFmtId="0" xfId="0" applyAlignment="1" applyBorder="1" applyFont="1">
      <alignment horizontal="center" vertical="bottom"/>
    </xf>
    <xf borderId="4" fillId="0" fontId="2" numFmtId="0" xfId="0" applyBorder="1" applyFont="1"/>
    <xf borderId="5" fillId="0" fontId="2" numFmtId="0" xfId="0" applyBorder="1" applyFont="1"/>
    <xf borderId="4" fillId="0" fontId="5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3" numFmtId="166" xfId="0" applyAlignment="1" applyFont="1" applyNumberFormat="1">
      <alignment vertical="bottom"/>
    </xf>
    <xf borderId="6" fillId="3" fontId="4" numFmtId="0" xfId="0" applyAlignment="1" applyBorder="1" applyFill="1" applyFont="1">
      <alignment horizontal="right" vertical="bottom"/>
    </xf>
    <xf borderId="7" fillId="3" fontId="4" numFmtId="165" xfId="0" applyAlignment="1" applyBorder="1" applyFont="1" applyNumberFormat="1">
      <alignment horizontal="center" vertical="bottom"/>
    </xf>
    <xf borderId="8" fillId="3" fontId="3" numFmtId="0" xfId="0" applyAlignment="1" applyBorder="1" applyFont="1">
      <alignment vertical="bottom"/>
    </xf>
    <xf borderId="0" fillId="0" fontId="5" numFmtId="167" xfId="0" applyAlignment="1" applyFont="1" applyNumberFormat="1">
      <alignment horizontal="right" vertical="bottom"/>
    </xf>
    <xf borderId="0" fillId="0" fontId="3" numFmtId="167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6" fillId="0" fontId="3" numFmtId="168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7" fillId="0" fontId="3" numFmtId="165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0" fillId="0" fontId="3" numFmtId="168" xfId="0" applyAlignment="1" applyFont="1" applyNumberFormat="1">
      <alignment vertical="bottom"/>
    </xf>
    <xf borderId="5" fillId="0" fontId="5" numFmtId="166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25"/>
  </cols>
  <sheetData>
    <row r="3">
      <c r="A3" s="1">
        <v>46023.0</v>
      </c>
      <c r="B3" s="2"/>
      <c r="C3" s="2"/>
      <c r="D3" s="2"/>
      <c r="E3" s="3"/>
      <c r="F3" s="4"/>
      <c r="G3" s="5" t="s">
        <v>0</v>
      </c>
      <c r="H3" s="2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6" t="s">
        <v>1</v>
      </c>
      <c r="B4" s="7" t="s">
        <v>2</v>
      </c>
      <c r="C4" s="7" t="s">
        <v>3</v>
      </c>
      <c r="D4" s="8" t="s">
        <v>4</v>
      </c>
      <c r="E4" s="9" t="s">
        <v>5</v>
      </c>
      <c r="F4" s="4"/>
      <c r="G4" s="10"/>
      <c r="I4" s="1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 t="s">
        <v>6</v>
      </c>
      <c r="B5" s="13">
        <v>2.0</v>
      </c>
      <c r="C5" s="14" t="s">
        <v>7</v>
      </c>
      <c r="D5" s="15">
        <f>0.7*349*B5</f>
        <v>488.6</v>
      </c>
      <c r="E5" s="16" t="s">
        <v>8</v>
      </c>
      <c r="F5" s="17"/>
      <c r="G5" s="18" t="s">
        <v>4</v>
      </c>
      <c r="H5" s="19">
        <f>(sum(D5:D29))</f>
        <v>6967.1</v>
      </c>
      <c r="I5" s="20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 t="s">
        <v>6</v>
      </c>
      <c r="B6" s="13">
        <v>1.0</v>
      </c>
      <c r="C6" s="14" t="s">
        <v>9</v>
      </c>
      <c r="D6" s="15">
        <f>0.7*249*B6</f>
        <v>174.3</v>
      </c>
      <c r="E6" s="16" t="s">
        <v>8</v>
      </c>
      <c r="F6" s="17"/>
      <c r="G6" s="21">
        <v>46073.0</v>
      </c>
      <c r="H6" s="2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 t="s">
        <v>10</v>
      </c>
      <c r="B7" s="13">
        <v>1.0</v>
      </c>
      <c r="C7" s="14" t="s">
        <v>11</v>
      </c>
      <c r="D7" s="15">
        <f>0.7*629*B7</f>
        <v>440.3</v>
      </c>
      <c r="E7" s="16" t="s">
        <v>12</v>
      </c>
      <c r="F7" s="17"/>
      <c r="G7" s="17"/>
      <c r="H7" s="23"/>
      <c r="I7" s="17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 t="s">
        <v>10</v>
      </c>
      <c r="B8" s="13">
        <v>1.0</v>
      </c>
      <c r="C8" s="14" t="s">
        <v>13</v>
      </c>
      <c r="D8" s="15">
        <f t="shared" ref="D8:D9" si="1">0.7*349*B8</f>
        <v>244.3</v>
      </c>
      <c r="E8" s="16" t="s">
        <v>12</v>
      </c>
      <c r="F8" s="17"/>
      <c r="G8" s="17"/>
      <c r="H8" s="17"/>
      <c r="I8" s="1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 t="s">
        <v>10</v>
      </c>
      <c r="B9" s="13">
        <v>1.0</v>
      </c>
      <c r="C9" s="14" t="s">
        <v>7</v>
      </c>
      <c r="D9" s="15">
        <f t="shared" si="1"/>
        <v>244.3</v>
      </c>
      <c r="E9" s="16" t="s">
        <v>12</v>
      </c>
      <c r="F9" s="17"/>
      <c r="G9" s="17"/>
      <c r="H9" s="17"/>
      <c r="I9" s="1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" t="s">
        <v>14</v>
      </c>
      <c r="B10" s="13">
        <v>1.0</v>
      </c>
      <c r="C10" s="14" t="s">
        <v>15</v>
      </c>
      <c r="D10" s="15">
        <f t="shared" ref="D10:D12" si="2">0.7*259*B10</f>
        <v>181.3</v>
      </c>
      <c r="E10" s="16" t="s">
        <v>16</v>
      </c>
      <c r="F10" s="17"/>
      <c r="G10" s="17"/>
      <c r="H10" s="17"/>
      <c r="I10" s="17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" t="s">
        <v>14</v>
      </c>
      <c r="B11" s="13">
        <v>1.0</v>
      </c>
      <c r="C11" s="14" t="s">
        <v>17</v>
      </c>
      <c r="D11" s="15">
        <f t="shared" si="2"/>
        <v>181.3</v>
      </c>
      <c r="E11" s="16" t="s">
        <v>16</v>
      </c>
      <c r="F11" s="17"/>
      <c r="G11" s="17"/>
      <c r="H11" s="17"/>
      <c r="I11" s="17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" t="s">
        <v>14</v>
      </c>
      <c r="B12" s="13">
        <v>1.0</v>
      </c>
      <c r="C12" s="14" t="s">
        <v>18</v>
      </c>
      <c r="D12" s="15">
        <f t="shared" si="2"/>
        <v>181.3</v>
      </c>
      <c r="E12" s="16" t="s">
        <v>16</v>
      </c>
      <c r="F12" s="17"/>
      <c r="G12" s="17"/>
      <c r="H12" s="17"/>
      <c r="I12" s="17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" t="s">
        <v>14</v>
      </c>
      <c r="B13" s="13">
        <v>1.0</v>
      </c>
      <c r="C13" s="14" t="s">
        <v>7</v>
      </c>
      <c r="D13" s="15">
        <f>0.7*349*B13</f>
        <v>244.3</v>
      </c>
      <c r="E13" s="16" t="s">
        <v>16</v>
      </c>
      <c r="F13" s="17"/>
      <c r="G13" s="17"/>
      <c r="H13" s="17"/>
      <c r="I13" s="1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" t="s">
        <v>19</v>
      </c>
      <c r="B14" s="13">
        <v>1.0</v>
      </c>
      <c r="C14" s="14" t="s">
        <v>15</v>
      </c>
      <c r="D14" s="15">
        <f>0.7*259*B14</f>
        <v>181.3</v>
      </c>
      <c r="E14" s="16" t="s">
        <v>20</v>
      </c>
      <c r="F14" s="17"/>
      <c r="G14" s="17"/>
      <c r="H14" s="17"/>
      <c r="I14" s="17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" t="s">
        <v>21</v>
      </c>
      <c r="B15" s="13">
        <v>1.0</v>
      </c>
      <c r="C15" s="14" t="s">
        <v>22</v>
      </c>
      <c r="D15" s="15">
        <f t="shared" ref="D15:D16" si="3">0.7*459*B15</f>
        <v>321.3</v>
      </c>
      <c r="E15" s="16" t="s">
        <v>23</v>
      </c>
      <c r="F15" s="17"/>
      <c r="G15" s="17"/>
      <c r="H15" s="17"/>
      <c r="I15" s="17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 t="s">
        <v>24</v>
      </c>
      <c r="B16" s="13">
        <v>1.0</v>
      </c>
      <c r="C16" s="14" t="s">
        <v>22</v>
      </c>
      <c r="D16" s="15">
        <f t="shared" si="3"/>
        <v>321.3</v>
      </c>
      <c r="E16" s="16" t="s">
        <v>25</v>
      </c>
      <c r="F16" s="17"/>
      <c r="G16" s="17"/>
      <c r="H16" s="17"/>
      <c r="I16" s="17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 t="s">
        <v>26</v>
      </c>
      <c r="B17" s="13">
        <v>1.0</v>
      </c>
      <c r="C17" s="14" t="s">
        <v>18</v>
      </c>
      <c r="D17" s="15">
        <f t="shared" ref="D17:D18" si="4">0.7*259*B17</f>
        <v>181.3</v>
      </c>
      <c r="E17" s="16" t="s">
        <v>27</v>
      </c>
      <c r="F17" s="17"/>
      <c r="G17" s="17"/>
      <c r="H17" s="17"/>
      <c r="I17" s="17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 t="s">
        <v>26</v>
      </c>
      <c r="B18" s="13">
        <v>1.0</v>
      </c>
      <c r="C18" s="14" t="s">
        <v>15</v>
      </c>
      <c r="D18" s="15">
        <f t="shared" si="4"/>
        <v>181.3</v>
      </c>
      <c r="E18" s="16" t="s">
        <v>27</v>
      </c>
      <c r="F18" s="17"/>
      <c r="G18" s="17"/>
      <c r="H18" s="17"/>
      <c r="I18" s="1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 t="s">
        <v>28</v>
      </c>
      <c r="B19" s="13">
        <v>1.0</v>
      </c>
      <c r="C19" s="14" t="s">
        <v>29</v>
      </c>
      <c r="D19" s="15">
        <f t="shared" ref="D19:D22" si="5">0.7*629*B19</f>
        <v>440.3</v>
      </c>
      <c r="E19" s="16" t="s">
        <v>30</v>
      </c>
      <c r="F19" s="17"/>
      <c r="G19" s="17"/>
      <c r="H19" s="17"/>
      <c r="I19" s="17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" t="s">
        <v>31</v>
      </c>
      <c r="B20" s="13">
        <v>1.0</v>
      </c>
      <c r="C20" s="14" t="s">
        <v>32</v>
      </c>
      <c r="D20" s="15">
        <f t="shared" si="5"/>
        <v>440.3</v>
      </c>
      <c r="E20" s="16" t="s">
        <v>33</v>
      </c>
      <c r="F20" s="17"/>
      <c r="G20" s="17"/>
      <c r="H20" s="17"/>
      <c r="I20" s="17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" t="s">
        <v>34</v>
      </c>
      <c r="B21" s="13">
        <v>1.0</v>
      </c>
      <c r="C21" s="14" t="s">
        <v>29</v>
      </c>
      <c r="D21" s="15">
        <f t="shared" si="5"/>
        <v>440.3</v>
      </c>
      <c r="E21" s="16" t="s">
        <v>35</v>
      </c>
      <c r="F21" s="17"/>
      <c r="G21" s="17"/>
      <c r="H21" s="17"/>
      <c r="I21" s="17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" t="s">
        <v>34</v>
      </c>
      <c r="B22" s="13">
        <v>1.0</v>
      </c>
      <c r="C22" s="14" t="s">
        <v>11</v>
      </c>
      <c r="D22" s="15">
        <f t="shared" si="5"/>
        <v>440.3</v>
      </c>
      <c r="E22" s="16" t="s">
        <v>35</v>
      </c>
      <c r="F22" s="17"/>
      <c r="G22" s="17"/>
      <c r="H22" s="17"/>
      <c r="I22" s="17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 t="s">
        <v>36</v>
      </c>
      <c r="B23" s="13">
        <v>1.0</v>
      </c>
      <c r="C23" s="14" t="s">
        <v>9</v>
      </c>
      <c r="D23" s="15">
        <f>0.7*249*B23</f>
        <v>174.3</v>
      </c>
      <c r="E23" s="16" t="s">
        <v>37</v>
      </c>
      <c r="F23" s="17"/>
      <c r="G23" s="17"/>
      <c r="H23" s="17"/>
      <c r="I23" s="1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" t="s">
        <v>38</v>
      </c>
      <c r="B24" s="13">
        <v>1.0</v>
      </c>
      <c r="C24" s="14" t="s">
        <v>18</v>
      </c>
      <c r="D24" s="15">
        <f t="shared" ref="D24:D26" si="6">0.7*259*B24</f>
        <v>181.3</v>
      </c>
      <c r="E24" s="16" t="s">
        <v>39</v>
      </c>
      <c r="F24" s="17"/>
      <c r="G24" s="17"/>
      <c r="H24" s="17"/>
      <c r="I24" s="1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" t="s">
        <v>38</v>
      </c>
      <c r="B25" s="13">
        <v>1.0</v>
      </c>
      <c r="C25" s="14" t="s">
        <v>15</v>
      </c>
      <c r="D25" s="15">
        <f t="shared" si="6"/>
        <v>181.3</v>
      </c>
      <c r="E25" s="16" t="s">
        <v>39</v>
      </c>
      <c r="F25" s="17"/>
      <c r="G25" s="17"/>
      <c r="H25" s="17"/>
      <c r="I25" s="17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" t="s">
        <v>38</v>
      </c>
      <c r="B26" s="13">
        <v>1.0</v>
      </c>
      <c r="C26" s="14" t="s">
        <v>17</v>
      </c>
      <c r="D26" s="15">
        <f t="shared" si="6"/>
        <v>181.3</v>
      </c>
      <c r="E26" s="16" t="s">
        <v>39</v>
      </c>
      <c r="F26" s="17"/>
      <c r="G26" s="17"/>
      <c r="H26" s="17"/>
      <c r="I26" s="17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" t="s">
        <v>40</v>
      </c>
      <c r="B27" s="13">
        <v>2.0</v>
      </c>
      <c r="C27" s="14" t="s">
        <v>41</v>
      </c>
      <c r="D27" s="15">
        <f>0.7*349*B27</f>
        <v>488.6</v>
      </c>
      <c r="E27" s="16" t="s">
        <v>42</v>
      </c>
      <c r="F27" s="17"/>
      <c r="G27" s="17"/>
      <c r="H27" s="17"/>
      <c r="I27" s="17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" t="s">
        <v>43</v>
      </c>
      <c r="B28" s="13">
        <v>1.0</v>
      </c>
      <c r="C28" s="14" t="s">
        <v>44</v>
      </c>
      <c r="D28" s="15">
        <f>0.7*269*B28</f>
        <v>188.3</v>
      </c>
      <c r="E28" s="16" t="s">
        <v>45</v>
      </c>
      <c r="F28" s="17"/>
      <c r="G28" s="17"/>
      <c r="H28" s="17"/>
      <c r="I28" s="1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" t="s">
        <v>46</v>
      </c>
      <c r="B29" s="13">
        <v>1.0</v>
      </c>
      <c r="C29" s="14" t="s">
        <v>47</v>
      </c>
      <c r="D29" s="15">
        <f>0.7*349*B29</f>
        <v>244.3</v>
      </c>
      <c r="E29" s="16" t="s">
        <v>48</v>
      </c>
      <c r="F29" s="17"/>
      <c r="G29" s="17"/>
      <c r="H29" s="17"/>
      <c r="I29" s="17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4"/>
      <c r="B30" s="25"/>
      <c r="C30" s="25"/>
      <c r="D30" s="26"/>
      <c r="E30" s="27"/>
      <c r="F30" s="17"/>
      <c r="G30" s="17"/>
      <c r="H30" s="17"/>
      <c r="I30" s="17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8"/>
      <c r="B31" s="4"/>
      <c r="C31" s="4"/>
      <c r="D31" s="23"/>
      <c r="E31" s="4"/>
      <c r="F31" s="17"/>
      <c r="G31" s="17"/>
      <c r="H31" s="17"/>
      <c r="I31" s="17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">
        <v>46056.0</v>
      </c>
      <c r="B32" s="2"/>
      <c r="C32" s="2"/>
      <c r="D32" s="2"/>
      <c r="E32" s="3"/>
      <c r="F32" s="4"/>
      <c r="G32" s="5" t="s">
        <v>0</v>
      </c>
      <c r="H32" s="2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6" t="s">
        <v>1</v>
      </c>
      <c r="B33" s="7" t="s">
        <v>2</v>
      </c>
      <c r="C33" s="7" t="s">
        <v>3</v>
      </c>
      <c r="D33" s="8" t="s">
        <v>4</v>
      </c>
      <c r="E33" s="9" t="s">
        <v>5</v>
      </c>
      <c r="F33" s="4"/>
      <c r="G33" s="10"/>
      <c r="I33" s="1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" t="s">
        <v>49</v>
      </c>
      <c r="B34" s="13">
        <v>1.0</v>
      </c>
      <c r="C34" s="14" t="s">
        <v>41</v>
      </c>
      <c r="D34" s="15">
        <f>0.7*349*B34</f>
        <v>244.3</v>
      </c>
      <c r="E34" s="16" t="s">
        <v>50</v>
      </c>
      <c r="F34" s="17"/>
      <c r="G34" s="18" t="s">
        <v>4</v>
      </c>
      <c r="H34" s="19">
        <f>(sum(D34:D45))</f>
        <v>3336.9</v>
      </c>
      <c r="I34" s="20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" t="s">
        <v>51</v>
      </c>
      <c r="B35" s="13">
        <v>1.0</v>
      </c>
      <c r="C35" s="14" t="s">
        <v>17</v>
      </c>
      <c r="D35" s="15">
        <f t="shared" ref="D35:D36" si="7">0.7*259*B35</f>
        <v>181.3</v>
      </c>
      <c r="E35" s="16" t="s">
        <v>52</v>
      </c>
      <c r="F35" s="17"/>
      <c r="G35" s="21">
        <v>46091.0</v>
      </c>
      <c r="H35" s="2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" t="s">
        <v>53</v>
      </c>
      <c r="B36" s="13">
        <v>1.0</v>
      </c>
      <c r="C36" s="14" t="s">
        <v>15</v>
      </c>
      <c r="D36" s="15">
        <f t="shared" si="7"/>
        <v>181.3</v>
      </c>
      <c r="E36" s="16" t="s">
        <v>54</v>
      </c>
      <c r="F36" s="17"/>
      <c r="G36" s="17"/>
      <c r="H36" s="23"/>
      <c r="I36" s="17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" t="s">
        <v>55</v>
      </c>
      <c r="B37" s="13">
        <v>1.0</v>
      </c>
      <c r="C37" s="14" t="s">
        <v>9</v>
      </c>
      <c r="D37" s="15">
        <f>0.7*249*B37</f>
        <v>174.3</v>
      </c>
      <c r="E37" s="16" t="s">
        <v>56</v>
      </c>
      <c r="F37" s="17"/>
      <c r="G37" s="17"/>
      <c r="H37" s="17"/>
      <c r="I37" s="17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" t="s">
        <v>57</v>
      </c>
      <c r="B38" s="13">
        <v>1.0</v>
      </c>
      <c r="C38" s="14" t="s">
        <v>41</v>
      </c>
      <c r="D38" s="15">
        <f>0.7*349*B38</f>
        <v>244.3</v>
      </c>
      <c r="E38" s="16" t="s">
        <v>58</v>
      </c>
      <c r="F38" s="17"/>
      <c r="G38" s="17"/>
      <c r="H38" s="17"/>
      <c r="I38" s="17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" t="s">
        <v>59</v>
      </c>
      <c r="B39" s="13">
        <v>1.0</v>
      </c>
      <c r="C39" s="14" t="s">
        <v>9</v>
      </c>
      <c r="D39" s="15">
        <f>0.7*249*B39</f>
        <v>174.3</v>
      </c>
      <c r="E39" s="16" t="s">
        <v>60</v>
      </c>
      <c r="F39" s="17"/>
      <c r="G39" s="17"/>
      <c r="H39" s="17"/>
      <c r="I39" s="17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" t="s">
        <v>61</v>
      </c>
      <c r="B40" s="13">
        <v>2.0</v>
      </c>
      <c r="C40" s="14" t="s">
        <v>22</v>
      </c>
      <c r="D40" s="15">
        <f t="shared" ref="D40:D41" si="8">0.7*459*B40</f>
        <v>642.6</v>
      </c>
      <c r="E40" s="16" t="s">
        <v>62</v>
      </c>
      <c r="F40" s="17"/>
      <c r="G40" s="17"/>
      <c r="H40" s="17"/>
      <c r="I40" s="17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" t="s">
        <v>63</v>
      </c>
      <c r="B41" s="13">
        <v>1.0</v>
      </c>
      <c r="C41" s="14" t="s">
        <v>22</v>
      </c>
      <c r="D41" s="15">
        <f t="shared" si="8"/>
        <v>321.3</v>
      </c>
      <c r="E41" s="16" t="s">
        <v>64</v>
      </c>
      <c r="F41" s="17"/>
      <c r="G41" s="17"/>
      <c r="H41" s="17"/>
      <c r="I41" s="17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" t="s">
        <v>65</v>
      </c>
      <c r="B42" s="13">
        <v>1.0</v>
      </c>
      <c r="C42" s="14" t="s">
        <v>7</v>
      </c>
      <c r="D42" s="15">
        <f>0.7*349*B42</f>
        <v>244.3</v>
      </c>
      <c r="E42" s="16" t="s">
        <v>66</v>
      </c>
      <c r="F42" s="17"/>
      <c r="G42" s="17"/>
      <c r="H42" s="17"/>
      <c r="I42" s="17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2" t="s">
        <v>67</v>
      </c>
      <c r="B43" s="13">
        <v>1.0</v>
      </c>
      <c r="C43" s="14" t="s">
        <v>11</v>
      </c>
      <c r="D43" s="15">
        <f>0.7*629*B43</f>
        <v>440.3</v>
      </c>
      <c r="E43" s="16" t="s">
        <v>68</v>
      </c>
      <c r="F43" s="17"/>
      <c r="G43" s="17"/>
      <c r="H43" s="17"/>
      <c r="I43" s="17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2" t="s">
        <v>67</v>
      </c>
      <c r="B44" s="13">
        <v>1.0</v>
      </c>
      <c r="C44" s="14" t="s">
        <v>47</v>
      </c>
      <c r="D44" s="15">
        <f t="shared" ref="D44:D45" si="9">0.7*349*B44</f>
        <v>244.3</v>
      </c>
      <c r="E44" s="16" t="s">
        <v>68</v>
      </c>
      <c r="F44" s="17"/>
      <c r="G44" s="17"/>
      <c r="H44" s="17"/>
      <c r="I44" s="1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2" t="s">
        <v>69</v>
      </c>
      <c r="B45" s="13">
        <v>1.0</v>
      </c>
      <c r="C45" s="14" t="s">
        <v>41</v>
      </c>
      <c r="D45" s="15">
        <f t="shared" si="9"/>
        <v>244.3</v>
      </c>
      <c r="E45" s="16" t="s">
        <v>70</v>
      </c>
      <c r="F45" s="17"/>
      <c r="G45" s="17"/>
      <c r="H45" s="17"/>
      <c r="I45" s="17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24"/>
      <c r="B46" s="25"/>
      <c r="C46" s="25"/>
      <c r="D46" s="26"/>
      <c r="E46" s="27"/>
      <c r="F46" s="17"/>
      <c r="G46" s="17"/>
      <c r="H46" s="17"/>
      <c r="I46" s="17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28"/>
      <c r="B47" s="4"/>
      <c r="C47" s="4"/>
      <c r="D47" s="23"/>
      <c r="E47" s="4"/>
      <c r="F47" s="17"/>
      <c r="G47" s="17"/>
      <c r="H47" s="17"/>
      <c r="I47" s="17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">
        <v>46082.0</v>
      </c>
      <c r="B48" s="2"/>
      <c r="C48" s="2"/>
      <c r="D48" s="2"/>
      <c r="E48" s="3"/>
      <c r="F48" s="4"/>
      <c r="G48" s="5" t="s">
        <v>0</v>
      </c>
      <c r="H48" s="2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6" t="s">
        <v>1</v>
      </c>
      <c r="B49" s="7" t="s">
        <v>2</v>
      </c>
      <c r="C49" s="7" t="s">
        <v>3</v>
      </c>
      <c r="D49" s="8" t="s">
        <v>4</v>
      </c>
      <c r="E49" s="9" t="s">
        <v>5</v>
      </c>
      <c r="F49" s="4"/>
      <c r="G49" s="10"/>
      <c r="I49" s="1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2" t="s">
        <v>71</v>
      </c>
      <c r="B50" s="13">
        <v>1.0</v>
      </c>
      <c r="C50" s="15" t="s">
        <v>17</v>
      </c>
      <c r="D50" s="15">
        <f>0.7*259*B50</f>
        <v>181.3</v>
      </c>
      <c r="E50" s="29" t="s">
        <v>72</v>
      </c>
      <c r="F50" s="17"/>
      <c r="G50" s="18" t="s">
        <v>4</v>
      </c>
      <c r="H50" s="19">
        <f>sum(D50:D66)</f>
        <v>5013.4</v>
      </c>
      <c r="I50" s="2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2" t="s">
        <v>73</v>
      </c>
      <c r="B51" s="13">
        <v>1.0</v>
      </c>
      <c r="C51" s="15" t="s">
        <v>74</v>
      </c>
      <c r="D51" s="15">
        <f>0.7*459*B51</f>
        <v>321.3</v>
      </c>
      <c r="E51" s="29" t="s">
        <v>75</v>
      </c>
      <c r="F51" s="17"/>
      <c r="G51" s="30" t="s">
        <v>76</v>
      </c>
      <c r="H51" s="22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2" t="s">
        <v>73</v>
      </c>
      <c r="B52" s="13">
        <v>1.0</v>
      </c>
      <c r="C52" s="15" t="s">
        <v>77</v>
      </c>
      <c r="D52" s="15">
        <f t="shared" ref="D52:D53" si="10">0.7*349*B52</f>
        <v>244.3</v>
      </c>
      <c r="E52" s="29" t="s">
        <v>75</v>
      </c>
      <c r="F52" s="17"/>
      <c r="G52" s="17"/>
      <c r="H52" s="23"/>
      <c r="I52" s="17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2" t="s">
        <v>73</v>
      </c>
      <c r="B53" s="13">
        <v>1.0</v>
      </c>
      <c r="C53" s="15" t="s">
        <v>78</v>
      </c>
      <c r="D53" s="15">
        <f t="shared" si="10"/>
        <v>244.3</v>
      </c>
      <c r="E53" s="29" t="s">
        <v>75</v>
      </c>
      <c r="F53" s="17"/>
      <c r="G53" s="17"/>
      <c r="H53" s="17"/>
      <c r="I53" s="17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2" t="s">
        <v>73</v>
      </c>
      <c r="B54" s="13">
        <v>1.0</v>
      </c>
      <c r="C54" s="15" t="s">
        <v>22</v>
      </c>
      <c r="D54" s="15">
        <f t="shared" ref="D54:D55" si="11">0.7*459*B54</f>
        <v>321.3</v>
      </c>
      <c r="E54" s="29" t="s">
        <v>75</v>
      </c>
      <c r="F54" s="17"/>
      <c r="G54" s="17"/>
      <c r="H54" s="17"/>
      <c r="I54" s="1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2" t="s">
        <v>79</v>
      </c>
      <c r="B55" s="13">
        <v>2.0</v>
      </c>
      <c r="C55" s="15" t="s">
        <v>22</v>
      </c>
      <c r="D55" s="15">
        <f t="shared" si="11"/>
        <v>642.6</v>
      </c>
      <c r="E55" s="29" t="s">
        <v>80</v>
      </c>
      <c r="F55" s="17"/>
      <c r="G55" s="17"/>
      <c r="H55" s="17"/>
      <c r="I55" s="17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2" t="s">
        <v>81</v>
      </c>
      <c r="B56" s="13">
        <v>1.0</v>
      </c>
      <c r="C56" s="15" t="s">
        <v>82</v>
      </c>
      <c r="D56" s="15">
        <f>0.7*239*B56</f>
        <v>167.3</v>
      </c>
      <c r="E56" s="29" t="s">
        <v>83</v>
      </c>
      <c r="F56" s="17"/>
      <c r="G56" s="17"/>
      <c r="H56" s="17"/>
      <c r="I56" s="17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2" t="s">
        <v>84</v>
      </c>
      <c r="B57" s="13">
        <v>1.0</v>
      </c>
      <c r="C57" s="15" t="s">
        <v>85</v>
      </c>
      <c r="D57" s="15">
        <f>0.7*569*B57</f>
        <v>398.3</v>
      </c>
      <c r="E57" s="29" t="s">
        <v>86</v>
      </c>
      <c r="F57" s="17"/>
      <c r="G57" s="17"/>
      <c r="H57" s="17"/>
      <c r="I57" s="17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2" t="s">
        <v>87</v>
      </c>
      <c r="B58" s="13">
        <v>1.0</v>
      </c>
      <c r="C58" s="15" t="s">
        <v>47</v>
      </c>
      <c r="D58" s="15">
        <f>0.7*349*B58</f>
        <v>244.3</v>
      </c>
      <c r="E58" s="29" t="s">
        <v>88</v>
      </c>
      <c r="F58" s="17"/>
      <c r="G58" s="17"/>
      <c r="H58" s="17"/>
      <c r="I58" s="17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2" t="s">
        <v>89</v>
      </c>
      <c r="B59" s="13">
        <v>1.0</v>
      </c>
      <c r="C59" s="15" t="s">
        <v>22</v>
      </c>
      <c r="D59" s="15">
        <f>0.7*459*B59</f>
        <v>321.3</v>
      </c>
      <c r="E59" s="29" t="s">
        <v>90</v>
      </c>
      <c r="F59" s="17"/>
      <c r="G59" s="17"/>
      <c r="H59" s="17"/>
      <c r="I59" s="17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2" t="s">
        <v>91</v>
      </c>
      <c r="B60" s="13">
        <v>1.0</v>
      </c>
      <c r="C60" s="15" t="s">
        <v>15</v>
      </c>
      <c r="D60" s="15">
        <f>0.7*259*B60</f>
        <v>181.3</v>
      </c>
      <c r="E60" s="29" t="s">
        <v>92</v>
      </c>
      <c r="F60" s="17"/>
      <c r="G60" s="17"/>
      <c r="H60" s="17"/>
      <c r="I60" s="17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2" t="s">
        <v>93</v>
      </c>
      <c r="B61" s="13">
        <v>1.0</v>
      </c>
      <c r="C61" s="15" t="s">
        <v>29</v>
      </c>
      <c r="D61" s="15">
        <f>0.7*629*B61</f>
        <v>440.3</v>
      </c>
      <c r="E61" s="29" t="s">
        <v>94</v>
      </c>
      <c r="F61" s="17"/>
      <c r="G61" s="17"/>
      <c r="H61" s="17"/>
      <c r="I61" s="1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2" t="s">
        <v>95</v>
      </c>
      <c r="B62" s="13">
        <v>1.0</v>
      </c>
      <c r="C62" s="15" t="s">
        <v>18</v>
      </c>
      <c r="D62" s="15">
        <f t="shared" ref="D62:D63" si="12">0.7*259*B62</f>
        <v>181.3</v>
      </c>
      <c r="E62" s="29" t="s">
        <v>96</v>
      </c>
      <c r="F62" s="17"/>
      <c r="G62" s="17"/>
      <c r="H62" s="17"/>
      <c r="I62" s="1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2" t="s">
        <v>95</v>
      </c>
      <c r="B63" s="13">
        <v>1.0</v>
      </c>
      <c r="C63" s="15" t="s">
        <v>15</v>
      </c>
      <c r="D63" s="15">
        <f t="shared" si="12"/>
        <v>181.3</v>
      </c>
      <c r="E63" s="29" t="s">
        <v>96</v>
      </c>
      <c r="F63" s="17"/>
      <c r="G63" s="17"/>
      <c r="H63" s="17"/>
      <c r="I63" s="17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2" t="s">
        <v>97</v>
      </c>
      <c r="B64" s="13">
        <v>1.0</v>
      </c>
      <c r="C64" s="15" t="s">
        <v>22</v>
      </c>
      <c r="D64" s="15">
        <f>0.7*459*B64</f>
        <v>321.3</v>
      </c>
      <c r="E64" s="29" t="s">
        <v>98</v>
      </c>
      <c r="F64" s="17"/>
      <c r="G64" s="17"/>
      <c r="H64" s="17"/>
      <c r="I64" s="1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2" t="s">
        <v>97</v>
      </c>
      <c r="B65" s="13">
        <v>1.0</v>
      </c>
      <c r="C65" s="15" t="s">
        <v>17</v>
      </c>
      <c r="D65" s="15">
        <f>0.7*259*B65</f>
        <v>181.3</v>
      </c>
      <c r="E65" s="29" t="s">
        <v>98</v>
      </c>
      <c r="F65" s="17"/>
      <c r="G65" s="17"/>
      <c r="H65" s="17"/>
      <c r="I65" s="1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2" t="s">
        <v>99</v>
      </c>
      <c r="B66" s="13">
        <v>1.0</v>
      </c>
      <c r="C66" s="15" t="s">
        <v>32</v>
      </c>
      <c r="D66" s="15">
        <f>0.7*629*B66</f>
        <v>440.3</v>
      </c>
      <c r="E66" s="29" t="s">
        <v>100</v>
      </c>
      <c r="F66" s="17"/>
      <c r="G66" s="17"/>
      <c r="H66" s="17"/>
      <c r="I66" s="17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24"/>
      <c r="B67" s="25"/>
      <c r="C67" s="25"/>
      <c r="D67" s="26"/>
      <c r="E67" s="27"/>
      <c r="F67" s="17"/>
      <c r="G67" s="17"/>
      <c r="H67" s="17"/>
      <c r="I67" s="17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28"/>
      <c r="B68" s="4"/>
      <c r="C68" s="4"/>
      <c r="D68" s="23"/>
      <c r="E68" s="4"/>
      <c r="F68" s="17"/>
      <c r="G68" s="17"/>
      <c r="H68" s="17"/>
      <c r="I68" s="17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">
        <v>46113.0</v>
      </c>
      <c r="B69" s="2"/>
      <c r="C69" s="2"/>
      <c r="D69" s="2"/>
      <c r="E69" s="3"/>
      <c r="F69" s="4"/>
      <c r="G69" s="5" t="s">
        <v>0</v>
      </c>
      <c r="H69" s="2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6" t="s">
        <v>1</v>
      </c>
      <c r="B70" s="7" t="s">
        <v>2</v>
      </c>
      <c r="C70" s="7" t="s">
        <v>3</v>
      </c>
      <c r="D70" s="8" t="s">
        <v>4</v>
      </c>
      <c r="E70" s="9" t="s">
        <v>5</v>
      </c>
      <c r="F70" s="4"/>
      <c r="G70" s="10"/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2" t="s">
        <v>101</v>
      </c>
      <c r="B71" s="13">
        <v>1.0</v>
      </c>
      <c r="C71" s="15" t="s">
        <v>11</v>
      </c>
      <c r="D71" s="15">
        <f>0.7*629*B71</f>
        <v>440.3</v>
      </c>
      <c r="E71" s="16" t="s">
        <v>102</v>
      </c>
      <c r="F71" s="17"/>
      <c r="G71" s="18" t="s">
        <v>4</v>
      </c>
      <c r="H71" s="19">
        <f>sum(D71:D84)</f>
        <v>3630.2</v>
      </c>
      <c r="I71" s="2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2" t="s">
        <v>103</v>
      </c>
      <c r="B72" s="13">
        <v>1.0</v>
      </c>
      <c r="C72" s="15" t="s">
        <v>104</v>
      </c>
      <c r="D72" s="15">
        <f>0.7*459*B72</f>
        <v>321.3</v>
      </c>
      <c r="E72" s="16" t="s">
        <v>105</v>
      </c>
      <c r="F72" s="17"/>
      <c r="G72" s="30" t="s">
        <v>76</v>
      </c>
      <c r="H72" s="22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2" t="s">
        <v>106</v>
      </c>
      <c r="B73" s="13">
        <v>1.0</v>
      </c>
      <c r="C73" s="15" t="s">
        <v>107</v>
      </c>
      <c r="D73" s="15">
        <f t="shared" ref="D73:D74" si="13">0.7*349*B73</f>
        <v>244.3</v>
      </c>
      <c r="E73" s="16" t="s">
        <v>108</v>
      </c>
      <c r="F73" s="17"/>
      <c r="G73" s="17"/>
      <c r="H73" s="23"/>
      <c r="I73" s="17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2" t="s">
        <v>109</v>
      </c>
      <c r="B74" s="13">
        <v>1.0</v>
      </c>
      <c r="C74" s="15" t="s">
        <v>107</v>
      </c>
      <c r="D74" s="15">
        <f t="shared" si="13"/>
        <v>244.3</v>
      </c>
      <c r="E74" s="16" t="s">
        <v>110</v>
      </c>
      <c r="F74" s="17"/>
      <c r="G74" s="17"/>
      <c r="H74" s="17"/>
      <c r="I74" s="1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2" t="s">
        <v>111</v>
      </c>
      <c r="B75" s="13">
        <v>1.0</v>
      </c>
      <c r="C75" s="15" t="s">
        <v>15</v>
      </c>
      <c r="D75" s="15">
        <f>0.7*259*B75</f>
        <v>181.3</v>
      </c>
      <c r="E75" s="16" t="s">
        <v>112</v>
      </c>
      <c r="F75" s="17"/>
      <c r="G75" s="17"/>
      <c r="H75" s="17"/>
      <c r="I75" s="1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2" t="s">
        <v>113</v>
      </c>
      <c r="B76" s="13">
        <v>1.0</v>
      </c>
      <c r="C76" s="15" t="s">
        <v>78</v>
      </c>
      <c r="D76" s="15">
        <f t="shared" ref="D76:D84" si="14">0.7*349*B76</f>
        <v>244.3</v>
      </c>
      <c r="E76" s="16" t="s">
        <v>114</v>
      </c>
      <c r="F76" s="17"/>
      <c r="G76" s="17"/>
      <c r="H76" s="17"/>
      <c r="I76" s="1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2" t="s">
        <v>115</v>
      </c>
      <c r="B77" s="13">
        <v>1.0</v>
      </c>
      <c r="C77" s="15" t="s">
        <v>41</v>
      </c>
      <c r="D77" s="15">
        <f t="shared" si="14"/>
        <v>244.3</v>
      </c>
      <c r="E77" s="16" t="s">
        <v>116</v>
      </c>
      <c r="F77" s="17"/>
      <c r="G77" s="17"/>
      <c r="H77" s="17"/>
      <c r="I77" s="1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2" t="s">
        <v>115</v>
      </c>
      <c r="B78" s="13">
        <v>1.0</v>
      </c>
      <c r="C78" s="15" t="s">
        <v>41</v>
      </c>
      <c r="D78" s="15">
        <f t="shared" si="14"/>
        <v>244.3</v>
      </c>
      <c r="E78" s="16" t="s">
        <v>116</v>
      </c>
      <c r="F78" s="17"/>
      <c r="G78" s="17"/>
      <c r="H78" s="17"/>
      <c r="I78" s="1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2" t="s">
        <v>117</v>
      </c>
      <c r="B79" s="13">
        <v>1.0</v>
      </c>
      <c r="C79" s="15" t="s">
        <v>41</v>
      </c>
      <c r="D79" s="15">
        <f t="shared" si="14"/>
        <v>244.3</v>
      </c>
      <c r="E79" s="16" t="s">
        <v>118</v>
      </c>
      <c r="F79" s="17"/>
      <c r="G79" s="17"/>
      <c r="H79" s="17"/>
      <c r="I79" s="1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2" t="s">
        <v>119</v>
      </c>
      <c r="B80" s="13">
        <v>1.0</v>
      </c>
      <c r="C80" s="15" t="s">
        <v>77</v>
      </c>
      <c r="D80" s="15">
        <f t="shared" si="14"/>
        <v>244.3</v>
      </c>
      <c r="E80" s="16" t="s">
        <v>120</v>
      </c>
      <c r="F80" s="17"/>
      <c r="G80" s="17"/>
      <c r="H80" s="17"/>
      <c r="I80" s="1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2" t="s">
        <v>121</v>
      </c>
      <c r="B81" s="13">
        <v>1.0</v>
      </c>
      <c r="C81" s="15" t="s">
        <v>77</v>
      </c>
      <c r="D81" s="15">
        <f t="shared" si="14"/>
        <v>244.3</v>
      </c>
      <c r="E81" s="16" t="s">
        <v>122</v>
      </c>
      <c r="F81" s="17"/>
      <c r="G81" s="17"/>
      <c r="H81" s="17"/>
      <c r="I81" s="1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2" t="s">
        <v>123</v>
      </c>
      <c r="B82" s="13">
        <v>1.0</v>
      </c>
      <c r="C82" s="15" t="s">
        <v>77</v>
      </c>
      <c r="D82" s="15">
        <f t="shared" si="14"/>
        <v>244.3</v>
      </c>
      <c r="E82" s="16" t="s">
        <v>124</v>
      </c>
      <c r="F82" s="17"/>
      <c r="G82" s="17"/>
      <c r="H82" s="17"/>
      <c r="I82" s="1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2" t="s">
        <v>125</v>
      </c>
      <c r="B83" s="13">
        <v>1.0</v>
      </c>
      <c r="C83" s="15" t="s">
        <v>77</v>
      </c>
      <c r="D83" s="15">
        <f t="shared" si="14"/>
        <v>244.3</v>
      </c>
      <c r="E83" s="16" t="s">
        <v>126</v>
      </c>
      <c r="F83" s="17"/>
      <c r="G83" s="17"/>
      <c r="H83" s="17"/>
      <c r="I83" s="1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2" t="s">
        <v>127</v>
      </c>
      <c r="B84" s="13">
        <v>1.0</v>
      </c>
      <c r="C84" s="15" t="s">
        <v>13</v>
      </c>
      <c r="D84" s="15">
        <f t="shared" si="14"/>
        <v>244.3</v>
      </c>
      <c r="E84" s="16" t="s">
        <v>128</v>
      </c>
      <c r="F84" s="17"/>
      <c r="G84" s="17"/>
      <c r="H84" s="17"/>
      <c r="I84" s="1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24"/>
      <c r="B85" s="25"/>
      <c r="C85" s="25"/>
      <c r="D85" s="26"/>
      <c r="E85" s="27"/>
      <c r="F85" s="17"/>
      <c r="G85" s="17"/>
      <c r="H85" s="17"/>
      <c r="I85" s="1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28"/>
      <c r="B86" s="4"/>
      <c r="C86" s="4"/>
      <c r="D86" s="23"/>
      <c r="E86" s="4"/>
      <c r="F86" s="17"/>
      <c r="G86" s="17"/>
      <c r="H86" s="17"/>
      <c r="I86" s="1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28"/>
      <c r="B87" s="4"/>
      <c r="C87" s="4"/>
      <c r="D87" s="23"/>
      <c r="E87" s="4"/>
      <c r="F87" s="17"/>
      <c r="G87" s="17"/>
      <c r="H87" s="17"/>
      <c r="I87" s="1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28"/>
      <c r="B88" s="4"/>
      <c r="C88" s="4"/>
      <c r="D88" s="23"/>
      <c r="E88" s="4"/>
      <c r="F88" s="17"/>
      <c r="G88" s="17"/>
      <c r="H88" s="17"/>
      <c r="I88" s="1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</sheetData>
  <mergeCells count="8">
    <mergeCell ref="A3:E3"/>
    <mergeCell ref="G3:I4"/>
    <mergeCell ref="A32:E32"/>
    <mergeCell ref="G32:I33"/>
    <mergeCell ref="A48:E48"/>
    <mergeCell ref="G48:I49"/>
    <mergeCell ref="A69:E69"/>
    <mergeCell ref="G69:I70"/>
  </mergeCells>
  <drawing r:id="rId1"/>
</worksheet>
</file>